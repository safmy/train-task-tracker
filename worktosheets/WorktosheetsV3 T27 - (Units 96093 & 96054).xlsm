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2 - T07 - T31 - Program Lift (P1, P2 &amp; Catch Back)/T27 - (Units 96093 and 96054)/05 Work To Sheets TFOS/"/>
    </mc:Choice>
  </mc:AlternateContent>
  <xr:revisionPtr revIDLastSave="3356" documentId="13_ncr:1_{40EE4049-17EF-4680-A16C-684EED19F4B7}" xr6:coauthVersionLast="47" xr6:coauthVersionMax="47" xr10:uidLastSave="{08302C61-9966-4308-B649-CE20DA3C8147}"/>
  <bookViews>
    <workbookView xWindow="28680" yWindow="-120" windowWidth="29040" windowHeight="15840" activeTab="2"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Car'!$A$2:$O$128</definedName>
    <definedName name="_xlnm._FilterDatabase" localSheetId="8" hidden="1">'DM 4 Car'!$A$2:$J$128</definedName>
    <definedName name="_xlnm._FilterDatabase" localSheetId="6" hidden="1">'Special Trailer 4 Car'!$A$2:$J$42</definedName>
    <definedName name="_xlnm._FilterDatabase" localSheetId="3" hidden="1">'Trailer 3 Car'!$A$2:$L$59</definedName>
    <definedName name="_xlnm._FilterDatabase" localSheetId="7" hidden="1">'Trailer 4 Car'!$A$2:$J$60</definedName>
    <definedName name="_xlnm._FilterDatabase" localSheetId="9" hidden="1">'Train Tests'!$A$2:$G$2</definedName>
    <definedName name="_xlnm._FilterDatabase" localSheetId="4" hidden="1">'UNDM 3 Car'!$A$2:$J$88</definedName>
    <definedName name="_xlnm._FilterDatabase" localSheetId="5" hidden="1">'UNDM 4 Car'!$A$2:$J$88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3" i="1" l="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tc={DDFB619F-6495-4BA0-91E3-80CC44D2F0C0}</author>
  </authors>
  <commentList>
    <comment ref="C41" authorId="0" shapeId="0" xr:uid="{DDFB619F-6495-4BA0-91E3-80CC44D2F0C0}">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Mohammedmokeem Akhtar</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 ref="E65" authorId="1" shapeId="0" xr:uid="{EA513E1E-7A91-44AF-8B2E-F54444CF6A7C}">
      <text>
        <r>
          <rPr>
            <sz val="12"/>
            <color theme="1"/>
            <rFont val="Arial"/>
            <family val="2"/>
          </rPr>
          <t>Mohammedmokeem Akhtar:
REMOVED AND REFITTED (NOT OVERHAULED) FOR NDT ON CAR BODY &amp; TO REMOVE AND REPLACE ANTI-CLIMB BUFFER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Mohammedmokeem Akhtar</author>
  </authors>
  <commentList>
    <comment ref="E65" authorId="0" shapeId="0" xr:uid="{60D735E5-3EFA-4ACC-8CEA-B773C9EEA729}">
      <text>
        <r>
          <rPr>
            <sz val="12"/>
            <color theme="1"/>
            <rFont val="Arial"/>
            <family val="2"/>
          </rPr>
          <t>Mohammedmokeem Akhtar:
REMOVED AND REFITTED (NOT OVERHAULED) FOR NDT ON CAR BODY &amp; TO REMOVE AND REPLACE ANTI-CLIMB BUFFER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<sst xmlns="http://schemas.openxmlformats.org/spreadsheetml/2006/main" count="5783" uniqueCount="873">
  <si>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</si>
  <si>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</si>
  <si>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</si>
  <si>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</si>
  <si>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</si>
  <si>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</si>
  <si>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</si>
  <si>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</si>
  <si>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</si>
  <si>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</si>
  <si>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</si>
  <si>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</si>
  <si>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</si>
  <si>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</si>
  <si>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</si>
  <si>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</si>
  <si>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</si>
  <si>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</si>
  <si>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</si>
  <si>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</si>
  <si>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</si>
  <si>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</si>
  <si>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</si>
  <si>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</si>
  <si>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</si>
  <si>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</si>
  <si>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</si>
  <si>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</si>
  <si>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</si>
  <si>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</si>
  <si>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</si>
  <si>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</si>
  <si>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</si>
  <si>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</si>
  <si>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</si>
  <si>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</si>
  <si>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</si>
  <si>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</si>
  <si>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</si>
  <si>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</si>
  <si>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</si>
  <si>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</si>
  <si>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</si>
  <si>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</si>
  <si>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</si>
  <si>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</si>
  <si>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</si>
  <si>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</si>
  <si>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96054</t>
  </si>
  <si>
    <t>Overhaul/IROC</t>
  </si>
  <si>
    <t>Position</t>
  </si>
  <si>
    <t>Scope Delayed</t>
  </si>
  <si>
    <t>WI Reference</t>
  </si>
  <si>
    <t>Comments</t>
  </si>
  <si>
    <t>Number Of People</t>
  </si>
  <si>
    <t>Total Hours</t>
  </si>
  <si>
    <t>DM UNDERFRAME REMOVE/REFIT MORS SMITT RELAYS</t>
  </si>
  <si>
    <t>REPLACE 26 RELAYS</t>
  </si>
  <si>
    <t>DK</t>
  </si>
  <si>
    <t>Pull Forward</t>
  </si>
  <si>
    <t>REPLACE</t>
  </si>
  <si>
    <t>ATM</t>
  </si>
  <si>
    <t>JHOPL-WI-17-184
JHOPL-WI-17-135</t>
  </si>
  <si>
    <t>MORS SMITT</t>
  </si>
  <si>
    <t>DM CAB DRIVERS SIDE REMOVE/REFIT EMERGENCY LIGHT INVERTER</t>
  </si>
  <si>
    <t>REPLACE 1 EMERGENCY LIGHT INVERTER</t>
  </si>
  <si>
    <t>JTT</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</si>
  <si>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</si>
  <si>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</si>
  <si>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</si>
  <si>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</si>
  <si>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</si>
  <si>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</si>
  <si>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</si>
  <si>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LN</t>
  </si>
  <si>
    <t>JHOPL-WI-17-185</t>
  </si>
  <si>
    <t>SIEMENS</t>
  </si>
  <si>
    <t>DM CAB DRIVERS SIDE REMOVE/REFIT SIEMENS RELAYS</t>
  </si>
  <si>
    <t>REPLACE 2  RELAYS</t>
  </si>
  <si>
    <t>CB</t>
  </si>
  <si>
    <t>DM CAR REMOVE/REFIT 4 POLE CIRCUIT BREAKER</t>
  </si>
  <si>
    <t>REPLACE 4 POLE CIRCUIT BREAKER</t>
  </si>
  <si>
    <t>CB, JJT</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</si>
  <si>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</si>
  <si>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</si>
  <si>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</si>
  <si>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</si>
  <si>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</si>
  <si>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</si>
  <si>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</si>
  <si>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</si>
  <si>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</si>
  <si>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TFOS</t>
  </si>
  <si>
    <t>IROC</t>
  </si>
  <si>
    <t>Y</t>
  </si>
  <si>
    <t>JHOPL-WI-17-070</t>
  </si>
  <si>
    <t>JHOPL - MORS SMITT</t>
  </si>
  <si>
    <t>DM CAB NON DRIVERS SIDE REMOVE/REFIT MCBS</t>
  </si>
  <si>
    <t>REPLACE 30 MCBS</t>
  </si>
  <si>
    <t>MM</t>
  </si>
  <si>
    <t>JHOPL-WI-17-074</t>
  </si>
  <si>
    <t>DM  SALOON REMOVE/REFIT MCBS</t>
  </si>
  <si>
    <t>REPLACE 24 MCBS</t>
  </si>
  <si>
    <t>CP</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</si>
  <si>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</si>
  <si>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</si>
  <si>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</si>
  <si>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</si>
  <si>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</si>
  <si>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</si>
  <si>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</si>
  <si>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</si>
  <si>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</si>
  <si>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</si>
  <si>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</si>
  <si>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</si>
  <si>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</si>
  <si>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</si>
  <si>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</si>
  <si>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</si>
  <si>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</si>
  <si>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</si>
  <si>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</si>
  <si>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</si>
  <si>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</si>
  <si>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</si>
  <si>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</si>
  <si>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</si>
  <si>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</si>
  <si>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</si>
  <si>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JHOPL - 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</si>
  <si>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</si>
  <si>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</si>
  <si>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</si>
  <si>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</si>
  <si>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</si>
  <si>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</si>
  <si>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</si>
  <si>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 xml:space="preserve">Red Team </t>
  </si>
  <si>
    <t>OH</t>
  </si>
  <si>
    <t>TM</t>
  </si>
  <si>
    <t>JHOPL-WI-14-188</t>
  </si>
  <si>
    <t>DM CAR REFIT BOGIE A</t>
  </si>
  <si>
    <t>REFIT BOGIE A (TYPE A)</t>
  </si>
  <si>
    <t>DM CAR REMOVE BOGIE D</t>
  </si>
  <si>
    <t>REMOVE BOGIE D (TYPE A)</t>
  </si>
  <si>
    <t>DM CAR REFIT BOGIE D</t>
  </si>
  <si>
    <t>REFIT BOGIE D (TYPE A)</t>
  </si>
  <si>
    <t>Blue Team</t>
  </si>
  <si>
    <t>DM UNDERFRAME REMOVE/REFIT LINE BREAKER CONTACTOR 1 AND 3</t>
  </si>
  <si>
    <t>REPLACE CONTACTOR</t>
  </si>
  <si>
    <t>JJT, CB, SC, AO,DH</t>
  </si>
  <si>
    <t>JHOPL-WI-11-129</t>
  </si>
  <si>
    <t>ALSTOM</t>
  </si>
  <si>
    <t>DM UNDERFRAME REMOVE/REFIT LINE BREAKER CONTACTOR 2 AND 4</t>
  </si>
  <si>
    <t>DM CAR REMOVE/REFIT FILTER HARD CROWBAR THYRISTOR ASSEMBLY</t>
  </si>
  <si>
    <t>REPLACE FILTER HARD CROWBAR THYRISTOR ASSEMBLY</t>
  </si>
  <si>
    <t>JJT, CB, SC, RB</t>
  </si>
  <si>
    <t>JHOPL-WI-11-006</t>
  </si>
  <si>
    <t>DM CAR REMOVE/REFIT POWER SUPPLY UNIT</t>
  </si>
  <si>
    <t>REPLACE POWER SUPPLY MODULE</t>
  </si>
  <si>
    <t>JHOPL-WI-11-008</t>
  </si>
  <si>
    <t>DM UNDERFRAME LOCATION 412 REMOVE/REFIT AUXILIARY CONVERTER ELECTRONIC MODULE</t>
  </si>
  <si>
    <t>REPLACE AUXILIARY CONVERTER ELECTRONIC MODULE</t>
  </si>
  <si>
    <t>JJT, CB, SC&lt;AO,DH</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</si>
  <si>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</si>
  <si>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</si>
  <si>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</si>
  <si>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</si>
  <si>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</si>
  <si>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</si>
  <si>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</si>
  <si>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</si>
  <si>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</si>
  <si>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</si>
  <si>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</si>
  <si>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</si>
  <si>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</si>
  <si>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</si>
  <si>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</si>
  <si>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</si>
  <si>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</si>
  <si>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</si>
  <si>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</si>
  <si>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</si>
  <si>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</si>
  <si>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</si>
  <si>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</si>
  <si>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</si>
  <si>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</si>
  <si>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NA, AOO</t>
  </si>
  <si>
    <t>JHOPL-WI-15-147</t>
  </si>
  <si>
    <t>WABTEC</t>
  </si>
  <si>
    <t xml:space="preserve">DM CAR REMOVE/REFIT PROPULSION INVERTER MODULE </t>
  </si>
  <si>
    <t>REPLACE 3 PROPULSION INVERTER MODULES</t>
  </si>
  <si>
    <t>JHOPL-WI-11-132</t>
  </si>
  <si>
    <t>DM CAR REMOVE/REFIT LINE FILTER CAPACITOR TRAY 10 CAP</t>
  </si>
  <si>
    <t>REPLACE LINE FILTER CAPACITOR TRAY10 CAP</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</si>
  <si>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</si>
  <si>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</si>
  <si>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</si>
  <si>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</si>
  <si>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</si>
  <si>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</si>
  <si>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</si>
  <si>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</si>
  <si>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</si>
  <si>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RN</t>
  </si>
  <si>
    <t>JHOPL-WI-11-136</t>
  </si>
  <si>
    <t>KBRS</t>
  </si>
  <si>
    <t>DM SALOON REMOVE/REFIT BRAKE CYLINDER PRESSURE SWITCH 1 (FOR ALL CARS)</t>
  </si>
  <si>
    <t>REPLACE BRAKE CYLINDER PRESSURE SWITCH</t>
  </si>
  <si>
    <t>AL</t>
  </si>
  <si>
    <t>JHOPL-WI-10-122</t>
  </si>
  <si>
    <t>DM CAR REMOVE/REFIT BRAKE CYLINDER PRESSURE SWITCH 2 (FOR DM/UNDM)</t>
  </si>
  <si>
    <t>DM CAR REMOVE/REFIT ½" VENTED BALL VALVE (VLCV / SYSTEM DRAIN / AUTO DRAIN / WHISLTE)</t>
  </si>
  <si>
    <t>IROC 1/2" VENTED BALL VALVE - EXTERNAL</t>
  </si>
  <si>
    <t>MAA</t>
  </si>
  <si>
    <t>JHOPL-WI-19-080
JHOPL-WI-19-102
JHOPL-WI-19-105</t>
  </si>
  <si>
    <t>JHOPL - KBRS</t>
  </si>
  <si>
    <t>DM UNDERFRAME REMOVE/REFIT VARIABLE LOAD VALVE - DM/UNDM CAR</t>
  </si>
  <si>
    <t>REPLACE VARIABLE  LOAD VALVE</t>
  </si>
  <si>
    <t>MR</t>
  </si>
  <si>
    <t>JHOPL-WI-10-126</t>
  </si>
  <si>
    <t>DM UNDERFRAME CAR REMOVE/REFIT BRAKE RELEASE VALVE</t>
  </si>
  <si>
    <t>REPLACE BRAKE RELEASE VALVE</t>
  </si>
  <si>
    <t>GT JD</t>
  </si>
  <si>
    <t>JHOPL-WI-10-124</t>
  </si>
  <si>
    <t>DM SALOON REMOVE/REFIT BRAKE CYLINDER SALOON GAUGES</t>
  </si>
  <si>
    <t>REPLACE BRAKE SALOON GAUGE</t>
  </si>
  <si>
    <t>DH</t>
  </si>
  <si>
    <t>JHOPL-WI-10-001</t>
  </si>
  <si>
    <t>DM CAR REMOVE/REFIT CLOSED LOOP ANALOGUE UNIT (CLAU) - DM/UNDM CAR</t>
  </si>
  <si>
    <t>REPLACE CLAU</t>
  </si>
  <si>
    <t>DM CAR REMOVE/REFIT PNEUMATIC BRAKE DRIVER</t>
  </si>
  <si>
    <t>REPLACE PNEUMATIC BRAKE DRIVER</t>
  </si>
  <si>
    <t>HS, JN</t>
  </si>
  <si>
    <t>JHOPL-WI-10-125</t>
  </si>
  <si>
    <t>DM CAR REMOVE/REFIT ¾" GANGED VENTED COCKS (BCIC/PBIC)</t>
  </si>
  <si>
    <t>REPLACE 3/4" GANGED VENTED COCKS</t>
  </si>
  <si>
    <t>RB</t>
  </si>
  <si>
    <t>JHOPL-WI-19-082</t>
  </si>
  <si>
    <t>REW</t>
  </si>
  <si>
    <t>DM CAR REMOVE/REFIT ENCODER UNIT</t>
  </si>
  <si>
    <t>REPLACE ENCODER UNIT</t>
  </si>
  <si>
    <t>KA</t>
  </si>
  <si>
    <t>JHOPL-WI-10-128</t>
  </si>
  <si>
    <t xml:space="preserve">DM UNDERFRAME REMOVE/REFIT WSP DUMP VALVE </t>
  </si>
  <si>
    <t>REPLACE 4 WSP DUMP VALVES</t>
  </si>
  <si>
    <t>JT, SA</t>
  </si>
  <si>
    <t>JHOPL-WI-19-163</t>
  </si>
  <si>
    <t>DM CAR REMOVE/REFIT WHISTLE - TYPE 3C (ENHANCED)</t>
  </si>
  <si>
    <t>REPLACE WHISTLE (TYPE 3C)</t>
  </si>
  <si>
    <t>AL RB</t>
  </si>
  <si>
    <t>JHOPL-WI-19-118</t>
  </si>
  <si>
    <t>DM CAR REMOVE/REFIT 5/3 WHISTLE SPOOL VALVE DM</t>
  </si>
  <si>
    <t>REPLACE 5/3 WHISTLE SPOOL VALVE</t>
  </si>
  <si>
    <t>JN</t>
  </si>
  <si>
    <t>JHOPL-WI-19-083</t>
  </si>
  <si>
    <t>DM CAR REMOVE/REFIT WHISTLE CONTROL LEVER VALVE (DM DRIVER'S SIDE)</t>
  </si>
  <si>
    <t>REPLACE WHISTLE CONTROL LEVER VALVE (DRIVER SIDE)</t>
  </si>
  <si>
    <t>JN, PS</t>
  </si>
  <si>
    <t>JHOPL-WI-19-084</t>
  </si>
  <si>
    <t>DM CAR REMOVE/REFIT WHISTLE-OPERATED PRESSURE SWITCH DM</t>
  </si>
  <si>
    <t>REPLACE WHISTLE  OPERATED PRESSURE SWITCH</t>
  </si>
  <si>
    <t>JHOPL-WI-19-164</t>
  </si>
  <si>
    <t>DM CAR REMOVE/REFIT TRACTION SUPPLY PRESSURE REGULATOR</t>
  </si>
  <si>
    <t>REPLACE TRACTION SUPPLY PRESSURE REGULATOR</t>
  </si>
  <si>
    <t>NA</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</si>
  <si>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</si>
  <si>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</si>
  <si>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</si>
  <si>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</si>
  <si>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</si>
  <si>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</si>
  <si>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VN</t>
  </si>
  <si>
    <t>JHOPL-WI-19-172</t>
  </si>
  <si>
    <t>DM CAR REMOVE/REFIT COUPLING-TEST POINT-QUICK RELEASE</t>
  </si>
  <si>
    <t>IROC - 3 COUPLING-TEST POINT-QUICK RELEASE</t>
  </si>
  <si>
    <t>GD</t>
  </si>
  <si>
    <t>JHOPL-WI-19-094</t>
  </si>
  <si>
    <t>DM CAR REMOVE/REFIT MAINLINE CAB GAUGE</t>
  </si>
  <si>
    <t>IROC - MAINLINE CAB GAUGE</t>
  </si>
  <si>
    <t>JD</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</si>
  <si>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</si>
  <si>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</si>
  <si>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</si>
  <si>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</si>
  <si>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</si>
  <si>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</si>
  <si>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DK, ARS</t>
  </si>
  <si>
    <t>JHOPL-WI-19-117</t>
  </si>
  <si>
    <t>DM CAR REMOVE/REFIT BSR CHECK VALVE (SUPPLIED WITH O-RINGS)</t>
  </si>
  <si>
    <t>REPLACE BSR CHECK VALVE</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</si>
  <si>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</si>
  <si>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</si>
  <si>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</si>
  <si>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</si>
  <si>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</si>
  <si>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</si>
  <si>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AOO</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</si>
  <si>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</si>
  <si>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</si>
  <si>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</si>
  <si>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</si>
  <si>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</si>
  <si>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</si>
  <si>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</si>
  <si>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</si>
  <si>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</si>
  <si>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IROC 1/2 VENTED BALL VALVE - INTERNAL</t>
  </si>
  <si>
    <t>DM CAR REMOVE/REFIT ½" VENTED BALL VALVE (FLANGE MOUNTED)</t>
  </si>
  <si>
    <t>REPLACE 6 FLANGE MOUNTED VENTED BALL VALVES</t>
  </si>
  <si>
    <t>CM</t>
  </si>
  <si>
    <t>JHOPL-WI-19-103</t>
  </si>
  <si>
    <t>DM CAR REMOVE/REFIT AIR FLOW CUT-OFF VALVE BOGIE A</t>
  </si>
  <si>
    <t>REPLACE AIR FLOW CUT-OFF VALVE BOGIE A</t>
  </si>
  <si>
    <t>CC</t>
  </si>
  <si>
    <t>JHOPL-WI-19-106</t>
  </si>
  <si>
    <t>DM CAR REMOVE/REFIT SLEET BRUSH CONTROL VALVE</t>
  </si>
  <si>
    <t>REPLACE SLEET BRUSH CONTROL VALVE</t>
  </si>
  <si>
    <t>JHOPL-WI-19-107</t>
  </si>
  <si>
    <t>DM CAR REMOVE/REFIT AIR FLOW CUT-OFF VALVE BOGIE D</t>
  </si>
  <si>
    <t>REPLACE AIR FLOW CUT-OFF VALVE BOGIE D</t>
  </si>
  <si>
    <t>DM CAR REMOVE/REFIT CURRENT BALANCE DETECTOR RELAY (CBR)</t>
  </si>
  <si>
    <t>REPLACE - CURRENT BALANCE DETECTOR RELAY</t>
  </si>
  <si>
    <t>JJ</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</si>
  <si>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</si>
  <si>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</si>
  <si>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</si>
  <si>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</si>
  <si>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</si>
  <si>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</si>
  <si>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</si>
  <si>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</si>
  <si>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JL</t>
  </si>
  <si>
    <t>DM CAR REMOVE/REFIT 5/3 WHISTLE CONTROL LEVER VALVE DM NON DRIVER'S SIDE</t>
  </si>
  <si>
    <t>REPLACE WHISTLE CONTROL LEVER VALVE</t>
  </si>
  <si>
    <t>DM CAR REMOVE/REFIT AUTOCOUPLER, DRAWGEAR, RADIAL SUPPORT BAR, LEFT AND RIGHT HAND CONTACT BOXES</t>
  </si>
  <si>
    <t>REPLACE AUTOCOUPLER AND DRAWGEAR</t>
  </si>
  <si>
    <t>Removed - AS,HI
Fitted - SA, LVN, NP</t>
  </si>
  <si>
    <t>JHOPL-WI-15-037
JHOPL-WI-16-046</t>
  </si>
  <si>
    <t>WILLIAM COOK</t>
  </si>
  <si>
    <t>00:06:00</t>
  </si>
  <si>
    <t>DM CAR REMOVE/REFIT SEMI PERMANENT COUPLER BAR AND DRAWGEAR INTERMEDIATE D</t>
  </si>
  <si>
    <t>REPLACE SEMI PERMANENT COUPLER &amp; DRAWGEAR INTERMEDIATE D</t>
  </si>
  <si>
    <t>NO</t>
  </si>
  <si>
    <t>KA,SA(removed) JD, GD, RB(replaced)</t>
  </si>
  <si>
    <t>JHOPL-WI-15-039</t>
  </si>
  <si>
    <t>DM CAR REMOVE/REFIT ANTI-CLIMB BUFFER ASSEMBLY</t>
  </si>
  <si>
    <t>REPLACE ANTI-CLIMB BUFFER ASSEMBLY</t>
  </si>
  <si>
    <t>GT GD AL SA AS AS MAA MD HI</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</si>
  <si>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</si>
  <si>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</si>
  <si>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</si>
  <si>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</si>
  <si>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</si>
  <si>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</si>
  <si>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</si>
  <si>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</si>
  <si>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</si>
  <si>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</si>
  <si>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RB, AOO</t>
  </si>
  <si>
    <t>JHOPL-WI-18-159</t>
  </si>
  <si>
    <t>LH GROUP</t>
  </si>
  <si>
    <t>DM CAB REMOVE/REFIT CAB REFRIGERATION UNIT (CHILLER MODULE)</t>
  </si>
  <si>
    <t>REPLACE CAB REFRIGERATION UNIT</t>
  </si>
  <si>
    <t>AS,AS,BV/EC,LVN</t>
  </si>
  <si>
    <t>JHOPL-WI-18-077</t>
  </si>
  <si>
    <t>DM CAB REMOVE/REFIT CAB AIR HANDLING UNIT (AHU)</t>
  </si>
  <si>
    <t>REPLACE CAB AHU</t>
  </si>
  <si>
    <t>RB, DH</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</si>
  <si>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</si>
  <si>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</si>
  <si>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</si>
  <si>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</si>
  <si>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</si>
  <si>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</si>
  <si>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</si>
  <si>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</si>
  <si>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</si>
  <si>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</si>
  <si>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</si>
  <si>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</si>
  <si>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</si>
  <si>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</si>
  <si>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</si>
  <si>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</si>
  <si>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</si>
  <si>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</si>
  <si>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</si>
  <si>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</si>
  <si>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</si>
  <si>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</si>
  <si>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</si>
  <si>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</si>
  <si>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</si>
  <si>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</si>
  <si>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</si>
  <si>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LN RN NA, BP JL</t>
  </si>
  <si>
    <t>JHOPL-WI-17-158</t>
  </si>
  <si>
    <t>R. BAKER</t>
  </si>
  <si>
    <t>DM - CAR REMOVE/REFIT FILTER VOLTAGE MONITORING DEVICES VMD1, FVMD2, FVMD1, ALVMD.</t>
  </si>
  <si>
    <t xml:space="preserve">REPLACE FILTER VOLTAGE MONITORING DEVICE FVMD1, FVMD 2, VMD1. ALVMD, </t>
  </si>
  <si>
    <t>JHOPL-WI-11-016</t>
  </si>
  <si>
    <t>DM - CAR REMOVE/REFIT CAPACITOR PANEL ASSEMBLY</t>
  </si>
  <si>
    <t>REPLACE -  DM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</si>
  <si>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</si>
  <si>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</si>
  <si>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</si>
  <si>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</si>
  <si>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</si>
  <si>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</si>
  <si>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KM</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</si>
  <si>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</si>
  <si>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</si>
  <si>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</si>
  <si>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</si>
  <si>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</si>
  <si>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</si>
  <si>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</si>
  <si>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</si>
  <si>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</si>
  <si>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</si>
  <si>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</si>
  <si>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</si>
  <si>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</si>
  <si>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</si>
  <si>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</si>
  <si>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</si>
  <si>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</si>
  <si>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</si>
  <si>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</si>
  <si>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</si>
  <si>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</si>
  <si>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</si>
  <si>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</si>
  <si>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</si>
  <si>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</si>
  <si>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</si>
  <si>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</si>
  <si>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</si>
  <si>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JHOPL - TBC</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</si>
  <si>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</si>
  <si>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</si>
  <si>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</si>
  <si>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</si>
  <si>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</si>
  <si>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</si>
  <si>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</si>
  <si>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</si>
  <si>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</si>
  <si>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</si>
  <si>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</si>
  <si>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</si>
  <si>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</si>
  <si>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</si>
  <si>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</si>
  <si>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</si>
  <si>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</si>
  <si>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</si>
  <si>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</si>
  <si>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</si>
  <si>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</si>
  <si>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JHOPL - REW</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</si>
  <si>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</si>
  <si>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</si>
  <si>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</si>
  <si>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</si>
  <si>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</si>
  <si>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</si>
  <si>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</si>
  <si>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ABB</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</si>
  <si>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</si>
  <si>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</si>
  <si>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</si>
  <si>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</si>
  <si>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JHOPL - Norgren</t>
  </si>
  <si>
    <t>Unit No: 96254</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</si>
  <si>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</si>
  <si>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</si>
  <si>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</si>
  <si>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</si>
  <si>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</si>
  <si>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</si>
  <si>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</si>
  <si>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</si>
  <si>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</si>
  <si>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</si>
  <si>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</si>
  <si>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</si>
  <si>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</si>
  <si>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TRAILER CAR REMOVE BOGIE D</t>
  </si>
  <si>
    <t>REMOVE BOGIE D (TYPE E)</t>
  </si>
  <si>
    <t>TRAILER CAR REFIT BOGIE D</t>
  </si>
  <si>
    <t>REFIT BOGIE D (TYPE E)</t>
  </si>
  <si>
    <t>White Team</t>
  </si>
  <si>
    <t>TRAILER CAR REMOVE/REFIT WSP CONTROL UNIT</t>
  </si>
  <si>
    <t>REPLACE WSP CONTROL UNIT</t>
  </si>
  <si>
    <t>JJT, SC, CB, AO,DH</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</si>
  <si>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</si>
  <si>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</si>
  <si>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</si>
  <si>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</si>
  <si>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</si>
  <si>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</si>
  <si>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</si>
  <si>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</si>
  <si>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</si>
  <si>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TRAILER CAR REMOVE/REFIT BRAKE CYLINDER PRESSURE SWITCH 2 (FOR TR CARS)</t>
  </si>
  <si>
    <t>TRAILER CAR REMOVE/REFIT ½" VENTED BALL VALVE (VLCV / SYSTEM DRAIN / AUTO DRAIN / WHISTLE)</t>
  </si>
  <si>
    <t>JHOPL-WI-19-104</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</si>
  <si>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</si>
  <si>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</si>
  <si>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</si>
  <si>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</si>
  <si>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</si>
  <si>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</si>
  <si>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IROC 3/4" VENTED BALL VALVE</t>
  </si>
  <si>
    <t>JHOPL-WI-19-081</t>
  </si>
  <si>
    <t>TRAILER CAR REMOVE/REFIT WSP DUMP VALVE - TRAILER</t>
  </si>
  <si>
    <t>SA, JT</t>
  </si>
  <si>
    <t>TRAILER CAR REMOVE/REFIT DOOR AIR SUPPLY PRESSURE REGULATOR (SUPPLIED WITH O-RINGS)</t>
  </si>
  <si>
    <t>TRAILER CAR REMOVE/REFIT COMPRESSOR DELIVERY HOSE</t>
  </si>
  <si>
    <t>REPLACE COMPRESSOR DELIVERY HOSE</t>
  </si>
  <si>
    <t>TL</t>
  </si>
  <si>
    <t>JHOPL-WI-19-091</t>
  </si>
  <si>
    <t>TRAILER CAR REMOVE/REFIT 1/2" SILENCER (EXHAUST)</t>
  </si>
  <si>
    <t>IROC 1/2" SILENCER</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</si>
  <si>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</si>
  <si>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</si>
  <si>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</si>
  <si>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</si>
  <si>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</si>
  <si>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</si>
  <si>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</si>
  <si>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</si>
  <si>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</si>
  <si>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</si>
  <si>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</si>
  <si>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</si>
  <si>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</si>
  <si>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</si>
  <si>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</si>
  <si>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</si>
  <si>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</si>
  <si>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</si>
  <si>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</si>
  <si>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</si>
  <si>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</si>
  <si>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</si>
  <si>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</si>
  <si>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</si>
  <si>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</si>
  <si>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</si>
  <si>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</si>
  <si>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JHOPL-WI-21-111</t>
  </si>
  <si>
    <t>TRAILER CAR REMOVE/REFIT ANTI-CLIMB BUFFER ASSEMBLY INTERMEDIATE A END</t>
  </si>
  <si>
    <t>REPLACE ANTI-CLIMB BUFFER ASSEMBLY INTERMEDIATE A END</t>
  </si>
  <si>
    <t>GT GD SA AS AS MAA MD HI</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</si>
  <si>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</si>
  <si>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t>REPLACE DRAWGEAR INTERMEDIATE A END WITH COUPLER BAR</t>
  </si>
  <si>
    <t>KA,SA.(removed) JD, GD, RB(replaced)</t>
  </si>
  <si>
    <t>TRAILER CAR REMOVE/REFIT ANTI-CLIMB BUFFER ASSEMBLY INTERMEDIATE D END</t>
  </si>
  <si>
    <t>REPLACE ANTI-CLIMB BUFFER ASSEMBLY INTERMEDIATE D END</t>
  </si>
  <si>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</si>
  <si>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t>REPLACE DRAWGEARINTERMEDIATE D END &amp; COUPLER BAR</t>
  </si>
  <si>
    <t>MD,MAA(removed) PS,MJ (REPLACED)</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</si>
  <si>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</si>
  <si>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</si>
  <si>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</si>
  <si>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</si>
  <si>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</si>
  <si>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</si>
  <si>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</si>
  <si>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</si>
  <si>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</si>
  <si>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</si>
  <si>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</si>
  <si>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JHOPL-WI-19-101</t>
  </si>
  <si>
    <t>TRAILER CAR REMOVE/REFIT ½" VENTED BALL VALVE (MAIN RESERVOIR MANUAL DRAIN VALVE)</t>
  </si>
  <si>
    <t>IROC 2 1/2" VENTED BALL VALVE (MAIN RESERVOIR MANUAL DRAIN VALVE)</t>
  </si>
  <si>
    <t>AS</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</si>
  <si>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</si>
  <si>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</si>
  <si>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</si>
  <si>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</si>
  <si>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</si>
  <si>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</si>
  <si>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</si>
  <si>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</si>
  <si>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</si>
  <si>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</si>
  <si>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</si>
  <si>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</si>
  <si>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</si>
  <si>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</si>
  <si>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</si>
  <si>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</si>
  <si>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</si>
  <si>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</si>
  <si>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</si>
  <si>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Catch Back</t>
  </si>
  <si>
    <t xml:space="preserve">TRAILER - WSP SPEED PROBE ASSEMBLY REPLACEMEND FOR NEW MODIFIED DESIGN BRACKET. </t>
  </si>
  <si>
    <t xml:space="preserve">REPLACE 4 X WSP SPEED PROBE BRACKETS. </t>
  </si>
  <si>
    <t>Unit No: 96454</t>
  </si>
  <si>
    <t>UNDM UNDERFRAME REMOVE/REFIT CONTACTOR  SA80</t>
  </si>
  <si>
    <t>REPLACE 1 CONTACTORS</t>
  </si>
  <si>
    <t>Pull Foward</t>
  </si>
  <si>
    <t>UNDM UNDERFRAME REMOVE/REFIT MORS SMITT RELAYS</t>
  </si>
  <si>
    <t>REPLACE 21 MORS SMITT RELAYS</t>
  </si>
  <si>
    <t>UNDM SALOON  REMOVE/REFIT EMERGENCY LIGHT INVERTERS</t>
  </si>
  <si>
    <t>UNDM SALOON REMOVE/REFIT SIEMENS RELAYS</t>
  </si>
  <si>
    <t>JRL</t>
  </si>
  <si>
    <t>UNDM SALOON REMOVE/REFIT MCBS</t>
  </si>
  <si>
    <t>REPLACE 27 MCBS</t>
  </si>
  <si>
    <t>JRL, AO</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</si>
  <si>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</si>
  <si>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</si>
  <si>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</si>
  <si>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</si>
  <si>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</si>
  <si>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</si>
  <si>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</si>
  <si>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</si>
  <si>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</si>
  <si>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</si>
  <si>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</si>
  <si>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</si>
  <si>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</si>
  <si>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</si>
  <si>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</si>
  <si>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</si>
  <si>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UNDM CAR REMOVE/REFIT LINE BREAKER CONTACTOR 1 AND 3</t>
  </si>
  <si>
    <t>JJT, SC, CB,DH,AO</t>
  </si>
  <si>
    <t>UNDM CAR REMOVE/REFIT LINE BREAKER CONTACTOR 2 AND 4</t>
  </si>
  <si>
    <t>UNDM CAR REMOVE/REFIT FILTER HARD CROWBAR THYRISTOR ASSEMBLY</t>
  </si>
  <si>
    <t>JJT, SC, CB, JL</t>
  </si>
  <si>
    <t>UNDM CAR REMOVE/REFIT POWER SUPPLY UNIT</t>
  </si>
  <si>
    <t>JJT, SC, CB, DH,AO</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</si>
  <si>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</si>
  <si>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</si>
  <si>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</si>
  <si>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</si>
  <si>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</si>
  <si>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</si>
  <si>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</si>
  <si>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</si>
  <si>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</si>
  <si>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</si>
  <si>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JHOPL-WI-11-134</t>
  </si>
  <si>
    <t>UNDM CAR REMOVE/REFIT PROPULSION INVERTER MODULE</t>
  </si>
  <si>
    <t>JJT, SC, CB, JL NA VN</t>
  </si>
  <si>
    <t>JHOPL-WI-11-009</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</si>
  <si>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</si>
  <si>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</si>
  <si>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</si>
  <si>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</si>
  <si>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</si>
  <si>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</si>
  <si>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</si>
  <si>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</si>
  <si>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</si>
  <si>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</si>
  <si>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</si>
  <si>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</si>
  <si>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</si>
  <si>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</si>
  <si>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</si>
  <si>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</si>
  <si>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JHOPL-WI-19-085</t>
  </si>
  <si>
    <t>UNDM CAR REMOVE/REFIT WHISTLE - TYPE 3C (ENHANCED)</t>
  </si>
  <si>
    <t>REPLACE WHISTLE</t>
  </si>
  <si>
    <t>UNDM CAR REMOVE/REFIT WHISTLE CONTROL VALVE &amp; BUTTON ASSY UNDM</t>
  </si>
  <si>
    <t>LNN</t>
  </si>
  <si>
    <t>UNDM CAR REMOVE/REFIT TRACTION SUPPLY PRESSURE REGULATOR</t>
  </si>
  <si>
    <t>REPLACE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</si>
  <si>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</si>
  <si>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</si>
  <si>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</si>
  <si>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</si>
  <si>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</si>
  <si>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</si>
  <si>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</si>
  <si>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</si>
  <si>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</si>
  <si>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</si>
  <si>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</si>
  <si>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IROC 1/2" VENTED BALL VALVE - INTERNAL</t>
  </si>
  <si>
    <t>UNDM CAR REMOVE/REFIT ½" VENTED BALL VALVE (FLANGE MOUNTED)</t>
  </si>
  <si>
    <t>REPLACE 5 FLANGE MOUNTED VENTED BALL VALVES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</si>
  <si>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</si>
  <si>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</si>
  <si>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</si>
  <si>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</si>
  <si>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</si>
  <si>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</si>
  <si>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</si>
  <si>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LN NA</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</si>
  <si>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</si>
  <si>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</si>
  <si>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</si>
  <si>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</si>
  <si>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</si>
  <si>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</si>
  <si>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</si>
  <si>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Removed - KA,SA
Fitted - SA, LVN, NP</t>
  </si>
  <si>
    <t>UNDM CAR REMOVE/REFIT SEMI PERMANENT COUPLER BAR &amp; DRAWGEAR INTERMEDIATE A</t>
  </si>
  <si>
    <t>REPLACE INTERMEDIATE A DRAWGEAR AND SEMI PERMANENT COUPLER BAR</t>
  </si>
  <si>
    <t>Removed - MD,MAA
Fitted - PS, MJ</t>
  </si>
  <si>
    <t>JHOPL-WI-16-045</t>
  </si>
  <si>
    <t>UNDM CAR REMOVE/REFIT ANTI-CLIMB BUFFER ASSEMBLY UNDM</t>
  </si>
  <si>
    <t>GT GD SA AS AS MAA MD Hi</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</si>
  <si>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</si>
  <si>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</si>
  <si>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</si>
  <si>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</si>
  <si>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</si>
  <si>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</si>
  <si>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</si>
  <si>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</si>
  <si>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</si>
  <si>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</si>
  <si>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REPLACE -  UNDM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</si>
  <si>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</si>
  <si>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</si>
  <si>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</si>
  <si>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</si>
  <si>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</si>
  <si>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</si>
  <si>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</si>
  <si>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</si>
  <si>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</si>
  <si>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</si>
  <si>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</si>
  <si>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</si>
  <si>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</si>
  <si>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</si>
  <si>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</si>
  <si>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</si>
  <si>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</si>
  <si>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</si>
  <si>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</si>
  <si>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</si>
  <si>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96493</t>
  </si>
  <si>
    <t>MK</t>
  </si>
  <si>
    <t>JJT</t>
  </si>
  <si>
    <t>JT</t>
  </si>
  <si>
    <t>PM,PS,AS,JF,GD,MAA,MA</t>
  </si>
  <si>
    <t>LN, JL, NA,VN</t>
  </si>
  <si>
    <t>LN, JL,VN,NA</t>
  </si>
  <si>
    <t>LN, JL,DH,AO</t>
  </si>
  <si>
    <t>PS,AS,PM,JD,GD,MAA,</t>
  </si>
  <si>
    <t>22/02/22024</t>
  </si>
  <si>
    <t>JL,LN, VN,NA</t>
  </si>
  <si>
    <t>20/02/204</t>
  </si>
  <si>
    <t>JL,LN,VN,NA</t>
  </si>
  <si>
    <t>HS</t>
  </si>
  <si>
    <t>JHOPL-WI-19-119</t>
  </si>
  <si>
    <t>IROC 1/2" VENTED BALL VALVE -INTERNAL</t>
  </si>
  <si>
    <t>IROC - CURRENT BALANCE RELAY PANEL</t>
  </si>
  <si>
    <t>BP</t>
  </si>
  <si>
    <t>UNDM CAR REMOVE/REFIT AUTOCOUPLER UNDM RH 4-CAR, DRAWGEAR, RADIAL SUPPORT BAR, CONTACT BOX ASSY L/H &amp; CONTACT BOX ASSY R/H</t>
  </si>
  <si>
    <t>REPLACE AUTOCOUPLER UNDM RH 4-CAR, DRAWGEAR &amp; CONTACT BOX L &amp; R HAND</t>
  </si>
  <si>
    <t>KA,SA (REMOVED), RB AL GT(Refitted)</t>
  </si>
  <si>
    <t>AS,HI(REMOVED) RB GD JD (REPLACED)</t>
  </si>
  <si>
    <t>GT GD, RB AL</t>
  </si>
  <si>
    <t>Unit No: 96693</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</si>
  <si>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</si>
  <si>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</si>
  <si>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</si>
  <si>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</si>
  <si>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</si>
  <si>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</si>
  <si>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</si>
  <si>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</si>
  <si>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PM,AS,PS,GD,MA,MAA</t>
  </si>
  <si>
    <t>SPECIAL TRAILER CAR REMOVE BOGIE D</t>
  </si>
  <si>
    <t>REMOVE BOGIE D (TYPE G)</t>
  </si>
  <si>
    <t>SPECIAL TRAILER CAR REFIT BOGIE D</t>
  </si>
  <si>
    <t>REFIT BOGIE D (TYPE G)</t>
  </si>
  <si>
    <t>SPECIAL TRAILER CAR REMOVE/REFIT WSP CONTROL UNIT</t>
  </si>
  <si>
    <t>LN, JL, AO,DH</t>
  </si>
  <si>
    <t>SPECIAL TRAILER CAR REMOVE/REFIT SERVICE BRAKE DROP HOSE BOGIE A</t>
  </si>
  <si>
    <t>Red Team</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</si>
  <si>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</si>
  <si>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</si>
  <si>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</si>
  <si>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</si>
  <si>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</si>
  <si>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 xml:space="preserve">IROC 1/2" VENTED BALL VALVE </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</si>
  <si>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</si>
  <si>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</si>
  <si>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</si>
  <si>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</si>
  <si>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</si>
  <si>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</si>
  <si>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</si>
  <si>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</si>
  <si>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</si>
  <si>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</si>
  <si>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</si>
  <si>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</si>
  <si>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</si>
  <si>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</si>
  <si>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</si>
  <si>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CP, DB</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</si>
  <si>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</si>
  <si>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</si>
  <si>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</si>
  <si>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</si>
  <si>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</si>
  <si>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</si>
  <si>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t>REPLACE DRAWGEAR INTERMEDIATE D END WITH COUPLER BAR</t>
  </si>
  <si>
    <t>MD,MAA(REMOVED) RB GD JD(REPLACED)</t>
  </si>
  <si>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</si>
  <si>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t>AS,HI(REMOVED) GT AL EC(REPLACED)</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</si>
  <si>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</si>
  <si>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</si>
  <si>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</si>
  <si>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</si>
  <si>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</si>
  <si>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</si>
  <si>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</si>
  <si>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</si>
  <si>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96293</t>
  </si>
  <si>
    <t>White Team, GD,MA,AS</t>
  </si>
  <si>
    <t>White Team, JD,MAA,PM,PS</t>
  </si>
  <si>
    <t>LN,JL, AO,DH</t>
  </si>
  <si>
    <t>TRAILER CAR REMOVE/REFIT BRAKE CYLINDER PRESSURE SWITCH 1 (FOR ALL CARS)</t>
  </si>
  <si>
    <t>TRAILER CAR REMOVE/REFIT ½" VENTED BALL VALVE (VLCV / SYSTEM DRAIN / WHISTLE)</t>
  </si>
  <si>
    <t>PS</t>
  </si>
  <si>
    <t>GT GD AL SA As AS MAA MD HI</t>
  </si>
  <si>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</si>
  <si>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REPLACE DRAWGEAR INTERMEDIATE A END</t>
  </si>
  <si>
    <t>KA,SA(removed) JT, EC, AL(replaced)</t>
  </si>
  <si>
    <t>TRAILER CAR REMOVE/REFIT DRAWGEAR INTERMEDIATE D END &amp; SEMI-PERMANENT COUPLER BAR</t>
  </si>
  <si>
    <t>REPLACE DRAWGEAR INTERMEDIATE D END</t>
  </si>
  <si>
    <t>MD,MAA(REMOVED) GT AL EC(REPLACED)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</si>
  <si>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</si>
  <si>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</si>
  <si>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</si>
  <si>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</si>
  <si>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</si>
  <si>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</si>
  <si>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96093</t>
  </si>
  <si>
    <t>SC</t>
  </si>
  <si>
    <t>MAA,MA,GD,AS,JF,PM</t>
  </si>
  <si>
    <t>PM,AS,GD,JD,PS,MAA,AM</t>
  </si>
  <si>
    <t>LN,JL,AO,DH</t>
  </si>
  <si>
    <t>LN,JL,VN,NA</t>
  </si>
  <si>
    <t>LN,JL, NA,VN</t>
  </si>
  <si>
    <t>PM</t>
  </si>
  <si>
    <t>AO,DH</t>
  </si>
  <si>
    <t>JL, LN, VN,NA</t>
  </si>
  <si>
    <t>JJT, SC, CB, LN, KM, JL</t>
  </si>
  <si>
    <t>AS,PM</t>
  </si>
  <si>
    <t xml:space="preserve">AS </t>
  </si>
  <si>
    <t>OM</t>
  </si>
  <si>
    <t>Training (R,L'Estrange, TG, JS)</t>
  </si>
  <si>
    <t>KA,SA(removed) GT, EC, AL(replaced)</t>
  </si>
  <si>
    <t>MJ, JJ</t>
  </si>
  <si>
    <t>As,AS,BV EC,LVN</t>
  </si>
  <si>
    <t>MJ, DH</t>
  </si>
  <si>
    <t>LN RN NA(REMOVED) BP JL(REPLCED)</t>
  </si>
  <si>
    <t>NA,RN</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</si>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</sst>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b/>
      <sz val="11"/>
      <color rgb="FFFF0000"/>
      <name val="Calibri"/>
      <family val="2"/>
      <scheme val="minor"/>
    </font>
    <font>
      <sz val="12"/>
      <color rgb="FF000000"/>
      <name val="Arial"/>
      <family val="2"/>
    </font>
    <font>
      <sz val="12"/>
      <color rgb="FFFF0000"/>
      <name val="Arial"/>
      <family val="2"/>
    </font>
    <font>
      <b/>
      <sz val="16"/>
      <color rgb="FF000000"/>
      <name val="Arial"/>
      <family val="2"/>
    </font>
  </fonts>
  <fills count="1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
      <patternFill patternType="solid">
        <fgColor rgb="FFF2881E"/>
        <bgColor indexed="64"/>
      </patternFill>
    </fill>
  </fills>
  <borders count="40">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rgb="FF000000"/>
      </top>
      <bottom/>
      <diagonal/>
    </border>
  </borders>
  <cellStyleXfs count="2">
    <xf numFmtId="0" fontId="0" fillId="0" borderId="0"/>
    <xf numFmtId="9" fontId="5" fillId="0" borderId="0" applyFont="0" applyFill="0" applyBorder="0" applyAlignment="0" applyProtection="0"/>
  </cellStyleXfs>
  <cellXfs count="202">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8" fillId="5" borderId="23" xfId="0" applyFont="1" applyFill="1" applyBorder="1" applyAlignment="1">
      <alignment horizontal="center" vertical="center" wrapText="1"/>
    </xf>
    <xf numFmtId="0" fontId="0" fillId="10" borderId="0" xfId="0" applyFill="1" applyAlignment="1">
      <alignment wrapText="1"/>
    </xf>
    <xf numFmtId="0" fontId="1" fillId="10" borderId="24"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10" borderId="25" xfId="0" applyFill="1" applyBorder="1" applyAlignment="1">
      <alignment horizontal="center" vertical="center" wrapText="1"/>
    </xf>
    <xf numFmtId="14" fontId="0" fillId="10" borderId="25" xfId="0" applyNumberFormat="1" applyFill="1" applyBorder="1" applyAlignment="1">
      <alignment horizontal="center" vertical="center" wrapText="1"/>
    </xf>
    <xf numFmtId="164" fontId="1" fillId="10" borderId="26" xfId="0" applyNumberFormat="1" applyFont="1" applyFill="1" applyBorder="1" applyAlignment="1">
      <alignment horizontal="center" vertical="center"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0" fillId="10" borderId="30" xfId="0" applyFill="1" applyBorder="1" applyAlignment="1">
      <alignment wrapText="1"/>
    </xf>
    <xf numFmtId="14" fontId="1" fillId="10" borderId="25" xfId="0" applyNumberFormat="1" applyFont="1" applyFill="1" applyBorder="1" applyAlignment="1">
      <alignment horizontal="center" vertical="center" wrapText="1"/>
    </xf>
    <xf numFmtId="14" fontId="1" fillId="10" borderId="28" xfId="0" applyNumberFormat="1" applyFont="1" applyFill="1" applyBorder="1" applyAlignment="1">
      <alignment horizontal="center" vertical="center"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5" xfId="0" applyFont="1" applyFill="1" applyBorder="1" applyAlignment="1">
      <alignment horizontal="center" vertical="center" wrapText="1"/>
    </xf>
    <xf numFmtId="14" fontId="14" fillId="10" borderId="25" xfId="0" applyNumberFormat="1" applyFont="1" applyFill="1" applyBorder="1" applyAlignment="1">
      <alignment horizontal="center" vertical="center" wrapText="1"/>
    </xf>
    <xf numFmtId="0" fontId="12" fillId="10" borderId="25" xfId="0" applyFont="1" applyFill="1" applyBorder="1" applyAlignment="1">
      <alignment horizontal="center" vertical="center" wrapText="1"/>
    </xf>
    <xf numFmtId="0" fontId="14" fillId="10" borderId="32" xfId="0" applyFont="1" applyFill="1" applyBorder="1" applyAlignment="1">
      <alignment horizontal="center" vertical="center" wrapText="1"/>
    </xf>
    <xf numFmtId="14" fontId="14" fillId="10" borderId="32" xfId="0" applyNumberFormat="1" applyFont="1" applyFill="1" applyBorder="1" applyAlignment="1">
      <alignment horizontal="center" vertical="center" wrapText="1"/>
    </xf>
    <xf numFmtId="0" fontId="0" fillId="10" borderId="32" xfId="0" applyFill="1" applyBorder="1" applyAlignment="1">
      <alignment horizontal="center" vertical="center" wrapText="1"/>
    </xf>
    <xf numFmtId="0" fontId="1" fillId="10" borderId="32" xfId="0" applyFont="1" applyFill="1" applyBorder="1" applyAlignment="1">
      <alignment horizontal="center" vertical="center" wrapText="1"/>
    </xf>
    <xf numFmtId="164" fontId="1" fillId="10" borderId="33" xfId="0" applyNumberFormat="1" applyFont="1" applyFill="1" applyBorder="1" applyAlignment="1">
      <alignment horizontal="center" vertical="center" wrapText="1"/>
    </xf>
    <xf numFmtId="164" fontId="2" fillId="10" borderId="26"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0" fontId="0" fillId="10" borderId="13" xfId="0" applyFill="1" applyBorder="1" applyAlignment="1">
      <alignment wrapText="1"/>
    </xf>
    <xf numFmtId="0" fontId="0" fillId="10" borderId="19" xfId="0" applyFill="1" applyBorder="1" applyAlignment="1">
      <alignment wrapText="1"/>
    </xf>
    <xf numFmtId="0" fontId="8" fillId="5" borderId="10" xfId="0" applyFont="1" applyFill="1" applyBorder="1" applyAlignment="1">
      <alignment horizontal="center" vertical="center" wrapText="1"/>
    </xf>
    <xf numFmtId="0" fontId="8" fillId="5" borderId="13" xfId="0" applyFont="1" applyFill="1" applyBorder="1" applyAlignment="1">
      <alignment horizontal="center" vertical="center" wrapText="1"/>
    </xf>
    <xf numFmtId="0" fontId="8" fillId="5" borderId="37" xfId="0" applyFont="1" applyFill="1" applyBorder="1" applyAlignment="1">
      <alignment horizontal="center" vertical="center" wrapText="1"/>
    </xf>
    <xf numFmtId="0" fontId="8" fillId="5" borderId="38" xfId="0" applyFont="1" applyFill="1" applyBorder="1" applyAlignment="1">
      <alignment horizontal="center" vertical="center" textRotation="90" wrapText="1"/>
    </xf>
    <xf numFmtId="0" fontId="8" fillId="5" borderId="23" xfId="0" applyFont="1" applyFill="1" applyBorder="1" applyAlignment="1">
      <alignment horizontal="center" vertical="center" textRotation="90" wrapText="1"/>
    </xf>
    <xf numFmtId="0" fontId="1" fillId="10" borderId="31" xfId="0" applyFont="1" applyFill="1" applyBorder="1" applyAlignment="1">
      <alignment horizontal="center" vertical="center" wrapText="1"/>
    </xf>
    <xf numFmtId="14" fontId="1" fillId="10" borderId="32" xfId="0" applyNumberFormat="1"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0" fillId="10" borderId="28" xfId="0"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Fill="1" applyAlignment="1">
      <alignment wrapText="1"/>
    </xf>
    <xf numFmtId="0" fontId="1" fillId="0" borderId="31" xfId="0" applyFont="1" applyFill="1" applyBorder="1" applyAlignment="1">
      <alignment horizontal="center" vertical="center" wrapText="1"/>
    </xf>
    <xf numFmtId="0" fontId="1" fillId="0" borderId="32" xfId="0" applyFont="1" applyFill="1" applyBorder="1" applyAlignment="1">
      <alignment horizontal="center" vertical="center" wrapText="1"/>
    </xf>
    <xf numFmtId="0" fontId="14" fillId="0" borderId="32" xfId="0" applyFont="1" applyFill="1" applyBorder="1" applyAlignment="1">
      <alignment horizontal="center" vertical="center" wrapText="1"/>
    </xf>
    <xf numFmtId="14" fontId="14" fillId="0" borderId="32" xfId="0" applyNumberFormat="1" applyFont="1" applyFill="1" applyBorder="1" applyAlignment="1">
      <alignment horizontal="center" vertical="center" wrapText="1"/>
    </xf>
    <xf numFmtId="0" fontId="0" fillId="0" borderId="32" xfId="0" applyFill="1" applyBorder="1" applyAlignment="1">
      <alignment horizontal="center" vertical="center" wrapText="1"/>
    </xf>
    <xf numFmtId="164" fontId="1" fillId="0" borderId="33" xfId="0" applyNumberFormat="1" applyFont="1" applyFill="1" applyBorder="1" applyAlignment="1">
      <alignment horizontal="center" vertical="center" wrapText="1"/>
    </xf>
    <xf numFmtId="0" fontId="1" fillId="0" borderId="24" xfId="0" applyFont="1" applyFill="1" applyBorder="1" applyAlignment="1">
      <alignment horizontal="center" vertical="center" wrapText="1"/>
    </xf>
    <xf numFmtId="0" fontId="1" fillId="0" borderId="25" xfId="0" applyFont="1" applyFill="1" applyBorder="1" applyAlignment="1">
      <alignment horizontal="center" vertical="center" wrapText="1"/>
    </xf>
    <xf numFmtId="0" fontId="14" fillId="0" borderId="25" xfId="0" applyFont="1" applyFill="1" applyBorder="1" applyAlignment="1">
      <alignment horizontal="center" vertical="center" wrapText="1"/>
    </xf>
    <xf numFmtId="14" fontId="14" fillId="0" borderId="25" xfId="0" applyNumberFormat="1" applyFont="1" applyFill="1" applyBorder="1" applyAlignment="1">
      <alignment horizontal="center" vertical="center" wrapText="1"/>
    </xf>
    <xf numFmtId="0" fontId="0" fillId="0" borderId="25" xfId="0" applyFill="1" applyBorder="1" applyAlignment="1">
      <alignment horizontal="center" vertical="center" wrapText="1"/>
    </xf>
    <xf numFmtId="164" fontId="1" fillId="0" borderId="26" xfId="0" applyNumberFormat="1" applyFont="1" applyFill="1" applyBorder="1" applyAlignment="1">
      <alignment horizontal="center" vertical="center" wrapText="1"/>
    </xf>
    <xf numFmtId="0" fontId="0" fillId="0" borderId="11" xfId="0" applyFill="1" applyBorder="1" applyAlignment="1">
      <alignment wrapText="1"/>
    </xf>
    <xf numFmtId="0" fontId="0" fillId="0" borderId="12" xfId="0" applyFill="1" applyBorder="1" applyAlignment="1">
      <alignment wrapText="1"/>
    </xf>
    <xf numFmtId="14" fontId="0" fillId="0" borderId="25" xfId="0" applyNumberFormat="1" applyFill="1" applyBorder="1" applyAlignment="1">
      <alignment horizontal="center" vertical="center" wrapText="1"/>
    </xf>
    <xf numFmtId="0" fontId="1" fillId="0" borderId="27" xfId="0" applyFont="1" applyFill="1" applyBorder="1" applyAlignment="1">
      <alignment horizontal="center" vertical="center" wrapText="1"/>
    </xf>
    <xf numFmtId="0" fontId="1" fillId="0" borderId="28" xfId="0" applyFont="1" applyFill="1" applyBorder="1" applyAlignment="1">
      <alignment horizontal="center" vertical="center" wrapText="1"/>
    </xf>
    <xf numFmtId="0" fontId="14" fillId="0" borderId="28" xfId="0" applyFont="1" applyFill="1" applyBorder="1" applyAlignment="1">
      <alignment horizontal="center" vertical="center" wrapText="1"/>
    </xf>
    <xf numFmtId="14" fontId="14" fillId="0" borderId="28" xfId="0" applyNumberFormat="1" applyFont="1" applyFill="1" applyBorder="1" applyAlignment="1">
      <alignment horizontal="center" vertical="center" wrapText="1"/>
    </xf>
    <xf numFmtId="0" fontId="0" fillId="0" borderId="28" xfId="0" applyFill="1" applyBorder="1" applyAlignment="1">
      <alignment horizontal="center" vertical="center" wrapText="1"/>
    </xf>
    <xf numFmtId="164" fontId="1" fillId="0" borderId="29" xfId="0" applyNumberFormat="1" applyFont="1" applyFill="1" applyBorder="1" applyAlignment="1">
      <alignment horizontal="center" vertical="center" wrapText="1"/>
    </xf>
    <xf numFmtId="0" fontId="0" fillId="0" borderId="25" xfId="0" applyFill="1" applyBorder="1" applyAlignment="1">
      <alignment horizontal="center" vertical="center"/>
    </xf>
    <xf numFmtId="14" fontId="0" fillId="0" borderId="25" xfId="0" applyNumberFormat="1" applyFill="1" applyBorder="1" applyAlignment="1">
      <alignment horizontal="center" vertical="center"/>
    </xf>
    <xf numFmtId="14" fontId="1" fillId="0" borderId="25" xfId="0" applyNumberFormat="1" applyFont="1" applyFill="1" applyBorder="1" applyAlignment="1">
      <alignment horizontal="center" vertical="center" wrapText="1"/>
    </xf>
    <xf numFmtId="0" fontId="0" fillId="0" borderId="6" xfId="0" applyFill="1" applyBorder="1" applyAlignment="1">
      <alignment wrapText="1"/>
    </xf>
    <xf numFmtId="0" fontId="0" fillId="0" borderId="2" xfId="0" applyFill="1" applyBorder="1" applyAlignment="1">
      <alignment wrapText="1"/>
    </xf>
    <xf numFmtId="0" fontId="0" fillId="0" borderId="34" xfId="0" applyFill="1" applyBorder="1" applyAlignment="1">
      <alignment horizontal="center" vertical="center" wrapText="1"/>
    </xf>
    <xf numFmtId="0" fontId="0" fillId="0" borderId="35" xfId="0" applyFill="1" applyBorder="1" applyAlignment="1">
      <alignment horizontal="center" vertical="center" wrapText="1"/>
    </xf>
    <xf numFmtId="0" fontId="14" fillId="0" borderId="35" xfId="0" applyFont="1" applyFill="1" applyBorder="1" applyAlignment="1">
      <alignment horizontal="center" vertical="center" wrapText="1"/>
    </xf>
    <xf numFmtId="14" fontId="14" fillId="0" borderId="35" xfId="0" applyNumberFormat="1" applyFont="1" applyFill="1" applyBorder="1" applyAlignment="1">
      <alignment horizontal="center" vertical="center" wrapText="1"/>
    </xf>
    <xf numFmtId="0" fontId="1" fillId="0" borderId="35" xfId="0" applyFont="1" applyFill="1" applyBorder="1" applyAlignment="1">
      <alignment horizontal="center" vertical="center" wrapText="1"/>
    </xf>
    <xf numFmtId="164" fontId="1" fillId="0" borderId="36" xfId="0" applyNumberFormat="1" applyFont="1" applyFill="1" applyBorder="1" applyAlignment="1">
      <alignment wrapText="1"/>
    </xf>
    <xf numFmtId="0" fontId="0" fillId="0" borderId="0" xfId="0" applyFill="1" applyAlignment="1">
      <alignment horizontal="center" vertical="center" wrapText="1"/>
    </xf>
    <xf numFmtId="14" fontId="0" fillId="0" borderId="0" xfId="0" applyNumberFormat="1" applyFill="1" applyAlignment="1">
      <alignment wrapText="1"/>
    </xf>
    <xf numFmtId="164" fontId="0" fillId="0" borderId="0" xfId="0" applyNumberFormat="1" applyFill="1" applyAlignment="1">
      <alignment wrapText="1"/>
    </xf>
    <xf numFmtId="0" fontId="0" fillId="0" borderId="0" xfId="0" applyFill="1" applyBorder="1" applyAlignment="1">
      <alignment horizontal="center" vertical="center" wrapText="1"/>
    </xf>
    <xf numFmtId="0" fontId="0" fillId="0" borderId="14" xfId="0" applyFill="1" applyBorder="1" applyAlignment="1">
      <alignment wrapText="1"/>
    </xf>
    <xf numFmtId="14" fontId="1" fillId="0" borderId="32" xfId="0" applyNumberFormat="1" applyFont="1" applyFill="1" applyBorder="1" applyAlignment="1">
      <alignment horizontal="center" vertical="center" wrapText="1"/>
    </xf>
    <xf numFmtId="14" fontId="1" fillId="0" borderId="28" xfId="0" applyNumberFormat="1" applyFont="1" applyFill="1" applyBorder="1" applyAlignment="1">
      <alignment horizontal="center" vertical="center" wrapText="1"/>
    </xf>
    <xf numFmtId="0" fontId="0" fillId="0" borderId="30" xfId="0" applyFill="1" applyBorder="1" applyAlignment="1">
      <alignment wrapText="1"/>
    </xf>
    <xf numFmtId="0" fontId="13" fillId="0" borderId="24" xfId="0" applyFont="1" applyFill="1" applyBorder="1" applyAlignment="1">
      <alignment horizontal="center" vertical="center" wrapText="1"/>
    </xf>
    <xf numFmtId="0" fontId="13" fillId="0" borderId="25" xfId="0" applyFont="1" applyFill="1" applyBorder="1" applyAlignment="1">
      <alignment horizontal="center" vertical="center" wrapText="1"/>
    </xf>
    <xf numFmtId="0" fontId="0" fillId="0" borderId="27" xfId="0" applyFill="1" applyBorder="1" applyAlignment="1">
      <alignment horizontal="center" vertical="center" wrapText="1"/>
    </xf>
    <xf numFmtId="0" fontId="0" fillId="0" borderId="28" xfId="0" applyFill="1" applyBorder="1" applyAlignment="1">
      <alignment vertical="center" wrapText="1"/>
    </xf>
    <xf numFmtId="0" fontId="0" fillId="0" borderId="28" xfId="0" applyFill="1" applyBorder="1" applyAlignment="1">
      <alignment wrapText="1"/>
    </xf>
    <xf numFmtId="0" fontId="0" fillId="0" borderId="29" xfId="0" applyFill="1" applyBorder="1" applyAlignment="1">
      <alignment wrapText="1"/>
    </xf>
    <xf numFmtId="0" fontId="0" fillId="0" borderId="0" xfId="0" applyFill="1" applyAlignment="1">
      <alignment vertical="center" wrapText="1"/>
    </xf>
    <xf numFmtId="0" fontId="13" fillId="10" borderId="24" xfId="0" applyFont="1" applyFill="1" applyBorder="1" applyAlignment="1">
      <alignment horizontal="center" vertical="center" wrapText="1"/>
    </xf>
    <xf numFmtId="0" fontId="13" fillId="10" borderId="25" xfId="0" applyFont="1" applyFill="1" applyBorder="1" applyAlignment="1">
      <alignment horizontal="center" vertical="center" wrapText="1"/>
    </xf>
    <xf numFmtId="0" fontId="0" fillId="10" borderId="25" xfId="0" applyFill="1" applyBorder="1" applyAlignment="1">
      <alignment wrapText="1"/>
    </xf>
    <xf numFmtId="0" fontId="0" fillId="10" borderId="26" xfId="0" applyFill="1" applyBorder="1" applyAlignment="1">
      <alignment wrapText="1"/>
    </xf>
    <xf numFmtId="0" fontId="0" fillId="0" borderId="0" xfId="0" applyFill="1" applyBorder="1" applyAlignment="1">
      <alignment vertical="center" wrapText="1"/>
    </xf>
    <xf numFmtId="0" fontId="0" fillId="0" borderId="0" xfId="0" applyFill="1" applyBorder="1" applyAlignment="1">
      <alignment wrapText="1"/>
    </xf>
    <xf numFmtId="0" fontId="1" fillId="0" borderId="21" xfId="0" applyFont="1" applyFill="1" applyBorder="1" applyAlignment="1">
      <alignment horizontal="center" vertical="center" wrapText="1"/>
    </xf>
    <xf numFmtId="0" fontId="0" fillId="0" borderId="13" xfId="0" applyFill="1" applyBorder="1" applyAlignment="1">
      <alignment wrapText="1"/>
    </xf>
    <xf numFmtId="0" fontId="14" fillId="0" borderId="27" xfId="0" applyFont="1" applyFill="1" applyBorder="1" applyAlignment="1">
      <alignment horizontal="center" vertical="center" wrapText="1"/>
    </xf>
    <xf numFmtId="14" fontId="1" fillId="0" borderId="35" xfId="0" applyNumberFormat="1" applyFont="1" applyFill="1" applyBorder="1" applyAlignment="1">
      <alignment horizontal="center" vertical="center" wrapText="1"/>
    </xf>
    <xf numFmtId="164" fontId="1" fillId="0" borderId="36" xfId="0" applyNumberFormat="1" applyFont="1" applyFill="1" applyBorder="1" applyAlignment="1">
      <alignment horizontal="center" vertical="center" wrapText="1"/>
    </xf>
    <xf numFmtId="0" fontId="0" fillId="12" borderId="14" xfId="0" applyFill="1" applyBorder="1" applyAlignment="1">
      <alignment wrapText="1"/>
    </xf>
    <xf numFmtId="0" fontId="1" fillId="12" borderId="31" xfId="0" applyFont="1" applyFill="1" applyBorder="1" applyAlignment="1">
      <alignment horizontal="center" vertical="center" wrapText="1"/>
    </xf>
    <xf numFmtId="0" fontId="1" fillId="12" borderId="32" xfId="0" applyFont="1" applyFill="1" applyBorder="1" applyAlignment="1">
      <alignment horizontal="center" vertical="center" wrapText="1"/>
    </xf>
    <xf numFmtId="14" fontId="1" fillId="12" borderId="32" xfId="0" applyNumberFormat="1" applyFont="1" applyFill="1" applyBorder="1" applyAlignment="1">
      <alignment horizontal="center" vertical="center" wrapText="1"/>
    </xf>
    <xf numFmtId="0" fontId="0" fillId="12" borderId="32" xfId="0" applyFill="1" applyBorder="1" applyAlignment="1">
      <alignment horizontal="center" vertical="center" wrapText="1"/>
    </xf>
    <xf numFmtId="164" fontId="1" fillId="12" borderId="33" xfId="0" applyNumberFormat="1" applyFont="1" applyFill="1" applyBorder="1" applyAlignment="1">
      <alignment horizontal="center" vertical="center" wrapText="1"/>
    </xf>
    <xf numFmtId="0" fontId="1" fillId="0" borderId="21" xfId="0" applyFont="1" applyFill="1" applyBorder="1" applyAlignment="1">
      <alignment wrapText="1"/>
    </xf>
    <xf numFmtId="0" fontId="0" fillId="0" borderId="19" xfId="0" applyFill="1" applyBorder="1" applyAlignment="1">
      <alignment wrapText="1"/>
    </xf>
    <xf numFmtId="0" fontId="0" fillId="0" borderId="39" xfId="0" applyFill="1" applyBorder="1" applyAlignment="1">
      <alignment wrapText="1"/>
    </xf>
    <xf numFmtId="0" fontId="0" fillId="0" borderId="7" xfId="0" applyFill="1" applyBorder="1" applyAlignment="1">
      <alignment wrapText="1"/>
    </xf>
    <xf numFmtId="0" fontId="1" fillId="0" borderId="1" xfId="0" applyFont="1" applyFill="1" applyBorder="1" applyAlignment="1">
      <alignment wrapText="1"/>
    </xf>
    <xf numFmtId="0" fontId="0" fillId="12" borderId="30" xfId="0" applyFill="1" applyBorder="1" applyAlignment="1">
      <alignment wrapText="1"/>
    </xf>
    <xf numFmtId="0" fontId="0" fillId="0" borderId="22" xfId="0" applyFill="1" applyBorder="1" applyAlignment="1">
      <alignment wrapText="1"/>
    </xf>
    <xf numFmtId="0" fontId="13" fillId="0" borderId="27" xfId="0" applyFont="1" applyFill="1" applyBorder="1" applyAlignment="1">
      <alignment horizontal="center" vertical="center" wrapText="1"/>
    </xf>
    <xf numFmtId="0" fontId="13" fillId="0" borderId="28" xfId="0" applyFont="1" applyFill="1" applyBorder="1" applyAlignment="1">
      <alignment horizontal="center" vertical="center" wrapText="1"/>
    </xf>
    <xf numFmtId="0" fontId="13" fillId="10" borderId="27" xfId="0" applyFont="1" applyFill="1" applyBorder="1" applyAlignment="1">
      <alignment horizontal="center" vertical="center" wrapText="1"/>
    </xf>
    <xf numFmtId="0" fontId="13" fillId="10" borderId="28" xfId="0" applyFont="1" applyFill="1" applyBorder="1" applyAlignment="1">
      <alignment horizontal="center" vertical="center" wrapText="1"/>
    </xf>
    <xf numFmtId="14" fontId="0" fillId="10" borderId="28" xfId="0" applyNumberFormat="1" applyFill="1" applyBorder="1" applyAlignment="1">
      <alignment horizontal="center" vertical="center" wrapText="1"/>
    </xf>
    <xf numFmtId="0" fontId="0" fillId="10" borderId="28" xfId="0" applyFill="1" applyBorder="1" applyAlignment="1">
      <alignment wrapText="1"/>
    </xf>
    <xf numFmtId="0" fontId="0" fillId="10" borderId="29" xfId="0" applyFill="1" applyBorder="1" applyAlignment="1">
      <alignment wrapText="1"/>
    </xf>
  </cellXfs>
  <cellStyles count="2">
    <cellStyle name="Normal" xfId="0" builtinId="0"/>
    <cellStyle name="Percent" xfId="1" builtinId="5"/>
  </cellStyles>
  <dxfs count="141">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14</xdr:row>
          <xdr:rowOff>95250</xdr:rowOff>
        </xdr:from>
        <xdr:to>
          <xdr:col>12</xdr:col>
          <xdr:colOff>428625</xdr:colOff>
          <xdr:row>16</xdr:row>
          <xdr:rowOff>285750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98BC0098-B890-4492-A212-596B8EA58681}"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98BC0098-B890-4492-A212-596B8EA58681}" id="{DDFB619F-6495-4BA0-91E3-80CC44D2F0C0}">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zoomScale="90" zoomScaleNormal="90" workbookViewId="0">
      <selection activeCell="P16" sqref="P16"/>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x14ac:dyDescent="0.3">
      <c r="A2" s="30" t="s">
        <v>0</v>
      </c>
      <c r="B2" s="43">
        <v>27</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6"/>
      <c r="B4" s="31" t="s">
        <v>3</v>
      </c>
      <c r="C4" s="40" t="s">
        <v>4</v>
      </c>
      <c r="D4" s="39"/>
      <c r="E4" s="32" t="s">
        <v>5</v>
      </c>
      <c r="F4" s="33" t="s">
        <v>6</v>
      </c>
      <c r="G4" s="34" t="s">
        <v>7</v>
      </c>
      <c r="H4" s="33"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7" t="s">
        <v>9</v>
      </c>
      <c r="B5" s="41">
        <v>96054</v>
      </c>
      <c r="C5" s="42">
        <v>96093</v>
      </c>
      <c r="D5" s="46" t="s">
        <v>10</v>
      </c>
      <c r="E5" s="23" t="s">
        <v>11</v>
      </c>
      <c r="F5" s="48">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7" t="s">
        <v>12</v>
      </c>
      <c r="B6" s="23" cm="1">
        <f t="array" ref="B6">_xlfn.IFS($B$17="No",SUMPRODUCT(B21:D21),$B$17="Yes",SUMPRODUCT(I21:K21))</f>
        <v>184</v>
      </c>
      <c r="C6">
        <f>SUMPRODUCT(E21:H21)</f>
        <v>214</v>
      </c>
      <c r="D6" s="46" t="s">
        <v>13</v>
      </c>
      <c r="E6" s="23" t="s">
        <v>11</v>
      </c>
      <c r="F6" s="27">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5">
        <f t="shared" si="0"/>
        <v>0.95454545454545459</v>
      </c>
      <c r="I6" s="7"/>
      <c r="J6" s="3"/>
      <c r="K6" s="3"/>
      <c r="L6" s="3"/>
      <c r="M6" s="3"/>
      <c r="N6" s="7"/>
      <c r="O6" s="7"/>
      <c r="P6" s="114" t="s">
        <v>14</v>
      </c>
      <c r="Q6" s="115"/>
      <c r="R6" s="116"/>
      <c r="S6" s="7"/>
      <c r="T6" s="7"/>
      <c r="U6" s="7"/>
      <c r="V6" s="7"/>
      <c r="W6" s="7"/>
      <c r="X6" s="7"/>
      <c r="Y6" s="7"/>
      <c r="Z6" s="7"/>
      <c r="AA6" s="7"/>
      <c r="AB6" s="7"/>
      <c r="AC6" s="7"/>
      <c r="AD6" s="7"/>
      <c r="AE6" s="7"/>
      <c r="AF6" s="7"/>
      <c r="AG6" s="7"/>
      <c r="AH6" s="7"/>
      <c r="AI6" s="7"/>
      <c r="AJ6" s="7"/>
      <c r="AK6" s="7"/>
    </row>
    <row r="7" spans="1:37" ht="16.5" thickBot="1" x14ac:dyDescent="0.3">
      <c r="A7" s="37" t="s">
        <v>15</v>
      </c>
      <c r="B7" s="23" cm="1">
        <f t="array" ref="B7">_xlfn.IFS($B$17="No",SUMPRODUCT(B22:D22),$B$17="Yes",SUMPRODUCT(I22:K22))</f>
        <v>0</v>
      </c>
      <c r="C7">
        <f t="shared" ref="C7:C8" si="1">SUMPRODUCT(E22:H22)</f>
        <v>0</v>
      </c>
      <c r="D7" s="46" t="s">
        <v>16</v>
      </c>
      <c r="E7" s="23" t="s">
        <v>11</v>
      </c>
      <c r="F7" s="27">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221</v>
      </c>
      <c r="H7" s="25">
        <f>IFERROR(G7/F7,0)</f>
        <v>0.96506550218340614</v>
      </c>
      <c r="I7" s="7"/>
      <c r="J7" s="3"/>
      <c r="K7" s="3"/>
      <c r="L7" s="3"/>
      <c r="M7" s="3"/>
      <c r="N7" s="7"/>
      <c r="O7" s="7"/>
      <c r="P7" s="117" t="s">
        <v>17</v>
      </c>
      <c r="Q7" s="118"/>
      <c r="R7" s="59" t="s">
        <v>18</v>
      </c>
      <c r="S7" s="7"/>
      <c r="T7" s="7"/>
      <c r="U7" s="7"/>
      <c r="V7" s="7"/>
      <c r="W7" s="7"/>
      <c r="X7" s="7"/>
      <c r="Y7" s="7"/>
      <c r="Z7" s="7"/>
      <c r="AA7" s="7"/>
      <c r="AB7" s="7"/>
      <c r="AC7" s="7"/>
      <c r="AD7" s="7"/>
      <c r="AE7" s="7"/>
      <c r="AF7" s="7"/>
      <c r="AG7" s="7"/>
      <c r="AH7" s="7"/>
      <c r="AI7" s="7"/>
      <c r="AJ7" s="7"/>
      <c r="AK7" s="7"/>
    </row>
    <row r="8" spans="1:37" ht="15.75" x14ac:dyDescent="0.25">
      <c r="A8" s="37" t="s">
        <v>19</v>
      </c>
      <c r="B8" s="23" cm="1">
        <f t="array" ref="B8">_xlfn.IFS($B$17="No",SUMPRODUCT(B23:D23),$B$17="Yes",SUMPRODUCT(I23:K23))</f>
        <v>0</v>
      </c>
      <c r="C8">
        <f t="shared" si="1"/>
        <v>0</v>
      </c>
      <c r="D8" s="46" t="s">
        <v>20</v>
      </c>
      <c r="E8" s="23" t="s">
        <v>21</v>
      </c>
      <c r="F8" s="27">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27">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56</v>
      </c>
      <c r="H8" s="25">
        <f t="shared" ref="H8:H9" si="2">IFERROR(G8/F8,0)</f>
        <v>0.45161290322580644</v>
      </c>
      <c r="I8" s="7"/>
      <c r="J8" s="3"/>
      <c r="K8" s="3"/>
      <c r="L8" s="3"/>
      <c r="M8" s="3"/>
      <c r="N8" s="7"/>
      <c r="O8" s="7"/>
      <c r="P8" s="119" t="s">
        <v>22</v>
      </c>
      <c r="Q8" s="120"/>
      <c r="R8" s="60" t="s">
        <v>11</v>
      </c>
      <c r="S8" s="7"/>
      <c r="T8" s="7"/>
      <c r="U8" s="7"/>
      <c r="V8" s="7"/>
      <c r="W8" s="7"/>
      <c r="X8" s="7"/>
      <c r="Y8" s="7"/>
      <c r="Z8" s="7"/>
      <c r="AA8" s="7"/>
      <c r="AB8" s="7"/>
      <c r="AC8" s="7"/>
      <c r="AD8" s="7"/>
      <c r="AE8" s="7"/>
      <c r="AF8" s="7"/>
      <c r="AG8" s="7"/>
      <c r="AH8" s="7"/>
      <c r="AI8" s="7"/>
      <c r="AJ8" s="7"/>
      <c r="AK8" s="7"/>
    </row>
    <row r="9" spans="1:37" ht="16.5" thickBot="1" x14ac:dyDescent="0.3">
      <c r="A9" s="38" t="s">
        <v>23</v>
      </c>
      <c r="B9" s="24" cm="1">
        <f t="array" ref="B9">_xlfn.IFS($B$17="No",SUMPRODUCT(B24:D24),$B$17="Yes",SUMPRODUCT(I24:K24))</f>
        <v>178</v>
      </c>
      <c r="C9" s="24">
        <f>SUMPRODUCT(E24:H24)</f>
        <v>208</v>
      </c>
      <c r="D9" s="47" t="s">
        <v>24</v>
      </c>
      <c r="E9" s="24" t="s">
        <v>21</v>
      </c>
      <c r="F9" s="28">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121" t="s">
        <v>25</v>
      </c>
      <c r="Q9" s="122"/>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82"/>
      <c r="K15" s="82"/>
      <c r="L15" s="82"/>
      <c r="M15" s="82"/>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82"/>
      <c r="K16" s="82"/>
      <c r="L16" s="82"/>
      <c r="M16" s="82"/>
      <c r="N16" s="7"/>
      <c r="O16" s="7"/>
      <c r="P16" s="7"/>
      <c r="Q16" s="7"/>
      <c r="R16" s="7"/>
      <c r="S16" s="7"/>
      <c r="T16" s="7"/>
      <c r="U16" s="7"/>
      <c r="V16" s="7"/>
      <c r="W16" s="7"/>
      <c r="X16" s="7"/>
      <c r="Y16" s="7"/>
      <c r="Z16" s="7"/>
      <c r="AA16" s="7"/>
      <c r="AB16" s="7"/>
      <c r="AC16" s="7"/>
      <c r="AD16" s="7"/>
      <c r="AE16" s="7"/>
      <c r="AF16" s="7"/>
      <c r="AG16" s="7"/>
      <c r="AH16" s="7"/>
      <c r="AI16" s="7"/>
      <c r="AJ16" s="7"/>
      <c r="AK16" s="7"/>
    </row>
    <row r="17" spans="1:37" ht="31.5" x14ac:dyDescent="0.2">
      <c r="A17" s="35" t="s">
        <v>26</v>
      </c>
      <c r="B17" s="42" t="s">
        <v>21</v>
      </c>
      <c r="C17" s="7"/>
      <c r="D17" s="7"/>
      <c r="E17" s="7"/>
      <c r="F17" s="7"/>
      <c r="G17" s="7"/>
      <c r="H17" s="7"/>
      <c r="I17" s="7"/>
      <c r="J17" s="82"/>
      <c r="K17" s="82"/>
      <c r="L17" s="82"/>
      <c r="M17" s="82"/>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15.75" x14ac:dyDescent="0.2">
      <c r="A19" s="7"/>
      <c r="B19" t="s">
        <v>27</v>
      </c>
      <c r="C19" t="s">
        <v>28</v>
      </c>
      <c r="D19" t="s">
        <v>29</v>
      </c>
      <c r="E19" t="s">
        <v>30</v>
      </c>
      <c r="F19" t="s">
        <v>31</v>
      </c>
      <c r="G19" t="s">
        <v>32</v>
      </c>
      <c r="H19" t="s">
        <v>33</v>
      </c>
      <c r="I19" t="s">
        <v>34</v>
      </c>
      <c r="J19" t="s">
        <v>35</v>
      </c>
      <c r="K19" t="s">
        <v>36</v>
      </c>
      <c r="L19" t="s">
        <v>37</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5"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5"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5"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5"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83</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36</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59</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83</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37</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59</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5" t="s">
        <v>39</v>
      </c>
      <c r="B25" s="49">
        <f>IFERROR(B21-B24,"N/A")</f>
        <v>2</v>
      </c>
      <c r="C25" s="49">
        <f t="shared" ref="C25:L25" si="3">IFERROR(C21-C24,"N/A")</f>
        <v>1</v>
      </c>
      <c r="D25" s="49">
        <f t="shared" si="3"/>
        <v>3</v>
      </c>
      <c r="E25" s="49">
        <f t="shared" si="3"/>
        <v>2</v>
      </c>
      <c r="F25" s="49">
        <f t="shared" si="3"/>
        <v>1</v>
      </c>
      <c r="G25" s="49">
        <f t="shared" si="3"/>
        <v>0</v>
      </c>
      <c r="H25" s="49">
        <f t="shared" si="3"/>
        <v>3</v>
      </c>
      <c r="I25" s="49" t="str">
        <f t="shared" si="3"/>
        <v>N/A</v>
      </c>
      <c r="J25" s="49" t="str">
        <f t="shared" si="3"/>
        <v>N/A</v>
      </c>
      <c r="K25" s="49" t="str">
        <f t="shared" si="3"/>
        <v>N/A</v>
      </c>
      <c r="L25" s="49">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40" priority="11"/>
  </conditionalFormatting>
  <conditionalFormatting sqref="C21 C24">
    <cfRule type="duplicateValues" dxfId="139" priority="10"/>
  </conditionalFormatting>
  <conditionalFormatting sqref="D21 D24">
    <cfRule type="duplicateValues" dxfId="138" priority="9"/>
  </conditionalFormatting>
  <conditionalFormatting sqref="E21 E24">
    <cfRule type="duplicateValues" dxfId="137" priority="8"/>
  </conditionalFormatting>
  <conditionalFormatting sqref="F21 F24">
    <cfRule type="duplicateValues" dxfId="136" priority="7"/>
  </conditionalFormatting>
  <conditionalFormatting sqref="G21 G24">
    <cfRule type="duplicateValues" dxfId="135" priority="6"/>
  </conditionalFormatting>
  <conditionalFormatting sqref="H21 H24">
    <cfRule type="duplicateValues" dxfId="134" priority="5"/>
  </conditionalFormatting>
  <conditionalFormatting sqref="I21 I24">
    <cfRule type="duplicateValues" dxfId="133" priority="4"/>
  </conditionalFormatting>
  <conditionalFormatting sqref="J21 J24">
    <cfRule type="duplicateValues" dxfId="132" priority="3"/>
  </conditionalFormatting>
  <conditionalFormatting sqref="K21 K24">
    <cfRule type="duplicateValues" dxfId="131" priority="2"/>
  </conditionalFormatting>
  <conditionalFormatting sqref="L21 L24">
    <cfRule type="duplicateValues" dxfId="130"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_Format">
                <anchor moveWithCells="1" sizeWithCells="1">
                  <from>
                    <xdr:col>9</xdr:col>
                    <xdr:colOff>114300</xdr:colOff>
                    <xdr:row>14</xdr:row>
                    <xdr:rowOff>95250</xdr:rowOff>
                  </from>
                  <to>
                    <xdr:col>12</xdr:col>
                    <xdr:colOff>428625</xdr:colOff>
                    <xdr:row>16</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8" t="s">
        <v>40</v>
      </c>
      <c r="D1" s="19"/>
      <c r="E1" s="19"/>
      <c r="F1" s="19"/>
      <c r="G1" s="19"/>
      <c r="H1" s="19"/>
    </row>
    <row r="2" spans="1:57" s="6" customFormat="1" ht="84" customHeight="1" thickBot="1" x14ac:dyDescent="0.25">
      <c r="A2" s="50" t="s">
        <v>41</v>
      </c>
      <c r="B2" s="50" t="s">
        <v>42</v>
      </c>
      <c r="C2" s="51" t="s">
        <v>43</v>
      </c>
      <c r="D2" s="52" t="s">
        <v>44</v>
      </c>
      <c r="E2" s="53" t="s">
        <v>23</v>
      </c>
      <c r="F2" s="53" t="s">
        <v>19</v>
      </c>
      <c r="G2" s="54" t="s">
        <v>45</v>
      </c>
      <c r="H2" s="54" t="s">
        <v>46</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80"/>
  <sheetViews>
    <sheetView tabSelected="1" showWhiteSpace="0" topLeftCell="B1" zoomScale="55" zoomScaleNormal="55" workbookViewId="0">
      <pane ySplit="2" topLeftCell="A100" activePane="bottomLeft" state="frozen"/>
      <selection pane="bottomLeft" activeCell="F123" sqref="F123"/>
    </sheetView>
  </sheetViews>
  <sheetFormatPr defaultColWidth="8.88671875" defaultRowHeight="15" x14ac:dyDescent="0.2"/>
  <cols>
    <col min="1" max="1" width="18.109375" style="2" hidden="1" customWidth="1"/>
    <col min="2" max="2" width="7.77734375" style="18" customWidth="1"/>
    <col min="3" max="3" width="60.77734375" style="2" customWidth="1"/>
    <col min="4" max="4" width="38.77734375" style="2" customWidth="1"/>
    <col min="5" max="6" width="13" style="2" bestFit="1" customWidth="1"/>
    <col min="7" max="7" width="38.77734375" style="2" customWidth="1"/>
    <col min="8" max="8" width="14.77734375" style="17" customWidth="1"/>
    <col min="9" max="9" width="10.33203125" style="18" customWidth="1"/>
    <col min="10" max="10" width="10.33203125" style="2" customWidth="1"/>
    <col min="11" max="11" width="15.88671875" style="2" hidden="1" customWidth="1"/>
    <col min="12" max="12" width="23.33203125" style="2" bestFit="1" customWidth="1"/>
    <col min="13" max="13" width="19.6640625" style="2" hidden="1" customWidth="1"/>
    <col min="14" max="14" width="14.6640625" style="2" hidden="1" customWidth="1"/>
    <col min="15" max="15" width="13.88671875" style="65" hidden="1" customWidth="1"/>
    <col min="16" max="16384" width="8.88671875" style="2"/>
  </cols>
  <sheetData>
    <row r="1" spans="1:75" ht="21" customHeight="1" thickBot="1" x14ac:dyDescent="0.3">
      <c r="A1" s="21"/>
      <c r="B1" s="83" t="s">
        <v>47</v>
      </c>
      <c r="C1" s="56" t="s">
        <v>48</v>
      </c>
      <c r="D1" s="5"/>
      <c r="E1" s="5"/>
      <c r="F1" s="5"/>
      <c r="G1" s="5"/>
      <c r="H1" s="63"/>
      <c r="I1" s="19"/>
      <c r="J1" s="5"/>
      <c r="K1" s="5"/>
      <c r="L1" s="5"/>
    </row>
    <row r="2" spans="1:75" s="6" customFormat="1" ht="87.95" customHeight="1" thickBot="1" x14ac:dyDescent="0.25">
      <c r="A2" s="50" t="s">
        <v>41</v>
      </c>
      <c r="B2" s="50" t="s">
        <v>42</v>
      </c>
      <c r="C2" s="51" t="s">
        <v>43</v>
      </c>
      <c r="D2" s="52" t="s">
        <v>44</v>
      </c>
      <c r="E2" s="53" t="s">
        <v>23</v>
      </c>
      <c r="F2" s="53" t="s">
        <v>19</v>
      </c>
      <c r="G2" s="54" t="s">
        <v>45</v>
      </c>
      <c r="H2" s="64" t="s">
        <v>46</v>
      </c>
      <c r="I2" s="55" t="s">
        <v>49</v>
      </c>
      <c r="J2" s="55" t="s">
        <v>50</v>
      </c>
      <c r="K2" s="55" t="s">
        <v>51</v>
      </c>
      <c r="L2" s="55" t="s">
        <v>52</v>
      </c>
      <c r="M2" s="55" t="s">
        <v>53</v>
      </c>
      <c r="N2" s="55" t="s">
        <v>54</v>
      </c>
      <c r="O2" s="66" t="s">
        <v>55</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s="123" customFormat="1" ht="54" customHeight="1" thickTop="1" x14ac:dyDescent="0.2">
      <c r="A3" s="68"/>
      <c r="B3" s="104" t="s">
        <v>10</v>
      </c>
      <c r="C3" s="92" t="s">
        <v>56</v>
      </c>
      <c r="D3" s="92" t="s">
        <v>57</v>
      </c>
      <c r="E3" s="89" t="s">
        <v>11</v>
      </c>
      <c r="F3" s="89" t="s">
        <v>21</v>
      </c>
      <c r="G3" s="89" t="s">
        <v>58</v>
      </c>
      <c r="H3" s="90" t="s">
        <v>59</v>
      </c>
      <c r="I3" s="91" t="s">
        <v>60</v>
      </c>
      <c r="J3" s="91" t="s">
        <v>61</v>
      </c>
      <c r="K3" s="91">
        <v>0</v>
      </c>
      <c r="L3" s="91" t="s">
        <v>62</v>
      </c>
      <c r="M3" s="91" t="s">
        <v>63</v>
      </c>
      <c r="N3" s="92">
        <v>1</v>
      </c>
      <c r="O3" s="93">
        <v>5.2083333333333333E-4</v>
      </c>
    </row>
    <row r="4" spans="1:75" s="123" customFormat="1" ht="54" customHeight="1" x14ac:dyDescent="0.2">
      <c r="A4" s="68"/>
      <c r="B4" s="69" t="s">
        <v>10</v>
      </c>
      <c r="C4" s="88" t="s">
        <v>64</v>
      </c>
      <c r="D4" s="70" t="s">
        <v>65</v>
      </c>
      <c r="E4" s="86" t="s">
        <v>11</v>
      </c>
      <c r="F4" s="86" t="s">
        <v>21</v>
      </c>
      <c r="G4" s="86" t="s">
        <v>66</v>
      </c>
      <c r="H4" s="87" t="s">
        <v>59</v>
      </c>
      <c r="I4" s="71" t="s">
        <v>60</v>
      </c>
      <c r="J4" s="71" t="s">
        <v>61</v>
      </c>
      <c r="K4" s="71">
        <v>0</v>
      </c>
      <c r="L4" s="71" t="s">
        <v>67</v>
      </c>
      <c r="M4" s="71" t="s">
        <v>68</v>
      </c>
      <c r="N4" s="70">
        <v>1</v>
      </c>
      <c r="O4" s="73">
        <v>3.4722222222222224E-4</v>
      </c>
    </row>
    <row r="5" spans="1:75" s="123" customFormat="1" ht="54" customHeight="1" x14ac:dyDescent="0.2">
      <c r="A5" s="68"/>
      <c r="B5" s="69" t="s">
        <v>10</v>
      </c>
      <c r="C5" s="70" t="s">
        <v>69</v>
      </c>
      <c r="D5" s="70" t="s">
        <v>65</v>
      </c>
      <c r="E5" s="86" t="s">
        <v>11</v>
      </c>
      <c r="F5" s="86" t="s">
        <v>21</v>
      </c>
      <c r="G5" s="86" t="s">
        <v>66</v>
      </c>
      <c r="H5" s="87" t="s">
        <v>59</v>
      </c>
      <c r="I5" s="71" t="s">
        <v>60</v>
      </c>
      <c r="J5" s="71" t="s">
        <v>61</v>
      </c>
      <c r="K5" s="71">
        <v>0</v>
      </c>
      <c r="L5" s="71" t="s">
        <v>67</v>
      </c>
      <c r="M5" s="71" t="s">
        <v>68</v>
      </c>
      <c r="N5" s="70">
        <v>1</v>
      </c>
      <c r="O5" s="73">
        <v>3.4722222222222224E-4</v>
      </c>
    </row>
    <row r="6" spans="1:75" s="123" customFormat="1" ht="54" customHeight="1" x14ac:dyDescent="0.2">
      <c r="A6" s="68"/>
      <c r="B6" s="69" t="s">
        <v>10</v>
      </c>
      <c r="C6" s="70" t="s">
        <v>70</v>
      </c>
      <c r="D6" s="70" t="s">
        <v>71</v>
      </c>
      <c r="E6" s="86" t="s">
        <v>11</v>
      </c>
      <c r="F6" s="86" t="s">
        <v>21</v>
      </c>
      <c r="G6" s="86" t="s">
        <v>66</v>
      </c>
      <c r="H6" s="87" t="s">
        <v>59</v>
      </c>
      <c r="I6" s="71" t="s">
        <v>60</v>
      </c>
      <c r="J6" s="71" t="s">
        <v>61</v>
      </c>
      <c r="K6" s="71">
        <v>0</v>
      </c>
      <c r="L6" s="71" t="s">
        <v>67</v>
      </c>
      <c r="M6" s="71" t="s">
        <v>68</v>
      </c>
      <c r="N6" s="70">
        <v>1</v>
      </c>
      <c r="O6" s="73">
        <v>1.3888888888888889E-3</v>
      </c>
    </row>
    <row r="7" spans="1:75" s="123" customFormat="1" ht="54" customHeight="1" x14ac:dyDescent="0.2">
      <c r="A7" s="68"/>
      <c r="B7" s="69" t="s">
        <v>10</v>
      </c>
      <c r="C7" s="70" t="s">
        <v>72</v>
      </c>
      <c r="D7" s="70" t="s">
        <v>73</v>
      </c>
      <c r="E7" s="86" t="s">
        <v>11</v>
      </c>
      <c r="F7" s="86" t="s">
        <v>21</v>
      </c>
      <c r="G7" s="86" t="s">
        <v>74</v>
      </c>
      <c r="H7" s="87" t="s">
        <v>59</v>
      </c>
      <c r="I7" s="71" t="s">
        <v>60</v>
      </c>
      <c r="J7" s="71" t="s">
        <v>61</v>
      </c>
      <c r="K7" s="71">
        <v>0</v>
      </c>
      <c r="L7" s="71" t="s">
        <v>75</v>
      </c>
      <c r="M7" s="71" t="s">
        <v>76</v>
      </c>
      <c r="N7" s="70">
        <v>1</v>
      </c>
      <c r="O7" s="73">
        <v>1.2152777777777778E-3</v>
      </c>
    </row>
    <row r="8" spans="1:75" s="123" customFormat="1" ht="54" customHeight="1" x14ac:dyDescent="0.2">
      <c r="A8" s="68"/>
      <c r="B8" s="69" t="s">
        <v>10</v>
      </c>
      <c r="C8" s="70" t="s">
        <v>77</v>
      </c>
      <c r="D8" s="70" t="s">
        <v>78</v>
      </c>
      <c r="E8" s="86" t="s">
        <v>11</v>
      </c>
      <c r="F8" s="86" t="s">
        <v>21</v>
      </c>
      <c r="G8" s="86" t="s">
        <v>79</v>
      </c>
      <c r="H8" s="87" t="s">
        <v>59</v>
      </c>
      <c r="I8" s="71" t="s">
        <v>60</v>
      </c>
      <c r="J8" s="71" t="s">
        <v>61</v>
      </c>
      <c r="K8" s="71">
        <v>0</v>
      </c>
      <c r="L8" s="71" t="s">
        <v>75</v>
      </c>
      <c r="M8" s="71" t="s">
        <v>76</v>
      </c>
      <c r="N8" s="70">
        <v>1</v>
      </c>
      <c r="O8" s="73">
        <v>3.4722222222222224E-4</v>
      </c>
    </row>
    <row r="9" spans="1:75" s="123" customFormat="1" ht="54" customHeight="1" x14ac:dyDescent="0.2">
      <c r="A9" s="68"/>
      <c r="B9" s="69" t="s">
        <v>10</v>
      </c>
      <c r="C9" s="70" t="s">
        <v>80</v>
      </c>
      <c r="D9" s="70" t="s">
        <v>81</v>
      </c>
      <c r="E9" s="86" t="s">
        <v>11</v>
      </c>
      <c r="F9" s="86" t="s">
        <v>21</v>
      </c>
      <c r="G9" s="86" t="s">
        <v>82</v>
      </c>
      <c r="H9" s="87">
        <v>45342</v>
      </c>
      <c r="I9" s="71" t="s">
        <v>60</v>
      </c>
      <c r="J9" s="71" t="s">
        <v>61</v>
      </c>
      <c r="K9" s="71">
        <v>0</v>
      </c>
      <c r="L9" s="71" t="s">
        <v>83</v>
      </c>
      <c r="M9" s="71" t="s">
        <v>63</v>
      </c>
      <c r="N9" s="70">
        <v>2</v>
      </c>
      <c r="O9" s="94">
        <v>3.4722222222222224E-4</v>
      </c>
    </row>
    <row r="10" spans="1:75" s="123" customFormat="1" ht="54" customHeight="1" x14ac:dyDescent="0.2">
      <c r="A10" s="68"/>
      <c r="B10" s="69" t="s">
        <v>10</v>
      </c>
      <c r="C10" s="70" t="s">
        <v>84</v>
      </c>
      <c r="D10" s="70" t="s">
        <v>85</v>
      </c>
      <c r="E10" s="86" t="s">
        <v>11</v>
      </c>
      <c r="F10" s="86" t="s">
        <v>21</v>
      </c>
      <c r="G10" s="86" t="s">
        <v>79</v>
      </c>
      <c r="H10" s="87" t="s">
        <v>59</v>
      </c>
      <c r="I10" s="71" t="s">
        <v>60</v>
      </c>
      <c r="J10" s="71" t="s">
        <v>61</v>
      </c>
      <c r="K10" s="71">
        <v>0</v>
      </c>
      <c r="L10" s="71" t="s">
        <v>86</v>
      </c>
      <c r="M10" s="71" t="s">
        <v>63</v>
      </c>
      <c r="N10" s="70">
        <v>1</v>
      </c>
      <c r="O10" s="73">
        <v>1.3888888888888889E-3</v>
      </c>
    </row>
    <row r="11" spans="1:75" s="123" customFormat="1" ht="54" customHeight="1" x14ac:dyDescent="0.2">
      <c r="A11" s="68"/>
      <c r="B11" s="69" t="s">
        <v>10</v>
      </c>
      <c r="C11" s="70" t="s">
        <v>87</v>
      </c>
      <c r="D11" s="70" t="s">
        <v>88</v>
      </c>
      <c r="E11" s="86" t="s">
        <v>11</v>
      </c>
      <c r="F11" s="86" t="s">
        <v>21</v>
      </c>
      <c r="G11" s="86" t="s">
        <v>74</v>
      </c>
      <c r="H11" s="87" t="s">
        <v>59</v>
      </c>
      <c r="I11" s="71" t="s">
        <v>60</v>
      </c>
      <c r="J11" s="71" t="s">
        <v>61</v>
      </c>
      <c r="K11" s="71">
        <v>0</v>
      </c>
      <c r="L11" s="71" t="s">
        <v>89</v>
      </c>
      <c r="M11" s="71" t="s">
        <v>63</v>
      </c>
      <c r="N11" s="70">
        <v>1</v>
      </c>
      <c r="O11" s="73">
        <v>3.4722222222222224E-4</v>
      </c>
    </row>
    <row r="12" spans="1:75" s="123" customFormat="1" ht="54" customHeight="1" x14ac:dyDescent="0.2">
      <c r="A12" s="68"/>
      <c r="B12" s="69" t="s">
        <v>10</v>
      </c>
      <c r="C12" s="70" t="s">
        <v>90</v>
      </c>
      <c r="D12" s="70" t="s">
        <v>91</v>
      </c>
      <c r="E12" s="86" t="s">
        <v>11</v>
      </c>
      <c r="F12" s="86" t="s">
        <v>21</v>
      </c>
      <c r="G12" s="86" t="s">
        <v>92</v>
      </c>
      <c r="H12" s="87" t="s">
        <v>59</v>
      </c>
      <c r="I12" s="71" t="s">
        <v>93</v>
      </c>
      <c r="J12" s="71" t="s">
        <v>61</v>
      </c>
      <c r="K12" s="71" t="s">
        <v>94</v>
      </c>
      <c r="L12" s="71" t="s">
        <v>95</v>
      </c>
      <c r="M12" s="71" t="s">
        <v>96</v>
      </c>
      <c r="N12" s="70">
        <v>1</v>
      </c>
      <c r="O12" s="73">
        <v>3.4722222222222224E-4</v>
      </c>
    </row>
    <row r="13" spans="1:75" s="123" customFormat="1" ht="54" customHeight="1" x14ac:dyDescent="0.2">
      <c r="A13" s="68"/>
      <c r="B13" s="69" t="s">
        <v>10</v>
      </c>
      <c r="C13" s="70" t="s">
        <v>97</v>
      </c>
      <c r="D13" s="70" t="s">
        <v>98</v>
      </c>
      <c r="E13" s="86" t="s">
        <v>11</v>
      </c>
      <c r="F13" s="86" t="s">
        <v>21</v>
      </c>
      <c r="G13" s="86" t="s">
        <v>99</v>
      </c>
      <c r="H13" s="87" t="s">
        <v>59</v>
      </c>
      <c r="I13" s="71" t="s">
        <v>60</v>
      </c>
      <c r="J13" s="71" t="s">
        <v>61</v>
      </c>
      <c r="K13" s="71">
        <v>0</v>
      </c>
      <c r="L13" s="71" t="s">
        <v>100</v>
      </c>
      <c r="M13" s="71" t="s">
        <v>63</v>
      </c>
      <c r="N13" s="70">
        <v>1</v>
      </c>
      <c r="O13" s="73">
        <v>1.3888888888888889E-3</v>
      </c>
    </row>
    <row r="14" spans="1:75" s="123" customFormat="1" ht="54" customHeight="1" x14ac:dyDescent="0.2">
      <c r="A14" s="68"/>
      <c r="B14" s="69" t="s">
        <v>10</v>
      </c>
      <c r="C14" s="70" t="s">
        <v>101</v>
      </c>
      <c r="D14" s="70" t="s">
        <v>102</v>
      </c>
      <c r="E14" s="86" t="s">
        <v>11</v>
      </c>
      <c r="F14" s="86" t="s">
        <v>21</v>
      </c>
      <c r="G14" s="86" t="s">
        <v>103</v>
      </c>
      <c r="H14" s="87" t="s">
        <v>59</v>
      </c>
      <c r="I14" s="71" t="s">
        <v>60</v>
      </c>
      <c r="J14" s="71" t="s">
        <v>61</v>
      </c>
      <c r="K14" s="71">
        <v>0</v>
      </c>
      <c r="L14" s="71" t="s">
        <v>100</v>
      </c>
      <c r="M14" s="71" t="s">
        <v>63</v>
      </c>
      <c r="N14" s="70">
        <v>1</v>
      </c>
      <c r="O14" s="73">
        <v>1.3888888888888889E-3</v>
      </c>
    </row>
    <row r="15" spans="1:75" s="123" customFormat="1" ht="54" customHeight="1" x14ac:dyDescent="0.2">
      <c r="A15" s="68"/>
      <c r="B15" s="69" t="s">
        <v>10</v>
      </c>
      <c r="C15" s="70" t="s">
        <v>104</v>
      </c>
      <c r="D15" s="70" t="s">
        <v>105</v>
      </c>
      <c r="E15" s="86" t="s">
        <v>11</v>
      </c>
      <c r="F15" s="86" t="s">
        <v>21</v>
      </c>
      <c r="G15" s="86" t="s">
        <v>92</v>
      </c>
      <c r="H15" s="87" t="s">
        <v>59</v>
      </c>
      <c r="I15" s="71" t="s">
        <v>60</v>
      </c>
      <c r="J15" s="71" t="s">
        <v>61</v>
      </c>
      <c r="K15" s="71">
        <v>0</v>
      </c>
      <c r="L15" s="71" t="s">
        <v>106</v>
      </c>
      <c r="M15" s="71" t="s">
        <v>63</v>
      </c>
      <c r="N15" s="70">
        <v>1</v>
      </c>
      <c r="O15" s="73">
        <v>5.2083333333333333E-4</v>
      </c>
    </row>
    <row r="16" spans="1:75" s="123" customFormat="1" ht="54" customHeight="1" x14ac:dyDescent="0.2">
      <c r="A16" s="68"/>
      <c r="B16" s="69" t="s">
        <v>10</v>
      </c>
      <c r="C16" s="70" t="s">
        <v>107</v>
      </c>
      <c r="D16" s="70" t="s">
        <v>108</v>
      </c>
      <c r="E16" s="86" t="s">
        <v>11</v>
      </c>
      <c r="F16" s="86" t="s">
        <v>21</v>
      </c>
      <c r="G16" s="86" t="s">
        <v>66</v>
      </c>
      <c r="H16" s="87" t="s">
        <v>59</v>
      </c>
      <c r="I16" s="71" t="s">
        <v>60</v>
      </c>
      <c r="J16" s="71" t="s">
        <v>61</v>
      </c>
      <c r="K16" s="71">
        <v>0</v>
      </c>
      <c r="L16" s="71" t="s">
        <v>106</v>
      </c>
      <c r="M16" s="71" t="s">
        <v>63</v>
      </c>
      <c r="N16" s="70">
        <v>1</v>
      </c>
      <c r="O16" s="73">
        <v>5.2083333333333333E-4</v>
      </c>
    </row>
    <row r="17" spans="1:15" s="123" customFormat="1" ht="54" customHeight="1" x14ac:dyDescent="0.2">
      <c r="A17" s="68"/>
      <c r="B17" s="69" t="s">
        <v>10</v>
      </c>
      <c r="C17" s="70" t="s">
        <v>109</v>
      </c>
      <c r="D17" s="70" t="s">
        <v>110</v>
      </c>
      <c r="E17" s="86" t="s">
        <v>11</v>
      </c>
      <c r="F17" s="86" t="s">
        <v>21</v>
      </c>
      <c r="G17" s="86" t="s">
        <v>66</v>
      </c>
      <c r="H17" s="87" t="s">
        <v>59</v>
      </c>
      <c r="I17" s="71" t="s">
        <v>60</v>
      </c>
      <c r="J17" s="71" t="s">
        <v>61</v>
      </c>
      <c r="K17" s="71">
        <v>0</v>
      </c>
      <c r="L17" s="71" t="s">
        <v>106</v>
      </c>
      <c r="M17" s="71" t="s">
        <v>63</v>
      </c>
      <c r="N17" s="70">
        <v>1</v>
      </c>
      <c r="O17" s="73">
        <v>3.4722222222222224E-4</v>
      </c>
    </row>
    <row r="18" spans="1:15" s="123" customFormat="1" ht="54" customHeight="1" x14ac:dyDescent="0.2">
      <c r="A18" s="68"/>
      <c r="B18" s="69" t="s">
        <v>10</v>
      </c>
      <c r="C18" s="70" t="s">
        <v>111</v>
      </c>
      <c r="D18" s="70" t="s">
        <v>112</v>
      </c>
      <c r="E18" s="86" t="s">
        <v>11</v>
      </c>
      <c r="F18" s="86" t="s">
        <v>21</v>
      </c>
      <c r="G18" s="86" t="s">
        <v>92</v>
      </c>
      <c r="H18" s="87" t="s">
        <v>59</v>
      </c>
      <c r="I18" s="71" t="s">
        <v>93</v>
      </c>
      <c r="J18" s="71" t="s">
        <v>61</v>
      </c>
      <c r="K18" s="71">
        <v>0</v>
      </c>
      <c r="L18" s="71" t="s">
        <v>113</v>
      </c>
      <c r="M18" s="71" t="s">
        <v>114</v>
      </c>
      <c r="N18" s="70">
        <v>1</v>
      </c>
      <c r="O18" s="94">
        <v>6.9444444444444447E-4</v>
      </c>
    </row>
    <row r="19" spans="1:15" s="123" customFormat="1" ht="54" customHeight="1" x14ac:dyDescent="0.2">
      <c r="A19" s="84"/>
      <c r="B19" s="69" t="s">
        <v>10</v>
      </c>
      <c r="C19" s="70" t="s">
        <v>115</v>
      </c>
      <c r="D19" s="70" t="s">
        <v>116</v>
      </c>
      <c r="E19" s="86" t="s">
        <v>11</v>
      </c>
      <c r="F19" s="86" t="s">
        <v>21</v>
      </c>
      <c r="G19" s="86" t="s">
        <v>92</v>
      </c>
      <c r="H19" s="87" t="s">
        <v>59</v>
      </c>
      <c r="I19" s="71" t="s">
        <v>93</v>
      </c>
      <c r="J19" s="71" t="s">
        <v>61</v>
      </c>
      <c r="K19" s="71">
        <v>0</v>
      </c>
      <c r="L19" s="71" t="s">
        <v>117</v>
      </c>
      <c r="M19" s="71" t="s">
        <v>114</v>
      </c>
      <c r="N19" s="70">
        <v>1</v>
      </c>
      <c r="O19" s="94">
        <v>6.9444444444444447E-4</v>
      </c>
    </row>
    <row r="20" spans="1:15" s="123" customFormat="1" ht="54" customHeight="1" x14ac:dyDescent="0.2">
      <c r="A20" s="68"/>
      <c r="B20" s="69" t="s">
        <v>10</v>
      </c>
      <c r="C20" s="70" t="s">
        <v>118</v>
      </c>
      <c r="D20" s="70" t="s">
        <v>119</v>
      </c>
      <c r="E20" s="86" t="s">
        <v>11</v>
      </c>
      <c r="F20" s="86" t="s">
        <v>21</v>
      </c>
      <c r="G20" s="86" t="s">
        <v>92</v>
      </c>
      <c r="H20" s="87" t="s">
        <v>59</v>
      </c>
      <c r="I20" s="71" t="s">
        <v>60</v>
      </c>
      <c r="J20" s="71" t="s">
        <v>61</v>
      </c>
      <c r="K20" s="71">
        <v>0</v>
      </c>
      <c r="L20" s="71">
        <v>0</v>
      </c>
      <c r="M20" s="71" t="s">
        <v>63</v>
      </c>
      <c r="N20" s="70">
        <v>2</v>
      </c>
      <c r="O20" s="73">
        <v>5.2083333333333333E-4</v>
      </c>
    </row>
    <row r="21" spans="1:15" s="123" customFormat="1" ht="54" customHeight="1" x14ac:dyDescent="0.2">
      <c r="A21" s="68"/>
      <c r="B21" s="69" t="s">
        <v>10</v>
      </c>
      <c r="C21" s="70" t="s">
        <v>120</v>
      </c>
      <c r="D21" s="70" t="s">
        <v>121</v>
      </c>
      <c r="E21" s="86" t="s">
        <v>11</v>
      </c>
      <c r="F21" s="86" t="s">
        <v>21</v>
      </c>
      <c r="G21" s="86" t="s">
        <v>92</v>
      </c>
      <c r="H21" s="87" t="s">
        <v>59</v>
      </c>
      <c r="I21" s="71" t="s">
        <v>93</v>
      </c>
      <c r="J21" s="71" t="s">
        <v>61</v>
      </c>
      <c r="K21" s="71">
        <v>0</v>
      </c>
      <c r="L21" s="71" t="s">
        <v>122</v>
      </c>
      <c r="M21" s="71" t="s">
        <v>114</v>
      </c>
      <c r="N21" s="70">
        <v>2</v>
      </c>
      <c r="O21" s="73">
        <v>45.000520833333333</v>
      </c>
    </row>
    <row r="22" spans="1:15" s="123" customFormat="1" ht="54" customHeight="1" thickBot="1" x14ac:dyDescent="0.25">
      <c r="A22" s="85"/>
      <c r="B22" s="69" t="s">
        <v>10</v>
      </c>
      <c r="C22" s="70" t="s">
        <v>123</v>
      </c>
      <c r="D22" s="70" t="s">
        <v>124</v>
      </c>
      <c r="E22" s="86" t="s">
        <v>11</v>
      </c>
      <c r="F22" s="86" t="s">
        <v>21</v>
      </c>
      <c r="G22" s="86" t="s">
        <v>92</v>
      </c>
      <c r="H22" s="87" t="s">
        <v>59</v>
      </c>
      <c r="I22" s="71" t="s">
        <v>93</v>
      </c>
      <c r="J22" s="71" t="s">
        <v>61</v>
      </c>
      <c r="K22" s="71">
        <v>0</v>
      </c>
      <c r="L22" s="71" t="s">
        <v>125</v>
      </c>
      <c r="M22" s="71" t="s">
        <v>114</v>
      </c>
      <c r="N22" s="70">
        <v>2</v>
      </c>
      <c r="O22" s="73">
        <v>45.042187499999997</v>
      </c>
    </row>
    <row r="23" spans="1:15" s="123" customFormat="1" ht="54" customHeight="1" x14ac:dyDescent="0.2">
      <c r="A23" s="68"/>
      <c r="B23" s="69" t="s">
        <v>10</v>
      </c>
      <c r="C23" s="70" t="s">
        <v>126</v>
      </c>
      <c r="D23" s="70" t="s">
        <v>127</v>
      </c>
      <c r="E23" s="71" t="s">
        <v>11</v>
      </c>
      <c r="F23" s="71" t="s">
        <v>21</v>
      </c>
      <c r="G23" s="71" t="s">
        <v>128</v>
      </c>
      <c r="H23" s="72" t="s">
        <v>59</v>
      </c>
      <c r="I23" s="71" t="s">
        <v>93</v>
      </c>
      <c r="J23" s="71" t="s">
        <v>61</v>
      </c>
      <c r="K23" s="71">
        <v>0</v>
      </c>
      <c r="L23" s="71" t="s">
        <v>129</v>
      </c>
      <c r="M23" s="71" t="s">
        <v>130</v>
      </c>
      <c r="N23" s="70">
        <v>1</v>
      </c>
      <c r="O23" s="73">
        <v>5.2083333333333333E-4</v>
      </c>
    </row>
    <row r="24" spans="1:15" s="123" customFormat="1" ht="54" customHeight="1" x14ac:dyDescent="0.2">
      <c r="A24" s="68"/>
      <c r="B24" s="69" t="s">
        <v>10</v>
      </c>
      <c r="C24" s="70" t="s">
        <v>131</v>
      </c>
      <c r="D24" s="70" t="s">
        <v>132</v>
      </c>
      <c r="E24" s="71" t="s">
        <v>11</v>
      </c>
      <c r="F24" s="71" t="s">
        <v>21</v>
      </c>
      <c r="G24" s="71" t="s">
        <v>128</v>
      </c>
      <c r="H24" s="72" t="s">
        <v>59</v>
      </c>
      <c r="I24" s="71" t="s">
        <v>93</v>
      </c>
      <c r="J24" s="71" t="s">
        <v>61</v>
      </c>
      <c r="K24" s="71">
        <v>0</v>
      </c>
      <c r="L24" s="71" t="s">
        <v>133</v>
      </c>
      <c r="M24" s="71" t="s">
        <v>130</v>
      </c>
      <c r="N24" s="70">
        <v>2</v>
      </c>
      <c r="O24" s="73">
        <v>6.9444444444444447E-4</v>
      </c>
    </row>
    <row r="25" spans="1:15" s="123" customFormat="1" ht="54" customHeight="1" thickBot="1" x14ac:dyDescent="0.25">
      <c r="A25" s="68"/>
      <c r="B25" s="74" t="s">
        <v>10</v>
      </c>
      <c r="C25" s="75" t="s">
        <v>134</v>
      </c>
      <c r="D25" s="75" t="s">
        <v>135</v>
      </c>
      <c r="E25" s="76" t="s">
        <v>11</v>
      </c>
      <c r="F25" s="76" t="s">
        <v>21</v>
      </c>
      <c r="G25" s="76" t="s">
        <v>92</v>
      </c>
      <c r="H25" s="77" t="s">
        <v>59</v>
      </c>
      <c r="I25" s="113" t="s">
        <v>93</v>
      </c>
      <c r="J25" s="113" t="s">
        <v>61</v>
      </c>
      <c r="K25" s="113">
        <v>0</v>
      </c>
      <c r="L25" s="113">
        <v>0</v>
      </c>
      <c r="M25" s="113" t="s">
        <v>114</v>
      </c>
      <c r="N25" s="75"/>
      <c r="O25" s="78"/>
    </row>
    <row r="26" spans="1:15" s="123" customFormat="1" ht="54" customHeight="1" thickTop="1" x14ac:dyDescent="0.2">
      <c r="A26" s="68"/>
      <c r="B26" s="104" t="s">
        <v>13</v>
      </c>
      <c r="C26" s="92" t="s">
        <v>136</v>
      </c>
      <c r="D26" s="92" t="s">
        <v>137</v>
      </c>
      <c r="E26" s="89" t="s">
        <v>11</v>
      </c>
      <c r="F26" s="89" t="s">
        <v>21</v>
      </c>
      <c r="G26" s="89" t="s">
        <v>138</v>
      </c>
      <c r="H26" s="90">
        <v>45340</v>
      </c>
      <c r="I26" s="91" t="s">
        <v>139</v>
      </c>
      <c r="J26" s="91" t="s">
        <v>140</v>
      </c>
      <c r="K26" s="91">
        <v>0</v>
      </c>
      <c r="L26" s="91" t="s">
        <v>141</v>
      </c>
      <c r="M26" s="91" t="s">
        <v>114</v>
      </c>
      <c r="N26" s="92">
        <v>4</v>
      </c>
      <c r="O26" s="93">
        <v>1.736111111111111E-3</v>
      </c>
    </row>
    <row r="27" spans="1:15" s="123" customFormat="1" ht="54" customHeight="1" x14ac:dyDescent="0.2">
      <c r="A27" s="68"/>
      <c r="B27" s="69" t="s">
        <v>13</v>
      </c>
      <c r="C27" s="70" t="s">
        <v>142</v>
      </c>
      <c r="D27" s="70" t="s">
        <v>143</v>
      </c>
      <c r="E27" s="86" t="s">
        <v>11</v>
      </c>
      <c r="F27" s="86" t="s">
        <v>21</v>
      </c>
      <c r="G27" s="86" t="s">
        <v>138</v>
      </c>
      <c r="H27" s="87">
        <v>45348</v>
      </c>
      <c r="I27" s="71" t="s">
        <v>139</v>
      </c>
      <c r="J27" s="71" t="s">
        <v>140</v>
      </c>
      <c r="K27" s="71">
        <v>0</v>
      </c>
      <c r="L27" s="71" t="s">
        <v>141</v>
      </c>
      <c r="M27" s="71" t="s">
        <v>114</v>
      </c>
      <c r="N27" s="70">
        <v>4</v>
      </c>
      <c r="O27" s="73">
        <v>1.736111111111111E-3</v>
      </c>
    </row>
    <row r="28" spans="1:15" s="123" customFormat="1" ht="54" customHeight="1" x14ac:dyDescent="0.2">
      <c r="A28" s="68"/>
      <c r="B28" s="69" t="s">
        <v>13</v>
      </c>
      <c r="C28" s="70" t="s">
        <v>144</v>
      </c>
      <c r="D28" s="70" t="s">
        <v>145</v>
      </c>
      <c r="E28" s="86" t="s">
        <v>11</v>
      </c>
      <c r="F28" s="86" t="s">
        <v>21</v>
      </c>
      <c r="G28" s="86" t="s">
        <v>138</v>
      </c>
      <c r="H28" s="87">
        <v>45340</v>
      </c>
      <c r="I28" s="71" t="s">
        <v>139</v>
      </c>
      <c r="J28" s="71" t="s">
        <v>140</v>
      </c>
      <c r="K28" s="71">
        <v>0</v>
      </c>
      <c r="L28" s="71" t="s">
        <v>141</v>
      </c>
      <c r="M28" s="71" t="s">
        <v>114</v>
      </c>
      <c r="N28" s="70">
        <v>4</v>
      </c>
      <c r="O28" s="73">
        <v>1.736111111111111E-3</v>
      </c>
    </row>
    <row r="29" spans="1:15" s="123" customFormat="1" ht="54" customHeight="1" x14ac:dyDescent="0.2">
      <c r="A29" s="68"/>
      <c r="B29" s="69" t="s">
        <v>13</v>
      </c>
      <c r="C29" s="70" t="s">
        <v>146</v>
      </c>
      <c r="D29" s="70" t="s">
        <v>147</v>
      </c>
      <c r="E29" s="86" t="s">
        <v>11</v>
      </c>
      <c r="F29" s="86" t="s">
        <v>21</v>
      </c>
      <c r="G29" s="86" t="s">
        <v>148</v>
      </c>
      <c r="H29" s="87">
        <v>45348</v>
      </c>
      <c r="I29" s="71" t="s">
        <v>139</v>
      </c>
      <c r="J29" s="71" t="s">
        <v>140</v>
      </c>
      <c r="K29" s="71">
        <v>0</v>
      </c>
      <c r="L29" s="71" t="s">
        <v>141</v>
      </c>
      <c r="M29" s="71" t="s">
        <v>114</v>
      </c>
      <c r="N29" s="70">
        <v>4</v>
      </c>
      <c r="O29" s="73">
        <v>1.736111111111111E-3</v>
      </c>
    </row>
    <row r="30" spans="1:15" s="123" customFormat="1" ht="54" customHeight="1" x14ac:dyDescent="0.2">
      <c r="A30" s="68"/>
      <c r="B30" s="69" t="s">
        <v>13</v>
      </c>
      <c r="C30" s="70" t="s">
        <v>149</v>
      </c>
      <c r="D30" s="70" t="s">
        <v>150</v>
      </c>
      <c r="E30" s="86" t="s">
        <v>11</v>
      </c>
      <c r="F30" s="86" t="s">
        <v>21</v>
      </c>
      <c r="G30" s="86" t="s">
        <v>151</v>
      </c>
      <c r="H30" s="87">
        <v>45342</v>
      </c>
      <c r="I30" s="71" t="s">
        <v>139</v>
      </c>
      <c r="J30" s="71" t="s">
        <v>61</v>
      </c>
      <c r="K30" s="71">
        <v>0</v>
      </c>
      <c r="L30" s="71" t="s">
        <v>152</v>
      </c>
      <c r="M30" s="71" t="s">
        <v>153</v>
      </c>
      <c r="N30" s="70">
        <v>2</v>
      </c>
      <c r="O30" s="73">
        <v>5.2083333333333333E-4</v>
      </c>
    </row>
    <row r="31" spans="1:15" s="123" customFormat="1" ht="54" customHeight="1" x14ac:dyDescent="0.2">
      <c r="A31" s="68"/>
      <c r="B31" s="69" t="s">
        <v>13</v>
      </c>
      <c r="C31" s="70" t="s">
        <v>154</v>
      </c>
      <c r="D31" s="70" t="s">
        <v>150</v>
      </c>
      <c r="E31" s="86" t="s">
        <v>11</v>
      </c>
      <c r="F31" s="86" t="s">
        <v>21</v>
      </c>
      <c r="G31" s="86" t="s">
        <v>151</v>
      </c>
      <c r="H31" s="87">
        <v>45342</v>
      </c>
      <c r="I31" s="71" t="s">
        <v>139</v>
      </c>
      <c r="J31" s="71" t="s">
        <v>61</v>
      </c>
      <c r="K31" s="71">
        <v>0</v>
      </c>
      <c r="L31" s="71" t="s">
        <v>152</v>
      </c>
      <c r="M31" s="71" t="s">
        <v>153</v>
      </c>
      <c r="N31" s="70">
        <v>2</v>
      </c>
      <c r="O31" s="73">
        <v>5.2083333333333333E-4</v>
      </c>
    </row>
    <row r="32" spans="1:15" s="123" customFormat="1" ht="54" customHeight="1" x14ac:dyDescent="0.2">
      <c r="A32" s="68"/>
      <c r="B32" s="69" t="s">
        <v>13</v>
      </c>
      <c r="C32" s="70" t="s">
        <v>155</v>
      </c>
      <c r="D32" s="70" t="s">
        <v>156</v>
      </c>
      <c r="E32" s="86" t="s">
        <v>11</v>
      </c>
      <c r="F32" s="86" t="s">
        <v>21</v>
      </c>
      <c r="G32" s="86" t="s">
        <v>157</v>
      </c>
      <c r="H32" s="87">
        <v>45341</v>
      </c>
      <c r="I32" s="71" t="s">
        <v>139</v>
      </c>
      <c r="J32" s="71" t="s">
        <v>61</v>
      </c>
      <c r="K32" s="71">
        <v>0</v>
      </c>
      <c r="L32" s="71" t="s">
        <v>158</v>
      </c>
      <c r="M32" s="71" t="s">
        <v>153</v>
      </c>
      <c r="N32" s="70">
        <v>1</v>
      </c>
      <c r="O32" s="73">
        <v>2.3148148148148146E-4</v>
      </c>
    </row>
    <row r="33" spans="1:15" s="123" customFormat="1" ht="54" customHeight="1" x14ac:dyDescent="0.2">
      <c r="A33" s="68"/>
      <c r="B33" s="69" t="s">
        <v>13</v>
      </c>
      <c r="C33" s="70" t="s">
        <v>159</v>
      </c>
      <c r="D33" s="70" t="s">
        <v>160</v>
      </c>
      <c r="E33" s="86" t="s">
        <v>11</v>
      </c>
      <c r="F33" s="86" t="s">
        <v>21</v>
      </c>
      <c r="G33" s="86" t="s">
        <v>151</v>
      </c>
      <c r="H33" s="87">
        <v>45342</v>
      </c>
      <c r="I33" s="71" t="s">
        <v>139</v>
      </c>
      <c r="J33" s="71" t="s">
        <v>61</v>
      </c>
      <c r="K33" s="71">
        <v>0</v>
      </c>
      <c r="L33" s="71" t="s">
        <v>161</v>
      </c>
      <c r="M33" s="71" t="s">
        <v>153</v>
      </c>
      <c r="N33" s="70">
        <v>2</v>
      </c>
      <c r="O33" s="73">
        <v>2.3148148148148146E-4</v>
      </c>
    </row>
    <row r="34" spans="1:15" s="123" customFormat="1" ht="54" customHeight="1" x14ac:dyDescent="0.2">
      <c r="A34" s="68"/>
      <c r="B34" s="69" t="s">
        <v>13</v>
      </c>
      <c r="C34" s="70" t="s">
        <v>162</v>
      </c>
      <c r="D34" s="70" t="s">
        <v>163</v>
      </c>
      <c r="E34" s="86" t="s">
        <v>11</v>
      </c>
      <c r="F34" s="86" t="s">
        <v>21</v>
      </c>
      <c r="G34" s="86" t="s">
        <v>164</v>
      </c>
      <c r="H34" s="87">
        <v>45342</v>
      </c>
      <c r="I34" s="71" t="s">
        <v>139</v>
      </c>
      <c r="J34" s="71" t="s">
        <v>61</v>
      </c>
      <c r="K34" s="71">
        <v>0</v>
      </c>
      <c r="L34" s="71" t="s">
        <v>165</v>
      </c>
      <c r="M34" s="71" t="s">
        <v>153</v>
      </c>
      <c r="N34" s="70">
        <v>2</v>
      </c>
      <c r="O34" s="73">
        <v>3.4722222222222224E-4</v>
      </c>
    </row>
    <row r="35" spans="1:15" s="123" customFormat="1" ht="54" customHeight="1" x14ac:dyDescent="0.2">
      <c r="A35" s="68"/>
      <c r="B35" s="69" t="s">
        <v>13</v>
      </c>
      <c r="C35" s="70" t="s">
        <v>166</v>
      </c>
      <c r="D35" s="70" t="s">
        <v>167</v>
      </c>
      <c r="E35" s="86" t="s">
        <v>11</v>
      </c>
      <c r="F35" s="86" t="s">
        <v>21</v>
      </c>
      <c r="G35" s="86" t="s">
        <v>138</v>
      </c>
      <c r="H35" s="87">
        <v>45348</v>
      </c>
      <c r="I35" s="71" t="s">
        <v>60</v>
      </c>
      <c r="J35" s="71" t="s">
        <v>140</v>
      </c>
      <c r="K35" s="71">
        <v>0</v>
      </c>
      <c r="L35" s="71" t="s">
        <v>168</v>
      </c>
      <c r="M35" s="71" t="s">
        <v>169</v>
      </c>
      <c r="N35" s="70">
        <v>2</v>
      </c>
      <c r="O35" s="73">
        <v>4.6296296296296293E-4</v>
      </c>
    </row>
    <row r="36" spans="1:15" s="123" customFormat="1" ht="54" customHeight="1" x14ac:dyDescent="0.2">
      <c r="A36" s="68"/>
      <c r="B36" s="69" t="s">
        <v>13</v>
      </c>
      <c r="C36" s="70" t="s">
        <v>170</v>
      </c>
      <c r="D36" s="70" t="s">
        <v>171</v>
      </c>
      <c r="E36" s="86" t="s">
        <v>11</v>
      </c>
      <c r="F36" s="86" t="s">
        <v>21</v>
      </c>
      <c r="G36" s="86" t="s">
        <v>138</v>
      </c>
      <c r="H36" s="87">
        <v>45348</v>
      </c>
      <c r="I36" s="71" t="s">
        <v>60</v>
      </c>
      <c r="J36" s="71" t="s">
        <v>140</v>
      </c>
      <c r="K36" s="71">
        <v>0</v>
      </c>
      <c r="L36" s="71" t="s">
        <v>168</v>
      </c>
      <c r="M36" s="71" t="s">
        <v>169</v>
      </c>
      <c r="N36" s="70">
        <v>2</v>
      </c>
      <c r="O36" s="73">
        <v>4.6296296296296293E-4</v>
      </c>
    </row>
    <row r="37" spans="1:15" s="123" customFormat="1" ht="54" customHeight="1" x14ac:dyDescent="0.2">
      <c r="A37" s="68"/>
      <c r="B37" s="69" t="s">
        <v>13</v>
      </c>
      <c r="C37" s="70" t="s">
        <v>172</v>
      </c>
      <c r="D37" s="70" t="s">
        <v>173</v>
      </c>
      <c r="E37" s="86" t="s">
        <v>11</v>
      </c>
      <c r="F37" s="86" t="s">
        <v>21</v>
      </c>
      <c r="G37" s="86" t="s">
        <v>138</v>
      </c>
      <c r="H37" s="87">
        <v>45348</v>
      </c>
      <c r="I37" s="71" t="s">
        <v>60</v>
      </c>
      <c r="J37" s="71" t="s">
        <v>140</v>
      </c>
      <c r="K37" s="71">
        <v>0</v>
      </c>
      <c r="L37" s="71" t="s">
        <v>174</v>
      </c>
      <c r="M37" s="71" t="s">
        <v>169</v>
      </c>
      <c r="N37" s="70">
        <v>1</v>
      </c>
      <c r="O37" s="73">
        <v>4.6296296296296293E-4</v>
      </c>
    </row>
    <row r="38" spans="1:15" s="123" customFormat="1" ht="54" customHeight="1" x14ac:dyDescent="0.2">
      <c r="A38" s="68"/>
      <c r="B38" s="69" t="s">
        <v>13</v>
      </c>
      <c r="C38" s="70" t="s">
        <v>175</v>
      </c>
      <c r="D38" s="70" t="s">
        <v>176</v>
      </c>
      <c r="E38" s="86" t="s">
        <v>11</v>
      </c>
      <c r="F38" s="86" t="s">
        <v>21</v>
      </c>
      <c r="G38" s="86" t="s">
        <v>138</v>
      </c>
      <c r="H38" s="87">
        <v>45348</v>
      </c>
      <c r="I38" s="71" t="s">
        <v>60</v>
      </c>
      <c r="J38" s="71" t="s">
        <v>140</v>
      </c>
      <c r="K38" s="71">
        <v>0</v>
      </c>
      <c r="L38" s="71" t="s">
        <v>174</v>
      </c>
      <c r="M38" s="71" t="s">
        <v>169</v>
      </c>
      <c r="N38" s="70">
        <v>1</v>
      </c>
      <c r="O38" s="73">
        <v>4.6296296296296293E-4</v>
      </c>
    </row>
    <row r="39" spans="1:15" s="123" customFormat="1" ht="54" customHeight="1" x14ac:dyDescent="0.2">
      <c r="A39" s="68"/>
      <c r="B39" s="69" t="s">
        <v>13</v>
      </c>
      <c r="C39" s="70" t="s">
        <v>177</v>
      </c>
      <c r="D39" s="70" t="s">
        <v>178</v>
      </c>
      <c r="E39" s="86" t="s">
        <v>11</v>
      </c>
      <c r="F39" s="86" t="s">
        <v>21</v>
      </c>
      <c r="G39" s="86" t="s">
        <v>138</v>
      </c>
      <c r="H39" s="87">
        <v>45348</v>
      </c>
      <c r="I39" s="71" t="s">
        <v>60</v>
      </c>
      <c r="J39" s="71" t="s">
        <v>140</v>
      </c>
      <c r="K39" s="71">
        <v>0</v>
      </c>
      <c r="L39" s="71" t="s">
        <v>174</v>
      </c>
      <c r="M39" s="71" t="s">
        <v>169</v>
      </c>
      <c r="N39" s="70">
        <v>1</v>
      </c>
      <c r="O39" s="73">
        <v>4.6296296296296293E-4</v>
      </c>
    </row>
    <row r="40" spans="1:15" s="123" customFormat="1" ht="54" customHeight="1" x14ac:dyDescent="0.2">
      <c r="A40" s="84"/>
      <c r="B40" s="69" t="s">
        <v>13</v>
      </c>
      <c r="C40" s="70" t="s">
        <v>179</v>
      </c>
      <c r="D40" s="70" t="s">
        <v>167</v>
      </c>
      <c r="E40" s="86" t="s">
        <v>11</v>
      </c>
      <c r="F40" s="86" t="s">
        <v>21</v>
      </c>
      <c r="G40" s="86" t="s">
        <v>138</v>
      </c>
      <c r="H40" s="87">
        <v>45348</v>
      </c>
      <c r="I40" s="71" t="s">
        <v>60</v>
      </c>
      <c r="J40" s="71" t="s">
        <v>140</v>
      </c>
      <c r="K40" s="71">
        <v>0</v>
      </c>
      <c r="L40" s="71" t="s">
        <v>168</v>
      </c>
      <c r="M40" s="71" t="s">
        <v>169</v>
      </c>
      <c r="N40" s="70">
        <v>2</v>
      </c>
      <c r="O40" s="73">
        <v>4.6296296296296293E-4</v>
      </c>
    </row>
    <row r="41" spans="1:15" s="123" customFormat="1" ht="54" customHeight="1" x14ac:dyDescent="0.2">
      <c r="A41" s="68"/>
      <c r="B41" s="69" t="s">
        <v>13</v>
      </c>
      <c r="C41" s="70" t="s">
        <v>180</v>
      </c>
      <c r="D41" s="70" t="s">
        <v>171</v>
      </c>
      <c r="E41" s="86" t="s">
        <v>11</v>
      </c>
      <c r="F41" s="86" t="s">
        <v>21</v>
      </c>
      <c r="G41" s="86" t="s">
        <v>138</v>
      </c>
      <c r="H41" s="87">
        <v>45348</v>
      </c>
      <c r="I41" s="71" t="s">
        <v>60</v>
      </c>
      <c r="J41" s="71" t="s">
        <v>140</v>
      </c>
      <c r="K41" s="71">
        <v>0</v>
      </c>
      <c r="L41" s="71" t="s">
        <v>168</v>
      </c>
      <c r="M41" s="71" t="s">
        <v>169</v>
      </c>
      <c r="N41" s="70">
        <v>2</v>
      </c>
      <c r="O41" s="73">
        <v>4.6296296296296293E-4</v>
      </c>
    </row>
    <row r="42" spans="1:15" s="123" customFormat="1" ht="54" customHeight="1" x14ac:dyDescent="0.2">
      <c r="A42" s="68"/>
      <c r="B42" s="69" t="s">
        <v>13</v>
      </c>
      <c r="C42" s="70" t="s">
        <v>181</v>
      </c>
      <c r="D42" s="70" t="s">
        <v>182</v>
      </c>
      <c r="E42" s="86" t="s">
        <v>11</v>
      </c>
      <c r="F42" s="86" t="s">
        <v>21</v>
      </c>
      <c r="G42" s="86" t="s">
        <v>183</v>
      </c>
      <c r="H42" s="87">
        <v>45348</v>
      </c>
      <c r="I42" s="71" t="s">
        <v>93</v>
      </c>
      <c r="J42" s="71" t="s">
        <v>61</v>
      </c>
      <c r="K42" s="71">
        <v>0</v>
      </c>
      <c r="L42" s="71" t="s">
        <v>184</v>
      </c>
      <c r="M42" s="71" t="s">
        <v>114</v>
      </c>
      <c r="N42" s="70">
        <v>1</v>
      </c>
      <c r="O42" s="73">
        <v>6.9444444444444447E-4</v>
      </c>
    </row>
    <row r="43" spans="1:15" s="123" customFormat="1" ht="54" customHeight="1" thickBot="1" x14ac:dyDescent="0.25">
      <c r="A43" s="137"/>
      <c r="B43" s="139" t="s">
        <v>13</v>
      </c>
      <c r="C43" s="140" t="s">
        <v>185</v>
      </c>
      <c r="D43" s="140" t="s">
        <v>186</v>
      </c>
      <c r="E43" s="141" t="s">
        <v>21</v>
      </c>
      <c r="F43" s="141"/>
      <c r="G43" s="141"/>
      <c r="H43" s="142"/>
      <c r="I43" s="143" t="s">
        <v>60</v>
      </c>
      <c r="J43" s="143" t="s">
        <v>61</v>
      </c>
      <c r="K43" s="143">
        <v>0</v>
      </c>
      <c r="L43" s="143" t="s">
        <v>187</v>
      </c>
      <c r="M43" s="143" t="s">
        <v>153</v>
      </c>
      <c r="N43" s="140">
        <v>2</v>
      </c>
      <c r="O43" s="144">
        <v>6.9444444444444447E-4</v>
      </c>
    </row>
    <row r="44" spans="1:15" s="123" customFormat="1" ht="54" customHeight="1" thickTop="1" x14ac:dyDescent="0.2">
      <c r="B44" s="124" t="s">
        <v>16</v>
      </c>
      <c r="C44" s="125" t="s">
        <v>188</v>
      </c>
      <c r="D44" s="125" t="s">
        <v>189</v>
      </c>
      <c r="E44" s="126" t="s">
        <v>11</v>
      </c>
      <c r="F44" s="126" t="s">
        <v>21</v>
      </c>
      <c r="G44" s="126" t="s">
        <v>190</v>
      </c>
      <c r="H44" s="127">
        <v>45340</v>
      </c>
      <c r="I44" s="128" t="s">
        <v>139</v>
      </c>
      <c r="J44" s="128" t="s">
        <v>61</v>
      </c>
      <c r="K44" s="128">
        <v>0</v>
      </c>
      <c r="L44" s="128" t="s">
        <v>191</v>
      </c>
      <c r="M44" s="128" t="s">
        <v>192</v>
      </c>
      <c r="N44" s="125">
        <v>2</v>
      </c>
      <c r="O44" s="129">
        <v>1.0416666666666667E-3</v>
      </c>
    </row>
    <row r="45" spans="1:15" s="123" customFormat="1" ht="54" customHeight="1" x14ac:dyDescent="0.2">
      <c r="B45" s="130" t="s">
        <v>16</v>
      </c>
      <c r="C45" s="131" t="s">
        <v>193</v>
      </c>
      <c r="D45" s="131" t="s">
        <v>194</v>
      </c>
      <c r="E45" s="132" t="s">
        <v>11</v>
      </c>
      <c r="F45" s="132" t="s">
        <v>21</v>
      </c>
      <c r="G45" s="132" t="s">
        <v>164</v>
      </c>
      <c r="H45" s="133">
        <v>45342</v>
      </c>
      <c r="I45" s="134" t="s">
        <v>139</v>
      </c>
      <c r="J45" s="134" t="s">
        <v>61</v>
      </c>
      <c r="K45" s="134">
        <v>0</v>
      </c>
      <c r="L45" s="134" t="s">
        <v>195</v>
      </c>
      <c r="M45" s="134" t="s">
        <v>153</v>
      </c>
      <c r="N45" s="131">
        <v>2</v>
      </c>
      <c r="O45" s="135">
        <v>1.5624999999999999E-3</v>
      </c>
    </row>
    <row r="46" spans="1:15" s="123" customFormat="1" ht="54" customHeight="1" x14ac:dyDescent="0.2">
      <c r="B46" s="130" t="s">
        <v>16</v>
      </c>
      <c r="C46" s="131" t="s">
        <v>196</v>
      </c>
      <c r="D46" s="131" t="s">
        <v>197</v>
      </c>
      <c r="E46" s="132" t="s">
        <v>11</v>
      </c>
      <c r="F46" s="132" t="s">
        <v>21</v>
      </c>
      <c r="G46" s="132" t="s">
        <v>157</v>
      </c>
      <c r="H46" s="133">
        <v>45341</v>
      </c>
      <c r="I46" s="134" t="s">
        <v>139</v>
      </c>
      <c r="J46" s="134" t="s">
        <v>61</v>
      </c>
      <c r="K46" s="134">
        <v>0</v>
      </c>
      <c r="L46" s="134" t="s">
        <v>198</v>
      </c>
      <c r="M46" s="134" t="s">
        <v>153</v>
      </c>
      <c r="N46" s="131">
        <v>2</v>
      </c>
      <c r="O46" s="135">
        <v>6.9444444444444447E-4</v>
      </c>
    </row>
    <row r="47" spans="1:15" s="123" customFormat="1" ht="54" customHeight="1" x14ac:dyDescent="0.2">
      <c r="B47" s="130" t="s">
        <v>16</v>
      </c>
      <c r="C47" s="131" t="s">
        <v>199</v>
      </c>
      <c r="D47" s="131" t="s">
        <v>200</v>
      </c>
      <c r="E47" s="132" t="s">
        <v>11</v>
      </c>
      <c r="F47" s="132" t="s">
        <v>21</v>
      </c>
      <c r="G47" s="132" t="s">
        <v>157</v>
      </c>
      <c r="H47" s="133">
        <v>45341</v>
      </c>
      <c r="I47" s="134" t="s">
        <v>139</v>
      </c>
      <c r="J47" s="134" t="s">
        <v>61</v>
      </c>
      <c r="K47" s="134">
        <v>0</v>
      </c>
      <c r="L47" s="134" t="s">
        <v>201</v>
      </c>
      <c r="M47" s="134" t="s">
        <v>153</v>
      </c>
      <c r="N47" s="131">
        <v>2</v>
      </c>
      <c r="O47" s="135">
        <v>6.9444444444444447E-4</v>
      </c>
    </row>
    <row r="48" spans="1:15" s="123" customFormat="1" ht="54" customHeight="1" x14ac:dyDescent="0.2">
      <c r="B48" s="130" t="s">
        <v>16</v>
      </c>
      <c r="C48" s="131" t="s">
        <v>202</v>
      </c>
      <c r="D48" s="131" t="s">
        <v>203</v>
      </c>
      <c r="E48" s="132" t="s">
        <v>11</v>
      </c>
      <c r="F48" s="132" t="s">
        <v>21</v>
      </c>
      <c r="G48" s="132" t="s">
        <v>151</v>
      </c>
      <c r="H48" s="133">
        <v>45342</v>
      </c>
      <c r="I48" s="134" t="s">
        <v>139</v>
      </c>
      <c r="J48" s="134" t="s">
        <v>140</v>
      </c>
      <c r="K48" s="134">
        <v>0</v>
      </c>
      <c r="L48" s="134" t="s">
        <v>204</v>
      </c>
      <c r="M48" s="134" t="s">
        <v>153</v>
      </c>
      <c r="N48" s="131">
        <v>2</v>
      </c>
      <c r="O48" s="135">
        <v>5.2083333333333333E-4</v>
      </c>
    </row>
    <row r="49" spans="1:15" s="123" customFormat="1" ht="54" customHeight="1" x14ac:dyDescent="0.2">
      <c r="A49" s="68"/>
      <c r="B49" s="69" t="s">
        <v>16</v>
      </c>
      <c r="C49" s="70" t="s">
        <v>205</v>
      </c>
      <c r="D49" s="70" t="s">
        <v>206</v>
      </c>
      <c r="E49" s="86" t="s">
        <v>11</v>
      </c>
      <c r="F49" s="86"/>
      <c r="G49" s="86" t="s">
        <v>207</v>
      </c>
      <c r="H49" s="87">
        <v>45978</v>
      </c>
      <c r="I49" s="71" t="s">
        <v>139</v>
      </c>
      <c r="J49" s="71" t="s">
        <v>61</v>
      </c>
      <c r="K49" s="71">
        <v>0</v>
      </c>
      <c r="L49" s="71" t="s">
        <v>208</v>
      </c>
      <c r="M49" s="71" t="s">
        <v>209</v>
      </c>
      <c r="N49" s="70">
        <v>2</v>
      </c>
      <c r="O49" s="73">
        <v>6.9444444444444447E-4</v>
      </c>
    </row>
    <row r="50" spans="1:15" s="123" customFormat="1" ht="54" customHeight="1" x14ac:dyDescent="0.2">
      <c r="B50" s="130" t="s">
        <v>16</v>
      </c>
      <c r="C50" s="131" t="s">
        <v>210</v>
      </c>
      <c r="D50" s="131" t="s">
        <v>211</v>
      </c>
      <c r="E50" s="132" t="s">
        <v>11</v>
      </c>
      <c r="F50" s="132" t="s">
        <v>21</v>
      </c>
      <c r="G50" s="132" t="s">
        <v>212</v>
      </c>
      <c r="H50" s="133">
        <v>45341</v>
      </c>
      <c r="I50" s="134" t="s">
        <v>139</v>
      </c>
      <c r="J50" s="134" t="s">
        <v>140</v>
      </c>
      <c r="K50" s="134">
        <v>0</v>
      </c>
      <c r="L50" s="134" t="s">
        <v>213</v>
      </c>
      <c r="M50" s="134" t="s">
        <v>209</v>
      </c>
      <c r="N50" s="131">
        <v>1</v>
      </c>
      <c r="O50" s="135">
        <v>3.4722222222222224E-4</v>
      </c>
    </row>
    <row r="51" spans="1:15" s="123" customFormat="1" ht="54" customHeight="1" x14ac:dyDescent="0.2">
      <c r="B51" s="130" t="s">
        <v>16</v>
      </c>
      <c r="C51" s="131" t="s">
        <v>214</v>
      </c>
      <c r="D51" s="131" t="s">
        <v>211</v>
      </c>
      <c r="E51" s="132" t="s">
        <v>11</v>
      </c>
      <c r="F51" s="132" t="s">
        <v>21</v>
      </c>
      <c r="G51" s="132" t="s">
        <v>212</v>
      </c>
      <c r="H51" s="133">
        <v>45341</v>
      </c>
      <c r="I51" s="134" t="s">
        <v>139</v>
      </c>
      <c r="J51" s="134" t="s">
        <v>140</v>
      </c>
      <c r="K51" s="134">
        <v>0</v>
      </c>
      <c r="L51" s="134" t="s">
        <v>213</v>
      </c>
      <c r="M51" s="134" t="s">
        <v>209</v>
      </c>
      <c r="N51" s="131">
        <v>1</v>
      </c>
      <c r="O51" s="135">
        <v>3.4722222222222224E-4</v>
      </c>
    </row>
    <row r="52" spans="1:15" s="123" customFormat="1" ht="54" customHeight="1" x14ac:dyDescent="0.2">
      <c r="B52" s="130" t="s">
        <v>16</v>
      </c>
      <c r="C52" s="131" t="s">
        <v>215</v>
      </c>
      <c r="D52" s="131" t="s">
        <v>216</v>
      </c>
      <c r="E52" s="132" t="s">
        <v>11</v>
      </c>
      <c r="F52" s="132" t="s">
        <v>21</v>
      </c>
      <c r="G52" s="132" t="s">
        <v>217</v>
      </c>
      <c r="H52" s="133">
        <v>45341</v>
      </c>
      <c r="I52" s="134" t="s">
        <v>93</v>
      </c>
      <c r="J52" s="134" t="s">
        <v>140</v>
      </c>
      <c r="K52" s="134">
        <v>0</v>
      </c>
      <c r="L52" s="134" t="s">
        <v>218</v>
      </c>
      <c r="M52" s="134" t="s">
        <v>219</v>
      </c>
      <c r="N52" s="131">
        <v>1</v>
      </c>
      <c r="O52" s="135">
        <v>3.4722222222222224E-4</v>
      </c>
    </row>
    <row r="53" spans="1:15" s="123" customFormat="1" ht="54" customHeight="1" x14ac:dyDescent="0.2">
      <c r="B53" s="130" t="s">
        <v>16</v>
      </c>
      <c r="C53" s="131" t="s">
        <v>220</v>
      </c>
      <c r="D53" s="131" t="s">
        <v>221</v>
      </c>
      <c r="E53" s="132" t="s">
        <v>11</v>
      </c>
      <c r="F53" s="132" t="s">
        <v>21</v>
      </c>
      <c r="G53" s="132" t="s">
        <v>222</v>
      </c>
      <c r="H53" s="133">
        <v>45341</v>
      </c>
      <c r="I53" s="134" t="s">
        <v>139</v>
      </c>
      <c r="J53" s="134" t="s">
        <v>140</v>
      </c>
      <c r="K53" s="134">
        <v>0</v>
      </c>
      <c r="L53" s="134" t="s">
        <v>223</v>
      </c>
      <c r="M53" s="134" t="s">
        <v>209</v>
      </c>
      <c r="N53" s="131">
        <v>1</v>
      </c>
      <c r="O53" s="135">
        <v>5.7870370370370378E-4</v>
      </c>
    </row>
    <row r="54" spans="1:15" s="123" customFormat="1" ht="54" customHeight="1" x14ac:dyDescent="0.2">
      <c r="A54" s="68"/>
      <c r="B54" s="69" t="s">
        <v>16</v>
      </c>
      <c r="C54" s="70" t="s">
        <v>224</v>
      </c>
      <c r="D54" s="70" t="s">
        <v>225</v>
      </c>
      <c r="E54" s="86" t="s">
        <v>11</v>
      </c>
      <c r="F54" s="86" t="s">
        <v>21</v>
      </c>
      <c r="G54" s="86" t="s">
        <v>226</v>
      </c>
      <c r="H54" s="87">
        <v>45979</v>
      </c>
      <c r="I54" s="71" t="s">
        <v>139</v>
      </c>
      <c r="J54" s="71" t="s">
        <v>140</v>
      </c>
      <c r="K54" s="71">
        <v>0</v>
      </c>
      <c r="L54" s="71" t="s">
        <v>227</v>
      </c>
      <c r="M54" s="71" t="s">
        <v>209</v>
      </c>
      <c r="N54" s="70">
        <v>2</v>
      </c>
      <c r="O54" s="73">
        <v>6.9444444444444447E-4</v>
      </c>
    </row>
    <row r="55" spans="1:15" s="123" customFormat="1" ht="54" customHeight="1" x14ac:dyDescent="0.2">
      <c r="B55" s="130" t="s">
        <v>16</v>
      </c>
      <c r="C55" s="131" t="s">
        <v>228</v>
      </c>
      <c r="D55" s="131" t="s">
        <v>229</v>
      </c>
      <c r="E55" s="132" t="s">
        <v>11</v>
      </c>
      <c r="F55" s="132" t="s">
        <v>21</v>
      </c>
      <c r="G55" s="132" t="s">
        <v>230</v>
      </c>
      <c r="H55" s="133">
        <v>45340</v>
      </c>
      <c r="I55" s="134" t="s">
        <v>60</v>
      </c>
      <c r="J55" s="134" t="s">
        <v>140</v>
      </c>
      <c r="K55" s="134">
        <v>0</v>
      </c>
      <c r="L55" s="134" t="s">
        <v>231</v>
      </c>
      <c r="M55" s="134" t="s">
        <v>209</v>
      </c>
      <c r="N55" s="131">
        <v>1</v>
      </c>
      <c r="O55" s="135">
        <v>3.4722222222222224E-4</v>
      </c>
    </row>
    <row r="56" spans="1:15" s="123" customFormat="1" ht="54" customHeight="1" x14ac:dyDescent="0.2">
      <c r="B56" s="130" t="s">
        <v>16</v>
      </c>
      <c r="C56" s="131" t="s">
        <v>232</v>
      </c>
      <c r="D56" s="131" t="s">
        <v>233</v>
      </c>
      <c r="E56" s="132" t="s">
        <v>11</v>
      </c>
      <c r="F56" s="132" t="s">
        <v>21</v>
      </c>
      <c r="G56" s="132" t="s">
        <v>222</v>
      </c>
      <c r="H56" s="133">
        <v>45341</v>
      </c>
      <c r="I56" s="134" t="s">
        <v>139</v>
      </c>
      <c r="J56" s="134" t="s">
        <v>61</v>
      </c>
      <c r="K56" s="134">
        <v>0</v>
      </c>
      <c r="L56" s="134" t="s">
        <v>223</v>
      </c>
      <c r="M56" s="134" t="s">
        <v>209</v>
      </c>
      <c r="N56" s="131">
        <v>1</v>
      </c>
      <c r="O56" s="135">
        <v>1.0416666666666667E-3</v>
      </c>
    </row>
    <row r="57" spans="1:15" s="123" customFormat="1" ht="54" customHeight="1" x14ac:dyDescent="0.2">
      <c r="B57" s="130" t="s">
        <v>16</v>
      </c>
      <c r="C57" s="131" t="s">
        <v>234</v>
      </c>
      <c r="D57" s="131" t="s">
        <v>235</v>
      </c>
      <c r="E57" s="132" t="s">
        <v>11</v>
      </c>
      <c r="F57" s="132" t="s">
        <v>21</v>
      </c>
      <c r="G57" s="132" t="s">
        <v>236</v>
      </c>
      <c r="H57" s="133">
        <v>45341</v>
      </c>
      <c r="I57" s="134" t="s">
        <v>139</v>
      </c>
      <c r="J57" s="134" t="s">
        <v>140</v>
      </c>
      <c r="K57" s="134">
        <v>0</v>
      </c>
      <c r="L57" s="134" t="s">
        <v>237</v>
      </c>
      <c r="M57" s="134" t="s">
        <v>209</v>
      </c>
      <c r="N57" s="131">
        <v>1</v>
      </c>
      <c r="O57" s="135">
        <v>1.1574074074074073E-4</v>
      </c>
    </row>
    <row r="58" spans="1:15" s="123" customFormat="1" ht="54" customHeight="1" x14ac:dyDescent="0.2">
      <c r="A58" s="68"/>
      <c r="B58" s="69" t="s">
        <v>16</v>
      </c>
      <c r="C58" s="70" t="s">
        <v>238</v>
      </c>
      <c r="D58" s="70" t="s">
        <v>239</v>
      </c>
      <c r="E58" s="86" t="s">
        <v>11</v>
      </c>
      <c r="F58" s="86" t="s">
        <v>21</v>
      </c>
      <c r="G58" s="86" t="s">
        <v>240</v>
      </c>
      <c r="H58" s="87">
        <v>45978</v>
      </c>
      <c r="I58" s="71" t="s">
        <v>139</v>
      </c>
      <c r="J58" s="71" t="s">
        <v>140</v>
      </c>
      <c r="K58" s="71">
        <v>0</v>
      </c>
      <c r="L58" s="71" t="s">
        <v>241</v>
      </c>
      <c r="M58" s="71" t="s">
        <v>242</v>
      </c>
      <c r="N58" s="70">
        <v>2</v>
      </c>
      <c r="O58" s="73">
        <v>3.4722222222222224E-4</v>
      </c>
    </row>
    <row r="59" spans="1:15" s="123" customFormat="1" ht="54" customHeight="1" x14ac:dyDescent="0.2">
      <c r="B59" s="130" t="s">
        <v>16</v>
      </c>
      <c r="C59" s="131" t="s">
        <v>243</v>
      </c>
      <c r="D59" s="131" t="s">
        <v>244</v>
      </c>
      <c r="E59" s="132" t="s">
        <v>11</v>
      </c>
      <c r="F59" s="132" t="s">
        <v>21</v>
      </c>
      <c r="G59" s="132" t="s">
        <v>245</v>
      </c>
      <c r="H59" s="133">
        <v>45341</v>
      </c>
      <c r="I59" s="134" t="s">
        <v>139</v>
      </c>
      <c r="J59" s="134" t="s">
        <v>140</v>
      </c>
      <c r="K59" s="134">
        <v>0</v>
      </c>
      <c r="L59" s="134" t="s">
        <v>246</v>
      </c>
      <c r="M59" s="134" t="s">
        <v>209</v>
      </c>
      <c r="N59" s="131">
        <v>2</v>
      </c>
      <c r="O59" s="135">
        <v>6.9444444444444447E-4</v>
      </c>
    </row>
    <row r="60" spans="1:15" s="123" customFormat="1" ht="54" customHeight="1" x14ac:dyDescent="0.2">
      <c r="B60" s="130" t="s">
        <v>16</v>
      </c>
      <c r="C60" s="131" t="s">
        <v>247</v>
      </c>
      <c r="D60" s="131" t="s">
        <v>248</v>
      </c>
      <c r="E60" s="132" t="s">
        <v>11</v>
      </c>
      <c r="F60" s="132" t="s">
        <v>21</v>
      </c>
      <c r="G60" s="132" t="s">
        <v>249</v>
      </c>
      <c r="H60" s="133">
        <v>45341</v>
      </c>
      <c r="I60" s="134" t="s">
        <v>139</v>
      </c>
      <c r="J60" s="134" t="s">
        <v>140</v>
      </c>
      <c r="K60" s="134">
        <v>0</v>
      </c>
      <c r="L60" s="134" t="s">
        <v>250</v>
      </c>
      <c r="M60" s="134" t="s">
        <v>209</v>
      </c>
      <c r="N60" s="131">
        <v>1</v>
      </c>
      <c r="O60" s="135">
        <v>6.9444444444444447E-4</v>
      </c>
    </row>
    <row r="61" spans="1:15" s="123" customFormat="1" ht="54" customHeight="1" x14ac:dyDescent="0.2">
      <c r="A61" s="68"/>
      <c r="B61" s="69" t="s">
        <v>16</v>
      </c>
      <c r="C61" s="70" t="s">
        <v>251</v>
      </c>
      <c r="D61" s="70" t="s">
        <v>252</v>
      </c>
      <c r="E61" s="86" t="s">
        <v>11</v>
      </c>
      <c r="F61" s="86" t="s">
        <v>21</v>
      </c>
      <c r="G61" s="86" t="s">
        <v>253</v>
      </c>
      <c r="H61" s="87">
        <v>45979</v>
      </c>
      <c r="I61" s="71" t="s">
        <v>139</v>
      </c>
      <c r="J61" s="71" t="s">
        <v>140</v>
      </c>
      <c r="K61" s="71">
        <v>0</v>
      </c>
      <c r="L61" s="71" t="s">
        <v>254</v>
      </c>
      <c r="M61" s="71" t="s">
        <v>242</v>
      </c>
      <c r="N61" s="70">
        <v>1</v>
      </c>
      <c r="O61" s="73">
        <v>6.9444444444444447E-4</v>
      </c>
    </row>
    <row r="62" spans="1:15" s="123" customFormat="1" ht="54" customHeight="1" x14ac:dyDescent="0.2">
      <c r="B62" s="130" t="s">
        <v>16</v>
      </c>
      <c r="C62" s="131" t="s">
        <v>255</v>
      </c>
      <c r="D62" s="131" t="s">
        <v>256</v>
      </c>
      <c r="E62" s="132" t="s">
        <v>11</v>
      </c>
      <c r="F62" s="132" t="s">
        <v>21</v>
      </c>
      <c r="G62" s="132" t="s">
        <v>257</v>
      </c>
      <c r="H62" s="133">
        <v>45341</v>
      </c>
      <c r="I62" s="134" t="s">
        <v>60</v>
      </c>
      <c r="J62" s="134" t="s">
        <v>140</v>
      </c>
      <c r="K62" s="134">
        <v>0</v>
      </c>
      <c r="L62" s="134" t="s">
        <v>258</v>
      </c>
      <c r="M62" s="134" t="s">
        <v>209</v>
      </c>
      <c r="N62" s="131">
        <v>1</v>
      </c>
      <c r="O62" s="135">
        <v>3.4722222222222224E-4</v>
      </c>
    </row>
    <row r="63" spans="1:15" s="123" customFormat="1" ht="54" customHeight="1" x14ac:dyDescent="0.2">
      <c r="B63" s="130" t="s">
        <v>16</v>
      </c>
      <c r="C63" s="132" t="s">
        <v>259</v>
      </c>
      <c r="D63" s="132" t="s">
        <v>260</v>
      </c>
      <c r="E63" s="132" t="s">
        <v>11</v>
      </c>
      <c r="F63" s="132" t="s">
        <v>21</v>
      </c>
      <c r="G63" s="132" t="s">
        <v>261</v>
      </c>
      <c r="H63" s="133">
        <v>45341</v>
      </c>
      <c r="I63" s="134" t="s">
        <v>60</v>
      </c>
      <c r="J63" s="134" t="s">
        <v>140</v>
      </c>
      <c r="K63" s="134">
        <v>0</v>
      </c>
      <c r="L63" s="134" t="s">
        <v>262</v>
      </c>
      <c r="M63" s="134" t="s">
        <v>209</v>
      </c>
      <c r="N63" s="131">
        <v>2</v>
      </c>
      <c r="O63" s="135">
        <v>3.4722222222222224E-4</v>
      </c>
    </row>
    <row r="64" spans="1:15" s="123" customFormat="1" ht="54" customHeight="1" x14ac:dyDescent="0.2">
      <c r="B64" s="130" t="s">
        <v>16</v>
      </c>
      <c r="C64" s="131" t="s">
        <v>263</v>
      </c>
      <c r="D64" s="131" t="s">
        <v>264</v>
      </c>
      <c r="E64" s="132" t="s">
        <v>11</v>
      </c>
      <c r="F64" s="132" t="s">
        <v>21</v>
      </c>
      <c r="G64" s="132" t="s">
        <v>230</v>
      </c>
      <c r="H64" s="133">
        <v>45340</v>
      </c>
      <c r="I64" s="134" t="s">
        <v>60</v>
      </c>
      <c r="J64" s="134" t="s">
        <v>140</v>
      </c>
      <c r="K64" s="134">
        <v>0</v>
      </c>
      <c r="L64" s="134" t="s">
        <v>265</v>
      </c>
      <c r="M64" s="134" t="s">
        <v>209</v>
      </c>
      <c r="N64" s="131">
        <v>1</v>
      </c>
      <c r="O64" s="135">
        <v>3.4722222222222224E-4</v>
      </c>
    </row>
    <row r="65" spans="2:15" s="123" customFormat="1" ht="54" customHeight="1" x14ac:dyDescent="0.2">
      <c r="B65" s="130" t="s">
        <v>16</v>
      </c>
      <c r="C65" s="131" t="s">
        <v>266</v>
      </c>
      <c r="D65" s="131" t="s">
        <v>267</v>
      </c>
      <c r="E65" s="132" t="s">
        <v>11</v>
      </c>
      <c r="F65" s="132" t="s">
        <v>21</v>
      </c>
      <c r="G65" s="132" t="s">
        <v>268</v>
      </c>
      <c r="H65" s="133">
        <v>45340</v>
      </c>
      <c r="I65" s="134" t="s">
        <v>60</v>
      </c>
      <c r="J65" s="134" t="s">
        <v>140</v>
      </c>
      <c r="K65" s="134">
        <v>0</v>
      </c>
      <c r="L65" s="134" t="s">
        <v>269</v>
      </c>
      <c r="M65" s="134" t="s">
        <v>209</v>
      </c>
      <c r="N65" s="131">
        <v>1</v>
      </c>
      <c r="O65" s="135">
        <v>3.4722222222222224E-4</v>
      </c>
    </row>
    <row r="66" spans="2:15" s="123" customFormat="1" ht="54" customHeight="1" x14ac:dyDescent="0.2">
      <c r="B66" s="130" t="s">
        <v>16</v>
      </c>
      <c r="C66" s="131" t="s">
        <v>270</v>
      </c>
      <c r="D66" s="131" t="s">
        <v>271</v>
      </c>
      <c r="E66" s="132" t="s">
        <v>11</v>
      </c>
      <c r="F66" s="132" t="s">
        <v>21</v>
      </c>
      <c r="G66" s="132" t="s">
        <v>268</v>
      </c>
      <c r="H66" s="133">
        <v>45340</v>
      </c>
      <c r="I66" s="134" t="s">
        <v>60</v>
      </c>
      <c r="J66" s="134" t="s">
        <v>140</v>
      </c>
      <c r="K66" s="134">
        <v>0</v>
      </c>
      <c r="L66" s="134" t="s">
        <v>272</v>
      </c>
      <c r="M66" s="134" t="s">
        <v>209</v>
      </c>
      <c r="N66" s="131">
        <v>1</v>
      </c>
      <c r="O66" s="135">
        <v>3.4722222222222224E-4</v>
      </c>
    </row>
    <row r="67" spans="2:15" s="123" customFormat="1" ht="54" customHeight="1" x14ac:dyDescent="0.2">
      <c r="B67" s="130" t="s">
        <v>16</v>
      </c>
      <c r="C67" s="131" t="s">
        <v>273</v>
      </c>
      <c r="D67" s="131" t="s">
        <v>274</v>
      </c>
      <c r="E67" s="132" t="s">
        <v>11</v>
      </c>
      <c r="F67" s="132" t="s">
        <v>21</v>
      </c>
      <c r="G67" s="132" t="s">
        <v>275</v>
      </c>
      <c r="H67" s="133">
        <v>45340</v>
      </c>
      <c r="I67" s="134" t="s">
        <v>60</v>
      </c>
      <c r="J67" s="134" t="s">
        <v>140</v>
      </c>
      <c r="K67" s="134">
        <v>0</v>
      </c>
      <c r="L67" s="134" t="s">
        <v>276</v>
      </c>
      <c r="M67" s="134" t="s">
        <v>209</v>
      </c>
      <c r="N67" s="131">
        <v>1</v>
      </c>
      <c r="O67" s="135">
        <v>3.4722222222222224E-4</v>
      </c>
    </row>
    <row r="68" spans="2:15" s="123" customFormat="1" ht="54" customHeight="1" x14ac:dyDescent="0.2">
      <c r="B68" s="130" t="s">
        <v>16</v>
      </c>
      <c r="C68" s="131" t="s">
        <v>277</v>
      </c>
      <c r="D68" s="131" t="s">
        <v>278</v>
      </c>
      <c r="E68" s="132" t="s">
        <v>11</v>
      </c>
      <c r="F68" s="132" t="s">
        <v>21</v>
      </c>
      <c r="G68" s="145" t="s">
        <v>279</v>
      </c>
      <c r="H68" s="146">
        <v>45341</v>
      </c>
      <c r="I68" s="134" t="s">
        <v>93</v>
      </c>
      <c r="J68" s="134" t="s">
        <v>140</v>
      </c>
      <c r="K68" s="134">
        <v>0</v>
      </c>
      <c r="L68" s="134" t="s">
        <v>280</v>
      </c>
      <c r="M68" s="134" t="s">
        <v>219</v>
      </c>
      <c r="N68" s="131">
        <v>1</v>
      </c>
      <c r="O68" s="135">
        <v>3.4722222222222224E-4</v>
      </c>
    </row>
    <row r="69" spans="2:15" s="123" customFormat="1" ht="54" customHeight="1" x14ac:dyDescent="0.2">
      <c r="B69" s="130" t="s">
        <v>16</v>
      </c>
      <c r="C69" s="131" t="s">
        <v>281</v>
      </c>
      <c r="D69" s="131" t="s">
        <v>282</v>
      </c>
      <c r="E69" s="132" t="s">
        <v>11</v>
      </c>
      <c r="F69" s="132" t="s">
        <v>21</v>
      </c>
      <c r="G69" s="145" t="s">
        <v>283</v>
      </c>
      <c r="H69" s="146">
        <v>45341</v>
      </c>
      <c r="I69" s="134" t="s">
        <v>93</v>
      </c>
      <c r="J69" s="134" t="s">
        <v>140</v>
      </c>
      <c r="K69" s="134">
        <v>0</v>
      </c>
      <c r="L69" s="134" t="s">
        <v>284</v>
      </c>
      <c r="M69" s="134" t="s">
        <v>219</v>
      </c>
      <c r="N69" s="131">
        <v>1</v>
      </c>
      <c r="O69" s="135">
        <v>5.2083333333333333E-4</v>
      </c>
    </row>
    <row r="70" spans="2:15" s="123" customFormat="1" ht="54" customHeight="1" x14ac:dyDescent="0.2">
      <c r="B70" s="130" t="s">
        <v>16</v>
      </c>
      <c r="C70" s="131" t="s">
        <v>285</v>
      </c>
      <c r="D70" s="131" t="s">
        <v>286</v>
      </c>
      <c r="E70" s="132" t="s">
        <v>11</v>
      </c>
      <c r="F70" s="132" t="s">
        <v>21</v>
      </c>
      <c r="G70" s="145" t="s">
        <v>283</v>
      </c>
      <c r="H70" s="146">
        <v>45341</v>
      </c>
      <c r="I70" s="134" t="s">
        <v>93</v>
      </c>
      <c r="J70" s="134" t="s">
        <v>140</v>
      </c>
      <c r="K70" s="134">
        <v>0</v>
      </c>
      <c r="L70" s="134" t="s">
        <v>287</v>
      </c>
      <c r="M70" s="134" t="s">
        <v>219</v>
      </c>
      <c r="N70" s="131">
        <v>1</v>
      </c>
      <c r="O70" s="135">
        <v>6.9444444444444447E-4</v>
      </c>
    </row>
    <row r="71" spans="2:15" s="123" customFormat="1" ht="54" customHeight="1" x14ac:dyDescent="0.2">
      <c r="B71" s="130" t="s">
        <v>16</v>
      </c>
      <c r="C71" s="131" t="s">
        <v>288</v>
      </c>
      <c r="D71" s="131" t="s">
        <v>289</v>
      </c>
      <c r="E71" s="132" t="s">
        <v>11</v>
      </c>
      <c r="F71" s="132" t="s">
        <v>21</v>
      </c>
      <c r="G71" s="132" t="s">
        <v>290</v>
      </c>
      <c r="H71" s="133">
        <v>45341</v>
      </c>
      <c r="I71" s="134" t="s">
        <v>60</v>
      </c>
      <c r="J71" s="134" t="s">
        <v>140</v>
      </c>
      <c r="K71" s="134">
        <v>0</v>
      </c>
      <c r="L71" s="134" t="s">
        <v>291</v>
      </c>
      <c r="M71" s="134" t="s">
        <v>209</v>
      </c>
      <c r="N71" s="131">
        <v>1</v>
      </c>
      <c r="O71" s="135">
        <v>3.4722222222222224E-4</v>
      </c>
    </row>
    <row r="72" spans="2:15" s="123" customFormat="1" ht="54" customHeight="1" x14ac:dyDescent="0.2">
      <c r="B72" s="130" t="s">
        <v>16</v>
      </c>
      <c r="C72" s="131" t="s">
        <v>292</v>
      </c>
      <c r="D72" s="131" t="s">
        <v>293</v>
      </c>
      <c r="E72" s="132" t="s">
        <v>11</v>
      </c>
      <c r="F72" s="132" t="s">
        <v>21</v>
      </c>
      <c r="G72" s="132" t="s">
        <v>245</v>
      </c>
      <c r="H72" s="133">
        <v>45341</v>
      </c>
      <c r="I72" s="134" t="s">
        <v>139</v>
      </c>
      <c r="J72" s="134" t="s">
        <v>140</v>
      </c>
      <c r="K72" s="134">
        <v>0</v>
      </c>
      <c r="L72" s="134" t="s">
        <v>294</v>
      </c>
      <c r="M72" s="134" t="s">
        <v>209</v>
      </c>
      <c r="N72" s="131">
        <v>1</v>
      </c>
      <c r="O72" s="135">
        <v>6.9444444444444447E-4</v>
      </c>
    </row>
    <row r="73" spans="2:15" s="123" customFormat="1" ht="54" customHeight="1" x14ac:dyDescent="0.2">
      <c r="B73" s="130" t="s">
        <v>16</v>
      </c>
      <c r="C73" s="131" t="s">
        <v>295</v>
      </c>
      <c r="D73" s="131" t="s">
        <v>296</v>
      </c>
      <c r="E73" s="132" t="s">
        <v>11</v>
      </c>
      <c r="F73" s="132" t="s">
        <v>21</v>
      </c>
      <c r="G73" s="132" t="s">
        <v>275</v>
      </c>
      <c r="H73" s="133">
        <v>45340</v>
      </c>
      <c r="I73" s="134" t="s">
        <v>60</v>
      </c>
      <c r="J73" s="134" t="s">
        <v>140</v>
      </c>
      <c r="K73" s="134">
        <v>0</v>
      </c>
      <c r="L73" s="134" t="s">
        <v>297</v>
      </c>
      <c r="M73" s="134" t="s">
        <v>209</v>
      </c>
      <c r="N73" s="131">
        <v>1</v>
      </c>
      <c r="O73" s="135">
        <v>1.3888888888888889E-3</v>
      </c>
    </row>
    <row r="74" spans="2:15" s="123" customFormat="1" ht="54" customHeight="1" x14ac:dyDescent="0.2">
      <c r="B74" s="130" t="s">
        <v>16</v>
      </c>
      <c r="C74" s="131" t="s">
        <v>298</v>
      </c>
      <c r="D74" s="131" t="s">
        <v>299</v>
      </c>
      <c r="E74" s="132" t="s">
        <v>11</v>
      </c>
      <c r="F74" s="132" t="s">
        <v>21</v>
      </c>
      <c r="G74" s="132" t="s">
        <v>300</v>
      </c>
      <c r="H74" s="133">
        <v>45340</v>
      </c>
      <c r="I74" s="134" t="s">
        <v>139</v>
      </c>
      <c r="J74" s="134" t="s">
        <v>140</v>
      </c>
      <c r="K74" s="134">
        <v>0</v>
      </c>
      <c r="L74" s="134" t="s">
        <v>301</v>
      </c>
      <c r="M74" s="134" t="s">
        <v>209</v>
      </c>
      <c r="N74" s="131">
        <v>1</v>
      </c>
      <c r="O74" s="135">
        <v>3.4722222222222224E-4</v>
      </c>
    </row>
    <row r="75" spans="2:15" s="123" customFormat="1" ht="54" customHeight="1" x14ac:dyDescent="0.2">
      <c r="B75" s="130" t="s">
        <v>16</v>
      </c>
      <c r="C75" s="131" t="s">
        <v>302</v>
      </c>
      <c r="D75" s="131" t="s">
        <v>303</v>
      </c>
      <c r="E75" s="132" t="s">
        <v>11</v>
      </c>
      <c r="F75" s="132" t="s">
        <v>21</v>
      </c>
      <c r="G75" s="132" t="s">
        <v>300</v>
      </c>
      <c r="H75" s="133">
        <v>45340</v>
      </c>
      <c r="I75" s="134" t="s">
        <v>139</v>
      </c>
      <c r="J75" s="134" t="s">
        <v>140</v>
      </c>
      <c r="K75" s="134">
        <v>0</v>
      </c>
      <c r="L75" s="134" t="s">
        <v>301</v>
      </c>
      <c r="M75" s="134" t="s">
        <v>209</v>
      </c>
      <c r="N75" s="131">
        <v>1</v>
      </c>
      <c r="O75" s="135">
        <v>3.4722222222222224E-4</v>
      </c>
    </row>
    <row r="76" spans="2:15" s="123" customFormat="1" ht="54" customHeight="1" x14ac:dyDescent="0.2">
      <c r="B76" s="130" t="s">
        <v>16</v>
      </c>
      <c r="C76" s="131" t="s">
        <v>304</v>
      </c>
      <c r="D76" s="131" t="s">
        <v>305</v>
      </c>
      <c r="E76" s="132" t="s">
        <v>11</v>
      </c>
      <c r="F76" s="132" t="s">
        <v>21</v>
      </c>
      <c r="G76" s="132" t="s">
        <v>300</v>
      </c>
      <c r="H76" s="133">
        <v>45340</v>
      </c>
      <c r="I76" s="134" t="s">
        <v>139</v>
      </c>
      <c r="J76" s="134" t="s">
        <v>140</v>
      </c>
      <c r="K76" s="134">
        <v>0</v>
      </c>
      <c r="L76" s="134" t="s">
        <v>301</v>
      </c>
      <c r="M76" s="134" t="s">
        <v>209</v>
      </c>
      <c r="N76" s="131">
        <v>1</v>
      </c>
      <c r="O76" s="135">
        <v>3.4722222222222224E-4</v>
      </c>
    </row>
    <row r="77" spans="2:15" s="123" customFormat="1" ht="54" customHeight="1" x14ac:dyDescent="0.2">
      <c r="B77" s="130" t="s">
        <v>16</v>
      </c>
      <c r="C77" s="131" t="s">
        <v>306</v>
      </c>
      <c r="D77" s="131" t="s">
        <v>307</v>
      </c>
      <c r="E77" s="132" t="s">
        <v>11</v>
      </c>
      <c r="F77" s="132" t="s">
        <v>21</v>
      </c>
      <c r="G77" s="132" t="s">
        <v>257</v>
      </c>
      <c r="H77" s="133">
        <v>45341</v>
      </c>
      <c r="I77" s="134" t="s">
        <v>60</v>
      </c>
      <c r="J77" s="134" t="s">
        <v>140</v>
      </c>
      <c r="K77" s="134">
        <v>0</v>
      </c>
      <c r="L77" s="134" t="s">
        <v>308</v>
      </c>
      <c r="M77" s="134" t="s">
        <v>209</v>
      </c>
      <c r="N77" s="131">
        <v>1</v>
      </c>
      <c r="O77" s="135">
        <v>6.9444444444444447E-4</v>
      </c>
    </row>
    <row r="78" spans="2:15" s="123" customFormat="1" ht="54" customHeight="1" x14ac:dyDescent="0.2">
      <c r="B78" s="130" t="s">
        <v>16</v>
      </c>
      <c r="C78" s="131" t="s">
        <v>309</v>
      </c>
      <c r="D78" s="131" t="s">
        <v>310</v>
      </c>
      <c r="E78" s="132" t="s">
        <v>11</v>
      </c>
      <c r="F78" s="132" t="s">
        <v>21</v>
      </c>
      <c r="G78" s="145" t="s">
        <v>217</v>
      </c>
      <c r="H78" s="146">
        <v>45341</v>
      </c>
      <c r="I78" s="134" t="s">
        <v>93</v>
      </c>
      <c r="J78" s="134" t="s">
        <v>140</v>
      </c>
      <c r="K78" s="134">
        <v>0</v>
      </c>
      <c r="L78" s="134" t="s">
        <v>218</v>
      </c>
      <c r="M78" s="134" t="s">
        <v>219</v>
      </c>
      <c r="N78" s="131">
        <v>1</v>
      </c>
      <c r="O78" s="135">
        <v>3.4722222222222224E-4</v>
      </c>
    </row>
    <row r="79" spans="2:15" s="123" customFormat="1" ht="54" customHeight="1" x14ac:dyDescent="0.2">
      <c r="B79" s="130" t="s">
        <v>16</v>
      </c>
      <c r="C79" s="131" t="s">
        <v>311</v>
      </c>
      <c r="D79" s="131" t="s">
        <v>312</v>
      </c>
      <c r="E79" s="131" t="s">
        <v>11</v>
      </c>
      <c r="F79" s="131" t="s">
        <v>21</v>
      </c>
      <c r="G79" s="131" t="s">
        <v>313</v>
      </c>
      <c r="H79" s="147">
        <v>45341</v>
      </c>
      <c r="I79" s="134" t="s">
        <v>60</v>
      </c>
      <c r="J79" s="134" t="s">
        <v>140</v>
      </c>
      <c r="K79" s="134">
        <v>0</v>
      </c>
      <c r="L79" s="134" t="s">
        <v>314</v>
      </c>
      <c r="M79" s="134" t="s">
        <v>209</v>
      </c>
      <c r="N79" s="131">
        <v>1</v>
      </c>
      <c r="O79" s="135">
        <v>8.6805555555555551E-4</v>
      </c>
    </row>
    <row r="80" spans="2:15" s="123" customFormat="1" ht="54" customHeight="1" x14ac:dyDescent="0.2">
      <c r="B80" s="130" t="s">
        <v>16</v>
      </c>
      <c r="C80" s="131" t="s">
        <v>315</v>
      </c>
      <c r="D80" s="131" t="s">
        <v>316</v>
      </c>
      <c r="E80" s="132" t="s">
        <v>11</v>
      </c>
      <c r="F80" s="132" t="s">
        <v>21</v>
      </c>
      <c r="G80" s="132" t="s">
        <v>317</v>
      </c>
      <c r="H80" s="133">
        <v>45341</v>
      </c>
      <c r="I80" s="134" t="s">
        <v>139</v>
      </c>
      <c r="J80" s="134" t="s">
        <v>140</v>
      </c>
      <c r="K80" s="134">
        <v>0</v>
      </c>
      <c r="L80" s="134" t="s">
        <v>318</v>
      </c>
      <c r="M80" s="134" t="s">
        <v>209</v>
      </c>
      <c r="N80" s="131">
        <v>1</v>
      </c>
      <c r="O80" s="135">
        <v>6.9444444444444447E-4</v>
      </c>
    </row>
    <row r="81" spans="1:15" s="123" customFormat="1" ht="54" customHeight="1" x14ac:dyDescent="0.2">
      <c r="B81" s="130" t="s">
        <v>16</v>
      </c>
      <c r="C81" s="131" t="s">
        <v>319</v>
      </c>
      <c r="D81" s="131" t="s">
        <v>320</v>
      </c>
      <c r="E81" s="132" t="s">
        <v>11</v>
      </c>
      <c r="F81" s="132" t="s">
        <v>21</v>
      </c>
      <c r="G81" s="132" t="s">
        <v>275</v>
      </c>
      <c r="H81" s="133">
        <v>45340</v>
      </c>
      <c r="I81" s="134" t="s">
        <v>60</v>
      </c>
      <c r="J81" s="134" t="s">
        <v>140</v>
      </c>
      <c r="K81" s="134">
        <v>0</v>
      </c>
      <c r="L81" s="134" t="s">
        <v>321</v>
      </c>
      <c r="M81" s="134" t="s">
        <v>209</v>
      </c>
      <c r="N81" s="131">
        <v>1</v>
      </c>
      <c r="O81" s="135">
        <v>6.9444444444444447E-4</v>
      </c>
    </row>
    <row r="82" spans="1:15" s="123" customFormat="1" ht="54" customHeight="1" x14ac:dyDescent="0.2">
      <c r="B82" s="130" t="s">
        <v>16</v>
      </c>
      <c r="C82" s="131" t="s">
        <v>322</v>
      </c>
      <c r="D82" s="131" t="s">
        <v>323</v>
      </c>
      <c r="E82" s="132" t="s">
        <v>11</v>
      </c>
      <c r="F82" s="132" t="s">
        <v>21</v>
      </c>
      <c r="G82" s="132" t="s">
        <v>317</v>
      </c>
      <c r="H82" s="133">
        <v>45341</v>
      </c>
      <c r="I82" s="134" t="s">
        <v>139</v>
      </c>
      <c r="J82" s="134" t="s">
        <v>140</v>
      </c>
      <c r="K82" s="134">
        <v>0</v>
      </c>
      <c r="L82" s="134" t="s">
        <v>318</v>
      </c>
      <c r="M82" s="134" t="s">
        <v>209</v>
      </c>
      <c r="N82" s="131">
        <v>1</v>
      </c>
      <c r="O82" s="135">
        <v>6.9444444444444447E-4</v>
      </c>
    </row>
    <row r="83" spans="1:15" s="123" customFormat="1" ht="54" customHeight="1" x14ac:dyDescent="0.2">
      <c r="A83" s="68"/>
      <c r="B83" s="69" t="s">
        <v>16</v>
      </c>
      <c r="C83" s="70" t="s">
        <v>324</v>
      </c>
      <c r="D83" s="70" t="s">
        <v>325</v>
      </c>
      <c r="E83" s="86" t="s">
        <v>11</v>
      </c>
      <c r="F83" s="86" t="s">
        <v>21</v>
      </c>
      <c r="G83" s="86" t="s">
        <v>326</v>
      </c>
      <c r="H83" s="87">
        <v>45978</v>
      </c>
      <c r="I83" s="71" t="s">
        <v>60</v>
      </c>
      <c r="J83" s="71" t="s">
        <v>61</v>
      </c>
      <c r="K83" s="71">
        <v>0</v>
      </c>
      <c r="L83" s="71" t="s">
        <v>327</v>
      </c>
      <c r="M83" s="71" t="s">
        <v>153</v>
      </c>
      <c r="N83" s="70">
        <v>1</v>
      </c>
      <c r="O83" s="73">
        <v>1.7361111111111112E-4</v>
      </c>
    </row>
    <row r="84" spans="1:15" s="123" customFormat="1" ht="54" customHeight="1" x14ac:dyDescent="0.2">
      <c r="B84" s="130" t="s">
        <v>16</v>
      </c>
      <c r="C84" s="131" t="s">
        <v>328</v>
      </c>
      <c r="D84" s="131" t="s">
        <v>329</v>
      </c>
      <c r="E84" s="132" t="s">
        <v>21</v>
      </c>
      <c r="F84" s="132"/>
      <c r="G84" s="132"/>
      <c r="H84" s="133"/>
      <c r="I84" s="134" t="s">
        <v>60</v>
      </c>
      <c r="J84" s="134" t="s">
        <v>140</v>
      </c>
      <c r="K84" s="134">
        <v>0</v>
      </c>
      <c r="L84" s="134" t="s">
        <v>330</v>
      </c>
      <c r="M84" s="134" t="s">
        <v>242</v>
      </c>
      <c r="N84" s="131">
        <v>2</v>
      </c>
      <c r="O84" s="135">
        <v>5.2083333333333333E-4</v>
      </c>
    </row>
    <row r="85" spans="1:15" s="123" customFormat="1" ht="54" customHeight="1" x14ac:dyDescent="0.2">
      <c r="A85" s="84"/>
      <c r="B85" s="69" t="s">
        <v>16</v>
      </c>
      <c r="C85" s="70" t="s">
        <v>331</v>
      </c>
      <c r="D85" s="70" t="s">
        <v>332</v>
      </c>
      <c r="E85" s="86" t="s">
        <v>11</v>
      </c>
      <c r="F85" s="86" t="s">
        <v>21</v>
      </c>
      <c r="G85" s="86" t="s">
        <v>326</v>
      </c>
      <c r="H85" s="87">
        <v>45978</v>
      </c>
      <c r="I85" s="71" t="s">
        <v>60</v>
      </c>
      <c r="J85" s="71" t="s">
        <v>61</v>
      </c>
      <c r="K85" s="71">
        <v>0</v>
      </c>
      <c r="L85" s="71">
        <v>0</v>
      </c>
      <c r="M85" s="71" t="s">
        <v>153</v>
      </c>
      <c r="N85" s="70">
        <v>3</v>
      </c>
      <c r="O85" s="73">
        <v>5.2083333333333333E-4</v>
      </c>
    </row>
    <row r="86" spans="1:15" s="123" customFormat="1" ht="54" customHeight="1" x14ac:dyDescent="0.2">
      <c r="A86" s="68"/>
      <c r="B86" s="69" t="s">
        <v>16</v>
      </c>
      <c r="C86" s="70" t="s">
        <v>333</v>
      </c>
      <c r="D86" s="70" t="s">
        <v>334</v>
      </c>
      <c r="E86" s="86" t="s">
        <v>11</v>
      </c>
      <c r="F86" s="86" t="s">
        <v>21</v>
      </c>
      <c r="G86" s="86" t="s">
        <v>335</v>
      </c>
      <c r="H86" s="87">
        <v>45978</v>
      </c>
      <c r="I86" s="71" t="s">
        <v>60</v>
      </c>
      <c r="J86" s="71" t="s">
        <v>61</v>
      </c>
      <c r="K86" s="71">
        <v>0</v>
      </c>
      <c r="L86" s="71">
        <v>0</v>
      </c>
      <c r="M86" s="71" t="s">
        <v>153</v>
      </c>
      <c r="N86" s="70">
        <v>4</v>
      </c>
      <c r="O86" s="73">
        <v>5.2083333333333333E-4</v>
      </c>
    </row>
    <row r="87" spans="1:15" s="123" customFormat="1" ht="54" customHeight="1" thickBot="1" x14ac:dyDescent="0.25">
      <c r="A87" s="137"/>
      <c r="B87" s="139" t="s">
        <v>16</v>
      </c>
      <c r="C87" s="140" t="s">
        <v>336</v>
      </c>
      <c r="D87" s="140" t="s">
        <v>337</v>
      </c>
      <c r="E87" s="141" t="s">
        <v>11</v>
      </c>
      <c r="F87" s="141" t="s">
        <v>21</v>
      </c>
      <c r="G87" s="141" t="s">
        <v>261</v>
      </c>
      <c r="H87" s="142">
        <v>45341</v>
      </c>
      <c r="I87" s="143" t="s">
        <v>60</v>
      </c>
      <c r="J87" s="143" t="s">
        <v>140</v>
      </c>
      <c r="K87" s="143">
        <v>0</v>
      </c>
      <c r="L87" s="143" t="s">
        <v>262</v>
      </c>
      <c r="M87" s="143" t="s">
        <v>209</v>
      </c>
      <c r="N87" s="140">
        <v>2</v>
      </c>
      <c r="O87" s="144">
        <v>3.4722222222222224E-4</v>
      </c>
    </row>
    <row r="88" spans="1:15" s="123" customFormat="1" ht="66" customHeight="1" thickTop="1" x14ac:dyDescent="0.2">
      <c r="A88" s="68"/>
      <c r="B88" s="104" t="s">
        <v>20</v>
      </c>
      <c r="C88" s="92" t="s">
        <v>338</v>
      </c>
      <c r="D88" s="92" t="s">
        <v>339</v>
      </c>
      <c r="E88" s="89" t="s">
        <v>11</v>
      </c>
      <c r="F88" s="89" t="s">
        <v>21</v>
      </c>
      <c r="G88" s="89" t="s">
        <v>340</v>
      </c>
      <c r="H88" s="90">
        <v>45979</v>
      </c>
      <c r="I88" s="91" t="s">
        <v>139</v>
      </c>
      <c r="J88" s="91" t="s">
        <v>140</v>
      </c>
      <c r="K88" s="91">
        <v>0</v>
      </c>
      <c r="L88" s="91" t="s">
        <v>341</v>
      </c>
      <c r="M88" s="91" t="s">
        <v>342</v>
      </c>
      <c r="N88" s="92">
        <v>4</v>
      </c>
      <c r="O88" s="93" t="s">
        <v>343</v>
      </c>
    </row>
    <row r="89" spans="1:15" s="123" customFormat="1" ht="54" customHeight="1" x14ac:dyDescent="0.2">
      <c r="A89" s="68"/>
      <c r="B89" s="69" t="s">
        <v>20</v>
      </c>
      <c r="C89" s="70" t="s">
        <v>344</v>
      </c>
      <c r="D89" s="70" t="s">
        <v>345</v>
      </c>
      <c r="E89" s="86" t="s">
        <v>11</v>
      </c>
      <c r="F89" s="86" t="s">
        <v>346</v>
      </c>
      <c r="G89" s="86" t="s">
        <v>347</v>
      </c>
      <c r="H89" s="87">
        <v>45979</v>
      </c>
      <c r="I89" s="71" t="s">
        <v>139</v>
      </c>
      <c r="J89" s="71" t="s">
        <v>140</v>
      </c>
      <c r="K89" s="71">
        <v>0</v>
      </c>
      <c r="L89" s="71" t="s">
        <v>348</v>
      </c>
      <c r="M89" s="71" t="s">
        <v>342</v>
      </c>
      <c r="N89" s="70">
        <v>4</v>
      </c>
      <c r="O89" s="73">
        <v>1.3888888888888889E-3</v>
      </c>
    </row>
    <row r="90" spans="1:15" s="123" customFormat="1" ht="54" customHeight="1" x14ac:dyDescent="0.2">
      <c r="A90" s="68"/>
      <c r="B90" s="69" t="s">
        <v>20</v>
      </c>
      <c r="C90" s="70" t="s">
        <v>349</v>
      </c>
      <c r="D90" s="70" t="s">
        <v>350</v>
      </c>
      <c r="E90" s="86" t="s">
        <v>11</v>
      </c>
      <c r="F90" s="86" t="s">
        <v>346</v>
      </c>
      <c r="G90" s="86" t="s">
        <v>351</v>
      </c>
      <c r="H90" s="87">
        <v>45978</v>
      </c>
      <c r="I90" s="71" t="s">
        <v>139</v>
      </c>
      <c r="J90" s="71" t="s">
        <v>140</v>
      </c>
      <c r="K90" s="71">
        <v>0</v>
      </c>
      <c r="L90" s="71" t="s">
        <v>352</v>
      </c>
      <c r="M90" s="71" t="s">
        <v>353</v>
      </c>
      <c r="N90" s="70">
        <v>2</v>
      </c>
      <c r="O90" s="73">
        <v>2.0833333333333333E-3</v>
      </c>
    </row>
    <row r="91" spans="1:15" s="123" customFormat="1" ht="54" customHeight="1" x14ac:dyDescent="0.2">
      <c r="A91" s="68"/>
      <c r="B91" s="69" t="s">
        <v>20</v>
      </c>
      <c r="C91" s="70" t="s">
        <v>354</v>
      </c>
      <c r="D91" s="70" t="s">
        <v>355</v>
      </c>
      <c r="E91" s="86" t="s">
        <v>11</v>
      </c>
      <c r="F91" s="86" t="s">
        <v>346</v>
      </c>
      <c r="G91" s="86" t="s">
        <v>351</v>
      </c>
      <c r="H91" s="87">
        <v>45978</v>
      </c>
      <c r="I91" s="71" t="s">
        <v>139</v>
      </c>
      <c r="J91" s="71" t="s">
        <v>140</v>
      </c>
      <c r="K91" s="71">
        <v>0</v>
      </c>
      <c r="L91" s="71" t="s">
        <v>356</v>
      </c>
      <c r="M91" s="71" t="s">
        <v>353</v>
      </c>
      <c r="N91" s="70">
        <v>2</v>
      </c>
      <c r="O91" s="73">
        <v>2.0833333333333333E-3</v>
      </c>
    </row>
    <row r="92" spans="1:15" s="123" customFormat="1" ht="54" customHeight="1" x14ac:dyDescent="0.2">
      <c r="A92" s="68"/>
      <c r="B92" s="69" t="s">
        <v>20</v>
      </c>
      <c r="C92" s="70" t="s">
        <v>357</v>
      </c>
      <c r="D92" s="70" t="s">
        <v>358</v>
      </c>
      <c r="E92" s="86" t="s">
        <v>11</v>
      </c>
      <c r="F92" s="86" t="s">
        <v>21</v>
      </c>
      <c r="G92" s="86" t="s">
        <v>326</v>
      </c>
      <c r="H92" s="87">
        <v>45978</v>
      </c>
      <c r="I92" s="71" t="s">
        <v>60</v>
      </c>
      <c r="J92" s="71" t="s">
        <v>61</v>
      </c>
      <c r="K92" s="71">
        <v>0</v>
      </c>
      <c r="L92" s="71" t="s">
        <v>359</v>
      </c>
      <c r="M92" s="71" t="s">
        <v>153</v>
      </c>
      <c r="N92" s="70">
        <v>2</v>
      </c>
      <c r="O92" s="73">
        <v>6.9444444444444447E-4</v>
      </c>
    </row>
    <row r="93" spans="1:15" s="123" customFormat="1" ht="54" customHeight="1" x14ac:dyDescent="0.2">
      <c r="A93" s="68"/>
      <c r="B93" s="69" t="s">
        <v>20</v>
      </c>
      <c r="C93" s="70" t="s">
        <v>360</v>
      </c>
      <c r="D93" s="70" t="s">
        <v>361</v>
      </c>
      <c r="E93" s="86" t="s">
        <v>11</v>
      </c>
      <c r="F93" s="86" t="s">
        <v>21</v>
      </c>
      <c r="G93" s="86" t="s">
        <v>362</v>
      </c>
      <c r="H93" s="87">
        <v>45977</v>
      </c>
      <c r="I93" s="71" t="s">
        <v>139</v>
      </c>
      <c r="J93" s="71" t="s">
        <v>140</v>
      </c>
      <c r="K93" s="71">
        <v>0</v>
      </c>
      <c r="L93" s="71" t="s">
        <v>363</v>
      </c>
      <c r="M93" s="71" t="s">
        <v>364</v>
      </c>
      <c r="N93" s="70">
        <v>1</v>
      </c>
      <c r="O93" s="73">
        <v>1.2152777777777778E-3</v>
      </c>
    </row>
    <row r="94" spans="1:15" s="123" customFormat="1" ht="54" customHeight="1" x14ac:dyDescent="0.2">
      <c r="A94" s="68"/>
      <c r="B94" s="69" t="s">
        <v>20</v>
      </c>
      <c r="C94" s="70" t="s">
        <v>365</v>
      </c>
      <c r="D94" s="70" t="s">
        <v>366</v>
      </c>
      <c r="E94" s="86" t="s">
        <v>11</v>
      </c>
      <c r="F94" s="86" t="s">
        <v>21</v>
      </c>
      <c r="G94" s="86" t="s">
        <v>367</v>
      </c>
      <c r="H94" s="87">
        <v>45978</v>
      </c>
      <c r="I94" s="71" t="s">
        <v>139</v>
      </c>
      <c r="J94" s="71" t="s">
        <v>140</v>
      </c>
      <c r="K94" s="71">
        <v>0</v>
      </c>
      <c r="L94" s="71" t="s">
        <v>368</v>
      </c>
      <c r="M94" s="71" t="s">
        <v>364</v>
      </c>
      <c r="N94" s="70">
        <v>2</v>
      </c>
      <c r="O94" s="73">
        <v>2.7777777777777779E-3</v>
      </c>
    </row>
    <row r="95" spans="1:15" s="123" customFormat="1" ht="54" customHeight="1" x14ac:dyDescent="0.2">
      <c r="A95" s="68"/>
      <c r="B95" s="69" t="s">
        <v>20</v>
      </c>
      <c r="C95" s="70" t="s">
        <v>369</v>
      </c>
      <c r="D95" s="70" t="s">
        <v>370</v>
      </c>
      <c r="E95" s="86" t="s">
        <v>11</v>
      </c>
      <c r="F95" s="86" t="s">
        <v>21</v>
      </c>
      <c r="G95" s="86" t="s">
        <v>371</v>
      </c>
      <c r="H95" s="87">
        <v>45977</v>
      </c>
      <c r="I95" s="71" t="s">
        <v>139</v>
      </c>
      <c r="J95" s="71" t="s">
        <v>140</v>
      </c>
      <c r="K95" s="71">
        <v>0</v>
      </c>
      <c r="L95" s="71" t="s">
        <v>372</v>
      </c>
      <c r="M95" s="71" t="s">
        <v>364</v>
      </c>
      <c r="N95" s="70">
        <v>2</v>
      </c>
      <c r="O95" s="73">
        <v>6.9444444444444447E-4</v>
      </c>
    </row>
    <row r="96" spans="1:15" s="123" customFormat="1" ht="54" customHeight="1" x14ac:dyDescent="0.2">
      <c r="B96" s="130" t="s">
        <v>20</v>
      </c>
      <c r="C96" s="131" t="s">
        <v>373</v>
      </c>
      <c r="D96" s="131" t="s">
        <v>374</v>
      </c>
      <c r="E96" s="132" t="s">
        <v>21</v>
      </c>
      <c r="F96" s="132"/>
      <c r="G96" s="132"/>
      <c r="H96" s="133"/>
      <c r="I96" s="134" t="s">
        <v>139</v>
      </c>
      <c r="J96" s="134" t="s">
        <v>140</v>
      </c>
      <c r="K96" s="134">
        <v>0</v>
      </c>
      <c r="L96" s="134" t="s">
        <v>375</v>
      </c>
      <c r="M96" s="134" t="s">
        <v>209</v>
      </c>
      <c r="N96" s="131">
        <v>2</v>
      </c>
      <c r="O96" s="135">
        <v>1.736111111111111E-3</v>
      </c>
    </row>
    <row r="97" spans="1:15" s="123" customFormat="1" ht="54" customHeight="1" x14ac:dyDescent="0.2">
      <c r="B97" s="130" t="s">
        <v>20</v>
      </c>
      <c r="C97" s="131" t="s">
        <v>376</v>
      </c>
      <c r="D97" s="131" t="s">
        <v>377</v>
      </c>
      <c r="E97" s="132" t="s">
        <v>21</v>
      </c>
      <c r="F97" s="132"/>
      <c r="G97" s="132"/>
      <c r="H97" s="133"/>
      <c r="I97" s="134" t="s">
        <v>60</v>
      </c>
      <c r="J97" s="134" t="s">
        <v>140</v>
      </c>
      <c r="K97" s="134">
        <v>0</v>
      </c>
      <c r="L97" s="134" t="s">
        <v>378</v>
      </c>
      <c r="M97" s="134" t="s">
        <v>169</v>
      </c>
      <c r="N97" s="131">
        <v>2</v>
      </c>
      <c r="O97" s="135">
        <v>5.2083333333333333E-4</v>
      </c>
    </row>
    <row r="98" spans="1:15" s="123" customFormat="1" ht="54" customHeight="1" x14ac:dyDescent="0.2">
      <c r="B98" s="130" t="s">
        <v>20</v>
      </c>
      <c r="C98" s="131" t="s">
        <v>379</v>
      </c>
      <c r="D98" s="131" t="s">
        <v>380</v>
      </c>
      <c r="E98" s="132" t="s">
        <v>21</v>
      </c>
      <c r="F98" s="132"/>
      <c r="G98" s="132"/>
      <c r="H98" s="133"/>
      <c r="I98" s="134" t="s">
        <v>60</v>
      </c>
      <c r="J98" s="134" t="s">
        <v>140</v>
      </c>
      <c r="K98" s="134">
        <v>0</v>
      </c>
      <c r="L98" s="134" t="s">
        <v>381</v>
      </c>
      <c r="M98" s="134" t="s">
        <v>169</v>
      </c>
      <c r="N98" s="131">
        <v>1</v>
      </c>
      <c r="O98" s="135">
        <v>9.2592592592592585E-4</v>
      </c>
    </row>
    <row r="99" spans="1:15" s="123" customFormat="1" ht="54" customHeight="1" x14ac:dyDescent="0.2">
      <c r="B99" s="130" t="s">
        <v>20</v>
      </c>
      <c r="C99" s="131" t="s">
        <v>382</v>
      </c>
      <c r="D99" s="131" t="s">
        <v>383</v>
      </c>
      <c r="E99" s="132" t="s">
        <v>21</v>
      </c>
      <c r="F99" s="132"/>
      <c r="G99" s="132"/>
      <c r="H99" s="133"/>
      <c r="I99" s="134" t="s">
        <v>60</v>
      </c>
      <c r="J99" s="134" t="s">
        <v>61</v>
      </c>
      <c r="K99" s="134">
        <v>0</v>
      </c>
      <c r="L99" s="134" t="s">
        <v>384</v>
      </c>
      <c r="M99" s="134" t="s">
        <v>364</v>
      </c>
      <c r="N99" s="131">
        <v>1</v>
      </c>
      <c r="O99" s="135">
        <v>1.1574074074074073E-4</v>
      </c>
    </row>
    <row r="100" spans="1:15" s="123" customFormat="1" ht="54" customHeight="1" x14ac:dyDescent="0.2">
      <c r="B100" s="130" t="s">
        <v>20</v>
      </c>
      <c r="C100" s="131" t="s">
        <v>385</v>
      </c>
      <c r="D100" s="131" t="s">
        <v>386</v>
      </c>
      <c r="E100" s="132" t="s">
        <v>21</v>
      </c>
      <c r="F100" s="132"/>
      <c r="G100" s="132"/>
      <c r="H100" s="133"/>
      <c r="I100" s="134" t="s">
        <v>93</v>
      </c>
      <c r="J100" s="134" t="s">
        <v>61</v>
      </c>
      <c r="K100" s="134">
        <v>0</v>
      </c>
      <c r="L100" s="134" t="s">
        <v>387</v>
      </c>
      <c r="M100" s="134" t="s">
        <v>130</v>
      </c>
      <c r="N100" s="131">
        <v>1</v>
      </c>
      <c r="O100" s="135">
        <v>6.9444444444444447E-4</v>
      </c>
    </row>
    <row r="101" spans="1:15" s="123" customFormat="1" ht="54" customHeight="1" x14ac:dyDescent="0.2">
      <c r="B101" s="130" t="s">
        <v>20</v>
      </c>
      <c r="C101" s="131" t="s">
        <v>388</v>
      </c>
      <c r="D101" s="131" t="s">
        <v>389</v>
      </c>
      <c r="E101" s="132" t="s">
        <v>21</v>
      </c>
      <c r="F101" s="132"/>
      <c r="G101" s="132"/>
      <c r="H101" s="133"/>
      <c r="I101" s="134" t="s">
        <v>60</v>
      </c>
      <c r="J101" s="134" t="s">
        <v>140</v>
      </c>
      <c r="K101" s="134">
        <v>0</v>
      </c>
      <c r="L101" s="134" t="s">
        <v>390</v>
      </c>
      <c r="M101" s="134" t="s">
        <v>114</v>
      </c>
      <c r="N101" s="131">
        <v>1</v>
      </c>
      <c r="O101" s="135">
        <v>6.9444444444444447E-4</v>
      </c>
    </row>
    <row r="102" spans="1:15" s="123" customFormat="1" ht="54" customHeight="1" x14ac:dyDescent="0.2">
      <c r="B102" s="130" t="s">
        <v>20</v>
      </c>
      <c r="C102" s="131" t="s">
        <v>391</v>
      </c>
      <c r="D102" s="131" t="s">
        <v>392</v>
      </c>
      <c r="E102" s="132" t="s">
        <v>21</v>
      </c>
      <c r="F102" s="132"/>
      <c r="G102" s="132"/>
      <c r="H102" s="133"/>
      <c r="I102" s="134" t="s">
        <v>60</v>
      </c>
      <c r="J102" s="134" t="s">
        <v>140</v>
      </c>
      <c r="K102" s="134">
        <v>0</v>
      </c>
      <c r="L102" s="134" t="s">
        <v>393</v>
      </c>
      <c r="M102" s="134" t="s">
        <v>114</v>
      </c>
      <c r="N102" s="131">
        <v>1</v>
      </c>
      <c r="O102" s="135">
        <v>4.0509259259259258E-4</v>
      </c>
    </row>
    <row r="103" spans="1:15" s="123" customFormat="1" ht="54" customHeight="1" x14ac:dyDescent="0.2">
      <c r="B103" s="130" t="s">
        <v>20</v>
      </c>
      <c r="C103" s="131" t="s">
        <v>394</v>
      </c>
      <c r="D103" s="131" t="s">
        <v>395</v>
      </c>
      <c r="E103" s="132" t="s">
        <v>21</v>
      </c>
      <c r="F103" s="132"/>
      <c r="G103" s="132"/>
      <c r="H103" s="133"/>
      <c r="I103" s="134" t="s">
        <v>139</v>
      </c>
      <c r="J103" s="134" t="s">
        <v>61</v>
      </c>
      <c r="K103" s="134">
        <v>0</v>
      </c>
      <c r="L103" s="134" t="s">
        <v>396</v>
      </c>
      <c r="M103" s="134" t="s">
        <v>153</v>
      </c>
      <c r="N103" s="131">
        <v>2</v>
      </c>
      <c r="O103" s="135">
        <v>1.3888888888888889E-3</v>
      </c>
    </row>
    <row r="104" spans="1:15" s="123" customFormat="1" ht="54" customHeight="1" x14ac:dyDescent="0.2">
      <c r="A104" s="68"/>
      <c r="B104" s="69" t="s">
        <v>20</v>
      </c>
      <c r="C104" s="70" t="s">
        <v>397</v>
      </c>
      <c r="D104" s="70" t="s">
        <v>398</v>
      </c>
      <c r="E104" s="86" t="s">
        <v>11</v>
      </c>
      <c r="F104" s="86" t="s">
        <v>21</v>
      </c>
      <c r="G104" s="86" t="s">
        <v>399</v>
      </c>
      <c r="H104" s="87">
        <v>45979</v>
      </c>
      <c r="I104" s="71" t="s">
        <v>139</v>
      </c>
      <c r="J104" s="71" t="s">
        <v>61</v>
      </c>
      <c r="K104" s="71">
        <v>0</v>
      </c>
      <c r="L104" s="71" t="s">
        <v>400</v>
      </c>
      <c r="M104" s="71" t="s">
        <v>401</v>
      </c>
      <c r="N104" s="70">
        <v>2</v>
      </c>
      <c r="O104" s="73">
        <v>1.736111111111111E-3</v>
      </c>
    </row>
    <row r="105" spans="1:15" s="123" customFormat="1" ht="54" customHeight="1" x14ac:dyDescent="0.2">
      <c r="A105" s="68"/>
      <c r="B105" s="69" t="s">
        <v>20</v>
      </c>
      <c r="C105" s="70" t="s">
        <v>402</v>
      </c>
      <c r="D105" s="70" t="s">
        <v>403</v>
      </c>
      <c r="E105" s="86" t="s">
        <v>11</v>
      </c>
      <c r="F105" s="86" t="s">
        <v>21</v>
      </c>
      <c r="G105" s="86" t="s">
        <v>335</v>
      </c>
      <c r="H105" s="87">
        <v>45978</v>
      </c>
      <c r="I105" s="71" t="s">
        <v>60</v>
      </c>
      <c r="J105" s="71" t="s">
        <v>61</v>
      </c>
      <c r="K105" s="71">
        <v>0</v>
      </c>
      <c r="L105" s="71" t="s">
        <v>404</v>
      </c>
      <c r="M105" s="71" t="s">
        <v>153</v>
      </c>
      <c r="N105" s="70">
        <v>1</v>
      </c>
      <c r="O105" s="73">
        <v>6.9444444444444447E-4</v>
      </c>
    </row>
    <row r="106" spans="1:15" s="123" customFormat="1" ht="54" customHeight="1" x14ac:dyDescent="0.2">
      <c r="B106" s="130" t="s">
        <v>20</v>
      </c>
      <c r="C106" s="131" t="s">
        <v>405</v>
      </c>
      <c r="D106" s="131" t="s">
        <v>406</v>
      </c>
      <c r="E106" s="132" t="s">
        <v>21</v>
      </c>
      <c r="F106" s="132"/>
      <c r="G106" s="132"/>
      <c r="H106" s="133"/>
      <c r="I106" s="134" t="s">
        <v>60</v>
      </c>
      <c r="J106" s="134" t="s">
        <v>61</v>
      </c>
      <c r="K106" s="134">
        <v>0</v>
      </c>
      <c r="L106" s="134" t="s">
        <v>407</v>
      </c>
      <c r="M106" s="134" t="s">
        <v>153</v>
      </c>
      <c r="N106" s="131">
        <v>2</v>
      </c>
      <c r="O106" s="135">
        <v>3.4722222222222224E-4</v>
      </c>
    </row>
    <row r="107" spans="1:15" s="123" customFormat="1" ht="54" customHeight="1" x14ac:dyDescent="0.2">
      <c r="B107" s="130" t="s">
        <v>20</v>
      </c>
      <c r="C107" s="131" t="s">
        <v>408</v>
      </c>
      <c r="D107" s="131" t="s">
        <v>409</v>
      </c>
      <c r="E107" s="132" t="s">
        <v>21</v>
      </c>
      <c r="F107" s="132"/>
      <c r="G107" s="132"/>
      <c r="H107" s="133"/>
      <c r="I107" s="134" t="s">
        <v>93</v>
      </c>
      <c r="J107" s="134" t="s">
        <v>61</v>
      </c>
      <c r="K107" s="134">
        <v>0</v>
      </c>
      <c r="L107" s="134" t="s">
        <v>410</v>
      </c>
      <c r="M107" s="134" t="s">
        <v>130</v>
      </c>
      <c r="N107" s="131">
        <v>2</v>
      </c>
      <c r="O107" s="135">
        <v>6.9444444444444447E-4</v>
      </c>
    </row>
    <row r="108" spans="1:15" s="123" customFormat="1" ht="54" customHeight="1" x14ac:dyDescent="0.2">
      <c r="A108" s="68"/>
      <c r="B108" s="69" t="s">
        <v>20</v>
      </c>
      <c r="C108" s="70" t="s">
        <v>411</v>
      </c>
      <c r="D108" s="70" t="s">
        <v>412</v>
      </c>
      <c r="E108" s="86" t="s">
        <v>11</v>
      </c>
      <c r="F108" s="86" t="s">
        <v>21</v>
      </c>
      <c r="G108" s="86" t="s">
        <v>413</v>
      </c>
      <c r="H108" s="87">
        <v>45979</v>
      </c>
      <c r="I108" s="71" t="s">
        <v>60</v>
      </c>
      <c r="J108" s="71" t="s">
        <v>61</v>
      </c>
      <c r="K108" s="71">
        <v>0</v>
      </c>
      <c r="L108" s="71" t="s">
        <v>414</v>
      </c>
      <c r="M108" s="71" t="s">
        <v>153</v>
      </c>
      <c r="N108" s="70">
        <v>2</v>
      </c>
      <c r="O108" s="73">
        <v>6.9444444444444447E-4</v>
      </c>
    </row>
    <row r="109" spans="1:15" s="123" customFormat="1" ht="54" customHeight="1" x14ac:dyDescent="0.2">
      <c r="B109" s="130" t="s">
        <v>20</v>
      </c>
      <c r="C109" s="131" t="s">
        <v>415</v>
      </c>
      <c r="D109" s="131" t="s">
        <v>416</v>
      </c>
      <c r="E109" s="132" t="s">
        <v>21</v>
      </c>
      <c r="F109" s="132" t="s">
        <v>21</v>
      </c>
      <c r="G109" s="132"/>
      <c r="H109" s="133"/>
      <c r="I109" s="134" t="s">
        <v>93</v>
      </c>
      <c r="J109" s="134" t="s">
        <v>61</v>
      </c>
      <c r="K109" s="134">
        <v>0</v>
      </c>
      <c r="L109" s="134" t="s">
        <v>417</v>
      </c>
      <c r="M109" s="134" t="s">
        <v>114</v>
      </c>
      <c r="N109" s="131">
        <v>4</v>
      </c>
      <c r="O109" s="135">
        <v>2.0833333333333333E-3</v>
      </c>
    </row>
    <row r="110" spans="1:15" s="123" customFormat="1" ht="54" customHeight="1" x14ac:dyDescent="0.2">
      <c r="B110" s="130" t="s">
        <v>20</v>
      </c>
      <c r="C110" s="131" t="s">
        <v>418</v>
      </c>
      <c r="D110" s="131" t="s">
        <v>419</v>
      </c>
      <c r="E110" s="132" t="s">
        <v>21</v>
      </c>
      <c r="F110" s="132"/>
      <c r="G110" s="132"/>
      <c r="H110" s="133"/>
      <c r="I110" s="134" t="s">
        <v>60</v>
      </c>
      <c r="J110" s="134" t="s">
        <v>61</v>
      </c>
      <c r="K110" s="134">
        <v>0</v>
      </c>
      <c r="L110" s="134" t="s">
        <v>420</v>
      </c>
      <c r="M110" s="134" t="s">
        <v>114</v>
      </c>
      <c r="N110" s="131">
        <v>2</v>
      </c>
      <c r="O110" s="135">
        <v>6.9444444444444447E-4</v>
      </c>
    </row>
    <row r="111" spans="1:15" s="123" customFormat="1" ht="54" customHeight="1" x14ac:dyDescent="0.2">
      <c r="A111" s="68"/>
      <c r="B111" s="69" t="s">
        <v>20</v>
      </c>
      <c r="C111" s="70" t="s">
        <v>421</v>
      </c>
      <c r="D111" s="70" t="s">
        <v>422</v>
      </c>
      <c r="E111" s="86" t="s">
        <v>11</v>
      </c>
      <c r="F111" s="86"/>
      <c r="G111" s="86" t="s">
        <v>413</v>
      </c>
      <c r="H111" s="87">
        <v>45979</v>
      </c>
      <c r="I111" s="71" t="s">
        <v>60</v>
      </c>
      <c r="J111" s="71" t="s">
        <v>61</v>
      </c>
      <c r="K111" s="71">
        <v>0</v>
      </c>
      <c r="L111" s="71" t="s">
        <v>423</v>
      </c>
      <c r="M111" s="71" t="s">
        <v>153</v>
      </c>
      <c r="N111" s="70">
        <v>2</v>
      </c>
      <c r="O111" s="73">
        <v>6.9444444444444447E-4</v>
      </c>
    </row>
    <row r="112" spans="1:15" s="123" customFormat="1" ht="54" customHeight="1" x14ac:dyDescent="0.2">
      <c r="B112" s="130" t="s">
        <v>20</v>
      </c>
      <c r="C112" s="131" t="s">
        <v>424</v>
      </c>
      <c r="D112" s="131" t="s">
        <v>425</v>
      </c>
      <c r="E112" s="132" t="s">
        <v>21</v>
      </c>
      <c r="F112" s="132"/>
      <c r="G112" s="132"/>
      <c r="H112" s="133"/>
      <c r="I112" s="134" t="s">
        <v>93</v>
      </c>
      <c r="J112" s="134" t="s">
        <v>140</v>
      </c>
      <c r="K112" s="134">
        <v>0</v>
      </c>
      <c r="L112" s="134" t="s">
        <v>426</v>
      </c>
      <c r="M112" s="134" t="s">
        <v>114</v>
      </c>
      <c r="N112" s="131">
        <v>2</v>
      </c>
      <c r="O112" s="135">
        <v>1.3888888888888889E-3</v>
      </c>
    </row>
    <row r="113" spans="1:15" s="123" customFormat="1" ht="54" customHeight="1" thickBot="1" x14ac:dyDescent="0.25">
      <c r="A113" s="137"/>
      <c r="B113" s="139" t="s">
        <v>20</v>
      </c>
      <c r="C113" s="140" t="s">
        <v>427</v>
      </c>
      <c r="D113" s="140" t="s">
        <v>428</v>
      </c>
      <c r="E113" s="141" t="s">
        <v>21</v>
      </c>
      <c r="F113" s="141"/>
      <c r="G113" s="141"/>
      <c r="H113" s="142"/>
      <c r="I113" s="143" t="s">
        <v>93</v>
      </c>
      <c r="J113" s="143" t="s">
        <v>61</v>
      </c>
      <c r="K113" s="143">
        <v>0</v>
      </c>
      <c r="L113" s="143" t="s">
        <v>429</v>
      </c>
      <c r="M113" s="143" t="s">
        <v>114</v>
      </c>
      <c r="N113" s="140">
        <v>2</v>
      </c>
      <c r="O113" s="144">
        <v>6.9444444444444447E-4</v>
      </c>
    </row>
    <row r="114" spans="1:15" s="123" customFormat="1" ht="54" customHeight="1" thickTop="1" x14ac:dyDescent="0.2">
      <c r="A114" s="136"/>
      <c r="B114" s="124" t="s">
        <v>24</v>
      </c>
      <c r="C114" s="125" t="s">
        <v>430</v>
      </c>
      <c r="D114" s="125" t="s">
        <v>431</v>
      </c>
      <c r="E114" s="126" t="s">
        <v>21</v>
      </c>
      <c r="F114" s="126"/>
      <c r="G114" s="126"/>
      <c r="H114" s="127"/>
      <c r="I114" s="128" t="s">
        <v>139</v>
      </c>
      <c r="J114" s="128" t="s">
        <v>61</v>
      </c>
      <c r="K114" s="128">
        <v>0</v>
      </c>
      <c r="L114" s="128" t="s">
        <v>432</v>
      </c>
      <c r="M114" s="128" t="s">
        <v>114</v>
      </c>
      <c r="N114" s="125">
        <v>1</v>
      </c>
      <c r="O114" s="129">
        <v>6.9444444444444447E-4</v>
      </c>
    </row>
    <row r="115" spans="1:15" s="123" customFormat="1" ht="54" customHeight="1" x14ac:dyDescent="0.2">
      <c r="B115" s="130" t="s">
        <v>24</v>
      </c>
      <c r="C115" s="131" t="s">
        <v>433</v>
      </c>
      <c r="D115" s="131" t="s">
        <v>434</v>
      </c>
      <c r="E115" s="132" t="s">
        <v>21</v>
      </c>
      <c r="F115" s="132"/>
      <c r="G115" s="132"/>
      <c r="H115" s="133"/>
      <c r="I115" s="134" t="s">
        <v>139</v>
      </c>
      <c r="J115" s="134" t="s">
        <v>61</v>
      </c>
      <c r="K115" s="134">
        <v>0</v>
      </c>
      <c r="L115" s="134" t="s">
        <v>435</v>
      </c>
      <c r="M115" s="134" t="s">
        <v>242</v>
      </c>
      <c r="N115" s="131">
        <v>1</v>
      </c>
      <c r="O115" s="135">
        <v>4.6296296296296293E-4</v>
      </c>
    </row>
    <row r="116" spans="1:15" s="123" customFormat="1" ht="54" customHeight="1" x14ac:dyDescent="0.2">
      <c r="B116" s="130" t="s">
        <v>24</v>
      </c>
      <c r="C116" s="131" t="s">
        <v>436</v>
      </c>
      <c r="D116" s="131" t="s">
        <v>437</v>
      </c>
      <c r="E116" s="132" t="s">
        <v>21</v>
      </c>
      <c r="F116" s="132"/>
      <c r="G116" s="132"/>
      <c r="H116" s="133"/>
      <c r="I116" s="134" t="s">
        <v>139</v>
      </c>
      <c r="J116" s="134" t="s">
        <v>61</v>
      </c>
      <c r="K116" s="134">
        <v>0</v>
      </c>
      <c r="L116" s="134" t="s">
        <v>438</v>
      </c>
      <c r="M116" s="134" t="s">
        <v>242</v>
      </c>
      <c r="N116" s="131">
        <v>1</v>
      </c>
      <c r="O116" s="135">
        <v>6.9444444444444447E-4</v>
      </c>
    </row>
    <row r="117" spans="1:15" s="123" customFormat="1" ht="54" customHeight="1" x14ac:dyDescent="0.2">
      <c r="B117" s="130" t="s">
        <v>24</v>
      </c>
      <c r="C117" s="131" t="s">
        <v>439</v>
      </c>
      <c r="D117" s="131" t="s">
        <v>440</v>
      </c>
      <c r="E117" s="132" t="s">
        <v>21</v>
      </c>
      <c r="F117" s="132"/>
      <c r="G117" s="132"/>
      <c r="H117" s="133"/>
      <c r="I117" s="134" t="s">
        <v>139</v>
      </c>
      <c r="J117" s="134" t="s">
        <v>61</v>
      </c>
      <c r="K117" s="134">
        <v>0</v>
      </c>
      <c r="L117" s="134" t="s">
        <v>441</v>
      </c>
      <c r="M117" s="134" t="s">
        <v>442</v>
      </c>
      <c r="N117" s="131">
        <v>1</v>
      </c>
      <c r="O117" s="135">
        <v>6.9444444444444447E-4</v>
      </c>
    </row>
    <row r="118" spans="1:15" s="123" customFormat="1" ht="54" customHeight="1" x14ac:dyDescent="0.2">
      <c r="B118" s="130" t="s">
        <v>24</v>
      </c>
      <c r="C118" s="131" t="s">
        <v>443</v>
      </c>
      <c r="D118" s="131" t="s">
        <v>444</v>
      </c>
      <c r="E118" s="132" t="s">
        <v>21</v>
      </c>
      <c r="F118" s="132"/>
      <c r="G118" s="132"/>
      <c r="H118" s="133"/>
      <c r="I118" s="134" t="s">
        <v>139</v>
      </c>
      <c r="J118" s="134" t="s">
        <v>61</v>
      </c>
      <c r="K118" s="134">
        <v>0</v>
      </c>
      <c r="L118" s="134" t="s">
        <v>445</v>
      </c>
      <c r="M118" s="134" t="s">
        <v>442</v>
      </c>
      <c r="N118" s="131">
        <v>1</v>
      </c>
      <c r="O118" s="135">
        <v>6.9444444444444447E-4</v>
      </c>
    </row>
    <row r="119" spans="1:15" s="123" customFormat="1" ht="54" customHeight="1" x14ac:dyDescent="0.2">
      <c r="B119" s="130" t="s">
        <v>24</v>
      </c>
      <c r="C119" s="131" t="s">
        <v>446</v>
      </c>
      <c r="D119" s="131" t="s">
        <v>447</v>
      </c>
      <c r="E119" s="132" t="s">
        <v>21</v>
      </c>
      <c r="F119" s="132"/>
      <c r="G119" s="132"/>
      <c r="H119" s="133"/>
      <c r="I119" s="134" t="s">
        <v>139</v>
      </c>
      <c r="J119" s="134" t="s">
        <v>61</v>
      </c>
      <c r="K119" s="134">
        <v>0</v>
      </c>
      <c r="L119" s="134" t="s">
        <v>448</v>
      </c>
      <c r="M119" s="134" t="s">
        <v>442</v>
      </c>
      <c r="N119" s="131">
        <v>1</v>
      </c>
      <c r="O119" s="135">
        <v>3.4722222222222224E-4</v>
      </c>
    </row>
    <row r="120" spans="1:15" s="123" customFormat="1" ht="54" customHeight="1" x14ac:dyDescent="0.2">
      <c r="B120" s="130" t="s">
        <v>24</v>
      </c>
      <c r="C120" s="131" t="s">
        <v>449</v>
      </c>
      <c r="D120" s="131" t="s">
        <v>450</v>
      </c>
      <c r="E120" s="132" t="s">
        <v>21</v>
      </c>
      <c r="F120" s="132"/>
      <c r="G120" s="132"/>
      <c r="H120" s="133"/>
      <c r="I120" s="134" t="s">
        <v>139</v>
      </c>
      <c r="J120" s="134" t="s">
        <v>61</v>
      </c>
      <c r="K120" s="134">
        <v>0</v>
      </c>
      <c r="L120" s="134" t="s">
        <v>451</v>
      </c>
      <c r="M120" s="134" t="s">
        <v>242</v>
      </c>
      <c r="N120" s="131">
        <v>1</v>
      </c>
      <c r="O120" s="135">
        <v>6.9444444444444447E-4</v>
      </c>
    </row>
    <row r="121" spans="1:15" s="123" customFormat="1" ht="54" customHeight="1" x14ac:dyDescent="0.2">
      <c r="B121" s="130" t="s">
        <v>24</v>
      </c>
      <c r="C121" s="131" t="s">
        <v>452</v>
      </c>
      <c r="D121" s="131" t="s">
        <v>453</v>
      </c>
      <c r="E121" s="132" t="s">
        <v>21</v>
      </c>
      <c r="F121" s="132"/>
      <c r="G121" s="132"/>
      <c r="H121" s="133"/>
      <c r="I121" s="134" t="s">
        <v>139</v>
      </c>
      <c r="J121" s="134" t="s">
        <v>61</v>
      </c>
      <c r="K121" s="134">
        <v>0</v>
      </c>
      <c r="L121" s="134" t="s">
        <v>454</v>
      </c>
      <c r="M121" s="134" t="s">
        <v>242</v>
      </c>
      <c r="N121" s="131">
        <v>2</v>
      </c>
      <c r="O121" s="135">
        <v>1.0416666666666667E-3</v>
      </c>
    </row>
    <row r="122" spans="1:15" s="123" customFormat="1" ht="54" customHeight="1" x14ac:dyDescent="0.2">
      <c r="B122" s="130" t="s">
        <v>24</v>
      </c>
      <c r="C122" s="131" t="s">
        <v>455</v>
      </c>
      <c r="D122" s="131" t="s">
        <v>456</v>
      </c>
      <c r="E122" s="132" t="s">
        <v>21</v>
      </c>
      <c r="F122" s="132"/>
      <c r="G122" s="132"/>
      <c r="H122" s="133"/>
      <c r="I122" s="134" t="s">
        <v>139</v>
      </c>
      <c r="J122" s="134" t="s">
        <v>61</v>
      </c>
      <c r="K122" s="134">
        <v>0</v>
      </c>
      <c r="L122" s="134" t="s">
        <v>457</v>
      </c>
      <c r="M122" s="134" t="s">
        <v>242</v>
      </c>
      <c r="N122" s="131">
        <v>1</v>
      </c>
      <c r="O122" s="135">
        <v>1.0416666666666667E-3</v>
      </c>
    </row>
    <row r="123" spans="1:15" s="123" customFormat="1" ht="54" customHeight="1" x14ac:dyDescent="0.2">
      <c r="B123" s="130" t="s">
        <v>24</v>
      </c>
      <c r="C123" s="131" t="s">
        <v>458</v>
      </c>
      <c r="D123" s="131" t="s">
        <v>459</v>
      </c>
      <c r="E123" s="132" t="s">
        <v>21</v>
      </c>
      <c r="F123" s="132"/>
      <c r="G123" s="132"/>
      <c r="H123" s="133"/>
      <c r="I123" s="134" t="s">
        <v>139</v>
      </c>
      <c r="J123" s="134" t="s">
        <v>61</v>
      </c>
      <c r="K123" s="134">
        <v>0</v>
      </c>
      <c r="L123" s="134" t="s">
        <v>460</v>
      </c>
      <c r="M123" s="134" t="s">
        <v>153</v>
      </c>
      <c r="N123" s="131">
        <v>1</v>
      </c>
      <c r="O123" s="135">
        <v>1.0416666666666667E-3</v>
      </c>
    </row>
    <row r="124" spans="1:15" s="123" customFormat="1" ht="54" customHeight="1" x14ac:dyDescent="0.2">
      <c r="B124" s="130" t="s">
        <v>24</v>
      </c>
      <c r="C124" s="131" t="s">
        <v>461</v>
      </c>
      <c r="D124" s="131" t="s">
        <v>462</v>
      </c>
      <c r="E124" s="132" t="s">
        <v>21</v>
      </c>
      <c r="F124" s="132"/>
      <c r="G124" s="132"/>
      <c r="H124" s="133"/>
      <c r="I124" s="134" t="s">
        <v>93</v>
      </c>
      <c r="J124" s="134" t="s">
        <v>61</v>
      </c>
      <c r="K124" s="134">
        <v>0</v>
      </c>
      <c r="L124" s="134" t="s">
        <v>463</v>
      </c>
      <c r="M124" s="134" t="s">
        <v>464</v>
      </c>
      <c r="N124" s="131">
        <v>2</v>
      </c>
      <c r="O124" s="135">
        <v>6.9444444444444447E-4</v>
      </c>
    </row>
    <row r="125" spans="1:15" s="123" customFormat="1" ht="54" customHeight="1" x14ac:dyDescent="0.2">
      <c r="B125" s="130" t="s">
        <v>24</v>
      </c>
      <c r="C125" s="131" t="s">
        <v>465</v>
      </c>
      <c r="D125" s="131" t="s">
        <v>466</v>
      </c>
      <c r="E125" s="132" t="s">
        <v>21</v>
      </c>
      <c r="F125" s="132"/>
      <c r="G125" s="132"/>
      <c r="H125" s="133"/>
      <c r="I125" s="134" t="s">
        <v>93</v>
      </c>
      <c r="J125" s="134" t="s">
        <v>140</v>
      </c>
      <c r="K125" s="134">
        <v>0</v>
      </c>
      <c r="L125" s="134" t="s">
        <v>393</v>
      </c>
      <c r="M125" s="134" t="s">
        <v>114</v>
      </c>
      <c r="N125" s="131">
        <v>3</v>
      </c>
      <c r="O125" s="135">
        <v>1.736111111111111E-3</v>
      </c>
    </row>
    <row r="126" spans="1:15" s="123" customFormat="1" ht="54" customHeight="1" x14ac:dyDescent="0.2">
      <c r="B126" s="130" t="s">
        <v>24</v>
      </c>
      <c r="C126" s="131" t="s">
        <v>467</v>
      </c>
      <c r="D126" s="131" t="s">
        <v>468</v>
      </c>
      <c r="E126" s="132" t="s">
        <v>21</v>
      </c>
      <c r="F126" s="132"/>
      <c r="G126" s="132"/>
      <c r="H126" s="133"/>
      <c r="I126" s="134" t="s">
        <v>60</v>
      </c>
      <c r="J126" s="134" t="s">
        <v>61</v>
      </c>
      <c r="K126" s="134">
        <v>0</v>
      </c>
      <c r="L126" s="134">
        <v>0</v>
      </c>
      <c r="M126" s="134" t="s">
        <v>153</v>
      </c>
      <c r="N126" s="131">
        <v>2</v>
      </c>
      <c r="O126" s="135">
        <v>6.9444444444444447E-4</v>
      </c>
    </row>
    <row r="127" spans="1:15" s="123" customFormat="1" ht="54" customHeight="1" thickBot="1" x14ac:dyDescent="0.25">
      <c r="A127" s="148"/>
      <c r="B127" s="139" t="s">
        <v>24</v>
      </c>
      <c r="C127" s="140" t="s">
        <v>469</v>
      </c>
      <c r="D127" s="140" t="s">
        <v>470</v>
      </c>
      <c r="E127" s="141" t="s">
        <v>21</v>
      </c>
      <c r="F127" s="141"/>
      <c r="G127" s="141"/>
      <c r="H127" s="142"/>
      <c r="I127" s="143" t="s">
        <v>60</v>
      </c>
      <c r="J127" s="143" t="s">
        <v>61</v>
      </c>
      <c r="K127" s="143">
        <v>0</v>
      </c>
      <c r="L127" s="143" t="s">
        <v>471</v>
      </c>
      <c r="M127" s="143" t="s">
        <v>472</v>
      </c>
      <c r="N127" s="140">
        <v>2</v>
      </c>
      <c r="O127" s="144">
        <v>6.9444444444444447E-4</v>
      </c>
    </row>
    <row r="128" spans="1:15" s="123" customFormat="1" ht="66" customHeight="1" thickTop="1" thickBot="1" x14ac:dyDescent="0.3">
      <c r="A128" s="149"/>
      <c r="B128" s="150" t="s">
        <v>473</v>
      </c>
      <c r="C128" s="151" t="s">
        <v>474</v>
      </c>
      <c r="D128" s="151" t="s">
        <v>475</v>
      </c>
      <c r="E128" s="152" t="s">
        <v>21</v>
      </c>
      <c r="F128" s="152"/>
      <c r="G128" s="152"/>
      <c r="H128" s="153"/>
      <c r="I128" s="151" t="s">
        <v>93</v>
      </c>
      <c r="J128" s="151" t="s">
        <v>140</v>
      </c>
      <c r="K128" s="151">
        <v>0</v>
      </c>
      <c r="L128" s="151" t="s">
        <v>476</v>
      </c>
      <c r="M128" s="151" t="s">
        <v>477</v>
      </c>
      <c r="N128" s="154">
        <v>2</v>
      </c>
      <c r="O128" s="155">
        <v>2.0013888888888891</v>
      </c>
    </row>
    <row r="129" spans="2:15" s="123" customFormat="1" x14ac:dyDescent="0.2">
      <c r="B129" s="156"/>
      <c r="H129" s="157"/>
      <c r="I129" s="156"/>
      <c r="O129" s="158"/>
    </row>
    <row r="130" spans="2:15" s="123" customFormat="1" x14ac:dyDescent="0.2">
      <c r="B130" s="156"/>
      <c r="H130" s="157"/>
      <c r="I130" s="156"/>
      <c r="O130" s="158"/>
    </row>
    <row r="131" spans="2:15" s="123" customFormat="1" x14ac:dyDescent="0.2">
      <c r="B131" s="156"/>
      <c r="H131" s="157"/>
      <c r="I131" s="156"/>
      <c r="O131" s="158"/>
    </row>
    <row r="132" spans="2:15" s="123" customFormat="1" x14ac:dyDescent="0.2">
      <c r="B132" s="156"/>
      <c r="H132" s="157"/>
      <c r="I132" s="156"/>
      <c r="O132" s="158"/>
    </row>
    <row r="133" spans="2:15" s="123" customFormat="1" x14ac:dyDescent="0.2">
      <c r="B133" s="156"/>
      <c r="H133" s="157"/>
      <c r="I133" s="156"/>
      <c r="O133" s="158"/>
    </row>
    <row r="134" spans="2:15" s="123" customFormat="1" x14ac:dyDescent="0.2">
      <c r="B134" s="156"/>
      <c r="H134" s="157"/>
      <c r="I134" s="156"/>
      <c r="O134" s="158"/>
    </row>
    <row r="135" spans="2:15" s="123" customFormat="1" x14ac:dyDescent="0.2">
      <c r="B135" s="156"/>
      <c r="H135" s="157"/>
      <c r="I135" s="156"/>
      <c r="O135" s="158"/>
    </row>
    <row r="136" spans="2:15" s="123" customFormat="1" x14ac:dyDescent="0.2">
      <c r="B136" s="156"/>
      <c r="H136" s="157"/>
      <c r="I136" s="156"/>
      <c r="O136" s="158"/>
    </row>
    <row r="137" spans="2:15" s="123" customFormat="1" x14ac:dyDescent="0.2">
      <c r="B137" s="156"/>
      <c r="H137" s="157"/>
      <c r="I137" s="156"/>
      <c r="O137" s="158"/>
    </row>
    <row r="138" spans="2:15" s="123" customFormat="1" x14ac:dyDescent="0.2">
      <c r="B138" s="156"/>
      <c r="H138" s="157"/>
      <c r="I138" s="156"/>
      <c r="O138" s="158"/>
    </row>
    <row r="139" spans="2:15" s="123" customFormat="1" x14ac:dyDescent="0.2">
      <c r="B139" s="156"/>
      <c r="H139" s="157"/>
      <c r="I139" s="156"/>
      <c r="O139" s="158"/>
    </row>
    <row r="140" spans="2:15" s="123" customFormat="1" x14ac:dyDescent="0.2">
      <c r="B140" s="156"/>
      <c r="H140" s="157"/>
      <c r="I140" s="156"/>
      <c r="O140" s="158"/>
    </row>
    <row r="141" spans="2:15" s="123" customFormat="1" x14ac:dyDescent="0.2">
      <c r="B141" s="156"/>
      <c r="H141" s="157"/>
      <c r="I141" s="156"/>
      <c r="O141" s="158"/>
    </row>
    <row r="142" spans="2:15" s="123" customFormat="1" x14ac:dyDescent="0.2">
      <c r="B142" s="156"/>
      <c r="H142" s="157"/>
      <c r="I142" s="156"/>
      <c r="O142" s="158"/>
    </row>
    <row r="143" spans="2:15" s="123" customFormat="1" x14ac:dyDescent="0.2">
      <c r="B143" s="156"/>
      <c r="H143" s="157"/>
      <c r="I143" s="156"/>
      <c r="O143" s="158"/>
    </row>
    <row r="144" spans="2:15" s="123" customFormat="1" x14ac:dyDescent="0.2">
      <c r="B144" s="156"/>
      <c r="H144" s="157"/>
      <c r="I144" s="156"/>
      <c r="O144" s="158"/>
    </row>
    <row r="145" spans="2:15" s="123" customFormat="1" x14ac:dyDescent="0.2">
      <c r="B145" s="156"/>
      <c r="H145" s="157"/>
      <c r="I145" s="156"/>
      <c r="O145" s="158"/>
    </row>
    <row r="146" spans="2:15" s="123" customFormat="1" x14ac:dyDescent="0.2">
      <c r="B146" s="156"/>
      <c r="H146" s="157"/>
      <c r="I146" s="156"/>
      <c r="O146" s="158"/>
    </row>
    <row r="147" spans="2:15" s="123" customFormat="1" x14ac:dyDescent="0.2">
      <c r="B147" s="156"/>
      <c r="H147" s="157"/>
      <c r="I147" s="156"/>
      <c r="O147" s="158"/>
    </row>
    <row r="148" spans="2:15" s="123" customFormat="1" x14ac:dyDescent="0.2">
      <c r="B148" s="156"/>
      <c r="H148" s="157"/>
      <c r="I148" s="156"/>
      <c r="O148" s="158"/>
    </row>
    <row r="149" spans="2:15" s="123" customFormat="1" x14ac:dyDescent="0.2">
      <c r="B149" s="156"/>
      <c r="H149" s="157"/>
      <c r="I149" s="156"/>
      <c r="O149" s="158"/>
    </row>
    <row r="150" spans="2:15" s="123" customFormat="1" x14ac:dyDescent="0.2">
      <c r="B150" s="156"/>
      <c r="H150" s="157"/>
      <c r="I150" s="156"/>
      <c r="O150" s="158"/>
    </row>
    <row r="151" spans="2:15" s="123" customFormat="1" x14ac:dyDescent="0.2">
      <c r="B151" s="156"/>
      <c r="H151" s="157"/>
      <c r="I151" s="156"/>
      <c r="O151" s="158"/>
    </row>
    <row r="152" spans="2:15" s="123" customFormat="1" x14ac:dyDescent="0.2">
      <c r="B152" s="156"/>
      <c r="H152" s="157"/>
      <c r="I152" s="156"/>
      <c r="O152" s="158"/>
    </row>
    <row r="153" spans="2:15" s="123" customFormat="1" x14ac:dyDescent="0.2">
      <c r="B153" s="156"/>
      <c r="H153" s="157"/>
      <c r="I153" s="156"/>
      <c r="O153" s="158"/>
    </row>
    <row r="154" spans="2:15" s="123" customFormat="1" x14ac:dyDescent="0.2">
      <c r="B154" s="156"/>
      <c r="H154" s="157"/>
      <c r="I154" s="156"/>
      <c r="O154" s="158"/>
    </row>
    <row r="155" spans="2:15" s="123" customFormat="1" x14ac:dyDescent="0.2">
      <c r="B155" s="156"/>
      <c r="H155" s="157"/>
      <c r="I155" s="156"/>
      <c r="O155" s="158"/>
    </row>
    <row r="156" spans="2:15" s="123" customFormat="1" x14ac:dyDescent="0.2">
      <c r="B156" s="156"/>
      <c r="H156" s="157"/>
      <c r="I156" s="156"/>
      <c r="O156" s="158"/>
    </row>
    <row r="157" spans="2:15" s="123" customFormat="1" x14ac:dyDescent="0.2">
      <c r="B157" s="156"/>
      <c r="H157" s="157"/>
      <c r="I157" s="156"/>
      <c r="O157" s="158"/>
    </row>
    <row r="158" spans="2:15" s="123" customFormat="1" x14ac:dyDescent="0.2">
      <c r="B158" s="156"/>
      <c r="H158" s="157"/>
      <c r="I158" s="156"/>
      <c r="O158" s="158"/>
    </row>
    <row r="159" spans="2:15" s="123" customFormat="1" x14ac:dyDescent="0.2">
      <c r="B159" s="156"/>
      <c r="H159" s="157"/>
      <c r="I159" s="156"/>
      <c r="O159" s="158"/>
    </row>
    <row r="160" spans="2:15" s="123" customFormat="1" x14ac:dyDescent="0.2">
      <c r="B160" s="156"/>
      <c r="H160" s="157"/>
      <c r="I160" s="156"/>
      <c r="O160" s="158"/>
    </row>
    <row r="161" spans="2:15" s="123" customFormat="1" x14ac:dyDescent="0.2">
      <c r="B161" s="156"/>
      <c r="H161" s="157"/>
      <c r="I161" s="156"/>
      <c r="O161" s="158"/>
    </row>
    <row r="162" spans="2:15" s="123" customFormat="1" x14ac:dyDescent="0.2">
      <c r="B162" s="156"/>
      <c r="H162" s="157"/>
      <c r="I162" s="156"/>
      <c r="O162" s="158"/>
    </row>
    <row r="163" spans="2:15" s="123" customFormat="1" x14ac:dyDescent="0.2">
      <c r="B163" s="156"/>
      <c r="H163" s="157"/>
      <c r="I163" s="156"/>
      <c r="O163" s="158"/>
    </row>
    <row r="164" spans="2:15" s="123" customFormat="1" x14ac:dyDescent="0.2">
      <c r="B164" s="156"/>
      <c r="H164" s="157"/>
      <c r="I164" s="156"/>
      <c r="O164" s="158"/>
    </row>
    <row r="165" spans="2:15" s="123" customFormat="1" x14ac:dyDescent="0.2">
      <c r="B165" s="156"/>
      <c r="H165" s="157"/>
      <c r="I165" s="156"/>
      <c r="O165" s="158"/>
    </row>
    <row r="166" spans="2:15" s="123" customFormat="1" x14ac:dyDescent="0.2">
      <c r="B166" s="156"/>
      <c r="H166" s="157"/>
      <c r="I166" s="156"/>
      <c r="O166" s="158"/>
    </row>
    <row r="167" spans="2:15" s="123" customFormat="1" x14ac:dyDescent="0.2">
      <c r="B167" s="156"/>
      <c r="H167" s="157"/>
      <c r="I167" s="156"/>
      <c r="O167" s="158"/>
    </row>
    <row r="168" spans="2:15" s="123" customFormat="1" x14ac:dyDescent="0.2">
      <c r="B168" s="156"/>
      <c r="H168" s="157"/>
      <c r="I168" s="156"/>
      <c r="O168" s="158"/>
    </row>
    <row r="169" spans="2:15" s="123" customFormat="1" x14ac:dyDescent="0.2">
      <c r="B169" s="156"/>
      <c r="H169" s="157"/>
      <c r="I169" s="156"/>
      <c r="O169" s="158"/>
    </row>
    <row r="170" spans="2:15" s="123" customFormat="1" x14ac:dyDescent="0.2">
      <c r="B170" s="156"/>
      <c r="H170" s="157"/>
      <c r="I170" s="156"/>
      <c r="O170" s="158"/>
    </row>
    <row r="171" spans="2:15" s="123" customFormat="1" x14ac:dyDescent="0.2">
      <c r="B171" s="156"/>
      <c r="H171" s="157"/>
      <c r="I171" s="156"/>
      <c r="O171" s="158"/>
    </row>
    <row r="172" spans="2:15" s="123" customFormat="1" x14ac:dyDescent="0.2">
      <c r="B172" s="156"/>
      <c r="H172" s="157"/>
      <c r="I172" s="156"/>
      <c r="O172" s="158"/>
    </row>
    <row r="173" spans="2:15" s="123" customFormat="1" x14ac:dyDescent="0.2">
      <c r="B173" s="156"/>
      <c r="H173" s="157"/>
      <c r="I173" s="156"/>
      <c r="O173" s="158"/>
    </row>
    <row r="174" spans="2:15" s="123" customFormat="1" x14ac:dyDescent="0.2">
      <c r="B174" s="156"/>
      <c r="H174" s="157"/>
      <c r="I174" s="156"/>
      <c r="O174" s="158"/>
    </row>
    <row r="175" spans="2:15" s="123" customFormat="1" x14ac:dyDescent="0.2">
      <c r="B175" s="156"/>
      <c r="H175" s="157"/>
      <c r="I175" s="156"/>
      <c r="O175" s="158"/>
    </row>
    <row r="176" spans="2:15" s="123" customFormat="1" x14ac:dyDescent="0.2">
      <c r="B176" s="156"/>
      <c r="H176" s="157"/>
      <c r="I176" s="156"/>
      <c r="O176" s="158"/>
    </row>
    <row r="177" spans="2:15" s="123" customFormat="1" x14ac:dyDescent="0.2">
      <c r="B177" s="156"/>
      <c r="H177" s="157"/>
      <c r="I177" s="156"/>
      <c r="O177" s="158"/>
    </row>
    <row r="178" spans="2:15" s="123" customFormat="1" x14ac:dyDescent="0.2">
      <c r="B178" s="156"/>
      <c r="H178" s="157"/>
      <c r="I178" s="156"/>
      <c r="O178" s="158"/>
    </row>
    <row r="179" spans="2:15" s="123" customFormat="1" x14ac:dyDescent="0.2">
      <c r="B179" s="156"/>
      <c r="H179" s="157"/>
      <c r="I179" s="156"/>
      <c r="O179" s="158"/>
    </row>
    <row r="180" spans="2:15" s="123" customFormat="1" x14ac:dyDescent="0.2">
      <c r="B180" s="156"/>
      <c r="H180" s="157"/>
      <c r="I180" s="156"/>
      <c r="O180" s="158"/>
    </row>
  </sheetData>
  <autoFilter ref="A2:O128" xr:uid="{F9976FA7-4D4F-48EE-A7BD-4E9E5B149848}"/>
  <phoneticPr fontId="7" type="noConversion"/>
  <conditionalFormatting sqref="C3:D22 C41:D46 C48:D51 N48:O124 C64:D64 C53:D62 C52 C66:D77 C65 C79:D88 C78 C90:D105 C107:D127 C106">
    <cfRule type="expression" dxfId="129" priority="29">
      <formula>AND(OR($E3="No",$E3=""), $D3= "Yes",$F3&lt;&gt;"",$G3&lt;&gt;"")</formula>
    </cfRule>
  </conditionalFormatting>
  <conditionalFormatting sqref="C26:D26 C35:D40">
    <cfRule type="expression" dxfId="128" priority="30">
      <formula>AND(OR($E27="No",$E27=""), $D26= "Yes",$F26&lt;&gt;"",$G26&lt;&gt;"")</formula>
    </cfRule>
  </conditionalFormatting>
  <conditionalFormatting sqref="C27:D34">
    <cfRule type="expression" dxfId="127" priority="28">
      <formula>AND(OR($E28="No",$E28=""), $D27= "Yes",$F27&lt;&gt;"",$G27&lt;&gt;"")</formula>
    </cfRule>
  </conditionalFormatting>
  <conditionalFormatting sqref="N41:O41 N127:O127 O125:O126 N43:O46">
    <cfRule type="expression" dxfId="126" priority="22">
      <formula>AND(OR($E41="No",$E41=""), $D41= "Yes",$F41&lt;&gt;"",$G41&lt;&gt;"")</formula>
    </cfRule>
  </conditionalFormatting>
  <conditionalFormatting sqref="N3:O19 N21:O22 N20">
    <cfRule type="expression" dxfId="125" priority="20">
      <formula>AND(OR($E3="No",$E3=""), $D3= "Yes",$F3&lt;&gt;"",$G3&lt;&gt;"")</formula>
    </cfRule>
  </conditionalFormatting>
  <conditionalFormatting sqref="N26:O40">
    <cfRule type="expression" dxfId="124" priority="21">
      <formula>AND(OR($E27="No",$E27=""), $D26= "Yes",$F26&lt;&gt;"",$G26&lt;&gt;"")</formula>
    </cfRule>
  </conditionalFormatting>
  <conditionalFormatting sqref="N126">
    <cfRule type="expression" dxfId="123" priority="23">
      <formula>AND(OR($E125="No",$E125=""), $D125= "Yes",$F125&lt;&gt;"",$G125&lt;&gt;"")</formula>
    </cfRule>
  </conditionalFormatting>
  <conditionalFormatting sqref="O20">
    <cfRule type="expression" dxfId="122" priority="19">
      <formula>AND(OR($E20="No",$E20=""), $D20= "Yes",$F20&lt;&gt;"",$G20&lt;&gt;"")</formula>
    </cfRule>
  </conditionalFormatting>
  <conditionalFormatting sqref="N125">
    <cfRule type="expression" dxfId="121" priority="18">
      <formula>AND(OR($E125="No",$E125=""), $D125= "Yes",$F125&lt;&gt;"",$G125&lt;&gt;"")</formula>
    </cfRule>
  </conditionalFormatting>
  <conditionalFormatting sqref="N42:O42">
    <cfRule type="expression" dxfId="120" priority="17">
      <formula>AND(OR($F42="No",$F42=""), $E42= "Yes",$G42&lt;&gt;"",$H42&lt;&gt;"")</formula>
    </cfRule>
  </conditionalFormatting>
  <conditionalFormatting sqref="N23:O25 C23:H24">
    <cfRule type="expression" dxfId="119" priority="14">
      <formula>AND(OR($E23="No",$E23=""), $D23= "Yes",$F23&lt;&gt;"",$G23&lt;&gt;"")</formula>
    </cfRule>
  </conditionalFormatting>
  <conditionalFormatting sqref="C25:D25">
    <cfRule type="expression" dxfId="118" priority="13">
      <formula>AND(OR($E25="No",$E25=""), $D25= "Yes",$F25&lt;&gt;"",$G25&lt;&gt;"")</formula>
    </cfRule>
  </conditionalFormatting>
  <conditionalFormatting sqref="G68:H70">
    <cfRule type="expression" dxfId="117" priority="11">
      <formula>AND(OR($E68="No",$E68=""), $F68= "Yes",$G68&lt;&gt;"",$H68&lt;&gt;"")</formula>
    </cfRule>
    <cfRule type="expression" dxfId="116" priority="12">
      <formula>AND(OR($F68="No",$F68=""), $E68= "Yes",$G68&lt;&gt;"",$H68&lt;&gt;"")</formula>
    </cfRule>
  </conditionalFormatting>
  <conditionalFormatting sqref="G78:H78">
    <cfRule type="expression" dxfId="115" priority="9">
      <formula>AND(OR($E78="No",$E78=""), $F78= "Yes",$G78&lt;&gt;"",$H78&lt;&gt;"")</formula>
    </cfRule>
    <cfRule type="expression" dxfId="114" priority="10">
      <formula>AND(OR($F78="No",$F78=""), $E78= "Yes",$G78&lt;&gt;"",$H78&lt;&gt;"")</formula>
    </cfRule>
  </conditionalFormatting>
  <conditionalFormatting sqref="E79:H79">
    <cfRule type="expression" dxfId="113" priority="8">
      <formula>AND(OR($F79="No",$F79=""), $E79= "Yes",$G79&lt;&gt;"",$H79&lt;&gt;"")</formula>
    </cfRule>
  </conditionalFormatting>
  <conditionalFormatting sqref="I3:M128">
    <cfRule type="expression" dxfId="112" priority="7">
      <formula>AND(OR($E3="No",$E3=""), $D3= "Yes",$F3&lt;&gt;"",$G3&lt;&gt;"")</formula>
    </cfRule>
  </conditionalFormatting>
  <conditionalFormatting sqref="D52">
    <cfRule type="expression" dxfId="111" priority="6">
      <formula>AND(OR($F52="No",$F52=""), $E52= "Yes",$G52&lt;&gt;"",$H52&lt;&gt;"")</formula>
    </cfRule>
  </conditionalFormatting>
  <conditionalFormatting sqref="D65">
    <cfRule type="expression" dxfId="110" priority="5">
      <formula>AND(OR($F65="No",$F65=""), $E65= "Yes",$G65&lt;&gt;"",$H65&lt;&gt;"")</formula>
    </cfRule>
  </conditionalFormatting>
  <conditionalFormatting sqref="D78">
    <cfRule type="expression" dxfId="109" priority="4">
      <formula>AND(OR($F78="No",$F78=""), $E78= "Yes",$G78&lt;&gt;"",$H78&lt;&gt;"")</formula>
    </cfRule>
  </conditionalFormatting>
  <conditionalFormatting sqref="C89:D89">
    <cfRule type="expression" dxfId="108" priority="2">
      <formula>AND(OR($E89="No",$E89=""), $F89= "Yes",$G89&lt;&gt;"",$H89&lt;&gt;"")</formula>
    </cfRule>
    <cfRule type="expression" dxfId="107" priority="3">
      <formula>AND(OR($F89="No",$F89=""), $E89= "Yes",$G89&lt;&gt;"",$H89&lt;&gt;"")</formula>
    </cfRule>
  </conditionalFormatting>
  <conditionalFormatting sqref="D106">
    <cfRule type="expression" dxfId="106" priority="1">
      <formula>AND(OR($F106="No",$F106=""), $E106= "Yes",$G106&lt;&gt;"",$H106&lt;&gt;"")</formula>
    </cfRule>
  </conditionalFormatting>
  <dataValidations count="1">
    <dataValidation type="list" allowBlank="1" showInputMessage="1" showErrorMessage="1" sqref="E1:F2 K1:K2 E23:F24 E79:F79" xr:uid="{459544E2-9136-4FFF-AD79-5FB115C5BAB9}">
      <formula1>"Yes, No"</formula1>
    </dataValidation>
  </dataValidations>
  <pageMargins left="0.25" right="0.25" top="0.75" bottom="0.75" header="0.3" footer="0.3"/>
  <pageSetup paperSize="8" scale="58" fitToHeight="0" orientation="landscape" r:id="rId1"/>
  <extLst>
    <ext xmlns:x14="http://schemas.microsoft.com/office/spreadsheetml/2009/9/main" uri="{78C0D931-6437-407d-A8EE-F0AAD7539E65}">
      <x14:conditionalFormattings>
        <x14:conditionalFormatting xmlns:xm="http://schemas.microsoft.com/office/excel/2006/main">
          <x14:cfRule type="expression" priority="157"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O180"/>
  <sheetViews>
    <sheetView topLeftCell="B1" zoomScale="60" zoomScaleNormal="60" workbookViewId="0">
      <pane ySplit="2" topLeftCell="A35" activePane="bottomLeft" state="frozen"/>
      <selection pane="bottomLeft" activeCell="G43" sqref="G43"/>
    </sheetView>
  </sheetViews>
  <sheetFormatPr defaultColWidth="8.88671875" defaultRowHeight="15" x14ac:dyDescent="0.2"/>
  <cols>
    <col min="1" max="1" width="13.44140625" style="2" hidden="1" customWidth="1"/>
    <col min="2" max="2" width="7.77734375" style="18" customWidth="1"/>
    <col min="3" max="3" width="60.77734375" style="45" customWidth="1"/>
    <col min="4" max="4" width="38.77734375" style="45" customWidth="1"/>
    <col min="5" max="5" width="9.5546875" style="2" bestFit="1" customWidth="1"/>
    <col min="6" max="6" width="12.109375" style="2" bestFit="1" customWidth="1"/>
    <col min="7" max="7" width="38.77734375" style="2" customWidth="1"/>
    <col min="8" max="8" width="14.77734375" style="2" customWidth="1"/>
    <col min="9" max="10" width="10.33203125" style="18" customWidth="1"/>
    <col min="11" max="11" width="15.109375" style="2" hidden="1" customWidth="1"/>
    <col min="12" max="12" width="18.109375" style="2" bestFit="1" customWidth="1"/>
    <col min="13" max="13" width="13.6640625" style="2" hidden="1" customWidth="1"/>
    <col min="14" max="14" width="9.33203125" style="2" hidden="1" customWidth="1"/>
    <col min="15" max="15" width="7.5546875" style="2" hidden="1" customWidth="1"/>
    <col min="16" max="16384" width="8.88671875" style="2"/>
  </cols>
  <sheetData>
    <row r="1" spans="1:15" ht="21" customHeight="1" thickBot="1" x14ac:dyDescent="0.25">
      <c r="A1" s="21"/>
      <c r="B1" s="83" t="s">
        <v>47</v>
      </c>
      <c r="C1" s="57" t="s">
        <v>478</v>
      </c>
      <c r="D1" s="44"/>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23" customFormat="1" ht="54" customHeight="1" thickTop="1" x14ac:dyDescent="0.2">
      <c r="A3" s="95"/>
      <c r="B3" s="104" t="s">
        <v>10</v>
      </c>
      <c r="C3" s="92" t="s">
        <v>479</v>
      </c>
      <c r="D3" s="92" t="s">
        <v>480</v>
      </c>
      <c r="E3" s="92" t="s">
        <v>11</v>
      </c>
      <c r="F3" s="92" t="s">
        <v>21</v>
      </c>
      <c r="G3" s="92" t="s">
        <v>335</v>
      </c>
      <c r="H3" s="105" t="s">
        <v>59</v>
      </c>
      <c r="I3" s="92" t="s">
        <v>60</v>
      </c>
      <c r="J3" s="92" t="s">
        <v>61</v>
      </c>
      <c r="K3" s="92">
        <v>0</v>
      </c>
      <c r="L3" s="92" t="s">
        <v>481</v>
      </c>
      <c r="M3" s="92" t="s">
        <v>63</v>
      </c>
      <c r="N3" s="92">
        <v>2</v>
      </c>
      <c r="O3" s="93">
        <v>5.2083333333333333E-4</v>
      </c>
    </row>
    <row r="4" spans="1:15" s="123" customFormat="1" ht="54" customHeight="1" x14ac:dyDescent="0.2">
      <c r="A4" s="95"/>
      <c r="B4" s="69" t="s">
        <v>10</v>
      </c>
      <c r="C4" s="70" t="s">
        <v>482</v>
      </c>
      <c r="D4" s="70" t="s">
        <v>483</v>
      </c>
      <c r="E4" s="70" t="s">
        <v>11</v>
      </c>
      <c r="F4" s="70" t="s">
        <v>21</v>
      </c>
      <c r="G4" s="70" t="s">
        <v>103</v>
      </c>
      <c r="H4" s="80" t="s">
        <v>59</v>
      </c>
      <c r="I4" s="70" t="s">
        <v>60</v>
      </c>
      <c r="J4" s="70" t="s">
        <v>61</v>
      </c>
      <c r="K4" s="70">
        <v>0</v>
      </c>
      <c r="L4" s="70" t="s">
        <v>67</v>
      </c>
      <c r="M4" s="70" t="s">
        <v>68</v>
      </c>
      <c r="N4" s="70">
        <v>1</v>
      </c>
      <c r="O4" s="73">
        <v>1.3888888888888889E-3</v>
      </c>
    </row>
    <row r="5" spans="1:15" s="123" customFormat="1" ht="54" customHeight="1" x14ac:dyDescent="0.2">
      <c r="A5" s="95"/>
      <c r="B5" s="69" t="s">
        <v>10</v>
      </c>
      <c r="C5" s="70" t="s">
        <v>484</v>
      </c>
      <c r="D5" s="70" t="s">
        <v>485</v>
      </c>
      <c r="E5" s="70" t="s">
        <v>11</v>
      </c>
      <c r="F5" s="70" t="s">
        <v>21</v>
      </c>
      <c r="G5" s="70" t="s">
        <v>317</v>
      </c>
      <c r="H5" s="80" t="s">
        <v>59</v>
      </c>
      <c r="I5" s="70" t="s">
        <v>60</v>
      </c>
      <c r="J5" s="70" t="s">
        <v>61</v>
      </c>
      <c r="K5" s="70">
        <v>0</v>
      </c>
      <c r="L5" s="70" t="s">
        <v>100</v>
      </c>
      <c r="M5" s="70" t="s">
        <v>63</v>
      </c>
      <c r="N5" s="70">
        <v>1</v>
      </c>
      <c r="O5" s="73">
        <v>2.0833333333333333E-3</v>
      </c>
    </row>
    <row r="6" spans="1:15" s="123" customFormat="1" ht="54" customHeight="1" thickBot="1" x14ac:dyDescent="0.25">
      <c r="A6" s="96"/>
      <c r="B6" s="74" t="s">
        <v>10</v>
      </c>
      <c r="C6" s="75" t="s">
        <v>486</v>
      </c>
      <c r="D6" s="75" t="s">
        <v>487</v>
      </c>
      <c r="E6" s="75" t="s">
        <v>11</v>
      </c>
      <c r="F6" s="75" t="s">
        <v>21</v>
      </c>
      <c r="G6" s="75" t="s">
        <v>66</v>
      </c>
      <c r="H6" s="81" t="s">
        <v>59</v>
      </c>
      <c r="I6" s="75" t="s">
        <v>60</v>
      </c>
      <c r="J6" s="75" t="s">
        <v>61</v>
      </c>
      <c r="K6" s="75">
        <v>0</v>
      </c>
      <c r="L6" s="75" t="s">
        <v>106</v>
      </c>
      <c r="M6" s="75" t="s">
        <v>63</v>
      </c>
      <c r="N6" s="75">
        <v>1</v>
      </c>
      <c r="O6" s="78">
        <v>1.0416666666666667E-3</v>
      </c>
    </row>
    <row r="7" spans="1:15" s="123" customFormat="1" ht="54" customHeight="1" thickTop="1" x14ac:dyDescent="0.2">
      <c r="A7" s="95"/>
      <c r="B7" s="104" t="s">
        <v>13</v>
      </c>
      <c r="C7" s="92" t="s">
        <v>488</v>
      </c>
      <c r="D7" s="92" t="s">
        <v>489</v>
      </c>
      <c r="E7" s="92" t="s">
        <v>11</v>
      </c>
      <c r="F7" s="92" t="s">
        <v>21</v>
      </c>
      <c r="G7" s="92" t="s">
        <v>138</v>
      </c>
      <c r="H7" s="105">
        <v>45340</v>
      </c>
      <c r="I7" s="92" t="s">
        <v>139</v>
      </c>
      <c r="J7" s="92" t="s">
        <v>140</v>
      </c>
      <c r="K7" s="92">
        <v>0</v>
      </c>
      <c r="L7" s="92" t="s">
        <v>141</v>
      </c>
      <c r="M7" s="92" t="s">
        <v>114</v>
      </c>
      <c r="N7" s="92">
        <v>4</v>
      </c>
      <c r="O7" s="93">
        <v>1.736111111111111E-3</v>
      </c>
    </row>
    <row r="8" spans="1:15" s="123" customFormat="1" ht="54" customHeight="1" x14ac:dyDescent="0.2">
      <c r="A8" s="95"/>
      <c r="B8" s="69" t="s">
        <v>13</v>
      </c>
      <c r="C8" s="70" t="s">
        <v>490</v>
      </c>
      <c r="D8" s="70" t="s">
        <v>491</v>
      </c>
      <c r="E8" s="70" t="s">
        <v>11</v>
      </c>
      <c r="F8" s="70" t="s">
        <v>21</v>
      </c>
      <c r="G8" s="70" t="s">
        <v>148</v>
      </c>
      <c r="H8" s="80">
        <v>45347</v>
      </c>
      <c r="I8" s="70" t="s">
        <v>139</v>
      </c>
      <c r="J8" s="70" t="s">
        <v>140</v>
      </c>
      <c r="K8" s="70">
        <v>0</v>
      </c>
      <c r="L8" s="70" t="s">
        <v>141</v>
      </c>
      <c r="M8" s="70" t="s">
        <v>114</v>
      </c>
      <c r="N8" s="70">
        <v>4</v>
      </c>
      <c r="O8" s="73">
        <v>1.736111111111111E-3</v>
      </c>
    </row>
    <row r="9" spans="1:15" s="123" customFormat="1" ht="54" customHeight="1" x14ac:dyDescent="0.2">
      <c r="A9" s="95"/>
      <c r="B9" s="69" t="s">
        <v>13</v>
      </c>
      <c r="C9" s="70" t="s">
        <v>492</v>
      </c>
      <c r="D9" s="70" t="s">
        <v>493</v>
      </c>
      <c r="E9" s="70" t="s">
        <v>11</v>
      </c>
      <c r="F9" s="70" t="s">
        <v>21</v>
      </c>
      <c r="G9" s="70" t="s">
        <v>138</v>
      </c>
      <c r="H9" s="80">
        <v>45340</v>
      </c>
      <c r="I9" s="70" t="s">
        <v>139</v>
      </c>
      <c r="J9" s="70" t="s">
        <v>140</v>
      </c>
      <c r="K9" s="70">
        <v>0</v>
      </c>
      <c r="L9" s="70" t="s">
        <v>141</v>
      </c>
      <c r="M9" s="70" t="s">
        <v>114</v>
      </c>
      <c r="N9" s="70">
        <v>4</v>
      </c>
      <c r="O9" s="73">
        <v>1.736111111111111E-3</v>
      </c>
    </row>
    <row r="10" spans="1:15" s="123" customFormat="1" ht="54" customHeight="1" x14ac:dyDescent="0.2">
      <c r="A10" s="95"/>
      <c r="B10" s="69" t="s">
        <v>13</v>
      </c>
      <c r="C10" s="70" t="s">
        <v>494</v>
      </c>
      <c r="D10" s="70" t="s">
        <v>495</v>
      </c>
      <c r="E10" s="70" t="s">
        <v>11</v>
      </c>
      <c r="F10" s="70" t="s">
        <v>21</v>
      </c>
      <c r="G10" s="70" t="s">
        <v>496</v>
      </c>
      <c r="H10" s="80">
        <v>45348</v>
      </c>
      <c r="I10" s="70" t="s">
        <v>139</v>
      </c>
      <c r="J10" s="70" t="s">
        <v>140</v>
      </c>
      <c r="K10" s="70">
        <v>0</v>
      </c>
      <c r="L10" s="70" t="s">
        <v>141</v>
      </c>
      <c r="M10" s="70" t="s">
        <v>114</v>
      </c>
      <c r="N10" s="70">
        <v>4</v>
      </c>
      <c r="O10" s="73">
        <v>1.736111111111111E-3</v>
      </c>
    </row>
    <row r="11" spans="1:15" s="123" customFormat="1" ht="54" customHeight="1" x14ac:dyDescent="0.2">
      <c r="A11" s="95"/>
      <c r="B11" s="69" t="s">
        <v>13</v>
      </c>
      <c r="C11" s="70" t="s">
        <v>497</v>
      </c>
      <c r="D11" s="70" t="s">
        <v>498</v>
      </c>
      <c r="E11" s="70" t="s">
        <v>11</v>
      </c>
      <c r="F11" s="70" t="s">
        <v>21</v>
      </c>
      <c r="G11" s="70" t="s">
        <v>499</v>
      </c>
      <c r="H11" s="80">
        <v>45342</v>
      </c>
      <c r="I11" s="70" t="s">
        <v>139</v>
      </c>
      <c r="J11" s="70" t="s">
        <v>61</v>
      </c>
      <c r="K11" s="70">
        <v>0</v>
      </c>
      <c r="L11" s="70" t="s">
        <v>500</v>
      </c>
      <c r="M11" s="70" t="s">
        <v>153</v>
      </c>
      <c r="N11" s="70">
        <v>1</v>
      </c>
      <c r="O11" s="73">
        <v>6.9444444444444447E-4</v>
      </c>
    </row>
    <row r="12" spans="1:15" s="123" customFormat="1" ht="54" customHeight="1" x14ac:dyDescent="0.2">
      <c r="A12" s="95"/>
      <c r="B12" s="69" t="s">
        <v>13</v>
      </c>
      <c r="C12" s="70" t="s">
        <v>501</v>
      </c>
      <c r="D12" s="70" t="s">
        <v>502</v>
      </c>
      <c r="E12" s="70" t="s">
        <v>11</v>
      </c>
      <c r="F12" s="70" t="s">
        <v>21</v>
      </c>
      <c r="G12" s="70" t="s">
        <v>148</v>
      </c>
      <c r="H12" s="80">
        <v>45347</v>
      </c>
      <c r="I12" s="70" t="s">
        <v>60</v>
      </c>
      <c r="J12" s="70" t="s">
        <v>140</v>
      </c>
      <c r="K12" s="70">
        <v>0</v>
      </c>
      <c r="L12" s="70" t="s">
        <v>168</v>
      </c>
      <c r="M12" s="70" t="s">
        <v>169</v>
      </c>
      <c r="N12" s="70">
        <v>2</v>
      </c>
      <c r="O12" s="73">
        <v>4.6296296296296293E-4</v>
      </c>
    </row>
    <row r="13" spans="1:15" s="123" customFormat="1" ht="54" customHeight="1" x14ac:dyDescent="0.2">
      <c r="A13" s="95"/>
      <c r="B13" s="69" t="s">
        <v>13</v>
      </c>
      <c r="C13" s="70" t="s">
        <v>503</v>
      </c>
      <c r="D13" s="70" t="s">
        <v>504</v>
      </c>
      <c r="E13" s="70" t="s">
        <v>11</v>
      </c>
      <c r="F13" s="70" t="s">
        <v>21</v>
      </c>
      <c r="G13" s="70" t="s">
        <v>496</v>
      </c>
      <c r="H13" s="80">
        <v>45348</v>
      </c>
      <c r="I13" s="70" t="s">
        <v>60</v>
      </c>
      <c r="J13" s="70" t="s">
        <v>140</v>
      </c>
      <c r="K13" s="70">
        <v>0</v>
      </c>
      <c r="L13" s="70" t="s">
        <v>168</v>
      </c>
      <c r="M13" s="70" t="s">
        <v>169</v>
      </c>
      <c r="N13" s="70">
        <v>2</v>
      </c>
      <c r="O13" s="73">
        <v>4.6296296296296293E-4</v>
      </c>
    </row>
    <row r="14" spans="1:15" s="123" customFormat="1" ht="54" customHeight="1" thickBot="1" x14ac:dyDescent="0.25">
      <c r="A14" s="96"/>
      <c r="B14" s="74" t="s">
        <v>13</v>
      </c>
      <c r="C14" s="75" t="s">
        <v>505</v>
      </c>
      <c r="D14" s="75" t="s">
        <v>506</v>
      </c>
      <c r="E14" s="76" t="s">
        <v>11</v>
      </c>
      <c r="F14" s="76" t="s">
        <v>21</v>
      </c>
      <c r="G14" s="76" t="s">
        <v>183</v>
      </c>
      <c r="H14" s="81">
        <v>45347</v>
      </c>
      <c r="I14" s="75" t="s">
        <v>93</v>
      </c>
      <c r="J14" s="75" t="s">
        <v>61</v>
      </c>
      <c r="K14" s="75">
        <v>0</v>
      </c>
      <c r="L14" s="75" t="s">
        <v>507</v>
      </c>
      <c r="M14" s="75" t="s">
        <v>114</v>
      </c>
      <c r="N14" s="75">
        <v>1</v>
      </c>
      <c r="O14" s="78">
        <v>6.9444444444444447E-4</v>
      </c>
    </row>
    <row r="15" spans="1:15" s="123" customFormat="1" ht="54" customHeight="1" thickTop="1" x14ac:dyDescent="0.2">
      <c r="A15" s="95"/>
      <c r="B15" s="104" t="s">
        <v>16</v>
      </c>
      <c r="C15" s="92" t="s">
        <v>508</v>
      </c>
      <c r="D15" s="92" t="s">
        <v>211</v>
      </c>
      <c r="E15" s="92" t="s">
        <v>11</v>
      </c>
      <c r="F15" s="92" t="s">
        <v>21</v>
      </c>
      <c r="G15" s="92" t="s">
        <v>212</v>
      </c>
      <c r="H15" s="105">
        <v>45341</v>
      </c>
      <c r="I15" s="92" t="s">
        <v>139</v>
      </c>
      <c r="J15" s="92" t="s">
        <v>140</v>
      </c>
      <c r="K15" s="92">
        <v>0</v>
      </c>
      <c r="L15" s="92" t="s">
        <v>213</v>
      </c>
      <c r="M15" s="92" t="s">
        <v>209</v>
      </c>
      <c r="N15" s="92">
        <v>1</v>
      </c>
      <c r="O15" s="93">
        <v>3.4722222222222224E-4</v>
      </c>
    </row>
    <row r="16" spans="1:15" s="123" customFormat="1" ht="54" customHeight="1" x14ac:dyDescent="0.2">
      <c r="A16" s="95"/>
      <c r="B16" s="69" t="s">
        <v>16</v>
      </c>
      <c r="C16" s="70" t="s">
        <v>509</v>
      </c>
      <c r="D16" s="70" t="s">
        <v>211</v>
      </c>
      <c r="E16" s="70" t="s">
        <v>11</v>
      </c>
      <c r="F16" s="70" t="s">
        <v>21</v>
      </c>
      <c r="G16" s="70" t="s">
        <v>212</v>
      </c>
      <c r="H16" s="80">
        <v>45341</v>
      </c>
      <c r="I16" s="70" t="s">
        <v>139</v>
      </c>
      <c r="J16" s="70" t="s">
        <v>140</v>
      </c>
      <c r="K16" s="70">
        <v>0</v>
      </c>
      <c r="L16" s="70" t="s">
        <v>213</v>
      </c>
      <c r="M16" s="70" t="s">
        <v>209</v>
      </c>
      <c r="N16" s="70">
        <v>1</v>
      </c>
      <c r="O16" s="73">
        <v>3.4722222222222224E-4</v>
      </c>
    </row>
    <row r="17" spans="1:15" s="123" customFormat="1" ht="54" customHeight="1" x14ac:dyDescent="0.2">
      <c r="A17" s="95"/>
      <c r="B17" s="69" t="s">
        <v>16</v>
      </c>
      <c r="C17" s="70" t="s">
        <v>510</v>
      </c>
      <c r="D17" s="70" t="s">
        <v>216</v>
      </c>
      <c r="E17" s="70" t="s">
        <v>11</v>
      </c>
      <c r="F17" s="70" t="s">
        <v>21</v>
      </c>
      <c r="G17" s="70" t="s">
        <v>217</v>
      </c>
      <c r="H17" s="80">
        <v>45341</v>
      </c>
      <c r="I17" s="70" t="s">
        <v>93</v>
      </c>
      <c r="J17" s="70" t="s">
        <v>140</v>
      </c>
      <c r="K17" s="70">
        <v>0</v>
      </c>
      <c r="L17" s="70" t="s">
        <v>511</v>
      </c>
      <c r="M17" s="70" t="s">
        <v>219</v>
      </c>
      <c r="N17" s="70">
        <v>1</v>
      </c>
      <c r="O17" s="73">
        <v>3.4722222222222224E-4</v>
      </c>
    </row>
    <row r="18" spans="1:15" s="123" customFormat="1" ht="54" customHeight="1" x14ac:dyDescent="0.2">
      <c r="A18" s="95"/>
      <c r="B18" s="69" t="s">
        <v>16</v>
      </c>
      <c r="C18" s="70" t="s">
        <v>512</v>
      </c>
      <c r="D18" s="70" t="s">
        <v>221</v>
      </c>
      <c r="E18" s="70" t="s">
        <v>11</v>
      </c>
      <c r="F18" s="70" t="s">
        <v>21</v>
      </c>
      <c r="G18" s="70" t="s">
        <v>222</v>
      </c>
      <c r="H18" s="80">
        <v>45341</v>
      </c>
      <c r="I18" s="70" t="s">
        <v>139</v>
      </c>
      <c r="J18" s="70" t="s">
        <v>140</v>
      </c>
      <c r="K18" s="70">
        <v>0</v>
      </c>
      <c r="L18" s="70" t="s">
        <v>223</v>
      </c>
      <c r="M18" s="70" t="s">
        <v>209</v>
      </c>
      <c r="N18" s="70">
        <v>1</v>
      </c>
      <c r="O18" s="73">
        <v>5.7870370370370378E-4</v>
      </c>
    </row>
    <row r="19" spans="1:15" s="123" customFormat="1" ht="54" customHeight="1" x14ac:dyDescent="0.2">
      <c r="A19" s="95"/>
      <c r="B19" s="69" t="s">
        <v>16</v>
      </c>
      <c r="C19" s="70" t="s">
        <v>513</v>
      </c>
      <c r="D19" s="70" t="s">
        <v>225</v>
      </c>
      <c r="E19" s="70" t="s">
        <v>11</v>
      </c>
      <c r="F19" s="70" t="s">
        <v>21</v>
      </c>
      <c r="G19" s="70" t="s">
        <v>226</v>
      </c>
      <c r="H19" s="80">
        <v>45979</v>
      </c>
      <c r="I19" s="70" t="s">
        <v>139</v>
      </c>
      <c r="J19" s="70" t="s">
        <v>140</v>
      </c>
      <c r="K19" s="70">
        <v>0</v>
      </c>
      <c r="L19" s="70" t="s">
        <v>227</v>
      </c>
      <c r="M19" s="70" t="s">
        <v>209</v>
      </c>
      <c r="N19" s="70">
        <v>2</v>
      </c>
      <c r="O19" s="73">
        <v>6.9444444444444447E-4</v>
      </c>
    </row>
    <row r="20" spans="1:15" s="123" customFormat="1" ht="54" customHeight="1" x14ac:dyDescent="0.2">
      <c r="A20" s="160"/>
      <c r="B20" s="130" t="s">
        <v>16</v>
      </c>
      <c r="C20" s="131" t="s">
        <v>514</v>
      </c>
      <c r="D20" s="131" t="s">
        <v>229</v>
      </c>
      <c r="E20" s="131" t="s">
        <v>11</v>
      </c>
      <c r="F20" s="131" t="s">
        <v>21</v>
      </c>
      <c r="G20" s="131" t="s">
        <v>230</v>
      </c>
      <c r="H20" s="147">
        <v>45340</v>
      </c>
      <c r="I20" s="131" t="s">
        <v>60</v>
      </c>
      <c r="J20" s="131" t="s">
        <v>140</v>
      </c>
      <c r="K20" s="131">
        <v>0</v>
      </c>
      <c r="L20" s="131" t="s">
        <v>231</v>
      </c>
      <c r="M20" s="131" t="s">
        <v>209</v>
      </c>
      <c r="N20" s="131">
        <v>1</v>
      </c>
      <c r="O20" s="135">
        <v>3.4722222222222224E-4</v>
      </c>
    </row>
    <row r="21" spans="1:15" s="123" customFormat="1" ht="54" customHeight="1" x14ac:dyDescent="0.2">
      <c r="A21" s="160"/>
      <c r="B21" s="130" t="s">
        <v>16</v>
      </c>
      <c r="C21" s="131" t="s">
        <v>515</v>
      </c>
      <c r="D21" s="131" t="s">
        <v>233</v>
      </c>
      <c r="E21" s="131" t="s">
        <v>11</v>
      </c>
      <c r="F21" s="131" t="s">
        <v>21</v>
      </c>
      <c r="G21" s="131" t="s">
        <v>222</v>
      </c>
      <c r="H21" s="147">
        <v>45341</v>
      </c>
      <c r="I21" s="131" t="s">
        <v>139</v>
      </c>
      <c r="J21" s="131" t="s">
        <v>61</v>
      </c>
      <c r="K21" s="131">
        <v>0</v>
      </c>
      <c r="L21" s="131" t="s">
        <v>223</v>
      </c>
      <c r="M21" s="131" t="s">
        <v>209</v>
      </c>
      <c r="N21" s="131">
        <v>1</v>
      </c>
      <c r="O21" s="135">
        <v>1.0416666666666667E-3</v>
      </c>
    </row>
    <row r="22" spans="1:15" s="123" customFormat="1" ht="54" customHeight="1" x14ac:dyDescent="0.2">
      <c r="A22" s="160"/>
      <c r="B22" s="130" t="s">
        <v>16</v>
      </c>
      <c r="C22" s="131" t="s">
        <v>516</v>
      </c>
      <c r="D22" s="131" t="s">
        <v>235</v>
      </c>
      <c r="E22" s="131" t="s">
        <v>11</v>
      </c>
      <c r="F22" s="131" t="s">
        <v>21</v>
      </c>
      <c r="G22" s="131" t="s">
        <v>236</v>
      </c>
      <c r="H22" s="147">
        <v>45341</v>
      </c>
      <c r="I22" s="131" t="s">
        <v>139</v>
      </c>
      <c r="J22" s="131" t="s">
        <v>140</v>
      </c>
      <c r="K22" s="131">
        <v>0</v>
      </c>
      <c r="L22" s="131" t="s">
        <v>237</v>
      </c>
      <c r="M22" s="131" t="s">
        <v>209</v>
      </c>
      <c r="N22" s="131">
        <v>1</v>
      </c>
      <c r="O22" s="135">
        <v>1.1574074074074073E-4</v>
      </c>
    </row>
    <row r="23" spans="1:15" s="123" customFormat="1" ht="54" customHeight="1" x14ac:dyDescent="0.2">
      <c r="A23" s="160"/>
      <c r="B23" s="130" t="s">
        <v>16</v>
      </c>
      <c r="C23" s="131" t="s">
        <v>517</v>
      </c>
      <c r="D23" s="131" t="s">
        <v>518</v>
      </c>
      <c r="E23" s="131" t="s">
        <v>11</v>
      </c>
      <c r="F23" s="131" t="s">
        <v>21</v>
      </c>
      <c r="G23" s="131" t="s">
        <v>283</v>
      </c>
      <c r="H23" s="147">
        <v>45341</v>
      </c>
      <c r="I23" s="131" t="s">
        <v>93</v>
      </c>
      <c r="J23" s="131" t="s">
        <v>140</v>
      </c>
      <c r="K23" s="131">
        <v>0</v>
      </c>
      <c r="L23" s="131" t="s">
        <v>519</v>
      </c>
      <c r="M23" s="131" t="s">
        <v>219</v>
      </c>
      <c r="N23" s="131">
        <v>1</v>
      </c>
      <c r="O23" s="135">
        <v>3.4722222222222224E-4</v>
      </c>
    </row>
    <row r="24" spans="1:15" s="123" customFormat="1" ht="54" customHeight="1" x14ac:dyDescent="0.2">
      <c r="A24" s="160"/>
      <c r="B24" s="130" t="s">
        <v>16</v>
      </c>
      <c r="C24" s="131" t="s">
        <v>520</v>
      </c>
      <c r="D24" s="131" t="s">
        <v>248</v>
      </c>
      <c r="E24" s="131" t="s">
        <v>11</v>
      </c>
      <c r="F24" s="131" t="s">
        <v>21</v>
      </c>
      <c r="G24" s="131" t="s">
        <v>521</v>
      </c>
      <c r="H24" s="147">
        <v>45341</v>
      </c>
      <c r="I24" s="131" t="s">
        <v>139</v>
      </c>
      <c r="J24" s="131" t="s">
        <v>140</v>
      </c>
      <c r="K24" s="131">
        <v>0</v>
      </c>
      <c r="L24" s="131" t="s">
        <v>250</v>
      </c>
      <c r="M24" s="131" t="s">
        <v>209</v>
      </c>
      <c r="N24" s="131">
        <v>1</v>
      </c>
      <c r="O24" s="135">
        <v>6.9444444444444447E-4</v>
      </c>
    </row>
    <row r="25" spans="1:15" s="123" customFormat="1" ht="54" customHeight="1" x14ac:dyDescent="0.2">
      <c r="A25" s="160"/>
      <c r="B25" s="130" t="s">
        <v>16</v>
      </c>
      <c r="C25" s="131" t="s">
        <v>522</v>
      </c>
      <c r="D25" s="131" t="s">
        <v>271</v>
      </c>
      <c r="E25" s="131" t="s">
        <v>11</v>
      </c>
      <c r="F25" s="131" t="s">
        <v>21</v>
      </c>
      <c r="G25" s="131" t="s">
        <v>268</v>
      </c>
      <c r="H25" s="147">
        <v>45340</v>
      </c>
      <c r="I25" s="131" t="s">
        <v>60</v>
      </c>
      <c r="J25" s="131" t="s">
        <v>140</v>
      </c>
      <c r="K25" s="131">
        <v>0</v>
      </c>
      <c r="L25" s="131" t="s">
        <v>272</v>
      </c>
      <c r="M25" s="131" t="s">
        <v>209</v>
      </c>
      <c r="N25" s="131">
        <v>1</v>
      </c>
      <c r="O25" s="135">
        <v>3.4722222222222224E-4</v>
      </c>
    </row>
    <row r="26" spans="1:15" s="123" customFormat="1" ht="54" customHeight="1" x14ac:dyDescent="0.2">
      <c r="A26" s="160"/>
      <c r="B26" s="130" t="s">
        <v>16</v>
      </c>
      <c r="C26" s="131" t="s">
        <v>523</v>
      </c>
      <c r="D26" s="131" t="s">
        <v>524</v>
      </c>
      <c r="E26" s="131" t="s">
        <v>11</v>
      </c>
      <c r="F26" s="131" t="s">
        <v>21</v>
      </c>
      <c r="G26" s="131" t="s">
        <v>525</v>
      </c>
      <c r="H26" s="147">
        <v>45341</v>
      </c>
      <c r="I26" s="131" t="s">
        <v>60</v>
      </c>
      <c r="J26" s="131" t="s">
        <v>140</v>
      </c>
      <c r="K26" s="131">
        <v>0</v>
      </c>
      <c r="L26" s="131" t="s">
        <v>526</v>
      </c>
      <c r="M26" s="131" t="s">
        <v>209</v>
      </c>
      <c r="N26" s="131">
        <v>2</v>
      </c>
      <c r="O26" s="135">
        <v>2.3148148148148146E-4</v>
      </c>
    </row>
    <row r="27" spans="1:15" s="123" customFormat="1" ht="54" customHeight="1" x14ac:dyDescent="0.2">
      <c r="A27" s="160"/>
      <c r="B27" s="130" t="s">
        <v>16</v>
      </c>
      <c r="C27" s="131" t="s">
        <v>527</v>
      </c>
      <c r="D27" s="131" t="s">
        <v>528</v>
      </c>
      <c r="E27" s="131" t="s">
        <v>11</v>
      </c>
      <c r="F27" s="131" t="s">
        <v>21</v>
      </c>
      <c r="G27" s="131" t="s">
        <v>525</v>
      </c>
      <c r="H27" s="147">
        <v>45341</v>
      </c>
      <c r="I27" s="131" t="s">
        <v>93</v>
      </c>
      <c r="J27" s="131" t="s">
        <v>140</v>
      </c>
      <c r="K27" s="131">
        <v>0</v>
      </c>
      <c r="L27" s="131" t="s">
        <v>529</v>
      </c>
      <c r="M27" s="131" t="s">
        <v>219</v>
      </c>
      <c r="N27" s="131">
        <v>1</v>
      </c>
      <c r="O27" s="135">
        <v>3.4722222222222224E-4</v>
      </c>
    </row>
    <row r="28" spans="1:15" s="123" customFormat="1" ht="54" customHeight="1" x14ac:dyDescent="0.2">
      <c r="A28" s="160"/>
      <c r="B28" s="130" t="s">
        <v>16</v>
      </c>
      <c r="C28" s="131" t="s">
        <v>530</v>
      </c>
      <c r="D28" s="131" t="s">
        <v>531</v>
      </c>
      <c r="E28" s="131" t="s">
        <v>11</v>
      </c>
      <c r="F28" s="131" t="s">
        <v>21</v>
      </c>
      <c r="G28" s="131" t="s">
        <v>525</v>
      </c>
      <c r="H28" s="147">
        <v>45341</v>
      </c>
      <c r="I28" s="131" t="s">
        <v>60</v>
      </c>
      <c r="J28" s="131" t="s">
        <v>140</v>
      </c>
      <c r="K28" s="131">
        <v>0</v>
      </c>
      <c r="L28" s="131" t="s">
        <v>532</v>
      </c>
      <c r="M28" s="131" t="s">
        <v>209</v>
      </c>
      <c r="N28" s="131">
        <v>1</v>
      </c>
      <c r="O28" s="135">
        <v>4.6296296296296293E-4</v>
      </c>
    </row>
    <row r="29" spans="1:15" s="123" customFormat="1" ht="54" customHeight="1" x14ac:dyDescent="0.2">
      <c r="A29" s="95"/>
      <c r="B29" s="69" t="s">
        <v>16</v>
      </c>
      <c r="C29" s="70" t="s">
        <v>533</v>
      </c>
      <c r="D29" s="70" t="s">
        <v>534</v>
      </c>
      <c r="E29" s="70" t="s">
        <v>11</v>
      </c>
      <c r="F29" s="70" t="s">
        <v>21</v>
      </c>
      <c r="G29" s="70" t="s">
        <v>207</v>
      </c>
      <c r="H29" s="80">
        <v>45978</v>
      </c>
      <c r="I29" s="70" t="s">
        <v>60</v>
      </c>
      <c r="J29" s="70" t="s">
        <v>61</v>
      </c>
      <c r="K29" s="70">
        <v>0</v>
      </c>
      <c r="L29" s="70" t="s">
        <v>535</v>
      </c>
      <c r="M29" s="70" t="s">
        <v>209</v>
      </c>
      <c r="N29" s="70">
        <v>1</v>
      </c>
      <c r="O29" s="73">
        <v>6.9444444444444447E-4</v>
      </c>
    </row>
    <row r="30" spans="1:15" s="123" customFormat="1" ht="54" customHeight="1" x14ac:dyDescent="0.2">
      <c r="A30" s="163"/>
      <c r="B30" s="130" t="s">
        <v>16</v>
      </c>
      <c r="C30" s="131" t="s">
        <v>536</v>
      </c>
      <c r="D30" s="131" t="s">
        <v>537</v>
      </c>
      <c r="E30" s="131" t="s">
        <v>11</v>
      </c>
      <c r="F30" s="131" t="s">
        <v>21</v>
      </c>
      <c r="G30" s="134" t="s">
        <v>279</v>
      </c>
      <c r="H30" s="146">
        <v>45341</v>
      </c>
      <c r="I30" s="131" t="s">
        <v>93</v>
      </c>
      <c r="J30" s="131" t="s">
        <v>140</v>
      </c>
      <c r="K30" s="131">
        <v>0</v>
      </c>
      <c r="L30" s="131" t="s">
        <v>280</v>
      </c>
      <c r="M30" s="131" t="s">
        <v>219</v>
      </c>
      <c r="N30" s="131">
        <v>1</v>
      </c>
      <c r="O30" s="135">
        <v>3.4722222222222224E-4</v>
      </c>
    </row>
    <row r="31" spans="1:15" s="123" customFormat="1" ht="54" customHeight="1" x14ac:dyDescent="0.2">
      <c r="A31" s="163"/>
      <c r="B31" s="130" t="s">
        <v>16</v>
      </c>
      <c r="C31" s="131" t="s">
        <v>538</v>
      </c>
      <c r="D31" s="131" t="s">
        <v>539</v>
      </c>
      <c r="E31" s="131" t="s">
        <v>11</v>
      </c>
      <c r="F31" s="131" t="s">
        <v>21</v>
      </c>
      <c r="G31" s="134" t="s">
        <v>283</v>
      </c>
      <c r="H31" s="146">
        <v>45341</v>
      </c>
      <c r="I31" s="131" t="s">
        <v>93</v>
      </c>
      <c r="J31" s="131" t="s">
        <v>140</v>
      </c>
      <c r="K31" s="131">
        <v>0</v>
      </c>
      <c r="L31" s="131" t="s">
        <v>287</v>
      </c>
      <c r="M31" s="131" t="s">
        <v>219</v>
      </c>
      <c r="N31" s="131">
        <v>1</v>
      </c>
      <c r="O31" s="135">
        <v>6.9444444444444447E-4</v>
      </c>
    </row>
    <row r="32" spans="1:15" s="123" customFormat="1" ht="54" customHeight="1" x14ac:dyDescent="0.2">
      <c r="A32" s="160"/>
      <c r="B32" s="130" t="s">
        <v>16</v>
      </c>
      <c r="C32" s="131" t="s">
        <v>540</v>
      </c>
      <c r="D32" s="131" t="s">
        <v>289</v>
      </c>
      <c r="E32" s="131" t="s">
        <v>11</v>
      </c>
      <c r="F32" s="131" t="s">
        <v>21</v>
      </c>
      <c r="G32" s="131" t="s">
        <v>290</v>
      </c>
      <c r="H32" s="147">
        <v>45341</v>
      </c>
      <c r="I32" s="131" t="s">
        <v>60</v>
      </c>
      <c r="J32" s="131" t="s">
        <v>140</v>
      </c>
      <c r="K32" s="131">
        <v>0</v>
      </c>
      <c r="L32" s="131" t="s">
        <v>291</v>
      </c>
      <c r="M32" s="131" t="s">
        <v>209</v>
      </c>
      <c r="N32" s="131">
        <v>1</v>
      </c>
      <c r="O32" s="135">
        <v>3.4722222222222224E-4</v>
      </c>
    </row>
    <row r="33" spans="1:15" s="123" customFormat="1" ht="54" customHeight="1" x14ac:dyDescent="0.2">
      <c r="A33" s="160"/>
      <c r="B33" s="130" t="s">
        <v>16</v>
      </c>
      <c r="C33" s="131" t="s">
        <v>541</v>
      </c>
      <c r="D33" s="131" t="s">
        <v>542</v>
      </c>
      <c r="E33" s="131" t="s">
        <v>21</v>
      </c>
      <c r="F33" s="131"/>
      <c r="G33" s="131"/>
      <c r="H33" s="147"/>
      <c r="I33" s="131" t="s">
        <v>60</v>
      </c>
      <c r="J33" s="131" t="s">
        <v>140</v>
      </c>
      <c r="K33" s="131">
        <v>0</v>
      </c>
      <c r="L33" s="131" t="s">
        <v>543</v>
      </c>
      <c r="M33" s="131" t="s">
        <v>209</v>
      </c>
      <c r="N33" s="131">
        <v>1</v>
      </c>
      <c r="O33" s="135">
        <v>5.7870370370370378E-4</v>
      </c>
    </row>
    <row r="34" spans="1:15" s="123" customFormat="1" ht="54" customHeight="1" x14ac:dyDescent="0.2">
      <c r="A34" s="160"/>
      <c r="B34" s="130" t="s">
        <v>16</v>
      </c>
      <c r="C34" s="131" t="s">
        <v>544</v>
      </c>
      <c r="D34" s="131" t="s">
        <v>545</v>
      </c>
      <c r="E34" s="131" t="s">
        <v>11</v>
      </c>
      <c r="F34" s="131" t="s">
        <v>21</v>
      </c>
      <c r="G34" s="131" t="s">
        <v>525</v>
      </c>
      <c r="H34" s="147">
        <v>45341</v>
      </c>
      <c r="I34" s="131" t="s">
        <v>60</v>
      </c>
      <c r="J34" s="131" t="s">
        <v>140</v>
      </c>
      <c r="K34" s="131">
        <v>0</v>
      </c>
      <c r="L34" s="131" t="s">
        <v>546</v>
      </c>
      <c r="M34" s="131" t="s">
        <v>209</v>
      </c>
      <c r="N34" s="131">
        <v>1</v>
      </c>
      <c r="O34" s="135">
        <v>2.3148148148148146E-4</v>
      </c>
    </row>
    <row r="35" spans="1:15" s="123" customFormat="1" ht="54" customHeight="1" x14ac:dyDescent="0.2">
      <c r="A35" s="160"/>
      <c r="B35" s="130" t="s">
        <v>16</v>
      </c>
      <c r="C35" s="131" t="s">
        <v>547</v>
      </c>
      <c r="D35" s="131" t="s">
        <v>293</v>
      </c>
      <c r="E35" s="131" t="s">
        <v>11</v>
      </c>
      <c r="F35" s="131" t="s">
        <v>21</v>
      </c>
      <c r="G35" s="131" t="s">
        <v>245</v>
      </c>
      <c r="H35" s="147">
        <v>45341</v>
      </c>
      <c r="I35" s="131" t="s">
        <v>139</v>
      </c>
      <c r="J35" s="131" t="s">
        <v>140</v>
      </c>
      <c r="K35" s="131">
        <v>0</v>
      </c>
      <c r="L35" s="131" t="s">
        <v>294</v>
      </c>
      <c r="M35" s="131" t="s">
        <v>209</v>
      </c>
      <c r="N35" s="131">
        <v>1</v>
      </c>
      <c r="O35" s="135">
        <v>6.9444444444444447E-4</v>
      </c>
    </row>
    <row r="36" spans="1:15" s="123" customFormat="1" ht="54" customHeight="1" x14ac:dyDescent="0.2">
      <c r="A36" s="160"/>
      <c r="B36" s="130" t="s">
        <v>16</v>
      </c>
      <c r="C36" s="131" t="s">
        <v>548</v>
      </c>
      <c r="D36" s="131" t="s">
        <v>549</v>
      </c>
      <c r="E36" s="131" t="s">
        <v>11</v>
      </c>
      <c r="F36" s="131" t="s">
        <v>21</v>
      </c>
      <c r="G36" s="131" t="s">
        <v>313</v>
      </c>
      <c r="H36" s="147">
        <v>45341</v>
      </c>
      <c r="I36" s="131" t="s">
        <v>60</v>
      </c>
      <c r="J36" s="131" t="s">
        <v>140</v>
      </c>
      <c r="K36" s="131">
        <v>0</v>
      </c>
      <c r="L36" s="131" t="s">
        <v>314</v>
      </c>
      <c r="M36" s="131" t="s">
        <v>209</v>
      </c>
      <c r="N36" s="131">
        <v>1</v>
      </c>
      <c r="O36" s="135">
        <v>8.6805555555555551E-4</v>
      </c>
    </row>
    <row r="37" spans="1:15" s="123" customFormat="1" ht="54" customHeight="1" x14ac:dyDescent="0.2">
      <c r="A37" s="160"/>
      <c r="B37" s="130" t="s">
        <v>16</v>
      </c>
      <c r="C37" s="131" t="s">
        <v>550</v>
      </c>
      <c r="D37" s="131" t="s">
        <v>551</v>
      </c>
      <c r="E37" s="131" t="s">
        <v>11</v>
      </c>
      <c r="F37" s="131" t="s">
        <v>21</v>
      </c>
      <c r="G37" s="131" t="s">
        <v>103</v>
      </c>
      <c r="H37" s="147">
        <v>45341</v>
      </c>
      <c r="I37" s="131" t="s">
        <v>139</v>
      </c>
      <c r="J37" s="131" t="s">
        <v>140</v>
      </c>
      <c r="K37" s="131">
        <v>0</v>
      </c>
      <c r="L37" s="131" t="s">
        <v>318</v>
      </c>
      <c r="M37" s="131" t="s">
        <v>209</v>
      </c>
      <c r="N37" s="131">
        <v>1</v>
      </c>
      <c r="O37" s="135">
        <v>6.9444444444444447E-4</v>
      </c>
    </row>
    <row r="38" spans="1:15" s="123" customFormat="1" ht="54" customHeight="1" x14ac:dyDescent="0.2">
      <c r="A38" s="160"/>
      <c r="B38" s="130" t="s">
        <v>16</v>
      </c>
      <c r="C38" s="131" t="s">
        <v>552</v>
      </c>
      <c r="D38" s="131" t="s">
        <v>553</v>
      </c>
      <c r="E38" s="131" t="s">
        <v>11</v>
      </c>
      <c r="F38" s="131" t="s">
        <v>21</v>
      </c>
      <c r="G38" s="131" t="s">
        <v>103</v>
      </c>
      <c r="H38" s="147">
        <v>45341</v>
      </c>
      <c r="I38" s="131" t="s">
        <v>139</v>
      </c>
      <c r="J38" s="131" t="s">
        <v>140</v>
      </c>
      <c r="K38" s="131">
        <v>0</v>
      </c>
      <c r="L38" s="131" t="s">
        <v>318</v>
      </c>
      <c r="M38" s="131" t="s">
        <v>209</v>
      </c>
      <c r="N38" s="131">
        <v>1</v>
      </c>
      <c r="O38" s="135">
        <v>6.9444444444444447E-4</v>
      </c>
    </row>
    <row r="39" spans="1:15" s="123" customFormat="1" ht="54" customHeight="1" thickBot="1" x14ac:dyDescent="0.25">
      <c r="A39" s="96"/>
      <c r="B39" s="74" t="s">
        <v>16</v>
      </c>
      <c r="C39" s="75" t="s">
        <v>554</v>
      </c>
      <c r="D39" s="75" t="s">
        <v>555</v>
      </c>
      <c r="E39" s="75" t="s">
        <v>11</v>
      </c>
      <c r="F39" s="75"/>
      <c r="G39" s="75" t="s">
        <v>79</v>
      </c>
      <c r="H39" s="81">
        <v>45979</v>
      </c>
      <c r="I39" s="75" t="s">
        <v>60</v>
      </c>
      <c r="J39" s="75" t="s">
        <v>61</v>
      </c>
      <c r="K39" s="75">
        <v>0</v>
      </c>
      <c r="L39" s="75" t="s">
        <v>556</v>
      </c>
      <c r="M39" s="75" t="s">
        <v>153</v>
      </c>
      <c r="N39" s="75">
        <v>2</v>
      </c>
      <c r="O39" s="78">
        <v>4.6296296296296293E-4</v>
      </c>
    </row>
    <row r="40" spans="1:15" s="123" customFormat="1" ht="54" customHeight="1" thickTop="1" x14ac:dyDescent="0.2">
      <c r="A40" s="95"/>
      <c r="B40" s="104" t="s">
        <v>20</v>
      </c>
      <c r="C40" s="92" t="s">
        <v>557</v>
      </c>
      <c r="D40" s="92" t="s">
        <v>558</v>
      </c>
      <c r="E40" s="92" t="s">
        <v>11</v>
      </c>
      <c r="F40" s="89" t="s">
        <v>21</v>
      </c>
      <c r="G40" s="89" t="s">
        <v>559</v>
      </c>
      <c r="H40" s="90">
        <v>45978</v>
      </c>
      <c r="I40" s="92" t="s">
        <v>139</v>
      </c>
      <c r="J40" s="92" t="s">
        <v>140</v>
      </c>
      <c r="K40" s="92">
        <v>0</v>
      </c>
      <c r="L40" s="92" t="s">
        <v>356</v>
      </c>
      <c r="M40" s="92" t="s">
        <v>353</v>
      </c>
      <c r="N40" s="92">
        <v>2</v>
      </c>
      <c r="O40" s="93">
        <v>2.0833333333333333E-3</v>
      </c>
    </row>
    <row r="41" spans="1:15" s="123" customFormat="1" ht="54" customHeight="1" x14ac:dyDescent="0.2">
      <c r="A41" s="95"/>
      <c r="B41" s="69" t="s">
        <v>20</v>
      </c>
      <c r="C41" s="70" t="s">
        <v>560</v>
      </c>
      <c r="D41" s="70" t="s">
        <v>561</v>
      </c>
      <c r="E41" s="86" t="s">
        <v>11</v>
      </c>
      <c r="F41" s="86" t="s">
        <v>346</v>
      </c>
      <c r="G41" s="86" t="s">
        <v>562</v>
      </c>
      <c r="H41" s="87">
        <v>45979</v>
      </c>
      <c r="I41" s="70" t="s">
        <v>139</v>
      </c>
      <c r="J41" s="70" t="s">
        <v>140</v>
      </c>
      <c r="K41" s="70">
        <v>0</v>
      </c>
      <c r="L41" s="70" t="s">
        <v>348</v>
      </c>
      <c r="M41" s="70" t="s">
        <v>342</v>
      </c>
      <c r="N41" s="70">
        <v>4</v>
      </c>
      <c r="O41" s="73">
        <v>5.208333333333333E-3</v>
      </c>
    </row>
    <row r="42" spans="1:15" s="123" customFormat="1" ht="54" customHeight="1" x14ac:dyDescent="0.2">
      <c r="A42" s="95"/>
      <c r="B42" s="69" t="s">
        <v>20</v>
      </c>
      <c r="C42" s="70" t="s">
        <v>563</v>
      </c>
      <c r="D42" s="70" t="s">
        <v>564</v>
      </c>
      <c r="E42" s="70" t="s">
        <v>11</v>
      </c>
      <c r="F42" s="86" t="s">
        <v>21</v>
      </c>
      <c r="G42" s="86" t="s">
        <v>559</v>
      </c>
      <c r="H42" s="87">
        <v>45978</v>
      </c>
      <c r="I42" s="70" t="s">
        <v>139</v>
      </c>
      <c r="J42" s="70" t="s">
        <v>140</v>
      </c>
      <c r="K42" s="70">
        <v>0</v>
      </c>
      <c r="L42" s="70" t="s">
        <v>356</v>
      </c>
      <c r="M42" s="70" t="s">
        <v>353</v>
      </c>
      <c r="N42" s="70">
        <v>2</v>
      </c>
      <c r="O42" s="73">
        <v>2.0833333333333333E-3</v>
      </c>
    </row>
    <row r="43" spans="1:15" s="123" customFormat="1" ht="54" customHeight="1" x14ac:dyDescent="0.2">
      <c r="A43" s="95"/>
      <c r="B43" s="69" t="s">
        <v>20</v>
      </c>
      <c r="C43" s="70" t="s">
        <v>565</v>
      </c>
      <c r="D43" s="70" t="s">
        <v>566</v>
      </c>
      <c r="E43" s="70" t="s">
        <v>11</v>
      </c>
      <c r="F43" s="70" t="s">
        <v>21</v>
      </c>
      <c r="G43" s="70" t="s">
        <v>567</v>
      </c>
      <c r="H43" s="80">
        <v>45979</v>
      </c>
      <c r="I43" s="70" t="s">
        <v>139</v>
      </c>
      <c r="J43" s="70" t="s">
        <v>140</v>
      </c>
      <c r="K43" s="70">
        <v>0</v>
      </c>
      <c r="L43" s="70" t="s">
        <v>348</v>
      </c>
      <c r="M43" s="70" t="s">
        <v>342</v>
      </c>
      <c r="N43" s="70">
        <v>4</v>
      </c>
      <c r="O43" s="73">
        <v>5.208333333333333E-3</v>
      </c>
    </row>
    <row r="44" spans="1:15" s="123" customFormat="1" ht="54" customHeight="1" x14ac:dyDescent="0.2">
      <c r="A44" s="160"/>
      <c r="B44" s="130" t="s">
        <v>20</v>
      </c>
      <c r="C44" s="131" t="s">
        <v>568</v>
      </c>
      <c r="D44" s="131" t="s">
        <v>569</v>
      </c>
      <c r="E44" s="131" t="s">
        <v>21</v>
      </c>
      <c r="F44" s="131"/>
      <c r="G44" s="131"/>
      <c r="H44" s="147"/>
      <c r="I44" s="131" t="s">
        <v>139</v>
      </c>
      <c r="J44" s="131" t="s">
        <v>140</v>
      </c>
      <c r="K44" s="131">
        <v>0</v>
      </c>
      <c r="L44" s="131" t="s">
        <v>570</v>
      </c>
      <c r="M44" s="131" t="s">
        <v>209</v>
      </c>
      <c r="N44" s="131">
        <v>2</v>
      </c>
      <c r="O44" s="135">
        <v>2.0833333333333333E-3</v>
      </c>
    </row>
    <row r="45" spans="1:15" s="123" customFormat="1" ht="54" customHeight="1" x14ac:dyDescent="0.2">
      <c r="A45" s="160"/>
      <c r="B45" s="130" t="s">
        <v>20</v>
      </c>
      <c r="C45" s="131" t="s">
        <v>571</v>
      </c>
      <c r="D45" s="131" t="s">
        <v>374</v>
      </c>
      <c r="E45" s="131" t="s">
        <v>21</v>
      </c>
      <c r="F45" s="131"/>
      <c r="G45" s="131"/>
      <c r="H45" s="147"/>
      <c r="I45" s="131" t="s">
        <v>139</v>
      </c>
      <c r="J45" s="131" t="s">
        <v>140</v>
      </c>
      <c r="K45" s="131">
        <v>0</v>
      </c>
      <c r="L45" s="131" t="s">
        <v>375</v>
      </c>
      <c r="M45" s="131" t="s">
        <v>209</v>
      </c>
      <c r="N45" s="131">
        <v>2</v>
      </c>
      <c r="O45" s="135">
        <v>3.4722222222222224E-4</v>
      </c>
    </row>
    <row r="46" spans="1:15" s="123" customFormat="1" ht="54" customHeight="1" x14ac:dyDescent="0.2">
      <c r="A46" s="160"/>
      <c r="B46" s="130" t="s">
        <v>20</v>
      </c>
      <c r="C46" s="131" t="s">
        <v>572</v>
      </c>
      <c r="D46" s="131" t="s">
        <v>573</v>
      </c>
      <c r="E46" s="131" t="s">
        <v>21</v>
      </c>
      <c r="F46" s="131"/>
      <c r="G46" s="131"/>
      <c r="H46" s="147"/>
      <c r="I46" s="131" t="s">
        <v>60</v>
      </c>
      <c r="J46" s="131" t="s">
        <v>140</v>
      </c>
      <c r="K46" s="131">
        <v>0</v>
      </c>
      <c r="L46" s="131" t="s">
        <v>378</v>
      </c>
      <c r="M46" s="131" t="s">
        <v>169</v>
      </c>
      <c r="N46" s="131">
        <v>2</v>
      </c>
      <c r="O46" s="135">
        <v>4.6296296296296293E-4</v>
      </c>
    </row>
    <row r="47" spans="1:15" s="123" customFormat="1" ht="54" customHeight="1" x14ac:dyDescent="0.2">
      <c r="A47" s="160"/>
      <c r="B47" s="130" t="s">
        <v>20</v>
      </c>
      <c r="C47" s="131" t="s">
        <v>574</v>
      </c>
      <c r="D47" s="131" t="s">
        <v>575</v>
      </c>
      <c r="E47" s="131" t="s">
        <v>21</v>
      </c>
      <c r="F47" s="131"/>
      <c r="G47" s="131"/>
      <c r="H47" s="147"/>
      <c r="I47" s="131" t="s">
        <v>139</v>
      </c>
      <c r="J47" s="131" t="s">
        <v>140</v>
      </c>
      <c r="K47" s="131">
        <v>0</v>
      </c>
      <c r="L47" s="131" t="s">
        <v>576</v>
      </c>
      <c r="M47" s="131" t="s">
        <v>209</v>
      </c>
      <c r="N47" s="131">
        <v>1</v>
      </c>
      <c r="O47" s="135">
        <v>6.9444444444444447E-4</v>
      </c>
    </row>
    <row r="48" spans="1:15" s="123" customFormat="1" ht="54" customHeight="1" x14ac:dyDescent="0.2">
      <c r="A48" s="95"/>
      <c r="B48" s="69" t="s">
        <v>20</v>
      </c>
      <c r="C48" s="70" t="s">
        <v>577</v>
      </c>
      <c r="D48" s="70" t="s">
        <v>578</v>
      </c>
      <c r="E48" s="70" t="s">
        <v>11</v>
      </c>
      <c r="F48" s="70" t="s">
        <v>21</v>
      </c>
      <c r="G48" s="70" t="s">
        <v>257</v>
      </c>
      <c r="H48" s="80">
        <v>45977</v>
      </c>
      <c r="I48" s="70" t="s">
        <v>139</v>
      </c>
      <c r="J48" s="70" t="s">
        <v>140</v>
      </c>
      <c r="K48" s="70">
        <v>0</v>
      </c>
      <c r="L48" s="70" t="s">
        <v>579</v>
      </c>
      <c r="M48" s="70" t="s">
        <v>242</v>
      </c>
      <c r="N48" s="70">
        <v>1</v>
      </c>
      <c r="O48" s="73">
        <v>3.4722222222222224E-4</v>
      </c>
    </row>
    <row r="49" spans="1:15" s="123" customFormat="1" ht="54" customHeight="1" x14ac:dyDescent="0.2">
      <c r="A49" s="160"/>
      <c r="B49" s="130" t="s">
        <v>20</v>
      </c>
      <c r="C49" s="131" t="s">
        <v>580</v>
      </c>
      <c r="D49" s="131" t="s">
        <v>581</v>
      </c>
      <c r="E49" s="131" t="s">
        <v>11</v>
      </c>
      <c r="F49" s="131" t="s">
        <v>21</v>
      </c>
      <c r="G49" s="131" t="s">
        <v>582</v>
      </c>
      <c r="H49" s="147">
        <v>45341</v>
      </c>
      <c r="I49" s="131" t="s">
        <v>93</v>
      </c>
      <c r="J49" s="131" t="s">
        <v>140</v>
      </c>
      <c r="K49" s="131">
        <v>0</v>
      </c>
      <c r="L49" s="131" t="s">
        <v>511</v>
      </c>
      <c r="M49" s="131" t="s">
        <v>219</v>
      </c>
      <c r="N49" s="131">
        <v>1</v>
      </c>
      <c r="O49" s="135">
        <v>6.9444444444444447E-4</v>
      </c>
    </row>
    <row r="50" spans="1:15" s="123" customFormat="1" ht="54" customHeight="1" x14ac:dyDescent="0.2">
      <c r="A50" s="95"/>
      <c r="B50" s="69" t="s">
        <v>20</v>
      </c>
      <c r="C50" s="70" t="s">
        <v>583</v>
      </c>
      <c r="D50" s="70" t="s">
        <v>584</v>
      </c>
      <c r="E50" s="70" t="s">
        <v>11</v>
      </c>
      <c r="F50" s="70"/>
      <c r="G50" s="70" t="s">
        <v>79</v>
      </c>
      <c r="H50" s="80">
        <v>45979</v>
      </c>
      <c r="I50" s="70" t="s">
        <v>60</v>
      </c>
      <c r="J50" s="70" t="s">
        <v>61</v>
      </c>
      <c r="K50" s="70">
        <v>0</v>
      </c>
      <c r="L50" s="70" t="s">
        <v>585</v>
      </c>
      <c r="M50" s="70" t="s">
        <v>153</v>
      </c>
      <c r="N50" s="70">
        <v>2</v>
      </c>
      <c r="O50" s="73">
        <v>2.0833333333333333E-3</v>
      </c>
    </row>
    <row r="51" spans="1:15" s="123" customFormat="1" ht="54" customHeight="1" x14ac:dyDescent="0.2">
      <c r="A51" s="95"/>
      <c r="B51" s="69" t="s">
        <v>20</v>
      </c>
      <c r="C51" s="70" t="s">
        <v>586</v>
      </c>
      <c r="D51" s="70" t="s">
        <v>587</v>
      </c>
      <c r="E51" s="70" t="s">
        <v>11</v>
      </c>
      <c r="F51" s="70"/>
      <c r="G51" s="70" t="s">
        <v>79</v>
      </c>
      <c r="H51" s="80">
        <v>45979</v>
      </c>
      <c r="I51" s="70" t="s">
        <v>60</v>
      </c>
      <c r="J51" s="70" t="s">
        <v>61</v>
      </c>
      <c r="K51" s="70">
        <v>0</v>
      </c>
      <c r="L51" s="70" t="s">
        <v>588</v>
      </c>
      <c r="M51" s="70" t="s">
        <v>153</v>
      </c>
      <c r="N51" s="70">
        <v>2</v>
      </c>
      <c r="O51" s="73">
        <v>6.9444444444444447E-4</v>
      </c>
    </row>
    <row r="52" spans="1:15" s="123" customFormat="1" ht="54" customHeight="1" x14ac:dyDescent="0.2">
      <c r="A52" s="160"/>
      <c r="B52" s="130" t="s">
        <v>20</v>
      </c>
      <c r="C52" s="131" t="s">
        <v>589</v>
      </c>
      <c r="D52" s="131" t="s">
        <v>590</v>
      </c>
      <c r="E52" s="131" t="s">
        <v>21</v>
      </c>
      <c r="F52" s="131"/>
      <c r="G52" s="131"/>
      <c r="H52" s="147"/>
      <c r="I52" s="131" t="s">
        <v>60</v>
      </c>
      <c r="J52" s="131" t="s">
        <v>61</v>
      </c>
      <c r="K52" s="131">
        <v>0</v>
      </c>
      <c r="L52" s="131" t="s">
        <v>591</v>
      </c>
      <c r="M52" s="131" t="s">
        <v>63</v>
      </c>
      <c r="N52" s="131">
        <v>2</v>
      </c>
      <c r="O52" s="135">
        <v>6.9444444444444447E-4</v>
      </c>
    </row>
    <row r="53" spans="1:15" s="123" customFormat="1" ht="54" customHeight="1" x14ac:dyDescent="0.2">
      <c r="A53" s="95"/>
      <c r="B53" s="69" t="s">
        <v>20</v>
      </c>
      <c r="C53" s="70" t="s">
        <v>592</v>
      </c>
      <c r="D53" s="70" t="s">
        <v>593</v>
      </c>
      <c r="E53" s="70" t="s">
        <v>11</v>
      </c>
      <c r="F53" s="70"/>
      <c r="G53" s="70" t="s">
        <v>79</v>
      </c>
      <c r="H53" s="80">
        <v>45979</v>
      </c>
      <c r="I53" s="70" t="s">
        <v>60</v>
      </c>
      <c r="J53" s="70" t="s">
        <v>61</v>
      </c>
      <c r="K53" s="70">
        <v>0</v>
      </c>
      <c r="L53" s="70" t="s">
        <v>594</v>
      </c>
      <c r="M53" s="70" t="s">
        <v>153</v>
      </c>
      <c r="N53" s="70">
        <v>2</v>
      </c>
      <c r="O53" s="73">
        <v>6.9444444444444447E-4</v>
      </c>
    </row>
    <row r="54" spans="1:15" s="123" customFormat="1" ht="54" customHeight="1" x14ac:dyDescent="0.2">
      <c r="A54" s="160"/>
      <c r="B54" s="130" t="s">
        <v>20</v>
      </c>
      <c r="C54" s="131" t="s">
        <v>595</v>
      </c>
      <c r="D54" s="131" t="s">
        <v>416</v>
      </c>
      <c r="E54" s="131" t="s">
        <v>21</v>
      </c>
      <c r="F54" s="131"/>
      <c r="G54" s="131"/>
      <c r="H54" s="147"/>
      <c r="I54" s="131" t="s">
        <v>93</v>
      </c>
      <c r="J54" s="131" t="s">
        <v>61</v>
      </c>
      <c r="K54" s="131">
        <v>0</v>
      </c>
      <c r="L54" s="131" t="s">
        <v>417</v>
      </c>
      <c r="M54" s="131" t="s">
        <v>114</v>
      </c>
      <c r="N54" s="131">
        <v>4</v>
      </c>
      <c r="O54" s="135">
        <v>2.0833333333333333E-3</v>
      </c>
    </row>
    <row r="55" spans="1:15" s="123" customFormat="1" ht="54" customHeight="1" thickBot="1" x14ac:dyDescent="0.25">
      <c r="A55" s="148"/>
      <c r="B55" s="139" t="s">
        <v>20</v>
      </c>
      <c r="C55" s="140" t="s">
        <v>596</v>
      </c>
      <c r="D55" s="140" t="s">
        <v>428</v>
      </c>
      <c r="E55" s="140" t="s">
        <v>21</v>
      </c>
      <c r="F55" s="140"/>
      <c r="G55" s="140"/>
      <c r="H55" s="162"/>
      <c r="I55" s="140" t="s">
        <v>60</v>
      </c>
      <c r="J55" s="140" t="s">
        <v>61</v>
      </c>
      <c r="K55" s="140">
        <v>0</v>
      </c>
      <c r="L55" s="140" t="s">
        <v>429</v>
      </c>
      <c r="M55" s="140" t="s">
        <v>114</v>
      </c>
      <c r="N55" s="140">
        <v>2</v>
      </c>
      <c r="O55" s="144">
        <v>6.9444444444444447E-4</v>
      </c>
    </row>
    <row r="56" spans="1:15" s="123" customFormat="1" ht="54" customHeight="1" thickTop="1" x14ac:dyDescent="0.2">
      <c r="A56" s="160"/>
      <c r="B56" s="124" t="s">
        <v>24</v>
      </c>
      <c r="C56" s="125" t="s">
        <v>597</v>
      </c>
      <c r="D56" s="125" t="s">
        <v>437</v>
      </c>
      <c r="E56" s="125" t="s">
        <v>21</v>
      </c>
      <c r="F56" s="125"/>
      <c r="G56" s="125"/>
      <c r="H56" s="161"/>
      <c r="I56" s="125" t="s">
        <v>139</v>
      </c>
      <c r="J56" s="125" t="s">
        <v>61</v>
      </c>
      <c r="K56" s="125">
        <v>0</v>
      </c>
      <c r="L56" s="125" t="s">
        <v>438</v>
      </c>
      <c r="M56" s="125" t="s">
        <v>242</v>
      </c>
      <c r="N56" s="125">
        <v>1</v>
      </c>
      <c r="O56" s="129">
        <v>6.9444444444444447E-4</v>
      </c>
    </row>
    <row r="57" spans="1:15" s="123" customFormat="1" ht="54" customHeight="1" x14ac:dyDescent="0.2">
      <c r="A57" s="160"/>
      <c r="B57" s="130" t="s">
        <v>24</v>
      </c>
      <c r="C57" s="131" t="s">
        <v>598</v>
      </c>
      <c r="D57" s="131" t="s">
        <v>599</v>
      </c>
      <c r="E57" s="131" t="s">
        <v>21</v>
      </c>
      <c r="F57" s="131"/>
      <c r="G57" s="131"/>
      <c r="H57" s="147"/>
      <c r="I57" s="131" t="s">
        <v>139</v>
      </c>
      <c r="J57" s="131" t="s">
        <v>61</v>
      </c>
      <c r="K57" s="131">
        <v>0</v>
      </c>
      <c r="L57" s="131">
        <v>0</v>
      </c>
      <c r="M57" s="131" t="s">
        <v>442</v>
      </c>
      <c r="N57" s="131">
        <v>1</v>
      </c>
      <c r="O57" s="135">
        <v>3.4722222222222224E-4</v>
      </c>
    </row>
    <row r="58" spans="1:15" s="123" customFormat="1" ht="54" customHeight="1" thickBot="1" x14ac:dyDescent="0.25">
      <c r="A58" s="148"/>
      <c r="B58" s="130" t="s">
        <v>24</v>
      </c>
      <c r="C58" s="131" t="s">
        <v>600</v>
      </c>
      <c r="D58" s="131" t="s">
        <v>601</v>
      </c>
      <c r="E58" s="131" t="s">
        <v>21</v>
      </c>
      <c r="F58" s="131"/>
      <c r="G58" s="131"/>
      <c r="H58" s="147"/>
      <c r="I58" s="131" t="s">
        <v>60</v>
      </c>
      <c r="J58" s="131" t="s">
        <v>61</v>
      </c>
      <c r="K58" s="131">
        <v>0</v>
      </c>
      <c r="L58" s="131" t="s">
        <v>426</v>
      </c>
      <c r="M58" s="131" t="s">
        <v>114</v>
      </c>
      <c r="N58" s="131">
        <v>1</v>
      </c>
      <c r="O58" s="135">
        <v>1.0416666666666667E-3</v>
      </c>
    </row>
    <row r="59" spans="1:15" s="123" customFormat="1" ht="54" customHeight="1" x14ac:dyDescent="0.2">
      <c r="A59" s="68"/>
      <c r="B59" s="171" t="s">
        <v>602</v>
      </c>
      <c r="C59" s="172" t="s">
        <v>603</v>
      </c>
      <c r="D59" s="172" t="s">
        <v>604</v>
      </c>
      <c r="E59" s="71" t="s">
        <v>11</v>
      </c>
      <c r="F59" s="71" t="s">
        <v>21</v>
      </c>
      <c r="G59" s="71" t="s">
        <v>283</v>
      </c>
      <c r="H59" s="72">
        <v>45978</v>
      </c>
      <c r="I59" s="70" t="s">
        <v>60</v>
      </c>
      <c r="J59" s="70" t="s">
        <v>140</v>
      </c>
      <c r="K59" s="70">
        <v>0</v>
      </c>
      <c r="L59" s="70">
        <v>0</v>
      </c>
      <c r="M59" s="70" t="s">
        <v>114</v>
      </c>
      <c r="N59" s="173"/>
      <c r="O59" s="174"/>
    </row>
    <row r="60" spans="1:15" s="123" customFormat="1" ht="45" customHeight="1" thickBot="1" x14ac:dyDescent="0.25">
      <c r="B60" s="166"/>
      <c r="C60" s="167"/>
      <c r="D60" s="167"/>
      <c r="E60" s="168"/>
      <c r="F60" s="168"/>
      <c r="G60" s="168"/>
      <c r="H60" s="168"/>
      <c r="I60" s="143"/>
      <c r="J60" s="143"/>
      <c r="K60" s="168"/>
      <c r="L60" s="168"/>
      <c r="M60" s="168"/>
      <c r="N60" s="168"/>
      <c r="O60" s="169"/>
    </row>
    <row r="61" spans="1:15" s="123" customFormat="1" ht="45" customHeight="1" thickTop="1" x14ac:dyDescent="0.2">
      <c r="B61" s="159"/>
      <c r="C61" s="175"/>
      <c r="D61" s="175"/>
      <c r="E61" s="176"/>
      <c r="F61" s="176"/>
      <c r="G61" s="176"/>
      <c r="H61" s="176"/>
      <c r="I61" s="159"/>
      <c r="J61" s="159"/>
      <c r="K61" s="176"/>
      <c r="L61" s="176"/>
      <c r="M61" s="176"/>
      <c r="N61" s="176"/>
      <c r="O61" s="176"/>
    </row>
    <row r="62" spans="1:15" s="123" customFormat="1" x14ac:dyDescent="0.2">
      <c r="B62" s="159"/>
      <c r="C62" s="175"/>
      <c r="D62" s="175"/>
      <c r="E62" s="176"/>
      <c r="F62" s="176"/>
      <c r="G62" s="176"/>
      <c r="H62" s="176"/>
      <c r="I62" s="159"/>
      <c r="J62" s="159"/>
      <c r="K62" s="176"/>
      <c r="L62" s="176"/>
      <c r="M62" s="176"/>
      <c r="N62" s="176"/>
      <c r="O62" s="176"/>
    </row>
    <row r="63" spans="1:15" s="123" customFormat="1" x14ac:dyDescent="0.2">
      <c r="B63" s="159"/>
      <c r="C63" s="175"/>
      <c r="D63" s="175"/>
      <c r="E63" s="176"/>
      <c r="F63" s="176"/>
      <c r="G63" s="176"/>
      <c r="H63" s="176"/>
      <c r="I63" s="159"/>
      <c r="J63" s="159"/>
      <c r="K63" s="176"/>
      <c r="L63" s="176"/>
      <c r="M63" s="176"/>
      <c r="N63" s="176"/>
      <c r="O63" s="176"/>
    </row>
    <row r="64" spans="1:15" s="123" customFormat="1" x14ac:dyDescent="0.2">
      <c r="B64" s="159"/>
      <c r="C64" s="175"/>
      <c r="D64" s="175"/>
      <c r="E64" s="176"/>
      <c r="F64" s="176"/>
      <c r="G64" s="176"/>
      <c r="H64" s="176"/>
      <c r="I64" s="159"/>
      <c r="J64" s="159"/>
      <c r="K64" s="176"/>
      <c r="L64" s="176"/>
      <c r="M64" s="176"/>
      <c r="N64" s="176"/>
      <c r="O64" s="176"/>
    </row>
    <row r="65" spans="2:15" s="123" customFormat="1" x14ac:dyDescent="0.2">
      <c r="B65" s="159"/>
      <c r="C65" s="175"/>
      <c r="D65" s="175"/>
      <c r="E65" s="176"/>
      <c r="F65" s="176"/>
      <c r="G65" s="176"/>
      <c r="H65" s="176"/>
      <c r="I65" s="159"/>
      <c r="J65" s="159"/>
      <c r="K65" s="176"/>
      <c r="L65" s="176"/>
      <c r="M65" s="176"/>
      <c r="N65" s="176"/>
      <c r="O65" s="176"/>
    </row>
    <row r="66" spans="2:15" s="123" customFormat="1" x14ac:dyDescent="0.2">
      <c r="B66" s="159"/>
      <c r="C66" s="175"/>
      <c r="D66" s="175"/>
      <c r="E66" s="176"/>
      <c r="F66" s="176"/>
      <c r="G66" s="176"/>
      <c r="H66" s="176"/>
      <c r="I66" s="159"/>
      <c r="J66" s="159"/>
      <c r="K66" s="176"/>
      <c r="L66" s="176"/>
      <c r="M66" s="176"/>
      <c r="N66" s="176"/>
      <c r="O66" s="176"/>
    </row>
    <row r="67" spans="2:15" s="123" customFormat="1" x14ac:dyDescent="0.2">
      <c r="B67" s="159"/>
      <c r="C67" s="175"/>
      <c r="D67" s="175"/>
      <c r="E67" s="176"/>
      <c r="F67" s="176"/>
      <c r="G67" s="176"/>
      <c r="H67" s="176"/>
      <c r="I67" s="159"/>
      <c r="J67" s="159"/>
      <c r="K67" s="176"/>
      <c r="L67" s="176"/>
      <c r="M67" s="176"/>
      <c r="N67" s="176"/>
      <c r="O67" s="176"/>
    </row>
    <row r="68" spans="2:15" s="123" customFormat="1" x14ac:dyDescent="0.2">
      <c r="B68" s="159"/>
      <c r="C68" s="175"/>
      <c r="D68" s="175"/>
      <c r="E68" s="176"/>
      <c r="F68" s="176"/>
      <c r="G68" s="176"/>
      <c r="H68" s="176"/>
      <c r="I68" s="159"/>
      <c r="J68" s="159"/>
      <c r="K68" s="176"/>
      <c r="L68" s="176"/>
      <c r="M68" s="176"/>
      <c r="N68" s="176"/>
      <c r="O68" s="176"/>
    </row>
    <row r="69" spans="2:15" s="123" customFormat="1" x14ac:dyDescent="0.2">
      <c r="B69" s="159"/>
      <c r="C69" s="175"/>
      <c r="D69" s="175"/>
      <c r="E69" s="176"/>
      <c r="F69" s="176"/>
      <c r="G69" s="176"/>
      <c r="H69" s="176"/>
      <c r="I69" s="159"/>
      <c r="J69" s="159"/>
      <c r="K69" s="176"/>
      <c r="L69" s="176"/>
      <c r="M69" s="176"/>
      <c r="N69" s="176"/>
      <c r="O69" s="176"/>
    </row>
    <row r="70" spans="2:15" s="123" customFormat="1" x14ac:dyDescent="0.2">
      <c r="B70" s="159"/>
      <c r="C70" s="175"/>
      <c r="D70" s="175"/>
      <c r="E70" s="176"/>
      <c r="F70" s="176"/>
      <c r="G70" s="176"/>
      <c r="H70" s="176"/>
      <c r="I70" s="159"/>
      <c r="J70" s="159"/>
      <c r="K70" s="176"/>
      <c r="L70" s="176"/>
      <c r="M70" s="176"/>
      <c r="N70" s="176"/>
      <c r="O70" s="176"/>
    </row>
    <row r="71" spans="2:15" s="123" customFormat="1" x14ac:dyDescent="0.2">
      <c r="B71" s="159"/>
      <c r="C71" s="175"/>
      <c r="D71" s="175"/>
      <c r="E71" s="176"/>
      <c r="F71" s="176"/>
      <c r="G71" s="176"/>
      <c r="H71" s="176"/>
      <c r="I71" s="159"/>
      <c r="J71" s="159"/>
      <c r="K71" s="176"/>
      <c r="L71" s="176"/>
      <c r="M71" s="176"/>
      <c r="N71" s="176"/>
      <c r="O71" s="176"/>
    </row>
    <row r="72" spans="2:15" s="123" customFormat="1" x14ac:dyDescent="0.2">
      <c r="B72" s="159"/>
      <c r="C72" s="175"/>
      <c r="D72" s="175"/>
      <c r="E72" s="176"/>
      <c r="F72" s="176"/>
      <c r="G72" s="176"/>
      <c r="H72" s="176"/>
      <c r="I72" s="159"/>
      <c r="J72" s="159"/>
      <c r="K72" s="176"/>
      <c r="L72" s="176"/>
      <c r="M72" s="176"/>
      <c r="N72" s="176"/>
      <c r="O72" s="176"/>
    </row>
    <row r="73" spans="2:15" s="123" customFormat="1" x14ac:dyDescent="0.2">
      <c r="B73" s="159"/>
      <c r="C73" s="175"/>
      <c r="D73" s="175"/>
      <c r="E73" s="176"/>
      <c r="F73" s="176"/>
      <c r="G73" s="176"/>
      <c r="H73" s="176"/>
      <c r="I73" s="159"/>
      <c r="J73" s="159"/>
      <c r="K73" s="176"/>
      <c r="L73" s="176"/>
      <c r="M73" s="176"/>
      <c r="N73" s="176"/>
      <c r="O73" s="176"/>
    </row>
    <row r="74" spans="2:15" s="123" customFormat="1" x14ac:dyDescent="0.2">
      <c r="B74" s="159"/>
      <c r="C74" s="175"/>
      <c r="D74" s="175"/>
      <c r="E74" s="176"/>
      <c r="F74" s="176"/>
      <c r="G74" s="176"/>
      <c r="H74" s="176"/>
      <c r="I74" s="159"/>
      <c r="J74" s="159"/>
      <c r="K74" s="176"/>
      <c r="L74" s="176"/>
      <c r="M74" s="176"/>
      <c r="N74" s="176"/>
      <c r="O74" s="176"/>
    </row>
    <row r="75" spans="2:15" s="123" customFormat="1" x14ac:dyDescent="0.2">
      <c r="B75" s="159"/>
      <c r="C75" s="175"/>
      <c r="D75" s="175"/>
      <c r="E75" s="176"/>
      <c r="F75" s="176"/>
      <c r="G75" s="176"/>
      <c r="H75" s="176"/>
      <c r="I75" s="159"/>
      <c r="J75" s="159"/>
      <c r="K75" s="176"/>
      <c r="L75" s="176"/>
      <c r="M75" s="176"/>
      <c r="N75" s="176"/>
      <c r="O75" s="176"/>
    </row>
    <row r="76" spans="2:15" s="123" customFormat="1" x14ac:dyDescent="0.2">
      <c r="B76" s="159"/>
      <c r="C76" s="175"/>
      <c r="D76" s="175"/>
      <c r="E76" s="176"/>
      <c r="F76" s="176"/>
      <c r="G76" s="176"/>
      <c r="H76" s="176"/>
      <c r="I76" s="159"/>
      <c r="J76" s="159"/>
      <c r="K76" s="176"/>
      <c r="L76" s="176"/>
      <c r="M76" s="176"/>
      <c r="N76" s="176"/>
      <c r="O76" s="176"/>
    </row>
    <row r="77" spans="2:15" s="123" customFormat="1" x14ac:dyDescent="0.2">
      <c r="B77" s="159"/>
      <c r="C77" s="175"/>
      <c r="D77" s="175"/>
      <c r="E77" s="176"/>
      <c r="F77" s="176"/>
      <c r="G77" s="176"/>
      <c r="H77" s="176"/>
      <c r="I77" s="159"/>
      <c r="J77" s="159"/>
      <c r="K77" s="176"/>
      <c r="L77" s="176"/>
      <c r="M77" s="176"/>
      <c r="N77" s="176"/>
      <c r="O77" s="176"/>
    </row>
    <row r="78" spans="2:15" s="123" customFormat="1" x14ac:dyDescent="0.2">
      <c r="B78" s="159"/>
      <c r="C78" s="175"/>
      <c r="D78" s="175"/>
      <c r="E78" s="176"/>
      <c r="F78" s="176"/>
      <c r="G78" s="176"/>
      <c r="H78" s="176"/>
      <c r="I78" s="159"/>
      <c r="J78" s="159"/>
      <c r="K78" s="176"/>
      <c r="L78" s="176"/>
      <c r="M78" s="176"/>
      <c r="N78" s="176"/>
      <c r="O78" s="176"/>
    </row>
    <row r="79" spans="2:15" s="123" customFormat="1" x14ac:dyDescent="0.2">
      <c r="B79" s="159"/>
      <c r="C79" s="175"/>
      <c r="D79" s="175"/>
      <c r="E79" s="176"/>
      <c r="F79" s="176"/>
      <c r="G79" s="176"/>
      <c r="H79" s="176"/>
      <c r="I79" s="159"/>
      <c r="J79" s="159"/>
      <c r="K79" s="176"/>
      <c r="L79" s="176"/>
      <c r="M79" s="176"/>
      <c r="N79" s="176"/>
      <c r="O79" s="176"/>
    </row>
    <row r="80" spans="2:15" s="123" customFormat="1" x14ac:dyDescent="0.2">
      <c r="B80" s="159"/>
      <c r="C80" s="175"/>
      <c r="D80" s="175"/>
      <c r="E80" s="176"/>
      <c r="F80" s="176"/>
      <c r="G80" s="176"/>
      <c r="H80" s="176"/>
      <c r="I80" s="159"/>
      <c r="J80" s="159"/>
      <c r="K80" s="176"/>
      <c r="L80" s="176"/>
      <c r="M80" s="176"/>
      <c r="N80" s="176"/>
      <c r="O80" s="176"/>
    </row>
    <row r="81" spans="2:15" s="123" customFormat="1" x14ac:dyDescent="0.2">
      <c r="B81" s="159"/>
      <c r="C81" s="175"/>
      <c r="D81" s="175"/>
      <c r="E81" s="176"/>
      <c r="F81" s="176"/>
      <c r="G81" s="176"/>
      <c r="H81" s="176"/>
      <c r="I81" s="159"/>
      <c r="J81" s="159"/>
      <c r="K81" s="176"/>
      <c r="L81" s="176"/>
      <c r="M81" s="176"/>
      <c r="N81" s="176"/>
      <c r="O81" s="176"/>
    </row>
    <row r="82" spans="2:15" s="123" customFormat="1" x14ac:dyDescent="0.2">
      <c r="B82" s="159"/>
      <c r="C82" s="175"/>
      <c r="D82" s="175"/>
      <c r="E82" s="176"/>
      <c r="F82" s="176"/>
      <c r="G82" s="176"/>
      <c r="H82" s="176"/>
      <c r="I82" s="159"/>
      <c r="J82" s="159"/>
      <c r="K82" s="176"/>
      <c r="L82" s="176"/>
      <c r="M82" s="176"/>
      <c r="N82" s="176"/>
      <c r="O82" s="176"/>
    </row>
    <row r="83" spans="2:15" s="123" customFormat="1" x14ac:dyDescent="0.2">
      <c r="B83" s="159"/>
      <c r="C83" s="175"/>
      <c r="D83" s="175"/>
      <c r="E83" s="176"/>
      <c r="F83" s="176"/>
      <c r="G83" s="176"/>
      <c r="H83" s="176"/>
      <c r="I83" s="159"/>
      <c r="J83" s="159"/>
      <c r="K83" s="176"/>
      <c r="L83" s="176"/>
      <c r="M83" s="176"/>
      <c r="N83" s="176"/>
      <c r="O83" s="176"/>
    </row>
    <row r="84" spans="2:15" s="123" customFormat="1" x14ac:dyDescent="0.2">
      <c r="B84" s="159"/>
      <c r="C84" s="175"/>
      <c r="D84" s="175"/>
      <c r="E84" s="176"/>
      <c r="F84" s="176"/>
      <c r="G84" s="176"/>
      <c r="H84" s="176"/>
      <c r="I84" s="159"/>
      <c r="J84" s="159"/>
      <c r="K84" s="176"/>
      <c r="L84" s="176"/>
      <c r="M84" s="176"/>
      <c r="N84" s="176"/>
      <c r="O84" s="176"/>
    </row>
    <row r="85" spans="2:15" s="123" customFormat="1" x14ac:dyDescent="0.2">
      <c r="B85" s="159"/>
      <c r="C85" s="175"/>
      <c r="D85" s="175"/>
      <c r="E85" s="176"/>
      <c r="F85" s="176"/>
      <c r="G85" s="176"/>
      <c r="H85" s="176"/>
      <c r="I85" s="159"/>
      <c r="J85" s="159"/>
      <c r="K85" s="176"/>
      <c r="L85" s="176"/>
      <c r="M85" s="176"/>
      <c r="N85" s="176"/>
      <c r="O85" s="176"/>
    </row>
    <row r="86" spans="2:15" s="123" customFormat="1" x14ac:dyDescent="0.2">
      <c r="B86" s="159"/>
      <c r="C86" s="175"/>
      <c r="D86" s="175"/>
      <c r="E86" s="176"/>
      <c r="F86" s="176"/>
      <c r="G86" s="176"/>
      <c r="H86" s="176"/>
      <c r="I86" s="159"/>
      <c r="J86" s="159"/>
      <c r="K86" s="176"/>
      <c r="L86" s="176"/>
      <c r="M86" s="176"/>
      <c r="N86" s="176"/>
      <c r="O86" s="176"/>
    </row>
    <row r="87" spans="2:15" s="123" customFormat="1" x14ac:dyDescent="0.2">
      <c r="B87" s="159"/>
      <c r="C87" s="175"/>
      <c r="D87" s="175"/>
      <c r="E87" s="176"/>
      <c r="F87" s="176"/>
      <c r="G87" s="176"/>
      <c r="H87" s="176"/>
      <c r="I87" s="159"/>
      <c r="J87" s="159"/>
      <c r="K87" s="176"/>
      <c r="L87" s="176"/>
      <c r="M87" s="176"/>
      <c r="N87" s="176"/>
      <c r="O87" s="176"/>
    </row>
    <row r="88" spans="2:15" s="123" customFormat="1" ht="66" customHeight="1" x14ac:dyDescent="0.2">
      <c r="B88" s="159"/>
      <c r="C88" s="175"/>
      <c r="D88" s="175"/>
      <c r="E88" s="176"/>
      <c r="F88" s="176"/>
      <c r="G88" s="176"/>
      <c r="H88" s="176"/>
      <c r="I88" s="159"/>
      <c r="J88" s="159"/>
      <c r="K88" s="176"/>
      <c r="L88" s="176"/>
      <c r="M88" s="176"/>
      <c r="N88" s="176"/>
      <c r="O88" s="176"/>
    </row>
    <row r="89" spans="2:15" s="123" customFormat="1" x14ac:dyDescent="0.2">
      <c r="B89" s="159"/>
      <c r="C89" s="175"/>
      <c r="D89" s="175"/>
      <c r="E89" s="176"/>
      <c r="F89" s="176"/>
      <c r="G89" s="176"/>
      <c r="H89" s="176"/>
      <c r="I89" s="159"/>
      <c r="J89" s="159"/>
      <c r="K89" s="176"/>
      <c r="L89" s="176"/>
      <c r="M89" s="176"/>
      <c r="N89" s="176"/>
      <c r="O89" s="176"/>
    </row>
    <row r="90" spans="2:15" s="123" customFormat="1" x14ac:dyDescent="0.2">
      <c r="B90" s="159"/>
      <c r="C90" s="175"/>
      <c r="D90" s="175"/>
      <c r="E90" s="176"/>
      <c r="F90" s="176"/>
      <c r="G90" s="176"/>
      <c r="H90" s="176"/>
      <c r="I90" s="159"/>
      <c r="J90" s="159"/>
      <c r="K90" s="176"/>
      <c r="L90" s="176"/>
      <c r="M90" s="176"/>
      <c r="N90" s="176"/>
      <c r="O90" s="176"/>
    </row>
    <row r="91" spans="2:15" s="123" customFormat="1" x14ac:dyDescent="0.2">
      <c r="B91" s="159"/>
      <c r="C91" s="175"/>
      <c r="D91" s="175"/>
      <c r="E91" s="176"/>
      <c r="F91" s="176"/>
      <c r="G91" s="176"/>
      <c r="H91" s="176"/>
      <c r="I91" s="159"/>
      <c r="J91" s="159"/>
      <c r="K91" s="176"/>
      <c r="L91" s="176"/>
      <c r="M91" s="176"/>
      <c r="N91" s="176"/>
      <c r="O91" s="176"/>
    </row>
    <row r="92" spans="2:15" s="123" customFormat="1" x14ac:dyDescent="0.2">
      <c r="B92" s="159"/>
      <c r="C92" s="175"/>
      <c r="D92" s="175"/>
      <c r="E92" s="176"/>
      <c r="F92" s="176"/>
      <c r="G92" s="176"/>
      <c r="H92" s="176"/>
      <c r="I92" s="159"/>
      <c r="J92" s="159"/>
      <c r="K92" s="176"/>
      <c r="L92" s="176"/>
      <c r="M92" s="176"/>
      <c r="N92" s="176"/>
      <c r="O92" s="176"/>
    </row>
    <row r="93" spans="2:15" s="123" customFormat="1" x14ac:dyDescent="0.2">
      <c r="B93" s="159"/>
      <c r="C93" s="175"/>
      <c r="D93" s="175"/>
      <c r="E93" s="176"/>
      <c r="F93" s="176"/>
      <c r="G93" s="176"/>
      <c r="H93" s="176"/>
      <c r="I93" s="159"/>
      <c r="J93" s="159"/>
      <c r="K93" s="176"/>
      <c r="L93" s="176"/>
      <c r="M93" s="176"/>
      <c r="N93" s="176"/>
      <c r="O93" s="176"/>
    </row>
    <row r="94" spans="2:15" s="123" customFormat="1" x14ac:dyDescent="0.2">
      <c r="B94" s="159"/>
      <c r="C94" s="175"/>
      <c r="D94" s="175"/>
      <c r="E94" s="176"/>
      <c r="F94" s="176"/>
      <c r="G94" s="176"/>
      <c r="H94" s="176"/>
      <c r="I94" s="159"/>
      <c r="J94" s="159"/>
      <c r="K94" s="176"/>
      <c r="L94" s="176"/>
      <c r="M94" s="176"/>
      <c r="N94" s="176"/>
      <c r="O94" s="176"/>
    </row>
    <row r="95" spans="2:15" s="123" customFormat="1" x14ac:dyDescent="0.2">
      <c r="B95" s="159"/>
      <c r="C95" s="175"/>
      <c r="D95" s="175"/>
      <c r="E95" s="176"/>
      <c r="F95" s="176"/>
      <c r="G95" s="176"/>
      <c r="H95" s="176"/>
      <c r="I95" s="159"/>
      <c r="J95" s="159"/>
      <c r="K95" s="176"/>
      <c r="L95" s="176"/>
      <c r="M95" s="176"/>
      <c r="N95" s="176"/>
      <c r="O95" s="176"/>
    </row>
    <row r="96" spans="2:15" s="123" customFormat="1" x14ac:dyDescent="0.2">
      <c r="B96" s="159"/>
      <c r="C96" s="175"/>
      <c r="D96" s="175"/>
      <c r="E96" s="176"/>
      <c r="F96" s="176"/>
      <c r="G96" s="176"/>
      <c r="H96" s="176"/>
      <c r="I96" s="159"/>
      <c r="J96" s="159"/>
      <c r="K96" s="176"/>
      <c r="L96" s="176"/>
      <c r="M96" s="176"/>
      <c r="N96" s="176"/>
      <c r="O96" s="176"/>
    </row>
    <row r="97" spans="2:15" s="123" customFormat="1" x14ac:dyDescent="0.2">
      <c r="B97" s="159"/>
      <c r="C97" s="175"/>
      <c r="D97" s="175"/>
      <c r="E97" s="176"/>
      <c r="F97" s="176"/>
      <c r="G97" s="176"/>
      <c r="H97" s="176"/>
      <c r="I97" s="159"/>
      <c r="J97" s="159"/>
      <c r="K97" s="176"/>
      <c r="L97" s="176"/>
      <c r="M97" s="176"/>
      <c r="N97" s="176"/>
      <c r="O97" s="176"/>
    </row>
    <row r="98" spans="2:15" s="123" customFormat="1" x14ac:dyDescent="0.2">
      <c r="B98" s="159"/>
      <c r="C98" s="175"/>
      <c r="D98" s="175"/>
      <c r="E98" s="176"/>
      <c r="F98" s="176"/>
      <c r="G98" s="176"/>
      <c r="H98" s="176"/>
      <c r="I98" s="159"/>
      <c r="J98" s="159"/>
      <c r="K98" s="176"/>
      <c r="L98" s="176"/>
      <c r="M98" s="176"/>
      <c r="N98" s="176"/>
      <c r="O98" s="176"/>
    </row>
    <row r="99" spans="2:15" s="123" customFormat="1" x14ac:dyDescent="0.2">
      <c r="B99" s="159"/>
      <c r="C99" s="175"/>
      <c r="D99" s="175"/>
      <c r="E99" s="176"/>
      <c r="F99" s="176"/>
      <c r="G99" s="176"/>
      <c r="H99" s="176"/>
      <c r="I99" s="159"/>
      <c r="J99" s="159"/>
      <c r="K99" s="176"/>
      <c r="L99" s="176"/>
      <c r="M99" s="176"/>
      <c r="N99" s="176"/>
      <c r="O99" s="176"/>
    </row>
    <row r="100" spans="2:15" s="123" customFormat="1" x14ac:dyDescent="0.2">
      <c r="B100" s="159"/>
      <c r="C100" s="175"/>
      <c r="D100" s="175"/>
      <c r="E100" s="176"/>
      <c r="F100" s="176"/>
      <c r="G100" s="176"/>
      <c r="H100" s="176"/>
      <c r="I100" s="159"/>
      <c r="J100" s="159"/>
      <c r="K100" s="176"/>
      <c r="L100" s="176"/>
      <c r="M100" s="176"/>
      <c r="N100" s="176"/>
      <c r="O100" s="176"/>
    </row>
    <row r="101" spans="2:15" s="123" customFormat="1" x14ac:dyDescent="0.2">
      <c r="B101" s="159"/>
      <c r="C101" s="175"/>
      <c r="D101" s="175"/>
      <c r="E101" s="176"/>
      <c r="F101" s="176"/>
      <c r="G101" s="176"/>
      <c r="H101" s="176"/>
      <c r="I101" s="159"/>
      <c r="J101" s="159"/>
      <c r="K101" s="176"/>
      <c r="L101" s="176"/>
      <c r="M101" s="176"/>
      <c r="N101" s="176"/>
      <c r="O101" s="176"/>
    </row>
    <row r="102" spans="2:15" s="123" customFormat="1" x14ac:dyDescent="0.2">
      <c r="B102" s="159"/>
      <c r="C102" s="175"/>
      <c r="D102" s="175"/>
      <c r="E102" s="176"/>
      <c r="F102" s="176"/>
      <c r="G102" s="176"/>
      <c r="H102" s="176"/>
      <c r="I102" s="159"/>
      <c r="J102" s="159"/>
      <c r="K102" s="176"/>
      <c r="L102" s="176"/>
      <c r="M102" s="176"/>
      <c r="N102" s="176"/>
      <c r="O102" s="176"/>
    </row>
    <row r="103" spans="2:15" s="123" customFormat="1" x14ac:dyDescent="0.2">
      <c r="B103" s="159"/>
      <c r="C103" s="175"/>
      <c r="D103" s="175"/>
      <c r="E103" s="176"/>
      <c r="F103" s="176"/>
      <c r="G103" s="176"/>
      <c r="H103" s="176"/>
      <c r="I103" s="159"/>
      <c r="J103" s="159"/>
      <c r="K103" s="176"/>
      <c r="L103" s="176"/>
      <c r="M103" s="176"/>
      <c r="N103" s="176"/>
      <c r="O103" s="176"/>
    </row>
    <row r="104" spans="2:15" s="123" customFormat="1" x14ac:dyDescent="0.2">
      <c r="B104" s="159"/>
      <c r="C104" s="175"/>
      <c r="D104" s="175"/>
      <c r="E104" s="176"/>
      <c r="F104" s="176"/>
      <c r="G104" s="176"/>
      <c r="H104" s="176"/>
      <c r="I104" s="159"/>
      <c r="J104" s="159"/>
      <c r="K104" s="176"/>
      <c r="L104" s="176"/>
      <c r="M104" s="176"/>
      <c r="N104" s="176"/>
      <c r="O104" s="176"/>
    </row>
    <row r="105" spans="2:15" s="123" customFormat="1" x14ac:dyDescent="0.2">
      <c r="B105" s="159"/>
      <c r="C105" s="175"/>
      <c r="D105" s="175"/>
      <c r="E105" s="176"/>
      <c r="F105" s="176"/>
      <c r="G105" s="176"/>
      <c r="H105" s="176"/>
      <c r="I105" s="159"/>
      <c r="J105" s="159"/>
      <c r="K105" s="176"/>
      <c r="L105" s="176"/>
      <c r="M105" s="176"/>
      <c r="N105" s="176"/>
      <c r="O105" s="176"/>
    </row>
    <row r="106" spans="2:15" s="123" customFormat="1" x14ac:dyDescent="0.2">
      <c r="B106" s="159"/>
      <c r="C106" s="175"/>
      <c r="D106" s="175"/>
      <c r="E106" s="176"/>
      <c r="F106" s="176"/>
      <c r="G106" s="176"/>
      <c r="H106" s="176"/>
      <c r="I106" s="159"/>
      <c r="J106" s="159"/>
      <c r="K106" s="176"/>
      <c r="L106" s="176"/>
      <c r="M106" s="176"/>
      <c r="N106" s="176"/>
      <c r="O106" s="176"/>
    </row>
    <row r="107" spans="2:15" s="123" customFormat="1" x14ac:dyDescent="0.2">
      <c r="B107" s="159"/>
      <c r="C107" s="175"/>
      <c r="D107" s="175"/>
      <c r="E107" s="176"/>
      <c r="F107" s="176"/>
      <c r="G107" s="176"/>
      <c r="H107" s="176"/>
      <c r="I107" s="159"/>
      <c r="J107" s="159"/>
      <c r="K107" s="176"/>
      <c r="L107" s="176"/>
      <c r="M107" s="176"/>
      <c r="N107" s="176"/>
      <c r="O107" s="176"/>
    </row>
    <row r="108" spans="2:15" s="123" customFormat="1" x14ac:dyDescent="0.2">
      <c r="B108" s="159"/>
      <c r="C108" s="175"/>
      <c r="D108" s="175"/>
      <c r="E108" s="176"/>
      <c r="F108" s="176"/>
      <c r="G108" s="176"/>
      <c r="H108" s="176"/>
      <c r="I108" s="159"/>
      <c r="J108" s="159"/>
      <c r="K108" s="176"/>
      <c r="L108" s="176"/>
      <c r="M108" s="176"/>
      <c r="N108" s="176"/>
      <c r="O108" s="176"/>
    </row>
    <row r="109" spans="2:15" s="123" customFormat="1" x14ac:dyDescent="0.2">
      <c r="B109" s="159"/>
      <c r="C109" s="175"/>
      <c r="D109" s="175"/>
      <c r="E109" s="176"/>
      <c r="F109" s="176"/>
      <c r="G109" s="176"/>
      <c r="H109" s="176"/>
      <c r="I109" s="159"/>
      <c r="J109" s="159"/>
      <c r="K109" s="176"/>
      <c r="L109" s="176"/>
      <c r="M109" s="176"/>
      <c r="N109" s="176"/>
      <c r="O109" s="176"/>
    </row>
    <row r="110" spans="2:15" s="123" customFormat="1" x14ac:dyDescent="0.2">
      <c r="B110" s="159"/>
      <c r="C110" s="175"/>
      <c r="D110" s="175"/>
      <c r="E110" s="176"/>
      <c r="F110" s="176"/>
      <c r="G110" s="176"/>
      <c r="H110" s="176"/>
      <c r="I110" s="159"/>
      <c r="J110" s="159"/>
      <c r="K110" s="176"/>
      <c r="L110" s="176"/>
      <c r="M110" s="176"/>
      <c r="N110" s="176"/>
      <c r="O110" s="176"/>
    </row>
    <row r="111" spans="2:15" s="123" customFormat="1" x14ac:dyDescent="0.2">
      <c r="B111" s="159"/>
      <c r="C111" s="175"/>
      <c r="D111" s="175"/>
      <c r="E111" s="176"/>
      <c r="F111" s="176"/>
      <c r="G111" s="176"/>
      <c r="H111" s="176"/>
      <c r="I111" s="159"/>
      <c r="J111" s="159"/>
      <c r="K111" s="176"/>
      <c r="L111" s="176"/>
      <c r="M111" s="176"/>
      <c r="N111" s="176"/>
      <c r="O111" s="176"/>
    </row>
    <row r="112" spans="2:15" s="123" customFormat="1" x14ac:dyDescent="0.2">
      <c r="B112" s="159"/>
      <c r="C112" s="175"/>
      <c r="D112" s="175"/>
      <c r="E112" s="176"/>
      <c r="F112" s="176"/>
      <c r="G112" s="176"/>
      <c r="H112" s="176"/>
      <c r="I112" s="159"/>
      <c r="J112" s="159"/>
      <c r="K112" s="176"/>
      <c r="L112" s="176"/>
      <c r="M112" s="176"/>
      <c r="N112" s="176"/>
      <c r="O112" s="176"/>
    </row>
    <row r="113" spans="2:15" s="123" customFormat="1" x14ac:dyDescent="0.2">
      <c r="B113" s="159"/>
      <c r="C113" s="175"/>
      <c r="D113" s="175"/>
      <c r="E113" s="176"/>
      <c r="F113" s="176"/>
      <c r="G113" s="176"/>
      <c r="H113" s="176"/>
      <c r="I113" s="159"/>
      <c r="J113" s="159"/>
      <c r="K113" s="176"/>
      <c r="L113" s="176"/>
      <c r="M113" s="176"/>
      <c r="N113" s="176"/>
      <c r="O113" s="176"/>
    </row>
    <row r="114" spans="2:15" s="123" customFormat="1" x14ac:dyDescent="0.2">
      <c r="B114" s="159"/>
      <c r="C114" s="175"/>
      <c r="D114" s="175"/>
      <c r="E114" s="176"/>
      <c r="F114" s="176"/>
      <c r="G114" s="176"/>
      <c r="H114" s="176"/>
      <c r="I114" s="159"/>
      <c r="J114" s="159"/>
      <c r="K114" s="176"/>
      <c r="L114" s="176"/>
      <c r="M114" s="176"/>
      <c r="N114" s="176"/>
      <c r="O114" s="176"/>
    </row>
    <row r="115" spans="2:15" s="123" customFormat="1" x14ac:dyDescent="0.2">
      <c r="B115" s="159"/>
      <c r="C115" s="175"/>
      <c r="D115" s="175"/>
      <c r="E115" s="176"/>
      <c r="F115" s="176"/>
      <c r="G115" s="176"/>
      <c r="H115" s="176"/>
      <c r="I115" s="159"/>
      <c r="J115" s="159"/>
      <c r="K115" s="176"/>
      <c r="L115" s="176"/>
      <c r="M115" s="176"/>
      <c r="N115" s="176"/>
      <c r="O115" s="176"/>
    </row>
    <row r="116" spans="2:15" s="123" customFormat="1" x14ac:dyDescent="0.2">
      <c r="B116" s="159"/>
      <c r="C116" s="175"/>
      <c r="D116" s="175"/>
      <c r="E116" s="176"/>
      <c r="F116" s="176"/>
      <c r="G116" s="176"/>
      <c r="H116" s="176"/>
      <c r="I116" s="159"/>
      <c r="J116" s="159"/>
      <c r="K116" s="176"/>
      <c r="L116" s="176"/>
      <c r="M116" s="176"/>
      <c r="N116" s="176"/>
      <c r="O116" s="176"/>
    </row>
    <row r="117" spans="2:15" s="123" customFormat="1" x14ac:dyDescent="0.2">
      <c r="B117" s="159"/>
      <c r="C117" s="175"/>
      <c r="D117" s="175"/>
      <c r="E117" s="176"/>
      <c r="F117" s="176"/>
      <c r="G117" s="176"/>
      <c r="H117" s="176"/>
      <c r="I117" s="159"/>
      <c r="J117" s="159"/>
      <c r="K117" s="176"/>
      <c r="L117" s="176"/>
      <c r="M117" s="176"/>
      <c r="N117" s="176"/>
      <c r="O117" s="176"/>
    </row>
    <row r="118" spans="2:15" s="123" customFormat="1" x14ac:dyDescent="0.2">
      <c r="B118" s="159"/>
      <c r="C118" s="175"/>
      <c r="D118" s="175"/>
      <c r="E118" s="176"/>
      <c r="F118" s="176"/>
      <c r="G118" s="176"/>
      <c r="H118" s="176"/>
      <c r="I118" s="159"/>
      <c r="J118" s="159"/>
      <c r="K118" s="176"/>
      <c r="L118" s="176"/>
      <c r="M118" s="176"/>
      <c r="N118" s="176"/>
      <c r="O118" s="176"/>
    </row>
    <row r="119" spans="2:15" s="123" customFormat="1" x14ac:dyDescent="0.2">
      <c r="B119" s="159"/>
      <c r="C119" s="175"/>
      <c r="D119" s="175"/>
      <c r="E119" s="176"/>
      <c r="F119" s="176"/>
      <c r="G119" s="176"/>
      <c r="H119" s="176"/>
      <c r="I119" s="159"/>
      <c r="J119" s="159"/>
      <c r="K119" s="176"/>
      <c r="L119" s="176"/>
      <c r="M119" s="176"/>
      <c r="N119" s="176"/>
      <c r="O119" s="176"/>
    </row>
    <row r="120" spans="2:15" s="123" customFormat="1" x14ac:dyDescent="0.2">
      <c r="B120" s="159"/>
      <c r="C120" s="175"/>
      <c r="D120" s="175"/>
      <c r="E120" s="176"/>
      <c r="F120" s="176"/>
      <c r="G120" s="176"/>
      <c r="H120" s="176"/>
      <c r="I120" s="159"/>
      <c r="J120" s="159"/>
      <c r="K120" s="176"/>
      <c r="L120" s="176"/>
      <c r="M120" s="176"/>
      <c r="N120" s="176"/>
      <c r="O120" s="176"/>
    </row>
    <row r="121" spans="2:15" s="123" customFormat="1" x14ac:dyDescent="0.2">
      <c r="B121" s="159"/>
      <c r="C121" s="175"/>
      <c r="D121" s="175"/>
      <c r="E121" s="176"/>
      <c r="F121" s="176"/>
      <c r="G121" s="176"/>
      <c r="H121" s="176"/>
      <c r="I121" s="159"/>
      <c r="J121" s="159"/>
      <c r="K121" s="176"/>
      <c r="L121" s="176"/>
      <c r="M121" s="176"/>
      <c r="N121" s="176"/>
      <c r="O121" s="176"/>
    </row>
    <row r="122" spans="2:15" s="123" customFormat="1" x14ac:dyDescent="0.2">
      <c r="B122" s="159"/>
      <c r="C122" s="175"/>
      <c r="D122" s="175"/>
      <c r="E122" s="176"/>
      <c r="F122" s="176"/>
      <c r="G122" s="176"/>
      <c r="H122" s="176"/>
      <c r="I122" s="159"/>
      <c r="J122" s="159"/>
      <c r="K122" s="176"/>
      <c r="L122" s="176"/>
      <c r="M122" s="176"/>
      <c r="N122" s="176"/>
      <c r="O122" s="176"/>
    </row>
    <row r="123" spans="2:15" s="123" customFormat="1" x14ac:dyDescent="0.2">
      <c r="B123" s="159"/>
      <c r="C123" s="175"/>
      <c r="D123" s="175"/>
      <c r="E123" s="176"/>
      <c r="F123" s="176"/>
      <c r="G123" s="176"/>
      <c r="H123" s="176"/>
      <c r="I123" s="159"/>
      <c r="J123" s="159"/>
      <c r="K123" s="176"/>
      <c r="L123" s="176"/>
      <c r="M123" s="176"/>
      <c r="N123" s="176"/>
      <c r="O123" s="176"/>
    </row>
    <row r="124" spans="2:15" s="123" customFormat="1" x14ac:dyDescent="0.2">
      <c r="B124" s="159"/>
      <c r="C124" s="175"/>
      <c r="D124" s="175"/>
      <c r="E124" s="176"/>
      <c r="F124" s="176"/>
      <c r="G124" s="176"/>
      <c r="H124" s="176"/>
      <c r="I124" s="159"/>
      <c r="J124" s="159"/>
      <c r="K124" s="176"/>
      <c r="L124" s="176"/>
      <c r="M124" s="176"/>
      <c r="N124" s="176"/>
      <c r="O124" s="176"/>
    </row>
    <row r="125" spans="2:15" s="123" customFormat="1" x14ac:dyDescent="0.2">
      <c r="B125" s="159"/>
      <c r="C125" s="175"/>
      <c r="D125" s="175"/>
      <c r="E125" s="176"/>
      <c r="F125" s="176"/>
      <c r="G125" s="176"/>
      <c r="H125" s="176"/>
      <c r="I125" s="159"/>
      <c r="J125" s="159"/>
      <c r="K125" s="176"/>
      <c r="L125" s="176"/>
      <c r="M125" s="176"/>
      <c r="N125" s="176"/>
      <c r="O125" s="176"/>
    </row>
    <row r="126" spans="2:15" s="123" customFormat="1" x14ac:dyDescent="0.2">
      <c r="B126" s="159"/>
      <c r="C126" s="175"/>
      <c r="D126" s="175"/>
      <c r="E126" s="176"/>
      <c r="F126" s="176"/>
      <c r="G126" s="176"/>
      <c r="H126" s="176"/>
      <c r="I126" s="159"/>
      <c r="J126" s="159"/>
      <c r="K126" s="176"/>
      <c r="L126" s="176"/>
      <c r="M126" s="176"/>
      <c r="N126" s="176"/>
      <c r="O126" s="176"/>
    </row>
    <row r="127" spans="2:15" s="123" customFormat="1" x14ac:dyDescent="0.2">
      <c r="B127" s="159"/>
      <c r="C127" s="175"/>
      <c r="D127" s="175"/>
      <c r="E127" s="176"/>
      <c r="F127" s="176"/>
      <c r="G127" s="176"/>
      <c r="H127" s="176"/>
      <c r="I127" s="159"/>
      <c r="J127" s="159"/>
      <c r="K127" s="176"/>
      <c r="L127" s="176"/>
      <c r="M127" s="176"/>
      <c r="N127" s="176"/>
      <c r="O127" s="176"/>
    </row>
    <row r="128" spans="2:15" s="123" customFormat="1" ht="66" customHeight="1" x14ac:dyDescent="0.2">
      <c r="B128" s="159"/>
      <c r="C128" s="175"/>
      <c r="D128" s="175"/>
      <c r="E128" s="176"/>
      <c r="F128" s="176"/>
      <c r="G128" s="176"/>
      <c r="H128" s="176"/>
      <c r="I128" s="159"/>
      <c r="J128" s="159"/>
      <c r="K128" s="176"/>
      <c r="L128" s="176"/>
      <c r="M128" s="176"/>
      <c r="N128" s="176"/>
      <c r="O128" s="176"/>
    </row>
    <row r="129" spans="2:10" s="123" customFormat="1" x14ac:dyDescent="0.2">
      <c r="B129" s="156"/>
      <c r="C129" s="170"/>
      <c r="D129" s="170"/>
      <c r="I129" s="156"/>
      <c r="J129" s="156"/>
    </row>
    <row r="130" spans="2:10" s="123" customFormat="1" x14ac:dyDescent="0.2">
      <c r="B130" s="156"/>
      <c r="C130" s="170"/>
      <c r="D130" s="170"/>
      <c r="I130" s="156"/>
      <c r="J130" s="156"/>
    </row>
    <row r="131" spans="2:10" s="123" customFormat="1" x14ac:dyDescent="0.2">
      <c r="B131" s="156"/>
      <c r="C131" s="170"/>
      <c r="D131" s="170"/>
      <c r="I131" s="156"/>
      <c r="J131" s="156"/>
    </row>
    <row r="132" spans="2:10" s="123" customFormat="1" x14ac:dyDescent="0.2">
      <c r="B132" s="156"/>
      <c r="C132" s="170"/>
      <c r="D132" s="170"/>
      <c r="I132" s="156"/>
      <c r="J132" s="156"/>
    </row>
    <row r="133" spans="2:10" s="123" customFormat="1" x14ac:dyDescent="0.2">
      <c r="B133" s="156"/>
      <c r="C133" s="170"/>
      <c r="D133" s="170"/>
      <c r="I133" s="156"/>
      <c r="J133" s="156"/>
    </row>
    <row r="134" spans="2:10" s="123" customFormat="1" x14ac:dyDescent="0.2">
      <c r="B134" s="156"/>
      <c r="C134" s="170"/>
      <c r="D134" s="170"/>
      <c r="I134" s="156"/>
      <c r="J134" s="156"/>
    </row>
    <row r="135" spans="2:10" s="123" customFormat="1" x14ac:dyDescent="0.2">
      <c r="B135" s="156"/>
      <c r="C135" s="170"/>
      <c r="D135" s="170"/>
      <c r="I135" s="156"/>
      <c r="J135" s="156"/>
    </row>
    <row r="136" spans="2:10" s="123" customFormat="1" x14ac:dyDescent="0.2">
      <c r="B136" s="156"/>
      <c r="C136" s="170"/>
      <c r="D136" s="170"/>
      <c r="I136" s="156"/>
      <c r="J136" s="156"/>
    </row>
    <row r="137" spans="2:10" s="123" customFormat="1" x14ac:dyDescent="0.2">
      <c r="B137" s="156"/>
      <c r="C137" s="170"/>
      <c r="D137" s="170"/>
      <c r="I137" s="156"/>
      <c r="J137" s="156"/>
    </row>
    <row r="138" spans="2:10" s="123" customFormat="1" x14ac:dyDescent="0.2">
      <c r="B138" s="156"/>
      <c r="C138" s="170"/>
      <c r="D138" s="170"/>
      <c r="I138" s="156"/>
      <c r="J138" s="156"/>
    </row>
    <row r="139" spans="2:10" s="123" customFormat="1" x14ac:dyDescent="0.2">
      <c r="B139" s="156"/>
      <c r="C139" s="170"/>
      <c r="D139" s="170"/>
      <c r="I139" s="156"/>
      <c r="J139" s="156"/>
    </row>
    <row r="140" spans="2:10" s="123" customFormat="1" x14ac:dyDescent="0.2">
      <c r="B140" s="156"/>
      <c r="C140" s="170"/>
      <c r="D140" s="170"/>
      <c r="I140" s="156"/>
      <c r="J140" s="156"/>
    </row>
    <row r="141" spans="2:10" s="123" customFormat="1" x14ac:dyDescent="0.2">
      <c r="B141" s="156"/>
      <c r="C141" s="170"/>
      <c r="D141" s="170"/>
      <c r="I141" s="156"/>
      <c r="J141" s="156"/>
    </row>
    <row r="142" spans="2:10" s="123" customFormat="1" x14ac:dyDescent="0.2">
      <c r="B142" s="156"/>
      <c r="C142" s="170"/>
      <c r="D142" s="170"/>
      <c r="I142" s="156"/>
      <c r="J142" s="156"/>
    </row>
    <row r="143" spans="2:10" s="123" customFormat="1" x14ac:dyDescent="0.2">
      <c r="B143" s="156"/>
      <c r="C143" s="170"/>
      <c r="D143" s="170"/>
      <c r="I143" s="156"/>
      <c r="J143" s="156"/>
    </row>
    <row r="144" spans="2:10" s="123" customFormat="1" x14ac:dyDescent="0.2">
      <c r="B144" s="156"/>
      <c r="C144" s="170"/>
      <c r="D144" s="170"/>
      <c r="I144" s="156"/>
      <c r="J144" s="156"/>
    </row>
    <row r="145" spans="2:10" s="123" customFormat="1" x14ac:dyDescent="0.2">
      <c r="B145" s="156"/>
      <c r="C145" s="170"/>
      <c r="D145" s="170"/>
      <c r="I145" s="156"/>
      <c r="J145" s="156"/>
    </row>
    <row r="146" spans="2:10" s="123" customFormat="1" x14ac:dyDescent="0.2">
      <c r="B146" s="156"/>
      <c r="C146" s="170"/>
      <c r="D146" s="170"/>
      <c r="I146" s="156"/>
      <c r="J146" s="156"/>
    </row>
    <row r="147" spans="2:10" s="123" customFormat="1" x14ac:dyDescent="0.2">
      <c r="B147" s="156"/>
      <c r="C147" s="170"/>
      <c r="D147" s="170"/>
      <c r="I147" s="156"/>
      <c r="J147" s="156"/>
    </row>
    <row r="148" spans="2:10" s="123" customFormat="1" x14ac:dyDescent="0.2">
      <c r="B148" s="156"/>
      <c r="C148" s="170"/>
      <c r="D148" s="170"/>
      <c r="I148" s="156"/>
      <c r="J148" s="156"/>
    </row>
    <row r="149" spans="2:10" s="123" customFormat="1" x14ac:dyDescent="0.2">
      <c r="B149" s="156"/>
      <c r="C149" s="170"/>
      <c r="D149" s="170"/>
      <c r="I149" s="156"/>
      <c r="J149" s="156"/>
    </row>
    <row r="150" spans="2:10" s="123" customFormat="1" x14ac:dyDescent="0.2">
      <c r="B150" s="156"/>
      <c r="C150" s="170"/>
      <c r="D150" s="170"/>
      <c r="I150" s="156"/>
      <c r="J150" s="156"/>
    </row>
    <row r="151" spans="2:10" s="123" customFormat="1" x14ac:dyDescent="0.2">
      <c r="B151" s="156"/>
      <c r="C151" s="170"/>
      <c r="D151" s="170"/>
      <c r="I151" s="156"/>
      <c r="J151" s="156"/>
    </row>
    <row r="152" spans="2:10" s="123" customFormat="1" x14ac:dyDescent="0.2">
      <c r="B152" s="156"/>
      <c r="C152" s="170"/>
      <c r="D152" s="170"/>
      <c r="I152" s="156"/>
      <c r="J152" s="156"/>
    </row>
    <row r="153" spans="2:10" s="123" customFormat="1" x14ac:dyDescent="0.2">
      <c r="B153" s="156"/>
      <c r="C153" s="170"/>
      <c r="D153" s="170"/>
      <c r="I153" s="156"/>
      <c r="J153" s="156"/>
    </row>
    <row r="154" spans="2:10" s="123" customFormat="1" x14ac:dyDescent="0.2">
      <c r="B154" s="156"/>
      <c r="C154" s="170"/>
      <c r="D154" s="170"/>
      <c r="I154" s="156"/>
      <c r="J154" s="156"/>
    </row>
    <row r="155" spans="2:10" s="123" customFormat="1" x14ac:dyDescent="0.2">
      <c r="B155" s="156"/>
      <c r="C155" s="170"/>
      <c r="D155" s="170"/>
      <c r="I155" s="156"/>
      <c r="J155" s="156"/>
    </row>
    <row r="156" spans="2:10" s="123" customFormat="1" x14ac:dyDescent="0.2">
      <c r="B156" s="156"/>
      <c r="C156" s="170"/>
      <c r="D156" s="170"/>
      <c r="I156" s="156"/>
      <c r="J156" s="156"/>
    </row>
    <row r="157" spans="2:10" s="123" customFormat="1" x14ac:dyDescent="0.2">
      <c r="B157" s="156"/>
      <c r="C157" s="170"/>
      <c r="D157" s="170"/>
      <c r="I157" s="156"/>
      <c r="J157" s="156"/>
    </row>
    <row r="158" spans="2:10" s="123" customFormat="1" x14ac:dyDescent="0.2">
      <c r="B158" s="156"/>
      <c r="C158" s="170"/>
      <c r="D158" s="170"/>
      <c r="I158" s="156"/>
      <c r="J158" s="156"/>
    </row>
    <row r="159" spans="2:10" s="123" customFormat="1" x14ac:dyDescent="0.2">
      <c r="B159" s="156"/>
      <c r="C159" s="170"/>
      <c r="D159" s="170"/>
      <c r="I159" s="156"/>
      <c r="J159" s="156"/>
    </row>
    <row r="160" spans="2:10" s="123" customFormat="1" x14ac:dyDescent="0.2">
      <c r="B160" s="156"/>
      <c r="C160" s="170"/>
      <c r="D160" s="170"/>
      <c r="I160" s="156"/>
      <c r="J160" s="156"/>
    </row>
    <row r="161" spans="2:10" s="123" customFormat="1" x14ac:dyDescent="0.2">
      <c r="B161" s="156"/>
      <c r="C161" s="170"/>
      <c r="D161" s="170"/>
      <c r="I161" s="156"/>
      <c r="J161" s="156"/>
    </row>
    <row r="162" spans="2:10" s="123" customFormat="1" x14ac:dyDescent="0.2">
      <c r="B162" s="156"/>
      <c r="C162" s="170"/>
      <c r="D162" s="170"/>
      <c r="I162" s="156"/>
      <c r="J162" s="156"/>
    </row>
    <row r="163" spans="2:10" s="123" customFormat="1" x14ac:dyDescent="0.2">
      <c r="B163" s="156"/>
      <c r="C163" s="170"/>
      <c r="D163" s="170"/>
      <c r="I163" s="156"/>
      <c r="J163" s="156"/>
    </row>
    <row r="164" spans="2:10" s="123" customFormat="1" x14ac:dyDescent="0.2">
      <c r="B164" s="156"/>
      <c r="C164" s="170"/>
      <c r="D164" s="170"/>
      <c r="I164" s="156"/>
      <c r="J164" s="156"/>
    </row>
    <row r="165" spans="2:10" s="123" customFormat="1" x14ac:dyDescent="0.2">
      <c r="B165" s="156"/>
      <c r="C165" s="170"/>
      <c r="D165" s="170"/>
      <c r="I165" s="156"/>
      <c r="J165" s="156"/>
    </row>
    <row r="166" spans="2:10" s="123" customFormat="1" x14ac:dyDescent="0.2">
      <c r="B166" s="156"/>
      <c r="C166" s="170"/>
      <c r="D166" s="170"/>
      <c r="I166" s="156"/>
      <c r="J166" s="156"/>
    </row>
    <row r="167" spans="2:10" s="123" customFormat="1" x14ac:dyDescent="0.2">
      <c r="B167" s="156"/>
      <c r="C167" s="170"/>
      <c r="D167" s="170"/>
      <c r="I167" s="156"/>
      <c r="J167" s="156"/>
    </row>
    <row r="168" spans="2:10" s="123" customFormat="1" x14ac:dyDescent="0.2">
      <c r="B168" s="156"/>
      <c r="C168" s="170"/>
      <c r="D168" s="170"/>
      <c r="I168" s="156"/>
      <c r="J168" s="156"/>
    </row>
    <row r="169" spans="2:10" s="123" customFormat="1" x14ac:dyDescent="0.2">
      <c r="B169" s="156"/>
      <c r="C169" s="170"/>
      <c r="D169" s="170"/>
      <c r="I169" s="156"/>
      <c r="J169" s="156"/>
    </row>
    <row r="170" spans="2:10" s="123" customFormat="1" x14ac:dyDescent="0.2">
      <c r="B170" s="156"/>
      <c r="C170" s="170"/>
      <c r="D170" s="170"/>
      <c r="I170" s="156"/>
      <c r="J170" s="156"/>
    </row>
    <row r="171" spans="2:10" s="123" customFormat="1" x14ac:dyDescent="0.2">
      <c r="B171" s="156"/>
      <c r="C171" s="170"/>
      <c r="D171" s="170"/>
      <c r="I171" s="156"/>
      <c r="J171" s="156"/>
    </row>
    <row r="172" spans="2:10" s="123" customFormat="1" x14ac:dyDescent="0.2">
      <c r="B172" s="156"/>
      <c r="C172" s="170"/>
      <c r="D172" s="170"/>
      <c r="I172" s="156"/>
      <c r="J172" s="156"/>
    </row>
    <row r="173" spans="2:10" s="123" customFormat="1" x14ac:dyDescent="0.2">
      <c r="B173" s="156"/>
      <c r="C173" s="170"/>
      <c r="D173" s="170"/>
      <c r="I173" s="156"/>
      <c r="J173" s="156"/>
    </row>
    <row r="174" spans="2:10" s="123" customFormat="1" x14ac:dyDescent="0.2">
      <c r="B174" s="156"/>
      <c r="C174" s="170"/>
      <c r="D174" s="170"/>
      <c r="I174" s="156"/>
      <c r="J174" s="156"/>
    </row>
    <row r="175" spans="2:10" s="123" customFormat="1" x14ac:dyDescent="0.2">
      <c r="B175" s="156"/>
      <c r="C175" s="170"/>
      <c r="D175" s="170"/>
      <c r="I175" s="156"/>
      <c r="J175" s="156"/>
    </row>
    <row r="176" spans="2:10" s="123" customFormat="1" x14ac:dyDescent="0.2">
      <c r="B176" s="156"/>
      <c r="C176" s="170"/>
      <c r="D176" s="170"/>
      <c r="I176" s="156"/>
      <c r="J176" s="156"/>
    </row>
    <row r="177" spans="2:10" s="123" customFormat="1" x14ac:dyDescent="0.2">
      <c r="B177" s="156"/>
      <c r="C177" s="170"/>
      <c r="D177" s="170"/>
      <c r="I177" s="156"/>
      <c r="J177" s="156"/>
    </row>
    <row r="178" spans="2:10" s="123" customFormat="1" x14ac:dyDescent="0.2">
      <c r="B178" s="156"/>
      <c r="C178" s="170"/>
      <c r="D178" s="170"/>
      <c r="I178" s="156"/>
      <c r="J178" s="156"/>
    </row>
    <row r="179" spans="2:10" s="123" customFormat="1" x14ac:dyDescent="0.2">
      <c r="B179" s="156"/>
      <c r="C179" s="170"/>
      <c r="D179" s="170"/>
      <c r="I179" s="156"/>
      <c r="J179" s="156"/>
    </row>
    <row r="180" spans="2:10" s="123" customFormat="1" x14ac:dyDescent="0.2">
      <c r="B180" s="156"/>
      <c r="C180" s="170"/>
      <c r="D180" s="170"/>
      <c r="I180" s="156"/>
      <c r="J180" s="156"/>
    </row>
  </sheetData>
  <autoFilter ref="A2:L59" xr:uid="{2BDE6E76-94FA-42DA-9D7A-8C55E4DD00DF}"/>
  <conditionalFormatting sqref="C32:H38 C30:F31 C15:H16 C14:D14 H14 C42:E42 C44:H49 D41 D43:H43 C3:H13 C18:H26 C17 E17:H17 C28:H29 C27 E27:H27 C40:E40 C52:H52 C50:D51 C54:H58 C53:D53 C39:D39">
    <cfRule type="expression" dxfId="104" priority="21">
      <formula>AND(OR($F3="No",$F3=""), $E3= "Yes",$G3&lt;&gt;"",$H3&lt;&gt;"")</formula>
    </cfRule>
  </conditionalFormatting>
  <conditionalFormatting sqref="N57:N58 N15:O56">
    <cfRule type="expression" dxfId="103" priority="15">
      <formula>AND(OR($F15="No",$F15=""), $E15= "Yes",$G15&lt;&gt;"",$H15&lt;&gt;"")</formula>
    </cfRule>
  </conditionalFormatting>
  <conditionalFormatting sqref="N3:O13">
    <cfRule type="expression" dxfId="102" priority="14">
      <formula>AND(OR($F3="No",$F3=""), $E3= "Yes",$G3&lt;&gt;"",$H3&lt;&gt;"")</formula>
    </cfRule>
  </conditionalFormatting>
  <conditionalFormatting sqref="O57:O58">
    <cfRule type="expression" dxfId="101" priority="13">
      <formula>AND(OR($F57="No",$F57=""), $E57= "Yes",$G57&lt;&gt;"",$H57&lt;&gt;"")</formula>
    </cfRule>
  </conditionalFormatting>
  <conditionalFormatting sqref="N14:O14">
    <cfRule type="expression" dxfId="100" priority="12">
      <formula>AND(OR($F14="No",$F14=""), $E14= "Yes",$G14&lt;&gt;"",$H14&lt;&gt;"")</formula>
    </cfRule>
  </conditionalFormatting>
  <conditionalFormatting sqref="G30:H31">
    <cfRule type="expression" dxfId="99" priority="10">
      <formula>AND(OR($F30="No",$F30=""), $E30= "Yes",$G30&lt;&gt;"",$H30&lt;&gt;"")</formula>
    </cfRule>
    <cfRule type="expression" dxfId="98" priority="11">
      <formula>AND(OR($E30="No",$E30=""), $F30= "Yes",$G30&lt;&gt;"",$H30&lt;&gt;"")</formula>
    </cfRule>
  </conditionalFormatting>
  <conditionalFormatting sqref="C41">
    <cfRule type="expression" dxfId="97" priority="9">
      <formula>AND(OR($F41="No",$F41=""), $E41= "Yes",$G41&lt;&gt;"",$H41&lt;&gt;"")</formula>
    </cfRule>
  </conditionalFormatting>
  <conditionalFormatting sqref="C43">
    <cfRule type="expression" dxfId="96" priority="8">
      <formula>AND(OR($F43="No",$F43=""), $E43= "Yes",$G43&lt;&gt;"",$H43&lt;&gt;"")</formula>
    </cfRule>
  </conditionalFormatting>
  <conditionalFormatting sqref="I3:M59">
    <cfRule type="expression" dxfId="95" priority="7">
      <formula>AND(OR($F3="No",$F3=""), $E3= "Yes",$G3&lt;&gt;"",$H3&lt;&gt;"")</formula>
    </cfRule>
  </conditionalFormatting>
  <conditionalFormatting sqref="D17">
    <cfRule type="expression" dxfId="94" priority="6">
      <formula>AND(OR($F17="No",$F17=""), $E17= "Yes",$G17&lt;&gt;"",$H17&lt;&gt;"")</formula>
    </cfRule>
  </conditionalFormatting>
  <conditionalFormatting sqref="D27">
    <cfRule type="expression" dxfId="93" priority="5">
      <formula>AND(OR($F27="No",$F27=""), $E27= "Yes",$G27&lt;&gt;"",$H27&lt;&gt;"")</formula>
    </cfRule>
  </conditionalFormatting>
  <conditionalFormatting sqref="E50:H50">
    <cfRule type="expression" dxfId="92" priority="4">
      <formula>AND(OR($F50="No",$F50=""), $E50= "Yes",$G50&lt;&gt;"",$H50&lt;&gt;"")</formula>
    </cfRule>
  </conditionalFormatting>
  <conditionalFormatting sqref="E51:H51">
    <cfRule type="expression" dxfId="91" priority="3">
      <formula>AND(OR($F51="No",$F51=""), $E51= "Yes",$G51&lt;&gt;"",$H51&lt;&gt;"")</formula>
    </cfRule>
  </conditionalFormatting>
  <conditionalFormatting sqref="E53:H53">
    <cfRule type="expression" dxfId="90" priority="2">
      <formula>AND(OR($F53="No",$F53=""), $E53= "Yes",$G53&lt;&gt;"",$H53&lt;&gt;"")</formula>
    </cfRule>
  </conditionalFormatting>
  <conditionalFormatting sqref="E39:H39">
    <cfRule type="expression" dxfId="89" priority="1">
      <formula>AND(OR($F39="No",$F39=""), $E39= "Yes",$G39&lt;&gt;"",$H39&lt;&gt;"")</formula>
    </cfRule>
  </conditionalFormatting>
  <dataValidations count="1">
    <dataValidation type="list" allowBlank="1" showInputMessage="1" showErrorMessage="1" sqref="K1:K2 E3:F13 E39:E40 E53 E45:F49 E50:E51 E52:F52 E54:F58 E15:F38" xr:uid="{6361FEAB-AAE8-4802-B012-814A505453F1}">
      <formula1>"Yes, No"</formula1>
    </dataValidation>
  </dataValidations>
  <pageMargins left="0.25" right="0.25" top="0.75" bottom="0.75" header="0.3" footer="0.3"/>
  <pageSetup paperSize="8" scale="74"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80"/>
  <sheetViews>
    <sheetView topLeftCell="B1" zoomScale="60" zoomScaleNormal="60" workbookViewId="0">
      <pane ySplit="2" topLeftCell="A23" activePane="bottomLeft" state="frozen"/>
      <selection pane="bottomLeft" activeCell="E89" sqref="E89"/>
    </sheetView>
  </sheetViews>
  <sheetFormatPr defaultColWidth="9.21875" defaultRowHeight="15" x14ac:dyDescent="0.2"/>
  <cols>
    <col min="1" max="1" width="13.77734375" style="2" hidden="1" customWidth="1"/>
    <col min="2" max="2" width="7.77734375" style="18" customWidth="1"/>
    <col min="3" max="3" width="60.77734375" style="2" customWidth="1"/>
    <col min="4" max="4" width="38.77734375" style="2" customWidth="1"/>
    <col min="5" max="5" width="9.5546875" style="2" bestFit="1" customWidth="1"/>
    <col min="6" max="6" width="12.109375" style="2" bestFit="1" customWidth="1"/>
    <col min="7" max="7" width="38.77734375" style="2" customWidth="1"/>
    <col min="8" max="8" width="14.77734375" style="2" customWidth="1"/>
    <col min="9" max="9" width="10.33203125" style="18" customWidth="1"/>
    <col min="10" max="10" width="10.33203125" style="2" customWidth="1"/>
    <col min="11" max="11" width="9.33203125" style="2" hidden="1" customWidth="1"/>
    <col min="12" max="12" width="17.5546875" style="2" bestFit="1" customWidth="1"/>
    <col min="13" max="13" width="17" style="2" hidden="1" customWidth="1"/>
    <col min="14" max="14" width="9.33203125" style="2" hidden="1" customWidth="1"/>
    <col min="15" max="15" width="7.5546875" style="2" hidden="1" customWidth="1"/>
    <col min="16" max="16384" width="9.21875" style="2"/>
  </cols>
  <sheetData>
    <row r="1" spans="1:15" ht="21" customHeight="1" thickBot="1" x14ac:dyDescent="0.3">
      <c r="A1" s="21"/>
      <c r="B1" s="83" t="s">
        <v>47</v>
      </c>
      <c r="C1" s="56" t="s">
        <v>605</v>
      </c>
      <c r="D1" s="5"/>
      <c r="E1" s="5"/>
      <c r="F1" s="5"/>
      <c r="G1" s="5"/>
      <c r="H1" s="5"/>
      <c r="I1" s="19"/>
      <c r="J1" s="5"/>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23" customFormat="1" ht="54" customHeight="1" thickTop="1" x14ac:dyDescent="0.2">
      <c r="A3" s="160"/>
      <c r="B3" s="124" t="s">
        <v>10</v>
      </c>
      <c r="C3" s="125" t="s">
        <v>606</v>
      </c>
      <c r="D3" s="125" t="s">
        <v>607</v>
      </c>
      <c r="E3" s="125" t="s">
        <v>11</v>
      </c>
      <c r="F3" s="125" t="s">
        <v>21</v>
      </c>
      <c r="G3" s="125" t="s">
        <v>335</v>
      </c>
      <c r="H3" s="161" t="s">
        <v>608</v>
      </c>
      <c r="I3" s="128" t="s">
        <v>60</v>
      </c>
      <c r="J3" s="128" t="s">
        <v>61</v>
      </c>
      <c r="K3" s="128">
        <v>0</v>
      </c>
      <c r="L3" s="128" t="s">
        <v>481</v>
      </c>
      <c r="M3" s="128" t="s">
        <v>63</v>
      </c>
      <c r="N3" s="125">
        <v>2</v>
      </c>
      <c r="O3" s="129">
        <v>5.2083333333333333E-4</v>
      </c>
    </row>
    <row r="4" spans="1:15" s="123" customFormat="1" ht="54" customHeight="1" x14ac:dyDescent="0.2">
      <c r="A4" s="160"/>
      <c r="B4" s="130" t="s">
        <v>10</v>
      </c>
      <c r="C4" s="131" t="s">
        <v>609</v>
      </c>
      <c r="D4" s="131" t="s">
        <v>610</v>
      </c>
      <c r="E4" s="131" t="s">
        <v>11</v>
      </c>
      <c r="F4" s="131" t="s">
        <v>21</v>
      </c>
      <c r="G4" s="131" t="s">
        <v>58</v>
      </c>
      <c r="H4" s="147" t="s">
        <v>608</v>
      </c>
      <c r="I4" s="134" t="s">
        <v>60</v>
      </c>
      <c r="J4" s="134" t="s">
        <v>61</v>
      </c>
      <c r="K4" s="134">
        <v>0</v>
      </c>
      <c r="L4" s="134" t="s">
        <v>62</v>
      </c>
      <c r="M4" s="134" t="s">
        <v>63</v>
      </c>
      <c r="N4" s="131">
        <v>1</v>
      </c>
      <c r="O4" s="135">
        <v>2.4305555555555556E-3</v>
      </c>
    </row>
    <row r="5" spans="1:15" s="123" customFormat="1" ht="54" customHeight="1" x14ac:dyDescent="0.2">
      <c r="A5" s="160"/>
      <c r="B5" s="130" t="s">
        <v>10</v>
      </c>
      <c r="C5" s="131" t="s">
        <v>611</v>
      </c>
      <c r="D5" s="131" t="s">
        <v>483</v>
      </c>
      <c r="E5" s="131" t="s">
        <v>11</v>
      </c>
      <c r="F5" s="131" t="s">
        <v>21</v>
      </c>
      <c r="G5" s="131" t="s">
        <v>66</v>
      </c>
      <c r="H5" s="147" t="s">
        <v>608</v>
      </c>
      <c r="I5" s="134" t="s">
        <v>60</v>
      </c>
      <c r="J5" s="134" t="s">
        <v>61</v>
      </c>
      <c r="K5" s="134">
        <v>0</v>
      </c>
      <c r="L5" s="134" t="s">
        <v>67</v>
      </c>
      <c r="M5" s="134" t="s">
        <v>68</v>
      </c>
      <c r="N5" s="131">
        <v>1</v>
      </c>
      <c r="O5" s="135">
        <v>1.3888888888888889E-3</v>
      </c>
    </row>
    <row r="6" spans="1:15" s="123" customFormat="1" ht="54" customHeight="1" x14ac:dyDescent="0.2">
      <c r="A6" s="160"/>
      <c r="B6" s="130" t="s">
        <v>10</v>
      </c>
      <c r="C6" s="131" t="s">
        <v>612</v>
      </c>
      <c r="D6" s="131" t="s">
        <v>110</v>
      </c>
      <c r="E6" s="131" t="s">
        <v>11</v>
      </c>
      <c r="F6" s="131" t="s">
        <v>21</v>
      </c>
      <c r="G6" s="131" t="s">
        <v>613</v>
      </c>
      <c r="H6" s="147" t="s">
        <v>608</v>
      </c>
      <c r="I6" s="134" t="s">
        <v>60</v>
      </c>
      <c r="J6" s="134" t="s">
        <v>61</v>
      </c>
      <c r="K6" s="134">
        <v>0</v>
      </c>
      <c r="L6" s="134" t="s">
        <v>75</v>
      </c>
      <c r="M6" s="134" t="s">
        <v>76</v>
      </c>
      <c r="N6" s="131">
        <v>1</v>
      </c>
      <c r="O6" s="135">
        <v>3.4722222222222224E-4</v>
      </c>
    </row>
    <row r="7" spans="1:15" s="123" customFormat="1" ht="54" customHeight="1" x14ac:dyDescent="0.2">
      <c r="A7" s="160"/>
      <c r="B7" s="130" t="s">
        <v>10</v>
      </c>
      <c r="C7" s="131" t="s">
        <v>614</v>
      </c>
      <c r="D7" s="131" t="s">
        <v>615</v>
      </c>
      <c r="E7" s="131" t="s">
        <v>11</v>
      </c>
      <c r="F7" s="131" t="s">
        <v>21</v>
      </c>
      <c r="G7" s="131" t="s">
        <v>616</v>
      </c>
      <c r="H7" s="147" t="s">
        <v>608</v>
      </c>
      <c r="I7" s="134" t="s">
        <v>60</v>
      </c>
      <c r="J7" s="134" t="s">
        <v>61</v>
      </c>
      <c r="K7" s="134">
        <v>0</v>
      </c>
      <c r="L7" s="134" t="s">
        <v>100</v>
      </c>
      <c r="M7" s="134" t="s">
        <v>63</v>
      </c>
      <c r="N7" s="131">
        <v>1</v>
      </c>
      <c r="O7" s="135">
        <v>3.1249999999999997E-3</v>
      </c>
    </row>
    <row r="8" spans="1:15" s="123" customFormat="1" ht="54" customHeight="1" x14ac:dyDescent="0.2">
      <c r="A8" s="160"/>
      <c r="B8" s="130" t="s">
        <v>10</v>
      </c>
      <c r="C8" s="131" t="s">
        <v>617</v>
      </c>
      <c r="D8" s="131" t="s">
        <v>618</v>
      </c>
      <c r="E8" s="131" t="s">
        <v>11</v>
      </c>
      <c r="F8" s="131" t="s">
        <v>21</v>
      </c>
      <c r="G8" s="131" t="s">
        <v>66</v>
      </c>
      <c r="H8" s="147" t="s">
        <v>608</v>
      </c>
      <c r="I8" s="134" t="s">
        <v>60</v>
      </c>
      <c r="J8" s="134" t="s">
        <v>61</v>
      </c>
      <c r="K8" s="134">
        <v>0</v>
      </c>
      <c r="L8" s="134" t="s">
        <v>106</v>
      </c>
      <c r="M8" s="134" t="s">
        <v>63</v>
      </c>
      <c r="N8" s="131">
        <v>1</v>
      </c>
      <c r="O8" s="135">
        <v>8.1018518518518516E-4</v>
      </c>
    </row>
    <row r="9" spans="1:15" s="123" customFormat="1" ht="54" customHeight="1" x14ac:dyDescent="0.2">
      <c r="A9" s="160"/>
      <c r="B9" s="130" t="s">
        <v>10</v>
      </c>
      <c r="C9" s="131" t="s">
        <v>619</v>
      </c>
      <c r="D9" s="131" t="s">
        <v>112</v>
      </c>
      <c r="E9" s="131" t="s">
        <v>11</v>
      </c>
      <c r="F9" s="131" t="s">
        <v>21</v>
      </c>
      <c r="G9" s="131" t="s">
        <v>92</v>
      </c>
      <c r="H9" s="147" t="s">
        <v>608</v>
      </c>
      <c r="I9" s="134" t="s">
        <v>93</v>
      </c>
      <c r="J9" s="134" t="s">
        <v>61</v>
      </c>
      <c r="K9" s="134">
        <v>0</v>
      </c>
      <c r="L9" s="134" t="s">
        <v>117</v>
      </c>
      <c r="M9" s="134" t="s">
        <v>114</v>
      </c>
      <c r="N9" s="131">
        <v>1</v>
      </c>
      <c r="O9" s="135">
        <v>6.9444444444444447E-4</v>
      </c>
    </row>
    <row r="10" spans="1:15" s="123" customFormat="1" ht="54" customHeight="1" x14ac:dyDescent="0.2">
      <c r="A10" s="160"/>
      <c r="B10" s="130" t="s">
        <v>10</v>
      </c>
      <c r="C10" s="131" t="s">
        <v>620</v>
      </c>
      <c r="D10" s="131" t="s">
        <v>116</v>
      </c>
      <c r="E10" s="131" t="s">
        <v>11</v>
      </c>
      <c r="F10" s="131" t="s">
        <v>21</v>
      </c>
      <c r="G10" s="131" t="s">
        <v>92</v>
      </c>
      <c r="H10" s="147" t="s">
        <v>608</v>
      </c>
      <c r="I10" s="134" t="s">
        <v>93</v>
      </c>
      <c r="J10" s="134" t="s">
        <v>61</v>
      </c>
      <c r="K10" s="134">
        <v>0</v>
      </c>
      <c r="L10" s="134" t="s">
        <v>113</v>
      </c>
      <c r="M10" s="134" t="s">
        <v>114</v>
      </c>
      <c r="N10" s="131">
        <v>1</v>
      </c>
      <c r="O10" s="135">
        <v>6.9444444444444447E-4</v>
      </c>
    </row>
    <row r="11" spans="1:15" s="123" customFormat="1" ht="54" customHeight="1" x14ac:dyDescent="0.2">
      <c r="A11" s="160"/>
      <c r="B11" s="130" t="s">
        <v>10</v>
      </c>
      <c r="C11" s="131" t="s">
        <v>621</v>
      </c>
      <c r="D11" s="131" t="s">
        <v>124</v>
      </c>
      <c r="E11" s="131" t="s">
        <v>11</v>
      </c>
      <c r="F11" s="131" t="s">
        <v>21</v>
      </c>
      <c r="G11" s="131" t="s">
        <v>92</v>
      </c>
      <c r="H11" s="147" t="s">
        <v>608</v>
      </c>
      <c r="I11" s="134" t="s">
        <v>93</v>
      </c>
      <c r="J11" s="134" t="s">
        <v>61</v>
      </c>
      <c r="K11" s="134">
        <v>0</v>
      </c>
      <c r="L11" s="134" t="s">
        <v>141</v>
      </c>
      <c r="M11" s="134" t="s">
        <v>114</v>
      </c>
      <c r="N11" s="131">
        <v>2</v>
      </c>
      <c r="O11" s="135">
        <v>45.042187499999997</v>
      </c>
    </row>
    <row r="12" spans="1:15" s="123" customFormat="1" ht="54" customHeight="1" thickBot="1" x14ac:dyDescent="0.25">
      <c r="A12" s="148"/>
      <c r="B12" s="130" t="s">
        <v>10</v>
      </c>
      <c r="C12" s="131" t="s">
        <v>622</v>
      </c>
      <c r="D12" s="131" t="s">
        <v>121</v>
      </c>
      <c r="E12" s="131" t="s">
        <v>11</v>
      </c>
      <c r="F12" s="131" t="s">
        <v>21</v>
      </c>
      <c r="G12" s="131" t="s">
        <v>92</v>
      </c>
      <c r="H12" s="147" t="s">
        <v>608</v>
      </c>
      <c r="I12" s="134" t="s">
        <v>93</v>
      </c>
      <c r="J12" s="134" t="s">
        <v>61</v>
      </c>
      <c r="K12" s="134">
        <v>0</v>
      </c>
      <c r="L12" s="134" t="s">
        <v>141</v>
      </c>
      <c r="M12" s="134" t="s">
        <v>114</v>
      </c>
      <c r="N12" s="131">
        <v>2</v>
      </c>
      <c r="O12" s="135">
        <v>45.000520833333333</v>
      </c>
    </row>
    <row r="13" spans="1:15" s="123" customFormat="1" ht="54" customHeight="1" x14ac:dyDescent="0.2">
      <c r="A13" s="79"/>
      <c r="B13" s="69" t="s">
        <v>10</v>
      </c>
      <c r="C13" s="70" t="s">
        <v>623</v>
      </c>
      <c r="D13" s="70" t="s">
        <v>127</v>
      </c>
      <c r="E13" s="70" t="s">
        <v>11</v>
      </c>
      <c r="F13" s="70" t="s">
        <v>21</v>
      </c>
      <c r="G13" s="70" t="s">
        <v>92</v>
      </c>
      <c r="H13" s="80" t="s">
        <v>59</v>
      </c>
      <c r="I13" s="71" t="s">
        <v>93</v>
      </c>
      <c r="J13" s="71" t="s">
        <v>61</v>
      </c>
      <c r="K13" s="71">
        <v>0</v>
      </c>
      <c r="L13" s="71" t="s">
        <v>129</v>
      </c>
      <c r="M13" s="71" t="s">
        <v>130</v>
      </c>
      <c r="N13" s="70">
        <v>1</v>
      </c>
      <c r="O13" s="73">
        <v>5.2083333333333333E-4</v>
      </c>
    </row>
    <row r="14" spans="1:15" s="123" customFormat="1" ht="54" customHeight="1" thickBot="1" x14ac:dyDescent="0.25">
      <c r="A14" s="79"/>
      <c r="B14" s="74" t="s">
        <v>10</v>
      </c>
      <c r="C14" s="75" t="s">
        <v>624</v>
      </c>
      <c r="D14" s="75" t="s">
        <v>132</v>
      </c>
      <c r="E14" s="75" t="s">
        <v>11</v>
      </c>
      <c r="F14" s="75" t="s">
        <v>21</v>
      </c>
      <c r="G14" s="75" t="s">
        <v>92</v>
      </c>
      <c r="H14" s="81" t="s">
        <v>59</v>
      </c>
      <c r="I14" s="113" t="s">
        <v>93</v>
      </c>
      <c r="J14" s="113" t="s">
        <v>61</v>
      </c>
      <c r="K14" s="113">
        <v>0</v>
      </c>
      <c r="L14" s="113" t="s">
        <v>133</v>
      </c>
      <c r="M14" s="113" t="s">
        <v>130</v>
      </c>
      <c r="N14" s="75">
        <v>2</v>
      </c>
      <c r="O14" s="78">
        <v>6.9444444444444447E-4</v>
      </c>
    </row>
    <row r="15" spans="1:15" s="123" customFormat="1" ht="54" customHeight="1" thickTop="1" x14ac:dyDescent="0.2">
      <c r="A15" s="95"/>
      <c r="B15" s="104" t="s">
        <v>13</v>
      </c>
      <c r="C15" s="92" t="s">
        <v>625</v>
      </c>
      <c r="D15" s="92" t="s">
        <v>626</v>
      </c>
      <c r="E15" s="92" t="s">
        <v>11</v>
      </c>
      <c r="F15" s="92" t="s">
        <v>21</v>
      </c>
      <c r="G15" s="92" t="s">
        <v>138</v>
      </c>
      <c r="H15" s="105">
        <v>45340</v>
      </c>
      <c r="I15" s="91" t="s">
        <v>139</v>
      </c>
      <c r="J15" s="91" t="s">
        <v>140</v>
      </c>
      <c r="K15" s="91">
        <v>0</v>
      </c>
      <c r="L15" s="91" t="s">
        <v>141</v>
      </c>
      <c r="M15" s="91" t="s">
        <v>114</v>
      </c>
      <c r="N15" s="92">
        <v>4</v>
      </c>
      <c r="O15" s="93">
        <v>1.736111111111111E-3</v>
      </c>
    </row>
    <row r="16" spans="1:15" s="123" customFormat="1" ht="54" customHeight="1" x14ac:dyDescent="0.2">
      <c r="A16" s="95"/>
      <c r="B16" s="69" t="s">
        <v>13</v>
      </c>
      <c r="C16" s="70" t="s">
        <v>627</v>
      </c>
      <c r="D16" s="70" t="s">
        <v>628</v>
      </c>
      <c r="E16" s="70" t="s">
        <v>11</v>
      </c>
      <c r="F16" s="70" t="s">
        <v>21</v>
      </c>
      <c r="G16" s="70" t="s">
        <v>138</v>
      </c>
      <c r="H16" s="80">
        <v>45349</v>
      </c>
      <c r="I16" s="71" t="s">
        <v>139</v>
      </c>
      <c r="J16" s="71" t="s">
        <v>140</v>
      </c>
      <c r="K16" s="71">
        <v>0</v>
      </c>
      <c r="L16" s="71" t="s">
        <v>141</v>
      </c>
      <c r="M16" s="71" t="s">
        <v>114</v>
      </c>
      <c r="N16" s="70">
        <v>4</v>
      </c>
      <c r="O16" s="73">
        <v>1.736111111111111E-3</v>
      </c>
    </row>
    <row r="17" spans="1:15" s="123" customFormat="1" ht="54" customHeight="1" x14ac:dyDescent="0.2">
      <c r="A17" s="95"/>
      <c r="B17" s="69" t="s">
        <v>13</v>
      </c>
      <c r="C17" s="70" t="s">
        <v>629</v>
      </c>
      <c r="D17" s="70" t="s">
        <v>630</v>
      </c>
      <c r="E17" s="70" t="s">
        <v>11</v>
      </c>
      <c r="F17" s="70" t="s">
        <v>21</v>
      </c>
      <c r="G17" s="70" t="s">
        <v>138</v>
      </c>
      <c r="H17" s="80">
        <v>45340</v>
      </c>
      <c r="I17" s="71" t="s">
        <v>139</v>
      </c>
      <c r="J17" s="71" t="s">
        <v>140</v>
      </c>
      <c r="K17" s="71">
        <v>0</v>
      </c>
      <c r="L17" s="71" t="s">
        <v>152</v>
      </c>
      <c r="M17" s="71" t="s">
        <v>114</v>
      </c>
      <c r="N17" s="70">
        <v>4</v>
      </c>
      <c r="O17" s="73">
        <v>1.736111111111111E-3</v>
      </c>
    </row>
    <row r="18" spans="1:15" s="123" customFormat="1" ht="54" customHeight="1" x14ac:dyDescent="0.2">
      <c r="A18" s="95"/>
      <c r="B18" s="69" t="s">
        <v>13</v>
      </c>
      <c r="C18" s="70" t="s">
        <v>631</v>
      </c>
      <c r="D18" s="70" t="s">
        <v>632</v>
      </c>
      <c r="E18" s="70" t="s">
        <v>11</v>
      </c>
      <c r="F18" s="70" t="s">
        <v>21</v>
      </c>
      <c r="G18" s="70" t="s">
        <v>496</v>
      </c>
      <c r="H18" s="80">
        <v>45349</v>
      </c>
      <c r="I18" s="71" t="s">
        <v>139</v>
      </c>
      <c r="J18" s="71" t="s">
        <v>140</v>
      </c>
      <c r="K18" s="71">
        <v>0</v>
      </c>
      <c r="L18" s="71" t="s">
        <v>152</v>
      </c>
      <c r="M18" s="71" t="s">
        <v>114</v>
      </c>
      <c r="N18" s="70">
        <v>4</v>
      </c>
      <c r="O18" s="73">
        <v>1.736111111111111E-3</v>
      </c>
    </row>
    <row r="19" spans="1:15" s="123" customFormat="1" ht="54" customHeight="1" x14ac:dyDescent="0.2">
      <c r="A19" s="95"/>
      <c r="B19" s="69" t="s">
        <v>13</v>
      </c>
      <c r="C19" s="70" t="s">
        <v>633</v>
      </c>
      <c r="D19" s="70" t="s">
        <v>150</v>
      </c>
      <c r="E19" s="70" t="s">
        <v>11</v>
      </c>
      <c r="F19" s="70" t="s">
        <v>21</v>
      </c>
      <c r="G19" s="70" t="s">
        <v>634</v>
      </c>
      <c r="H19" s="80">
        <v>45342</v>
      </c>
      <c r="I19" s="71" t="s">
        <v>139</v>
      </c>
      <c r="J19" s="71" t="s">
        <v>61</v>
      </c>
      <c r="K19" s="71">
        <v>0</v>
      </c>
      <c r="L19" s="71" t="s">
        <v>158</v>
      </c>
      <c r="M19" s="71" t="s">
        <v>153</v>
      </c>
      <c r="N19" s="70">
        <v>2</v>
      </c>
      <c r="O19" s="73">
        <v>5.2083333333333333E-4</v>
      </c>
    </row>
    <row r="20" spans="1:15" s="123" customFormat="1" ht="54" customHeight="1" x14ac:dyDescent="0.2">
      <c r="A20" s="95"/>
      <c r="B20" s="69" t="s">
        <v>13</v>
      </c>
      <c r="C20" s="70" t="s">
        <v>635</v>
      </c>
      <c r="D20" s="70" t="s">
        <v>150</v>
      </c>
      <c r="E20" s="70" t="s">
        <v>11</v>
      </c>
      <c r="F20" s="70" t="s">
        <v>21</v>
      </c>
      <c r="G20" s="70" t="s">
        <v>634</v>
      </c>
      <c r="H20" s="80">
        <v>45342</v>
      </c>
      <c r="I20" s="71" t="s">
        <v>139</v>
      </c>
      <c r="J20" s="71" t="s">
        <v>61</v>
      </c>
      <c r="K20" s="71">
        <v>0</v>
      </c>
      <c r="L20" s="71" t="s">
        <v>158</v>
      </c>
      <c r="M20" s="71" t="s">
        <v>153</v>
      </c>
      <c r="N20" s="70">
        <v>2</v>
      </c>
      <c r="O20" s="73">
        <v>5.2083333333333333E-4</v>
      </c>
    </row>
    <row r="21" spans="1:15" s="123" customFormat="1" ht="54" customHeight="1" x14ac:dyDescent="0.2">
      <c r="A21" s="95"/>
      <c r="B21" s="69" t="s">
        <v>13</v>
      </c>
      <c r="C21" s="70" t="s">
        <v>636</v>
      </c>
      <c r="D21" s="70" t="s">
        <v>156</v>
      </c>
      <c r="E21" s="70" t="s">
        <v>11</v>
      </c>
      <c r="F21" s="70" t="s">
        <v>21</v>
      </c>
      <c r="G21" s="70" t="s">
        <v>637</v>
      </c>
      <c r="H21" s="80">
        <v>45342</v>
      </c>
      <c r="I21" s="71" t="s">
        <v>139</v>
      </c>
      <c r="J21" s="71" t="s">
        <v>61</v>
      </c>
      <c r="K21" s="71">
        <v>0</v>
      </c>
      <c r="L21" s="71" t="s">
        <v>168</v>
      </c>
      <c r="M21" s="71" t="s">
        <v>153</v>
      </c>
      <c r="N21" s="70">
        <v>1</v>
      </c>
      <c r="O21" s="73">
        <v>2.3148148148148146E-4</v>
      </c>
    </row>
    <row r="22" spans="1:15" s="123" customFormat="1" ht="54" customHeight="1" x14ac:dyDescent="0.2">
      <c r="A22" s="95"/>
      <c r="B22" s="69" t="s">
        <v>13</v>
      </c>
      <c r="C22" s="70" t="s">
        <v>638</v>
      </c>
      <c r="D22" s="70" t="s">
        <v>160</v>
      </c>
      <c r="E22" s="70" t="s">
        <v>11</v>
      </c>
      <c r="F22" s="70" t="s">
        <v>21</v>
      </c>
      <c r="G22" s="70" t="s">
        <v>639</v>
      </c>
      <c r="H22" s="80">
        <v>45342</v>
      </c>
      <c r="I22" s="71" t="s">
        <v>139</v>
      </c>
      <c r="J22" s="71" t="s">
        <v>61</v>
      </c>
      <c r="K22" s="71">
        <v>0</v>
      </c>
      <c r="L22" s="71" t="s">
        <v>168</v>
      </c>
      <c r="M22" s="71" t="s">
        <v>153</v>
      </c>
      <c r="N22" s="70">
        <v>2</v>
      </c>
      <c r="O22" s="73">
        <v>2.3148148148148146E-4</v>
      </c>
    </row>
    <row r="23" spans="1:15" s="123" customFormat="1" ht="54" customHeight="1" x14ac:dyDescent="0.2">
      <c r="A23" s="95"/>
      <c r="B23" s="69" t="s">
        <v>13</v>
      </c>
      <c r="C23" s="70" t="s">
        <v>640</v>
      </c>
      <c r="D23" s="70" t="s">
        <v>502</v>
      </c>
      <c r="E23" s="70" t="s">
        <v>11</v>
      </c>
      <c r="F23" s="70" t="s">
        <v>21</v>
      </c>
      <c r="G23" s="70" t="s">
        <v>138</v>
      </c>
      <c r="H23" s="80">
        <v>45349</v>
      </c>
      <c r="I23" s="71" t="s">
        <v>60</v>
      </c>
      <c r="J23" s="71" t="s">
        <v>140</v>
      </c>
      <c r="K23" s="71">
        <v>0</v>
      </c>
      <c r="L23" s="71" t="s">
        <v>168</v>
      </c>
      <c r="M23" s="71" t="s">
        <v>169</v>
      </c>
      <c r="N23" s="70">
        <v>2</v>
      </c>
      <c r="O23" s="73">
        <v>4.6296296296296293E-4</v>
      </c>
    </row>
    <row r="24" spans="1:15" s="123" customFormat="1" ht="54" customHeight="1" x14ac:dyDescent="0.2">
      <c r="A24" s="95"/>
      <c r="B24" s="69" t="s">
        <v>13</v>
      </c>
      <c r="C24" s="70" t="s">
        <v>641</v>
      </c>
      <c r="D24" s="70" t="s">
        <v>642</v>
      </c>
      <c r="E24" s="70" t="s">
        <v>11</v>
      </c>
      <c r="F24" s="70" t="s">
        <v>21</v>
      </c>
      <c r="G24" s="70" t="s">
        <v>138</v>
      </c>
      <c r="H24" s="80">
        <v>45349</v>
      </c>
      <c r="I24" s="71" t="s">
        <v>60</v>
      </c>
      <c r="J24" s="71" t="s">
        <v>140</v>
      </c>
      <c r="K24" s="71">
        <v>0</v>
      </c>
      <c r="L24" s="71" t="s">
        <v>168</v>
      </c>
      <c r="M24" s="71" t="s">
        <v>169</v>
      </c>
      <c r="N24" s="70">
        <v>2</v>
      </c>
      <c r="O24" s="73">
        <v>4.6296296296296293E-4</v>
      </c>
    </row>
    <row r="25" spans="1:15" s="123" customFormat="1" ht="54" customHeight="1" x14ac:dyDescent="0.2">
      <c r="A25" s="95"/>
      <c r="B25" s="69" t="s">
        <v>13</v>
      </c>
      <c r="C25" s="70" t="s">
        <v>643</v>
      </c>
      <c r="D25" s="70" t="s">
        <v>504</v>
      </c>
      <c r="E25" s="70" t="s">
        <v>11</v>
      </c>
      <c r="F25" s="70" t="s">
        <v>21</v>
      </c>
      <c r="G25" s="70" t="s">
        <v>496</v>
      </c>
      <c r="H25" s="80">
        <v>45349</v>
      </c>
      <c r="I25" s="71" t="s">
        <v>60</v>
      </c>
      <c r="J25" s="71" t="s">
        <v>140</v>
      </c>
      <c r="K25" s="71">
        <v>0</v>
      </c>
      <c r="L25" s="71" t="s">
        <v>187</v>
      </c>
      <c r="M25" s="71" t="s">
        <v>169</v>
      </c>
      <c r="N25" s="70">
        <v>2</v>
      </c>
      <c r="O25" s="73">
        <v>4.6296296296296293E-4</v>
      </c>
    </row>
    <row r="26" spans="1:15" s="123" customFormat="1" ht="54" customHeight="1" x14ac:dyDescent="0.2">
      <c r="A26" s="95"/>
      <c r="B26" s="69" t="s">
        <v>13</v>
      </c>
      <c r="C26" s="70" t="s">
        <v>644</v>
      </c>
      <c r="D26" s="70" t="s">
        <v>645</v>
      </c>
      <c r="E26" s="70" t="s">
        <v>11</v>
      </c>
      <c r="F26" s="70" t="s">
        <v>21</v>
      </c>
      <c r="G26" s="70" t="s">
        <v>496</v>
      </c>
      <c r="H26" s="80">
        <v>45349</v>
      </c>
      <c r="I26" s="71" t="s">
        <v>60</v>
      </c>
      <c r="J26" s="71" t="s">
        <v>140</v>
      </c>
      <c r="K26" s="71">
        <v>0</v>
      </c>
      <c r="L26" s="71" t="s">
        <v>184</v>
      </c>
      <c r="M26" s="71" t="s">
        <v>169</v>
      </c>
      <c r="N26" s="70">
        <v>2</v>
      </c>
      <c r="O26" s="73">
        <v>4.6296296296296293E-4</v>
      </c>
    </row>
    <row r="27" spans="1:15" s="123" customFormat="1" ht="54" customHeight="1" x14ac:dyDescent="0.2">
      <c r="A27" s="160"/>
      <c r="B27" s="130" t="s">
        <v>13</v>
      </c>
      <c r="C27" s="131" t="s">
        <v>646</v>
      </c>
      <c r="D27" s="131" t="s">
        <v>186</v>
      </c>
      <c r="E27" s="131" t="s">
        <v>21</v>
      </c>
      <c r="F27" s="131"/>
      <c r="G27" s="131"/>
      <c r="H27" s="147"/>
      <c r="I27" s="134" t="s">
        <v>60</v>
      </c>
      <c r="J27" s="134" t="s">
        <v>61</v>
      </c>
      <c r="K27" s="134">
        <v>0</v>
      </c>
      <c r="L27" s="134" t="s">
        <v>647</v>
      </c>
      <c r="M27" s="134" t="s">
        <v>153</v>
      </c>
      <c r="N27" s="131">
        <v>2</v>
      </c>
      <c r="O27" s="135">
        <v>6.9444444444444447E-4</v>
      </c>
    </row>
    <row r="28" spans="1:15" s="123" customFormat="1" ht="54" customHeight="1" thickBot="1" x14ac:dyDescent="0.25">
      <c r="A28" s="148"/>
      <c r="B28" s="139" t="s">
        <v>13</v>
      </c>
      <c r="C28" s="140" t="s">
        <v>648</v>
      </c>
      <c r="D28" s="140" t="s">
        <v>182</v>
      </c>
      <c r="E28" s="141" t="s">
        <v>11</v>
      </c>
      <c r="F28" s="141" t="s">
        <v>21</v>
      </c>
      <c r="G28" s="141" t="s">
        <v>183</v>
      </c>
      <c r="H28" s="162">
        <v>45349</v>
      </c>
      <c r="I28" s="143" t="s">
        <v>93</v>
      </c>
      <c r="J28" s="143" t="s">
        <v>61</v>
      </c>
      <c r="K28" s="143">
        <v>0</v>
      </c>
      <c r="L28" s="143" t="s">
        <v>195</v>
      </c>
      <c r="M28" s="143" t="s">
        <v>114</v>
      </c>
      <c r="N28" s="140">
        <v>1</v>
      </c>
      <c r="O28" s="144">
        <v>6.9444444444444447E-4</v>
      </c>
    </row>
    <row r="29" spans="1:15" s="123" customFormat="1" ht="54" customHeight="1" thickTop="1" x14ac:dyDescent="0.2">
      <c r="A29" s="160"/>
      <c r="B29" s="124" t="s">
        <v>16</v>
      </c>
      <c r="C29" s="125" t="s">
        <v>649</v>
      </c>
      <c r="D29" s="125" t="s">
        <v>189</v>
      </c>
      <c r="E29" s="125" t="s">
        <v>11</v>
      </c>
      <c r="F29" s="125" t="s">
        <v>21</v>
      </c>
      <c r="G29" s="125" t="s">
        <v>74</v>
      </c>
      <c r="H29" s="161">
        <v>45340</v>
      </c>
      <c r="I29" s="128" t="s">
        <v>139</v>
      </c>
      <c r="J29" s="128" t="s">
        <v>61</v>
      </c>
      <c r="K29" s="128">
        <v>0</v>
      </c>
      <c r="L29" s="128" t="s">
        <v>650</v>
      </c>
      <c r="M29" s="128" t="s">
        <v>192</v>
      </c>
      <c r="N29" s="125">
        <v>2</v>
      </c>
      <c r="O29" s="129">
        <v>1.0416666666666667E-3</v>
      </c>
    </row>
    <row r="30" spans="1:15" s="123" customFormat="1" ht="54" customHeight="1" x14ac:dyDescent="0.2">
      <c r="A30" s="160"/>
      <c r="B30" s="130" t="s">
        <v>16</v>
      </c>
      <c r="C30" s="131" t="s">
        <v>651</v>
      </c>
      <c r="D30" s="131" t="s">
        <v>194</v>
      </c>
      <c r="E30" s="131" t="s">
        <v>11</v>
      </c>
      <c r="F30" s="131" t="s">
        <v>21</v>
      </c>
      <c r="G30" s="131" t="s">
        <v>652</v>
      </c>
      <c r="H30" s="147">
        <v>45341</v>
      </c>
      <c r="I30" s="134" t="s">
        <v>139</v>
      </c>
      <c r="J30" s="134" t="s">
        <v>61</v>
      </c>
      <c r="K30" s="134">
        <v>0</v>
      </c>
      <c r="L30" s="134" t="s">
        <v>653</v>
      </c>
      <c r="M30" s="134" t="s">
        <v>153</v>
      </c>
      <c r="N30" s="131">
        <v>2</v>
      </c>
      <c r="O30" s="135">
        <v>1.5624999999999999E-3</v>
      </c>
    </row>
    <row r="31" spans="1:15" s="123" customFormat="1" ht="54" customHeight="1" x14ac:dyDescent="0.2">
      <c r="A31" s="160"/>
      <c r="B31" s="130" t="s">
        <v>16</v>
      </c>
      <c r="C31" s="131" t="s">
        <v>654</v>
      </c>
      <c r="D31" s="131" t="s">
        <v>655</v>
      </c>
      <c r="E31" s="131" t="s">
        <v>11</v>
      </c>
      <c r="F31" s="131" t="s">
        <v>21</v>
      </c>
      <c r="G31" s="131" t="s">
        <v>637</v>
      </c>
      <c r="H31" s="147">
        <v>45341</v>
      </c>
      <c r="I31" s="134" t="s">
        <v>139</v>
      </c>
      <c r="J31" s="134" t="s">
        <v>140</v>
      </c>
      <c r="K31" s="134">
        <v>0</v>
      </c>
      <c r="L31" s="134" t="s">
        <v>198</v>
      </c>
      <c r="M31" s="134" t="s">
        <v>153</v>
      </c>
      <c r="N31" s="131">
        <v>2</v>
      </c>
      <c r="O31" s="135">
        <v>5.2083333333333333E-4</v>
      </c>
    </row>
    <row r="32" spans="1:15" s="123" customFormat="1" ht="54" customHeight="1" x14ac:dyDescent="0.2">
      <c r="A32" s="160"/>
      <c r="B32" s="130" t="s">
        <v>16</v>
      </c>
      <c r="C32" s="131" t="s">
        <v>656</v>
      </c>
      <c r="D32" s="131" t="s">
        <v>657</v>
      </c>
      <c r="E32" s="131" t="s">
        <v>11</v>
      </c>
      <c r="F32" s="131" t="s">
        <v>21</v>
      </c>
      <c r="G32" s="131" t="s">
        <v>637</v>
      </c>
      <c r="H32" s="147">
        <v>45341</v>
      </c>
      <c r="I32" s="134" t="s">
        <v>139</v>
      </c>
      <c r="J32" s="134" t="s">
        <v>61</v>
      </c>
      <c r="K32" s="134">
        <v>0</v>
      </c>
      <c r="L32" s="134" t="s">
        <v>213</v>
      </c>
      <c r="M32" s="134" t="s">
        <v>153</v>
      </c>
      <c r="N32" s="131">
        <v>2</v>
      </c>
      <c r="O32" s="135">
        <v>6.9444444444444447E-4</v>
      </c>
    </row>
    <row r="33" spans="1:15" s="123" customFormat="1" ht="54" customHeight="1" x14ac:dyDescent="0.2">
      <c r="A33" s="160"/>
      <c r="B33" s="130" t="s">
        <v>16</v>
      </c>
      <c r="C33" s="131" t="s">
        <v>658</v>
      </c>
      <c r="D33" s="131" t="s">
        <v>659</v>
      </c>
      <c r="E33" s="131" t="s">
        <v>11</v>
      </c>
      <c r="F33" s="131" t="s">
        <v>21</v>
      </c>
      <c r="G33" s="131" t="s">
        <v>637</v>
      </c>
      <c r="H33" s="147">
        <v>45341</v>
      </c>
      <c r="I33" s="134" t="s">
        <v>139</v>
      </c>
      <c r="J33" s="134" t="s">
        <v>61</v>
      </c>
      <c r="K33" s="134">
        <v>0</v>
      </c>
      <c r="L33" s="134" t="s">
        <v>213</v>
      </c>
      <c r="M33" s="134" t="s">
        <v>153</v>
      </c>
      <c r="N33" s="131">
        <v>2</v>
      </c>
      <c r="O33" s="135">
        <v>6.9444444444444447E-4</v>
      </c>
    </row>
    <row r="34" spans="1:15" s="123" customFormat="1" ht="54" customHeight="1" x14ac:dyDescent="0.2">
      <c r="A34" s="160"/>
      <c r="B34" s="130" t="s">
        <v>16</v>
      </c>
      <c r="C34" s="131" t="s">
        <v>660</v>
      </c>
      <c r="D34" s="131" t="s">
        <v>211</v>
      </c>
      <c r="E34" s="131" t="s">
        <v>11</v>
      </c>
      <c r="F34" s="131" t="s">
        <v>21</v>
      </c>
      <c r="G34" s="131" t="s">
        <v>212</v>
      </c>
      <c r="H34" s="147">
        <v>45341</v>
      </c>
      <c r="I34" s="134" t="s">
        <v>139</v>
      </c>
      <c r="J34" s="134" t="s">
        <v>140</v>
      </c>
      <c r="K34" s="134">
        <v>0</v>
      </c>
      <c r="L34" s="134" t="s">
        <v>218</v>
      </c>
      <c r="M34" s="134" t="s">
        <v>209</v>
      </c>
      <c r="N34" s="131">
        <v>1</v>
      </c>
      <c r="O34" s="135">
        <v>3.4722222222222224E-4</v>
      </c>
    </row>
    <row r="35" spans="1:15" s="123" customFormat="1" ht="54" customHeight="1" x14ac:dyDescent="0.2">
      <c r="A35" s="160"/>
      <c r="B35" s="130" t="s">
        <v>16</v>
      </c>
      <c r="C35" s="131" t="s">
        <v>661</v>
      </c>
      <c r="D35" s="131" t="s">
        <v>211</v>
      </c>
      <c r="E35" s="131" t="s">
        <v>11</v>
      </c>
      <c r="F35" s="131" t="s">
        <v>21</v>
      </c>
      <c r="G35" s="131" t="s">
        <v>212</v>
      </c>
      <c r="H35" s="147">
        <v>45341</v>
      </c>
      <c r="I35" s="134" t="s">
        <v>139</v>
      </c>
      <c r="J35" s="134" t="s">
        <v>140</v>
      </c>
      <c r="K35" s="134">
        <v>0</v>
      </c>
      <c r="L35" s="134" t="s">
        <v>218</v>
      </c>
      <c r="M35" s="134" t="s">
        <v>209</v>
      </c>
      <c r="N35" s="131">
        <v>1</v>
      </c>
      <c r="O35" s="135">
        <v>3.4722222222222224E-4</v>
      </c>
    </row>
    <row r="36" spans="1:15" s="123" customFormat="1" ht="54" customHeight="1" x14ac:dyDescent="0.2">
      <c r="A36" s="160"/>
      <c r="B36" s="130" t="s">
        <v>16</v>
      </c>
      <c r="C36" s="131" t="s">
        <v>662</v>
      </c>
      <c r="D36" s="131" t="s">
        <v>216</v>
      </c>
      <c r="E36" s="131" t="s">
        <v>11</v>
      </c>
      <c r="F36" s="131" t="s">
        <v>21</v>
      </c>
      <c r="G36" s="131" t="s">
        <v>217</v>
      </c>
      <c r="H36" s="147">
        <v>45341</v>
      </c>
      <c r="I36" s="134" t="s">
        <v>93</v>
      </c>
      <c r="J36" s="134" t="s">
        <v>140</v>
      </c>
      <c r="K36" s="134">
        <v>0</v>
      </c>
      <c r="L36" s="134">
        <v>0</v>
      </c>
      <c r="M36" s="134" t="s">
        <v>219</v>
      </c>
      <c r="N36" s="131">
        <v>1</v>
      </c>
      <c r="O36" s="135">
        <v>3.4722222222222224E-4</v>
      </c>
    </row>
    <row r="37" spans="1:15" s="123" customFormat="1" ht="54" customHeight="1" x14ac:dyDescent="0.2">
      <c r="A37" s="160"/>
      <c r="B37" s="130" t="s">
        <v>16</v>
      </c>
      <c r="C37" s="131" t="s">
        <v>663</v>
      </c>
      <c r="D37" s="131" t="s">
        <v>221</v>
      </c>
      <c r="E37" s="131" t="s">
        <v>11</v>
      </c>
      <c r="F37" s="131" t="s">
        <v>21</v>
      </c>
      <c r="G37" s="131" t="s">
        <v>222</v>
      </c>
      <c r="H37" s="147">
        <v>45341</v>
      </c>
      <c r="I37" s="134" t="s">
        <v>139</v>
      </c>
      <c r="J37" s="134" t="s">
        <v>140</v>
      </c>
      <c r="K37" s="134">
        <v>0</v>
      </c>
      <c r="L37" s="134" t="s">
        <v>231</v>
      </c>
      <c r="M37" s="134" t="s">
        <v>209</v>
      </c>
      <c r="N37" s="131">
        <v>1</v>
      </c>
      <c r="O37" s="135">
        <v>5.7870370370370378E-4</v>
      </c>
    </row>
    <row r="38" spans="1:15" s="123" customFormat="1" ht="54" customHeight="1" x14ac:dyDescent="0.2">
      <c r="A38" s="95"/>
      <c r="B38" s="69" t="s">
        <v>16</v>
      </c>
      <c r="C38" s="70" t="s">
        <v>664</v>
      </c>
      <c r="D38" s="70" t="s">
        <v>225</v>
      </c>
      <c r="E38" s="70" t="s">
        <v>11</v>
      </c>
      <c r="F38" s="70" t="s">
        <v>21</v>
      </c>
      <c r="G38" s="70" t="s">
        <v>226</v>
      </c>
      <c r="H38" s="80">
        <v>45979</v>
      </c>
      <c r="I38" s="71" t="s">
        <v>139</v>
      </c>
      <c r="J38" s="71" t="s">
        <v>140</v>
      </c>
      <c r="K38" s="71">
        <v>0</v>
      </c>
      <c r="L38" s="71" t="s">
        <v>223</v>
      </c>
      <c r="M38" s="71" t="s">
        <v>209</v>
      </c>
      <c r="N38" s="70">
        <v>2</v>
      </c>
      <c r="O38" s="73">
        <v>6.9444444444444447E-4</v>
      </c>
    </row>
    <row r="39" spans="1:15" s="123" customFormat="1" ht="54" customHeight="1" x14ac:dyDescent="0.2">
      <c r="A39" s="160"/>
      <c r="B39" s="130" t="s">
        <v>16</v>
      </c>
      <c r="C39" s="131" t="s">
        <v>665</v>
      </c>
      <c r="D39" s="131" t="s">
        <v>229</v>
      </c>
      <c r="E39" s="131" t="s">
        <v>11</v>
      </c>
      <c r="F39" s="131" t="s">
        <v>21</v>
      </c>
      <c r="G39" s="131" t="s">
        <v>230</v>
      </c>
      <c r="H39" s="147">
        <v>45340</v>
      </c>
      <c r="I39" s="134" t="s">
        <v>60</v>
      </c>
      <c r="J39" s="134" t="s">
        <v>140</v>
      </c>
      <c r="K39" s="134">
        <v>0</v>
      </c>
      <c r="L39" s="134" t="s">
        <v>237</v>
      </c>
      <c r="M39" s="134" t="s">
        <v>209</v>
      </c>
      <c r="N39" s="131">
        <v>1</v>
      </c>
      <c r="O39" s="135">
        <v>3.4722222222222224E-4</v>
      </c>
    </row>
    <row r="40" spans="1:15" s="123" customFormat="1" ht="54" customHeight="1" x14ac:dyDescent="0.2">
      <c r="A40" s="160"/>
      <c r="B40" s="130" t="s">
        <v>16</v>
      </c>
      <c r="C40" s="131" t="s">
        <v>666</v>
      </c>
      <c r="D40" s="131" t="s">
        <v>233</v>
      </c>
      <c r="E40" s="131" t="s">
        <v>11</v>
      </c>
      <c r="F40" s="131" t="s">
        <v>21</v>
      </c>
      <c r="G40" s="131" t="s">
        <v>222</v>
      </c>
      <c r="H40" s="147">
        <v>45341</v>
      </c>
      <c r="I40" s="134" t="s">
        <v>139</v>
      </c>
      <c r="J40" s="134" t="s">
        <v>61</v>
      </c>
      <c r="K40" s="134">
        <v>0</v>
      </c>
      <c r="L40" s="134" t="s">
        <v>241</v>
      </c>
      <c r="M40" s="134" t="s">
        <v>209</v>
      </c>
      <c r="N40" s="131">
        <v>1</v>
      </c>
      <c r="O40" s="135">
        <v>1.0416666666666667E-3</v>
      </c>
    </row>
    <row r="41" spans="1:15" s="123" customFormat="1" ht="54" customHeight="1" x14ac:dyDescent="0.2">
      <c r="A41" s="160"/>
      <c r="B41" s="130" t="s">
        <v>16</v>
      </c>
      <c r="C41" s="131" t="s">
        <v>667</v>
      </c>
      <c r="D41" s="131" t="s">
        <v>235</v>
      </c>
      <c r="E41" s="131" t="s">
        <v>11</v>
      </c>
      <c r="F41" s="131" t="s">
        <v>21</v>
      </c>
      <c r="G41" s="131" t="s">
        <v>236</v>
      </c>
      <c r="H41" s="147">
        <v>45341</v>
      </c>
      <c r="I41" s="134" t="s">
        <v>139</v>
      </c>
      <c r="J41" s="134" t="s">
        <v>140</v>
      </c>
      <c r="K41" s="134">
        <v>0</v>
      </c>
      <c r="L41" s="134" t="s">
        <v>250</v>
      </c>
      <c r="M41" s="134" t="s">
        <v>209</v>
      </c>
      <c r="N41" s="131">
        <v>1</v>
      </c>
      <c r="O41" s="135">
        <v>1.1574074074074073E-4</v>
      </c>
    </row>
    <row r="42" spans="1:15" s="123" customFormat="1" ht="54" customHeight="1" x14ac:dyDescent="0.2">
      <c r="A42" s="95"/>
      <c r="B42" s="69" t="s">
        <v>16</v>
      </c>
      <c r="C42" s="70" t="s">
        <v>668</v>
      </c>
      <c r="D42" s="70" t="s">
        <v>239</v>
      </c>
      <c r="E42" s="70" t="s">
        <v>11</v>
      </c>
      <c r="F42" s="70" t="s">
        <v>21</v>
      </c>
      <c r="G42" s="70" t="s">
        <v>240</v>
      </c>
      <c r="H42" s="80">
        <v>45978</v>
      </c>
      <c r="I42" s="71" t="s">
        <v>139</v>
      </c>
      <c r="J42" s="71" t="s">
        <v>140</v>
      </c>
      <c r="K42" s="71">
        <v>0</v>
      </c>
      <c r="L42" s="71" t="s">
        <v>254</v>
      </c>
      <c r="M42" s="71" t="s">
        <v>242</v>
      </c>
      <c r="N42" s="70">
        <v>2</v>
      </c>
      <c r="O42" s="73">
        <v>3.4722222222222224E-4</v>
      </c>
    </row>
    <row r="43" spans="1:15" s="123" customFormat="1" ht="54" customHeight="1" x14ac:dyDescent="0.2">
      <c r="A43" s="160"/>
      <c r="B43" s="130" t="s">
        <v>16</v>
      </c>
      <c r="C43" s="131" t="s">
        <v>669</v>
      </c>
      <c r="D43" s="131" t="s">
        <v>248</v>
      </c>
      <c r="E43" s="131" t="s">
        <v>11</v>
      </c>
      <c r="F43" s="131" t="s">
        <v>21</v>
      </c>
      <c r="G43" s="131" t="s">
        <v>249</v>
      </c>
      <c r="H43" s="147">
        <v>45341</v>
      </c>
      <c r="I43" s="134" t="s">
        <v>139</v>
      </c>
      <c r="J43" s="134" t="s">
        <v>140</v>
      </c>
      <c r="K43" s="134">
        <v>0</v>
      </c>
      <c r="L43" s="134" t="s">
        <v>670</v>
      </c>
      <c r="M43" s="134" t="s">
        <v>209</v>
      </c>
      <c r="N43" s="131">
        <v>1</v>
      </c>
      <c r="O43" s="135">
        <v>6.9444444444444447E-4</v>
      </c>
    </row>
    <row r="44" spans="1:15" s="123" customFormat="1" ht="54" customHeight="1" x14ac:dyDescent="0.2">
      <c r="A44" s="95"/>
      <c r="B44" s="69" t="s">
        <v>16</v>
      </c>
      <c r="C44" s="70" t="s">
        <v>671</v>
      </c>
      <c r="D44" s="70" t="s">
        <v>672</v>
      </c>
      <c r="E44" s="70" t="s">
        <v>11</v>
      </c>
      <c r="F44" s="70" t="s">
        <v>21</v>
      </c>
      <c r="G44" s="70" t="s">
        <v>253</v>
      </c>
      <c r="H44" s="80">
        <v>45977</v>
      </c>
      <c r="I44" s="71" t="s">
        <v>139</v>
      </c>
      <c r="J44" s="71" t="s">
        <v>140</v>
      </c>
      <c r="K44" s="71">
        <v>0</v>
      </c>
      <c r="L44" s="71" t="s">
        <v>269</v>
      </c>
      <c r="M44" s="71" t="s">
        <v>242</v>
      </c>
      <c r="N44" s="70">
        <v>1</v>
      </c>
      <c r="O44" s="73">
        <v>6.9444444444444447E-4</v>
      </c>
    </row>
    <row r="45" spans="1:15" s="123" customFormat="1" ht="54" customHeight="1" x14ac:dyDescent="0.2">
      <c r="A45" s="160"/>
      <c r="B45" s="130" t="s">
        <v>16</v>
      </c>
      <c r="C45" s="131" t="s">
        <v>673</v>
      </c>
      <c r="D45" s="131" t="s">
        <v>337</v>
      </c>
      <c r="E45" s="131" t="s">
        <v>11</v>
      </c>
      <c r="F45" s="131" t="s">
        <v>21</v>
      </c>
      <c r="G45" s="131" t="s">
        <v>674</v>
      </c>
      <c r="H45" s="147">
        <v>45341</v>
      </c>
      <c r="I45" s="134" t="s">
        <v>60</v>
      </c>
      <c r="J45" s="134" t="s">
        <v>140</v>
      </c>
      <c r="K45" s="134">
        <v>0</v>
      </c>
      <c r="L45" s="134" t="s">
        <v>272</v>
      </c>
      <c r="M45" s="134" t="s">
        <v>209</v>
      </c>
      <c r="N45" s="131">
        <v>2</v>
      </c>
      <c r="O45" s="135">
        <v>3.4722222222222224E-4</v>
      </c>
    </row>
    <row r="46" spans="1:15" s="123" customFormat="1" ht="54" customHeight="1" x14ac:dyDescent="0.2">
      <c r="A46" s="160"/>
      <c r="B46" s="130" t="s">
        <v>16</v>
      </c>
      <c r="C46" s="131" t="s">
        <v>675</v>
      </c>
      <c r="D46" s="131" t="s">
        <v>676</v>
      </c>
      <c r="E46" s="131" t="s">
        <v>11</v>
      </c>
      <c r="F46" s="131" t="s">
        <v>21</v>
      </c>
      <c r="G46" s="131" t="s">
        <v>268</v>
      </c>
      <c r="H46" s="147">
        <v>45340</v>
      </c>
      <c r="I46" s="134" t="s">
        <v>60</v>
      </c>
      <c r="J46" s="134" t="s">
        <v>140</v>
      </c>
      <c r="K46" s="134">
        <v>0</v>
      </c>
      <c r="L46" s="134" t="s">
        <v>276</v>
      </c>
      <c r="M46" s="134" t="s">
        <v>209</v>
      </c>
      <c r="N46" s="131">
        <v>1</v>
      </c>
      <c r="O46" s="135">
        <v>3.4722222222222224E-4</v>
      </c>
    </row>
    <row r="47" spans="1:15" s="123" customFormat="1" ht="54" customHeight="1" x14ac:dyDescent="0.2">
      <c r="A47" s="160"/>
      <c r="B47" s="130" t="s">
        <v>16</v>
      </c>
      <c r="C47" s="131" t="s">
        <v>677</v>
      </c>
      <c r="D47" s="131" t="s">
        <v>271</v>
      </c>
      <c r="E47" s="131" t="s">
        <v>11</v>
      </c>
      <c r="F47" s="131" t="s">
        <v>21</v>
      </c>
      <c r="G47" s="131" t="s">
        <v>268</v>
      </c>
      <c r="H47" s="147">
        <v>45340</v>
      </c>
      <c r="I47" s="134" t="s">
        <v>60</v>
      </c>
      <c r="J47" s="134" t="s">
        <v>140</v>
      </c>
      <c r="K47" s="134">
        <v>0</v>
      </c>
      <c r="L47" s="134" t="s">
        <v>280</v>
      </c>
      <c r="M47" s="134" t="s">
        <v>209</v>
      </c>
      <c r="N47" s="131">
        <v>1</v>
      </c>
      <c r="O47" s="135">
        <v>3.4722222222222224E-4</v>
      </c>
    </row>
    <row r="48" spans="1:15" s="123" customFormat="1" ht="54" customHeight="1" x14ac:dyDescent="0.2">
      <c r="A48" s="160"/>
      <c r="B48" s="130" t="s">
        <v>16</v>
      </c>
      <c r="C48" s="131" t="s">
        <v>678</v>
      </c>
      <c r="D48" s="131" t="s">
        <v>679</v>
      </c>
      <c r="E48" s="131" t="s">
        <v>11</v>
      </c>
      <c r="F48" s="131" t="s">
        <v>21</v>
      </c>
      <c r="G48" s="131" t="s">
        <v>300</v>
      </c>
      <c r="H48" s="147">
        <v>45340</v>
      </c>
      <c r="I48" s="134" t="s">
        <v>60</v>
      </c>
      <c r="J48" s="134" t="s">
        <v>140</v>
      </c>
      <c r="K48" s="134">
        <v>0</v>
      </c>
      <c r="L48" s="134" t="s">
        <v>284</v>
      </c>
      <c r="M48" s="134" t="s">
        <v>209</v>
      </c>
      <c r="N48" s="131">
        <v>1</v>
      </c>
      <c r="O48" s="135">
        <v>3.4722222222222224E-4</v>
      </c>
    </row>
    <row r="49" spans="1:16" s="123" customFormat="1" ht="54" customHeight="1" x14ac:dyDescent="0.2">
      <c r="A49" s="163"/>
      <c r="B49" s="130" t="s">
        <v>16</v>
      </c>
      <c r="C49" s="131" t="s">
        <v>680</v>
      </c>
      <c r="D49" s="131" t="s">
        <v>537</v>
      </c>
      <c r="E49" s="131" t="s">
        <v>11</v>
      </c>
      <c r="F49" s="131" t="s">
        <v>21</v>
      </c>
      <c r="G49" s="134" t="s">
        <v>279</v>
      </c>
      <c r="H49" s="146">
        <v>45341</v>
      </c>
      <c r="I49" s="134" t="s">
        <v>93</v>
      </c>
      <c r="J49" s="134" t="s">
        <v>140</v>
      </c>
      <c r="K49" s="134">
        <v>0</v>
      </c>
      <c r="L49" s="134" t="s">
        <v>287</v>
      </c>
      <c r="M49" s="134" t="s">
        <v>219</v>
      </c>
      <c r="N49" s="131">
        <v>1</v>
      </c>
      <c r="O49" s="135">
        <v>3.4722222222222224E-4</v>
      </c>
    </row>
    <row r="50" spans="1:16" s="123" customFormat="1" ht="54" customHeight="1" x14ac:dyDescent="0.2">
      <c r="A50" s="163"/>
      <c r="B50" s="130" t="s">
        <v>16</v>
      </c>
      <c r="C50" s="131" t="s">
        <v>681</v>
      </c>
      <c r="D50" s="131" t="s">
        <v>282</v>
      </c>
      <c r="E50" s="131" t="s">
        <v>11</v>
      </c>
      <c r="F50" s="131" t="s">
        <v>21</v>
      </c>
      <c r="G50" s="134" t="s">
        <v>283</v>
      </c>
      <c r="H50" s="146">
        <v>45341</v>
      </c>
      <c r="I50" s="134" t="s">
        <v>93</v>
      </c>
      <c r="J50" s="134" t="s">
        <v>140</v>
      </c>
      <c r="K50" s="134">
        <v>0</v>
      </c>
      <c r="L50" s="134" t="s">
        <v>291</v>
      </c>
      <c r="M50" s="134" t="s">
        <v>219</v>
      </c>
      <c r="N50" s="131">
        <v>1</v>
      </c>
      <c r="O50" s="135">
        <v>5.2083333333333333E-4</v>
      </c>
    </row>
    <row r="51" spans="1:16" s="123" customFormat="1" ht="54" customHeight="1" x14ac:dyDescent="0.2">
      <c r="A51" s="163"/>
      <c r="B51" s="130" t="s">
        <v>16</v>
      </c>
      <c r="C51" s="131" t="s">
        <v>682</v>
      </c>
      <c r="D51" s="131" t="s">
        <v>683</v>
      </c>
      <c r="E51" s="131" t="s">
        <v>11</v>
      </c>
      <c r="F51" s="131" t="s">
        <v>21</v>
      </c>
      <c r="G51" s="134" t="s">
        <v>283</v>
      </c>
      <c r="H51" s="146">
        <v>45341</v>
      </c>
      <c r="I51" s="134" t="s">
        <v>93</v>
      </c>
      <c r="J51" s="134" t="s">
        <v>140</v>
      </c>
      <c r="K51" s="134">
        <v>0</v>
      </c>
      <c r="L51" s="134" t="s">
        <v>294</v>
      </c>
      <c r="M51" s="134" t="s">
        <v>219</v>
      </c>
      <c r="N51" s="131">
        <v>1</v>
      </c>
      <c r="O51" s="135">
        <v>6.9444444444444447E-4</v>
      </c>
    </row>
    <row r="52" spans="1:16" s="123" customFormat="1" ht="54" customHeight="1" x14ac:dyDescent="0.2">
      <c r="A52" s="160"/>
      <c r="B52" s="130" t="s">
        <v>16</v>
      </c>
      <c r="C52" s="131" t="s">
        <v>684</v>
      </c>
      <c r="D52" s="131" t="s">
        <v>289</v>
      </c>
      <c r="E52" s="131" t="s">
        <v>11</v>
      </c>
      <c r="F52" s="131" t="s">
        <v>21</v>
      </c>
      <c r="G52" s="131" t="s">
        <v>290</v>
      </c>
      <c r="H52" s="147">
        <v>45341</v>
      </c>
      <c r="I52" s="134" t="s">
        <v>60</v>
      </c>
      <c r="J52" s="134" t="s">
        <v>140</v>
      </c>
      <c r="K52" s="134">
        <v>0</v>
      </c>
      <c r="L52" s="134" t="s">
        <v>301</v>
      </c>
      <c r="M52" s="134" t="s">
        <v>209</v>
      </c>
      <c r="N52" s="131">
        <v>1</v>
      </c>
      <c r="O52" s="135">
        <v>3.4722222222222224E-4</v>
      </c>
    </row>
    <row r="53" spans="1:16" s="123" customFormat="1" ht="54" customHeight="1" x14ac:dyDescent="0.2">
      <c r="A53" s="160"/>
      <c r="B53" s="130" t="s">
        <v>16</v>
      </c>
      <c r="C53" s="131" t="s">
        <v>685</v>
      </c>
      <c r="D53" s="131" t="s">
        <v>293</v>
      </c>
      <c r="E53" s="131" t="s">
        <v>11</v>
      </c>
      <c r="F53" s="131" t="s">
        <v>21</v>
      </c>
      <c r="G53" s="131" t="s">
        <v>245</v>
      </c>
      <c r="H53" s="147">
        <v>45341</v>
      </c>
      <c r="I53" s="134" t="s">
        <v>139</v>
      </c>
      <c r="J53" s="134" t="s">
        <v>140</v>
      </c>
      <c r="K53" s="134">
        <v>0</v>
      </c>
      <c r="L53" s="134" t="s">
        <v>301</v>
      </c>
      <c r="M53" s="134" t="s">
        <v>209</v>
      </c>
      <c r="N53" s="131">
        <v>1</v>
      </c>
      <c r="O53" s="135">
        <v>6.9444444444444447E-4</v>
      </c>
    </row>
    <row r="54" spans="1:16" s="123" customFormat="1" ht="54" customHeight="1" x14ac:dyDescent="0.2">
      <c r="A54" s="160"/>
      <c r="B54" s="130" t="s">
        <v>16</v>
      </c>
      <c r="C54" s="131" t="s">
        <v>686</v>
      </c>
      <c r="D54" s="131" t="s">
        <v>299</v>
      </c>
      <c r="E54" s="131" t="s">
        <v>11</v>
      </c>
      <c r="F54" s="131" t="s">
        <v>21</v>
      </c>
      <c r="G54" s="131" t="s">
        <v>300</v>
      </c>
      <c r="H54" s="147">
        <v>45340</v>
      </c>
      <c r="I54" s="134" t="s">
        <v>139</v>
      </c>
      <c r="J54" s="134" t="s">
        <v>140</v>
      </c>
      <c r="K54" s="134">
        <v>0</v>
      </c>
      <c r="L54" s="134" t="s">
        <v>314</v>
      </c>
      <c r="M54" s="134" t="s">
        <v>209</v>
      </c>
      <c r="N54" s="131">
        <v>1</v>
      </c>
      <c r="O54" s="135">
        <v>3.4722222222222224E-4</v>
      </c>
    </row>
    <row r="55" spans="1:16" s="123" customFormat="1" ht="54" customHeight="1" x14ac:dyDescent="0.2">
      <c r="A55" s="160"/>
      <c r="B55" s="130" t="s">
        <v>16</v>
      </c>
      <c r="C55" s="131" t="s">
        <v>687</v>
      </c>
      <c r="D55" s="131" t="s">
        <v>303</v>
      </c>
      <c r="E55" s="131" t="s">
        <v>11</v>
      </c>
      <c r="F55" s="131" t="s">
        <v>21</v>
      </c>
      <c r="G55" s="131" t="s">
        <v>300</v>
      </c>
      <c r="H55" s="147">
        <v>45341</v>
      </c>
      <c r="I55" s="134" t="s">
        <v>139</v>
      </c>
      <c r="J55" s="134" t="s">
        <v>140</v>
      </c>
      <c r="K55" s="134">
        <v>0</v>
      </c>
      <c r="L55" s="134" t="s">
        <v>318</v>
      </c>
      <c r="M55" s="134" t="s">
        <v>209</v>
      </c>
      <c r="N55" s="131">
        <v>1</v>
      </c>
      <c r="O55" s="135">
        <v>3.4722222222222224E-4</v>
      </c>
    </row>
    <row r="56" spans="1:16" s="123" customFormat="1" ht="54" customHeight="1" x14ac:dyDescent="0.2">
      <c r="A56" s="160"/>
      <c r="B56" s="130" t="s">
        <v>16</v>
      </c>
      <c r="C56" s="131" t="s">
        <v>662</v>
      </c>
      <c r="D56" s="131" t="s">
        <v>688</v>
      </c>
      <c r="E56" s="131" t="s">
        <v>11</v>
      </c>
      <c r="F56" s="131" t="s">
        <v>21</v>
      </c>
      <c r="G56" s="131" t="s">
        <v>217</v>
      </c>
      <c r="H56" s="147">
        <v>45341</v>
      </c>
      <c r="I56" s="134" t="s">
        <v>93</v>
      </c>
      <c r="J56" s="134" t="s">
        <v>140</v>
      </c>
      <c r="K56" s="134">
        <v>0</v>
      </c>
      <c r="L56" s="134">
        <v>0</v>
      </c>
      <c r="M56" s="134" t="s">
        <v>219</v>
      </c>
      <c r="N56" s="131">
        <v>1</v>
      </c>
      <c r="O56" s="135">
        <v>3.4722222222222224E-4</v>
      </c>
    </row>
    <row r="57" spans="1:16" s="123" customFormat="1" ht="54" customHeight="1" x14ac:dyDescent="0.2">
      <c r="A57" s="160"/>
      <c r="B57" s="130" t="s">
        <v>16</v>
      </c>
      <c r="C57" s="131" t="s">
        <v>689</v>
      </c>
      <c r="D57" s="131" t="s">
        <v>690</v>
      </c>
      <c r="E57" s="131" t="s">
        <v>11</v>
      </c>
      <c r="F57" s="131" t="s">
        <v>21</v>
      </c>
      <c r="G57" s="131" t="s">
        <v>313</v>
      </c>
      <c r="H57" s="147">
        <v>45341</v>
      </c>
      <c r="I57" s="134" t="s">
        <v>60</v>
      </c>
      <c r="J57" s="134" t="s">
        <v>140</v>
      </c>
      <c r="K57" s="134">
        <v>0</v>
      </c>
      <c r="L57" s="134" t="s">
        <v>691</v>
      </c>
      <c r="M57" s="134" t="s">
        <v>209</v>
      </c>
      <c r="N57" s="131">
        <v>1</v>
      </c>
      <c r="O57" s="135">
        <v>8.6805555555555551E-4</v>
      </c>
    </row>
    <row r="58" spans="1:16" s="123" customFormat="1" ht="54" customHeight="1" x14ac:dyDescent="0.2">
      <c r="A58" s="160"/>
      <c r="B58" s="130" t="s">
        <v>16</v>
      </c>
      <c r="C58" s="131" t="s">
        <v>692</v>
      </c>
      <c r="D58" s="131" t="s">
        <v>316</v>
      </c>
      <c r="E58" s="131" t="s">
        <v>11</v>
      </c>
      <c r="F58" s="131" t="s">
        <v>21</v>
      </c>
      <c r="G58" s="131" t="s">
        <v>103</v>
      </c>
      <c r="H58" s="147">
        <v>45341</v>
      </c>
      <c r="I58" s="134" t="s">
        <v>139</v>
      </c>
      <c r="J58" s="134" t="s">
        <v>140</v>
      </c>
      <c r="K58" s="134">
        <v>0</v>
      </c>
      <c r="L58" s="134" t="s">
        <v>327</v>
      </c>
      <c r="M58" s="134" t="s">
        <v>209</v>
      </c>
      <c r="N58" s="131">
        <v>1</v>
      </c>
      <c r="O58" s="135">
        <v>6.9444444444444447E-4</v>
      </c>
    </row>
    <row r="59" spans="1:16" s="123" customFormat="1" ht="54" customHeight="1" x14ac:dyDescent="0.2">
      <c r="A59" s="160"/>
      <c r="B59" s="130" t="s">
        <v>16</v>
      </c>
      <c r="C59" s="131" t="s">
        <v>693</v>
      </c>
      <c r="D59" s="131" t="s">
        <v>323</v>
      </c>
      <c r="E59" s="131" t="s">
        <v>11</v>
      </c>
      <c r="F59" s="131" t="s">
        <v>21</v>
      </c>
      <c r="G59" s="131" t="s">
        <v>103</v>
      </c>
      <c r="H59" s="147">
        <v>45341</v>
      </c>
      <c r="I59" s="134" t="s">
        <v>139</v>
      </c>
      <c r="J59" s="134" t="s">
        <v>140</v>
      </c>
      <c r="K59" s="134">
        <v>0</v>
      </c>
      <c r="L59" s="134" t="s">
        <v>694</v>
      </c>
      <c r="M59" s="134" t="s">
        <v>209</v>
      </c>
      <c r="N59" s="131">
        <v>1</v>
      </c>
      <c r="O59" s="135">
        <v>6.9444444444444447E-4</v>
      </c>
    </row>
    <row r="60" spans="1:16" s="123" customFormat="1" ht="54" customHeight="1" x14ac:dyDescent="0.2">
      <c r="A60" s="160"/>
      <c r="B60" s="130" t="s">
        <v>16</v>
      </c>
      <c r="C60" s="131" t="s">
        <v>695</v>
      </c>
      <c r="D60" s="131" t="s">
        <v>696</v>
      </c>
      <c r="E60" s="131" t="s">
        <v>21</v>
      </c>
      <c r="F60" s="131"/>
      <c r="G60" s="131"/>
      <c r="H60" s="147"/>
      <c r="I60" s="134" t="s">
        <v>93</v>
      </c>
      <c r="J60" s="134" t="s">
        <v>61</v>
      </c>
      <c r="K60" s="134">
        <v>0</v>
      </c>
      <c r="L60" s="134">
        <v>0</v>
      </c>
      <c r="M60" s="134" t="s">
        <v>130</v>
      </c>
      <c r="N60" s="131">
        <v>1</v>
      </c>
      <c r="O60" s="135">
        <v>6.9444444444444447E-4</v>
      </c>
    </row>
    <row r="61" spans="1:16" s="123" customFormat="1" ht="54" customHeight="1" x14ac:dyDescent="0.2">
      <c r="A61" s="95"/>
      <c r="B61" s="69" t="s">
        <v>16</v>
      </c>
      <c r="C61" s="70" t="s">
        <v>697</v>
      </c>
      <c r="D61" s="70" t="s">
        <v>325</v>
      </c>
      <c r="E61" s="70" t="s">
        <v>11</v>
      </c>
      <c r="F61" s="70" t="s">
        <v>21</v>
      </c>
      <c r="G61" s="70" t="s">
        <v>698</v>
      </c>
      <c r="H61" s="80">
        <v>45978</v>
      </c>
      <c r="I61" s="71" t="s">
        <v>60</v>
      </c>
      <c r="J61" s="71" t="s">
        <v>61</v>
      </c>
      <c r="K61" s="71">
        <v>0</v>
      </c>
      <c r="L61" s="71">
        <v>0</v>
      </c>
      <c r="M61" s="71" t="s">
        <v>153</v>
      </c>
      <c r="N61" s="70">
        <v>1</v>
      </c>
      <c r="O61" s="73">
        <v>1.7361111111111112E-4</v>
      </c>
    </row>
    <row r="62" spans="1:16" s="123" customFormat="1" ht="54" customHeight="1" x14ac:dyDescent="0.2">
      <c r="A62" s="160"/>
      <c r="B62" s="130" t="s">
        <v>16</v>
      </c>
      <c r="C62" s="131" t="s">
        <v>699</v>
      </c>
      <c r="D62" s="131" t="s">
        <v>329</v>
      </c>
      <c r="E62" s="131" t="s">
        <v>21</v>
      </c>
      <c r="F62" s="131"/>
      <c r="G62" s="131"/>
      <c r="H62" s="147"/>
      <c r="I62" s="134" t="s">
        <v>60</v>
      </c>
      <c r="J62" s="134" t="s">
        <v>140</v>
      </c>
      <c r="K62" s="134">
        <v>0</v>
      </c>
      <c r="L62" s="134">
        <v>0</v>
      </c>
      <c r="M62" s="134" t="s">
        <v>242</v>
      </c>
      <c r="N62" s="131">
        <v>2</v>
      </c>
      <c r="O62" s="135">
        <v>5.2083333333333333E-4</v>
      </c>
    </row>
    <row r="63" spans="1:16" s="123" customFormat="1" ht="54" customHeight="1" x14ac:dyDescent="0.2">
      <c r="A63" s="95"/>
      <c r="B63" s="69" t="s">
        <v>16</v>
      </c>
      <c r="C63" s="70" t="s">
        <v>700</v>
      </c>
      <c r="D63" s="70" t="s">
        <v>701</v>
      </c>
      <c r="E63" s="70" t="s">
        <v>11</v>
      </c>
      <c r="F63" s="70" t="s">
        <v>21</v>
      </c>
      <c r="G63" s="70" t="s">
        <v>268</v>
      </c>
      <c r="H63" s="80">
        <v>45978</v>
      </c>
      <c r="I63" s="71" t="s">
        <v>60</v>
      </c>
      <c r="J63" s="71" t="s">
        <v>61</v>
      </c>
      <c r="K63" s="71">
        <v>0</v>
      </c>
      <c r="L63" s="71" t="s">
        <v>330</v>
      </c>
      <c r="M63" s="71" t="s">
        <v>153</v>
      </c>
      <c r="N63" s="70">
        <v>3</v>
      </c>
      <c r="O63" s="73">
        <v>5.2083333333333333E-4</v>
      </c>
    </row>
    <row r="64" spans="1:16" s="123" customFormat="1" ht="54" customHeight="1" thickBot="1" x14ac:dyDescent="0.25">
      <c r="A64" s="96"/>
      <c r="B64" s="74" t="s">
        <v>16</v>
      </c>
      <c r="C64" s="75" t="s">
        <v>702</v>
      </c>
      <c r="D64" s="75" t="s">
        <v>334</v>
      </c>
      <c r="E64" s="75" t="s">
        <v>11</v>
      </c>
      <c r="F64" s="75" t="s">
        <v>21</v>
      </c>
      <c r="G64" s="75" t="s">
        <v>335</v>
      </c>
      <c r="H64" s="81">
        <v>45978</v>
      </c>
      <c r="I64" s="113" t="s">
        <v>60</v>
      </c>
      <c r="J64" s="113" t="s">
        <v>61</v>
      </c>
      <c r="K64" s="113">
        <v>0</v>
      </c>
      <c r="L64" s="113" t="s">
        <v>703</v>
      </c>
      <c r="M64" s="113" t="s">
        <v>153</v>
      </c>
      <c r="N64" s="75">
        <v>4</v>
      </c>
      <c r="O64" s="78">
        <v>5.2083333333333333E-4</v>
      </c>
      <c r="P64" s="177"/>
    </row>
    <row r="65" spans="1:16" s="123" customFormat="1" ht="54" customHeight="1" thickTop="1" x14ac:dyDescent="0.2">
      <c r="A65" s="182"/>
      <c r="B65" s="183" t="s">
        <v>20</v>
      </c>
      <c r="C65" s="184" t="s">
        <v>704</v>
      </c>
      <c r="D65" s="184" t="s">
        <v>705</v>
      </c>
      <c r="E65" s="184" t="s">
        <v>21</v>
      </c>
      <c r="F65" s="184" t="s">
        <v>11</v>
      </c>
      <c r="G65" s="184" t="s">
        <v>706</v>
      </c>
      <c r="H65" s="185">
        <v>45979</v>
      </c>
      <c r="I65" s="186" t="s">
        <v>139</v>
      </c>
      <c r="J65" s="186" t="s">
        <v>140</v>
      </c>
      <c r="K65" s="186">
        <v>0</v>
      </c>
      <c r="L65" s="186" t="s">
        <v>348</v>
      </c>
      <c r="M65" s="186" t="s">
        <v>342</v>
      </c>
      <c r="N65" s="184">
        <v>4</v>
      </c>
      <c r="O65" s="187">
        <v>4.1666666666666666E-3</v>
      </c>
      <c r="P65" s="177"/>
    </row>
    <row r="66" spans="1:16" s="123" customFormat="1" ht="54" customHeight="1" x14ac:dyDescent="0.2">
      <c r="A66" s="95"/>
      <c r="B66" s="69" t="s">
        <v>20</v>
      </c>
      <c r="C66" s="70" t="s">
        <v>707</v>
      </c>
      <c r="D66" s="70" t="s">
        <v>708</v>
      </c>
      <c r="E66" s="70" t="s">
        <v>11</v>
      </c>
      <c r="F66" s="86" t="s">
        <v>346</v>
      </c>
      <c r="G66" s="70" t="s">
        <v>709</v>
      </c>
      <c r="H66" s="80">
        <v>45979</v>
      </c>
      <c r="I66" s="71" t="s">
        <v>139</v>
      </c>
      <c r="J66" s="71" t="s">
        <v>140</v>
      </c>
      <c r="K66" s="71">
        <v>0</v>
      </c>
      <c r="L66" s="71" t="s">
        <v>710</v>
      </c>
      <c r="M66" s="71" t="s">
        <v>342</v>
      </c>
      <c r="N66" s="70">
        <v>4</v>
      </c>
      <c r="O66" s="73">
        <v>1.3888888888888889E-3</v>
      </c>
      <c r="P66" s="177"/>
    </row>
    <row r="67" spans="1:16" s="123" customFormat="1" ht="54" customHeight="1" x14ac:dyDescent="0.2">
      <c r="A67" s="95"/>
      <c r="B67" s="69" t="s">
        <v>20</v>
      </c>
      <c r="C67" s="70" t="s">
        <v>711</v>
      </c>
      <c r="D67" s="70" t="s">
        <v>350</v>
      </c>
      <c r="E67" s="70" t="s">
        <v>11</v>
      </c>
      <c r="F67" s="86" t="s">
        <v>346</v>
      </c>
      <c r="G67" s="86" t="s">
        <v>712</v>
      </c>
      <c r="H67" s="87">
        <v>45978</v>
      </c>
      <c r="I67" s="71" t="s">
        <v>139</v>
      </c>
      <c r="J67" s="71" t="s">
        <v>140</v>
      </c>
      <c r="K67" s="71">
        <v>0</v>
      </c>
      <c r="L67" s="71" t="s">
        <v>356</v>
      </c>
      <c r="M67" s="71" t="s">
        <v>353</v>
      </c>
      <c r="N67" s="70">
        <v>2</v>
      </c>
      <c r="O67" s="73">
        <v>2.0833333333333333E-3</v>
      </c>
      <c r="P67" s="177"/>
    </row>
    <row r="68" spans="1:16" s="123" customFormat="1" ht="54" customHeight="1" x14ac:dyDescent="0.2">
      <c r="A68" s="95"/>
      <c r="B68" s="69" t="s">
        <v>20</v>
      </c>
      <c r="C68" s="70" t="s">
        <v>713</v>
      </c>
      <c r="D68" s="70" t="s">
        <v>355</v>
      </c>
      <c r="E68" s="70" t="s">
        <v>11</v>
      </c>
      <c r="F68" s="86" t="s">
        <v>21</v>
      </c>
      <c r="G68" s="86" t="s">
        <v>712</v>
      </c>
      <c r="H68" s="87">
        <v>45978</v>
      </c>
      <c r="I68" s="71" t="s">
        <v>139</v>
      </c>
      <c r="J68" s="71" t="s">
        <v>140</v>
      </c>
      <c r="K68" s="71">
        <v>0</v>
      </c>
      <c r="L68" s="71" t="s">
        <v>359</v>
      </c>
      <c r="M68" s="71" t="s">
        <v>353</v>
      </c>
      <c r="N68" s="70">
        <v>2</v>
      </c>
      <c r="O68" s="73">
        <v>2.0833333333333333E-3</v>
      </c>
      <c r="P68" s="177"/>
    </row>
    <row r="69" spans="1:16" s="123" customFormat="1" ht="54" customHeight="1" x14ac:dyDescent="0.2">
      <c r="A69" s="95"/>
      <c r="B69" s="69" t="s">
        <v>20</v>
      </c>
      <c r="C69" s="70" t="s">
        <v>714</v>
      </c>
      <c r="D69" s="70" t="s">
        <v>358</v>
      </c>
      <c r="E69" s="70" t="s">
        <v>11</v>
      </c>
      <c r="F69" s="70" t="s">
        <v>21</v>
      </c>
      <c r="G69" s="70" t="s">
        <v>698</v>
      </c>
      <c r="H69" s="80">
        <v>45978</v>
      </c>
      <c r="I69" s="71" t="s">
        <v>60</v>
      </c>
      <c r="J69" s="71" t="s">
        <v>61</v>
      </c>
      <c r="K69" s="71">
        <v>0</v>
      </c>
      <c r="L69" s="71" t="s">
        <v>375</v>
      </c>
      <c r="M69" s="71" t="s">
        <v>153</v>
      </c>
      <c r="N69" s="70">
        <v>2</v>
      </c>
      <c r="O69" s="73">
        <v>6.9444444444444447E-4</v>
      </c>
      <c r="P69" s="177"/>
    </row>
    <row r="70" spans="1:16" s="123" customFormat="1" ht="54" customHeight="1" x14ac:dyDescent="0.2">
      <c r="A70" s="160"/>
      <c r="B70" s="130" t="s">
        <v>20</v>
      </c>
      <c r="C70" s="131" t="s">
        <v>715</v>
      </c>
      <c r="D70" s="131" t="s">
        <v>374</v>
      </c>
      <c r="E70" s="131" t="s">
        <v>21</v>
      </c>
      <c r="F70" s="131"/>
      <c r="G70" s="131"/>
      <c r="H70" s="147"/>
      <c r="I70" s="134" t="s">
        <v>139</v>
      </c>
      <c r="J70" s="134" t="s">
        <v>140</v>
      </c>
      <c r="K70" s="134">
        <v>0</v>
      </c>
      <c r="L70" s="134" t="s">
        <v>381</v>
      </c>
      <c r="M70" s="134" t="s">
        <v>209</v>
      </c>
      <c r="N70" s="131">
        <v>2</v>
      </c>
      <c r="O70" s="135">
        <v>1.736111111111111E-3</v>
      </c>
      <c r="P70" s="177"/>
    </row>
    <row r="71" spans="1:16" s="123" customFormat="1" ht="54" customHeight="1" x14ac:dyDescent="0.2">
      <c r="A71" s="160"/>
      <c r="B71" s="130" t="s">
        <v>20</v>
      </c>
      <c r="C71" s="131" t="s">
        <v>716</v>
      </c>
      <c r="D71" s="131" t="s">
        <v>717</v>
      </c>
      <c r="E71" s="131" t="s">
        <v>21</v>
      </c>
      <c r="F71" s="131"/>
      <c r="G71" s="131"/>
      <c r="H71" s="147"/>
      <c r="I71" s="134" t="s">
        <v>60</v>
      </c>
      <c r="J71" s="134" t="s">
        <v>140</v>
      </c>
      <c r="K71" s="134">
        <v>0</v>
      </c>
      <c r="L71" s="134" t="s">
        <v>378</v>
      </c>
      <c r="M71" s="134" t="s">
        <v>169</v>
      </c>
      <c r="N71" s="131">
        <v>1</v>
      </c>
      <c r="O71" s="135">
        <v>9.2592592592592585E-4</v>
      </c>
      <c r="P71" s="177"/>
    </row>
    <row r="72" spans="1:16" s="123" customFormat="1" ht="54" customHeight="1" x14ac:dyDescent="0.2">
      <c r="A72" s="160"/>
      <c r="B72" s="130" t="s">
        <v>20</v>
      </c>
      <c r="C72" s="131" t="s">
        <v>718</v>
      </c>
      <c r="D72" s="131" t="s">
        <v>719</v>
      </c>
      <c r="E72" s="131" t="s">
        <v>21</v>
      </c>
      <c r="F72" s="131"/>
      <c r="G72" s="131"/>
      <c r="H72" s="147"/>
      <c r="I72" s="134" t="s">
        <v>60</v>
      </c>
      <c r="J72" s="134" t="s">
        <v>140</v>
      </c>
      <c r="K72" s="134">
        <v>0</v>
      </c>
      <c r="L72" s="134" t="s">
        <v>384</v>
      </c>
      <c r="M72" s="134" t="s">
        <v>169</v>
      </c>
      <c r="N72" s="131">
        <v>2</v>
      </c>
      <c r="O72" s="135">
        <v>9.2592592592592585E-4</v>
      </c>
      <c r="P72" s="177"/>
    </row>
    <row r="73" spans="1:16" s="123" customFormat="1" ht="54" customHeight="1" x14ac:dyDescent="0.2">
      <c r="A73" s="160"/>
      <c r="B73" s="130" t="s">
        <v>20</v>
      </c>
      <c r="C73" s="131" t="s">
        <v>720</v>
      </c>
      <c r="D73" s="131" t="s">
        <v>383</v>
      </c>
      <c r="E73" s="131" t="s">
        <v>21</v>
      </c>
      <c r="F73" s="131"/>
      <c r="G73" s="131"/>
      <c r="H73" s="147"/>
      <c r="I73" s="134" t="s">
        <v>60</v>
      </c>
      <c r="J73" s="134" t="s">
        <v>61</v>
      </c>
      <c r="K73" s="134">
        <v>0</v>
      </c>
      <c r="L73" s="134" t="s">
        <v>387</v>
      </c>
      <c r="M73" s="134" t="s">
        <v>364</v>
      </c>
      <c r="N73" s="131">
        <v>1</v>
      </c>
      <c r="O73" s="135">
        <v>1.1574074074074073E-4</v>
      </c>
      <c r="P73" s="177"/>
    </row>
    <row r="74" spans="1:16" s="123" customFormat="1" ht="54" customHeight="1" x14ac:dyDescent="0.2">
      <c r="A74" s="160"/>
      <c r="B74" s="130" t="s">
        <v>20</v>
      </c>
      <c r="C74" s="131" t="s">
        <v>721</v>
      </c>
      <c r="D74" s="131" t="s">
        <v>386</v>
      </c>
      <c r="E74" s="131" t="s">
        <v>21</v>
      </c>
      <c r="F74" s="131"/>
      <c r="G74" s="131"/>
      <c r="H74" s="147"/>
      <c r="I74" s="134" t="s">
        <v>93</v>
      </c>
      <c r="J74" s="134" t="s">
        <v>61</v>
      </c>
      <c r="K74" s="134">
        <v>0</v>
      </c>
      <c r="L74" s="134" t="s">
        <v>129</v>
      </c>
      <c r="M74" s="134" t="s">
        <v>130</v>
      </c>
      <c r="N74" s="131">
        <v>1</v>
      </c>
      <c r="O74" s="135">
        <v>6.9444444444444447E-4</v>
      </c>
      <c r="P74" s="177"/>
    </row>
    <row r="75" spans="1:16" s="123" customFormat="1" ht="54" customHeight="1" x14ac:dyDescent="0.2">
      <c r="A75" s="160"/>
      <c r="B75" s="130" t="s">
        <v>20</v>
      </c>
      <c r="C75" s="131" t="s">
        <v>722</v>
      </c>
      <c r="D75" s="131" t="s">
        <v>723</v>
      </c>
      <c r="E75" s="131" t="s">
        <v>21</v>
      </c>
      <c r="F75" s="131"/>
      <c r="G75" s="131"/>
      <c r="H75" s="147"/>
      <c r="I75" s="134" t="s">
        <v>60</v>
      </c>
      <c r="J75" s="134" t="s">
        <v>61</v>
      </c>
      <c r="K75" s="134">
        <v>0</v>
      </c>
      <c r="L75" s="134" t="s">
        <v>122</v>
      </c>
      <c r="M75" s="134" t="s">
        <v>153</v>
      </c>
      <c r="N75" s="131">
        <v>2</v>
      </c>
      <c r="O75" s="135">
        <v>3.4722222222222224E-4</v>
      </c>
      <c r="P75" s="177"/>
    </row>
    <row r="76" spans="1:16" s="123" customFormat="1" ht="54" customHeight="1" x14ac:dyDescent="0.2">
      <c r="A76" s="160"/>
      <c r="B76" s="130" t="s">
        <v>20</v>
      </c>
      <c r="C76" s="131" t="s">
        <v>724</v>
      </c>
      <c r="D76" s="131" t="s">
        <v>725</v>
      </c>
      <c r="E76" s="131" t="s">
        <v>21</v>
      </c>
      <c r="F76" s="131"/>
      <c r="G76" s="131"/>
      <c r="H76" s="147"/>
      <c r="I76" s="134" t="s">
        <v>60</v>
      </c>
      <c r="J76" s="134" t="s">
        <v>61</v>
      </c>
      <c r="K76" s="134">
        <v>0</v>
      </c>
      <c r="L76" s="134" t="s">
        <v>125</v>
      </c>
      <c r="M76" s="134" t="s">
        <v>153</v>
      </c>
      <c r="N76" s="131">
        <v>2</v>
      </c>
      <c r="O76" s="135">
        <v>6.9444444444444447E-4</v>
      </c>
      <c r="P76" s="177"/>
    </row>
    <row r="77" spans="1:16" s="123" customFormat="1" ht="54" customHeight="1" x14ac:dyDescent="0.2">
      <c r="A77" s="160"/>
      <c r="B77" s="130" t="s">
        <v>20</v>
      </c>
      <c r="C77" s="131" t="s">
        <v>726</v>
      </c>
      <c r="D77" s="131" t="s">
        <v>425</v>
      </c>
      <c r="E77" s="131" t="s">
        <v>21</v>
      </c>
      <c r="F77" s="131"/>
      <c r="G77" s="131"/>
      <c r="H77" s="147"/>
      <c r="I77" s="134" t="s">
        <v>93</v>
      </c>
      <c r="J77" s="134" t="s">
        <v>140</v>
      </c>
      <c r="K77" s="134">
        <v>0</v>
      </c>
      <c r="L77" s="134" t="s">
        <v>417</v>
      </c>
      <c r="M77" s="134" t="s">
        <v>114</v>
      </c>
      <c r="N77" s="131">
        <v>2</v>
      </c>
      <c r="O77" s="135">
        <v>1.3888888888888889E-3</v>
      </c>
      <c r="P77" s="177"/>
    </row>
    <row r="78" spans="1:16" s="123" customFormat="1" ht="54" customHeight="1" x14ac:dyDescent="0.2">
      <c r="A78" s="95"/>
      <c r="B78" s="69" t="s">
        <v>20</v>
      </c>
      <c r="C78" s="70" t="s">
        <v>727</v>
      </c>
      <c r="D78" s="70" t="s">
        <v>728</v>
      </c>
      <c r="E78" s="70" t="s">
        <v>11</v>
      </c>
      <c r="F78" s="70" t="s">
        <v>21</v>
      </c>
      <c r="G78" s="70" t="s">
        <v>335</v>
      </c>
      <c r="H78" s="80">
        <v>45978</v>
      </c>
      <c r="I78" s="71" t="s">
        <v>60</v>
      </c>
      <c r="J78" s="71" t="s">
        <v>61</v>
      </c>
      <c r="K78" s="71">
        <v>0</v>
      </c>
      <c r="L78" s="71" t="s">
        <v>729</v>
      </c>
      <c r="M78" s="71" t="s">
        <v>153</v>
      </c>
      <c r="N78" s="70">
        <v>1</v>
      </c>
      <c r="O78" s="73">
        <v>6.9444444444444447E-4</v>
      </c>
      <c r="P78" s="177"/>
    </row>
    <row r="79" spans="1:16" s="123" customFormat="1" ht="54" customHeight="1" x14ac:dyDescent="0.2">
      <c r="A79" s="160"/>
      <c r="B79" s="130" t="s">
        <v>20</v>
      </c>
      <c r="C79" s="131" t="s">
        <v>730</v>
      </c>
      <c r="D79" s="131" t="s">
        <v>416</v>
      </c>
      <c r="E79" s="131" t="s">
        <v>21</v>
      </c>
      <c r="F79" s="131"/>
      <c r="G79" s="131"/>
      <c r="H79" s="147"/>
      <c r="I79" s="134" t="s">
        <v>93</v>
      </c>
      <c r="J79" s="134" t="s">
        <v>61</v>
      </c>
      <c r="K79" s="134">
        <v>0</v>
      </c>
      <c r="L79" s="134" t="s">
        <v>133</v>
      </c>
      <c r="M79" s="134" t="s">
        <v>114</v>
      </c>
      <c r="N79" s="131">
        <v>4</v>
      </c>
      <c r="O79" s="135">
        <v>2.0833333333333333E-3</v>
      </c>
      <c r="P79" s="177"/>
    </row>
    <row r="80" spans="1:16" s="123" customFormat="1" ht="54" customHeight="1" thickBot="1" x14ac:dyDescent="0.25">
      <c r="A80" s="148"/>
      <c r="B80" s="139" t="s">
        <v>20</v>
      </c>
      <c r="C80" s="140" t="s">
        <v>731</v>
      </c>
      <c r="D80" s="140" t="s">
        <v>428</v>
      </c>
      <c r="E80" s="140" t="s">
        <v>21</v>
      </c>
      <c r="F80" s="140"/>
      <c r="G80" s="140"/>
      <c r="H80" s="162"/>
      <c r="I80" s="143" t="s">
        <v>93</v>
      </c>
      <c r="J80" s="143" t="s">
        <v>61</v>
      </c>
      <c r="K80" s="143">
        <v>0</v>
      </c>
      <c r="L80" s="143" t="s">
        <v>429</v>
      </c>
      <c r="M80" s="143" t="s">
        <v>114</v>
      </c>
      <c r="N80" s="140">
        <v>2</v>
      </c>
      <c r="O80" s="144">
        <v>6.9444444444444447E-4</v>
      </c>
      <c r="P80" s="177"/>
    </row>
    <row r="81" spans="1:16" s="123" customFormat="1" ht="54" customHeight="1" thickTop="1" x14ac:dyDescent="0.2">
      <c r="A81" s="178"/>
      <c r="B81" s="124" t="s">
        <v>24</v>
      </c>
      <c r="C81" s="125" t="s">
        <v>732</v>
      </c>
      <c r="D81" s="125" t="s">
        <v>447</v>
      </c>
      <c r="E81" s="125" t="s">
        <v>21</v>
      </c>
      <c r="F81" s="125"/>
      <c r="G81" s="125"/>
      <c r="H81" s="161"/>
      <c r="I81" s="128" t="s">
        <v>139</v>
      </c>
      <c r="J81" s="128" t="s">
        <v>61</v>
      </c>
      <c r="K81" s="128">
        <v>0</v>
      </c>
      <c r="L81" s="128" t="s">
        <v>441</v>
      </c>
      <c r="M81" s="128" t="s">
        <v>114</v>
      </c>
      <c r="N81" s="125">
        <v>1</v>
      </c>
      <c r="O81" s="129">
        <v>3.4722222222222224E-4</v>
      </c>
      <c r="P81" s="177"/>
    </row>
    <row r="82" spans="1:16" s="123" customFormat="1" ht="54" customHeight="1" x14ac:dyDescent="0.2">
      <c r="A82" s="160"/>
      <c r="B82" s="130" t="s">
        <v>24</v>
      </c>
      <c r="C82" s="131" t="s">
        <v>733</v>
      </c>
      <c r="D82" s="131" t="s">
        <v>440</v>
      </c>
      <c r="E82" s="131" t="s">
        <v>21</v>
      </c>
      <c r="F82" s="131"/>
      <c r="G82" s="131"/>
      <c r="H82" s="147"/>
      <c r="I82" s="134" t="s">
        <v>139</v>
      </c>
      <c r="J82" s="134" t="s">
        <v>61</v>
      </c>
      <c r="K82" s="134">
        <v>0</v>
      </c>
      <c r="L82" s="134" t="s">
        <v>438</v>
      </c>
      <c r="M82" s="134" t="s">
        <v>114</v>
      </c>
      <c r="N82" s="131">
        <v>1</v>
      </c>
      <c r="O82" s="135">
        <v>6.9444444444444447E-4</v>
      </c>
    </row>
    <row r="83" spans="1:16" s="123" customFormat="1" ht="54" customHeight="1" x14ac:dyDescent="0.2">
      <c r="A83" s="160"/>
      <c r="B83" s="130" t="s">
        <v>24</v>
      </c>
      <c r="C83" s="131" t="s">
        <v>734</v>
      </c>
      <c r="D83" s="131" t="s">
        <v>437</v>
      </c>
      <c r="E83" s="131" t="s">
        <v>21</v>
      </c>
      <c r="F83" s="131"/>
      <c r="G83" s="131"/>
      <c r="H83" s="147"/>
      <c r="I83" s="134" t="s">
        <v>139</v>
      </c>
      <c r="J83" s="134" t="s">
        <v>61</v>
      </c>
      <c r="K83" s="134">
        <v>0</v>
      </c>
      <c r="L83" s="134" t="s">
        <v>451</v>
      </c>
      <c r="M83" s="134" t="s">
        <v>242</v>
      </c>
      <c r="N83" s="131">
        <v>1</v>
      </c>
      <c r="O83" s="135">
        <v>6.9444444444444447E-4</v>
      </c>
    </row>
    <row r="84" spans="1:16" s="123" customFormat="1" ht="54" customHeight="1" x14ac:dyDescent="0.2">
      <c r="A84" s="160"/>
      <c r="B84" s="130" t="s">
        <v>24</v>
      </c>
      <c r="C84" s="131" t="s">
        <v>735</v>
      </c>
      <c r="D84" s="131" t="s">
        <v>736</v>
      </c>
      <c r="E84" s="131" t="s">
        <v>21</v>
      </c>
      <c r="F84" s="131"/>
      <c r="G84" s="131"/>
      <c r="H84" s="147"/>
      <c r="I84" s="134" t="s">
        <v>139</v>
      </c>
      <c r="J84" s="134" t="s">
        <v>61</v>
      </c>
      <c r="K84" s="134">
        <v>0</v>
      </c>
      <c r="L84" s="134" t="s">
        <v>454</v>
      </c>
      <c r="M84" s="134" t="s">
        <v>242</v>
      </c>
      <c r="N84" s="131">
        <v>1</v>
      </c>
      <c r="O84" s="135">
        <v>0</v>
      </c>
    </row>
    <row r="85" spans="1:16" s="123" customFormat="1" ht="54" customHeight="1" x14ac:dyDescent="0.2">
      <c r="A85" s="160"/>
      <c r="B85" s="130" t="s">
        <v>24</v>
      </c>
      <c r="C85" s="131" t="s">
        <v>737</v>
      </c>
      <c r="D85" s="131" t="s">
        <v>453</v>
      </c>
      <c r="E85" s="131" t="s">
        <v>21</v>
      </c>
      <c r="F85" s="131"/>
      <c r="G85" s="131"/>
      <c r="H85" s="147"/>
      <c r="I85" s="134" t="s">
        <v>139</v>
      </c>
      <c r="J85" s="134" t="s">
        <v>61</v>
      </c>
      <c r="K85" s="134">
        <v>0</v>
      </c>
      <c r="L85" s="134" t="s">
        <v>396</v>
      </c>
      <c r="M85" s="134" t="s">
        <v>242</v>
      </c>
      <c r="N85" s="131">
        <v>2</v>
      </c>
      <c r="O85" s="135">
        <v>1.0416666666666667E-3</v>
      </c>
    </row>
    <row r="86" spans="1:16" s="123" customFormat="1" ht="54" customHeight="1" x14ac:dyDescent="0.2">
      <c r="A86" s="160"/>
      <c r="B86" s="130" t="s">
        <v>24</v>
      </c>
      <c r="C86" s="131" t="s">
        <v>738</v>
      </c>
      <c r="D86" s="131" t="s">
        <v>739</v>
      </c>
      <c r="E86" s="131" t="s">
        <v>21</v>
      </c>
      <c r="F86" s="131"/>
      <c r="G86" s="131"/>
      <c r="H86" s="147"/>
      <c r="I86" s="134" t="s">
        <v>60</v>
      </c>
      <c r="J86" s="134" t="s">
        <v>61</v>
      </c>
      <c r="K86" s="134">
        <v>0</v>
      </c>
      <c r="L86" s="134" t="s">
        <v>448</v>
      </c>
      <c r="M86" s="134" t="s">
        <v>472</v>
      </c>
      <c r="N86" s="131">
        <v>2</v>
      </c>
      <c r="O86" s="135">
        <v>5.2083333333333333E-4</v>
      </c>
    </row>
    <row r="87" spans="1:16" s="123" customFormat="1" ht="54" customHeight="1" thickBot="1" x14ac:dyDescent="0.25">
      <c r="A87" s="148"/>
      <c r="B87" s="179" t="s">
        <v>24</v>
      </c>
      <c r="C87" s="141" t="s">
        <v>740</v>
      </c>
      <c r="D87" s="141" t="s">
        <v>462</v>
      </c>
      <c r="E87" s="140" t="s">
        <v>21</v>
      </c>
      <c r="F87" s="140"/>
      <c r="G87" s="140"/>
      <c r="H87" s="162"/>
      <c r="I87" s="143" t="s">
        <v>93</v>
      </c>
      <c r="J87" s="143" t="s">
        <v>61</v>
      </c>
      <c r="K87" s="143">
        <v>0</v>
      </c>
      <c r="L87" s="143" t="s">
        <v>463</v>
      </c>
      <c r="M87" s="143" t="s">
        <v>464</v>
      </c>
      <c r="N87" s="140">
        <v>2</v>
      </c>
      <c r="O87" s="144">
        <v>6.9444444444444447E-4</v>
      </c>
    </row>
    <row r="88" spans="1:16" s="123" customFormat="1" ht="66" customHeight="1" thickTop="1" thickBot="1" x14ac:dyDescent="0.25">
      <c r="A88" s="149"/>
      <c r="B88" s="150" t="s">
        <v>741</v>
      </c>
      <c r="C88" s="151" t="s">
        <v>742</v>
      </c>
      <c r="D88" s="151" t="s">
        <v>475</v>
      </c>
      <c r="E88" s="154" t="s">
        <v>21</v>
      </c>
      <c r="F88" s="154"/>
      <c r="G88" s="154"/>
      <c r="H88" s="180"/>
      <c r="I88" s="151" t="s">
        <v>93</v>
      </c>
      <c r="J88" s="151" t="s">
        <v>140</v>
      </c>
      <c r="K88" s="151">
        <v>0</v>
      </c>
      <c r="L88" s="151" t="s">
        <v>743</v>
      </c>
      <c r="M88" s="151" t="s">
        <v>477</v>
      </c>
      <c r="N88" s="154">
        <v>2</v>
      </c>
      <c r="O88" s="181">
        <v>2.0013888888888891</v>
      </c>
    </row>
    <row r="89" spans="1:16" s="123" customFormat="1" x14ac:dyDescent="0.2">
      <c r="B89" s="159"/>
      <c r="C89" s="176"/>
      <c r="D89" s="176"/>
      <c r="E89" s="176"/>
      <c r="F89" s="176"/>
      <c r="G89" s="176"/>
      <c r="H89" s="176"/>
      <c r="I89" s="159"/>
      <c r="J89" s="176"/>
      <c r="K89" s="176"/>
      <c r="L89" s="176"/>
      <c r="M89" s="176"/>
      <c r="N89" s="176"/>
      <c r="O89" s="176"/>
    </row>
    <row r="90" spans="1:16" s="123" customFormat="1" x14ac:dyDescent="0.2">
      <c r="B90" s="159"/>
      <c r="C90" s="176"/>
      <c r="D90" s="176"/>
      <c r="E90" s="176"/>
      <c r="F90" s="176"/>
      <c r="G90" s="176"/>
      <c r="H90" s="176"/>
      <c r="I90" s="159"/>
      <c r="J90" s="176"/>
      <c r="K90" s="176"/>
      <c r="L90" s="176"/>
      <c r="M90" s="176"/>
      <c r="N90" s="176"/>
      <c r="O90" s="176"/>
    </row>
    <row r="91" spans="1:16" s="123" customFormat="1" x14ac:dyDescent="0.2">
      <c r="B91" s="159"/>
      <c r="C91" s="176"/>
      <c r="D91" s="176"/>
      <c r="E91" s="176"/>
      <c r="F91" s="176"/>
      <c r="G91" s="176"/>
      <c r="H91" s="176"/>
      <c r="I91" s="159"/>
      <c r="J91" s="176"/>
      <c r="K91" s="176"/>
      <c r="L91" s="176"/>
      <c r="M91" s="176"/>
      <c r="N91" s="176"/>
      <c r="O91" s="176"/>
    </row>
    <row r="92" spans="1:16" s="123" customFormat="1" x14ac:dyDescent="0.2">
      <c r="B92" s="159"/>
      <c r="C92" s="176"/>
      <c r="D92" s="176"/>
      <c r="E92" s="176"/>
      <c r="F92" s="176"/>
      <c r="G92" s="176"/>
      <c r="H92" s="176"/>
      <c r="I92" s="159"/>
      <c r="J92" s="176"/>
      <c r="K92" s="176"/>
      <c r="L92" s="176"/>
      <c r="M92" s="176"/>
      <c r="N92" s="176"/>
      <c r="O92" s="176"/>
    </row>
    <row r="93" spans="1:16" s="123" customFormat="1" x14ac:dyDescent="0.2">
      <c r="B93" s="159"/>
      <c r="C93" s="176"/>
      <c r="D93" s="176"/>
      <c r="E93" s="176"/>
      <c r="F93" s="176"/>
      <c r="G93" s="176"/>
      <c r="H93" s="176"/>
      <c r="I93" s="159"/>
      <c r="J93" s="176"/>
      <c r="K93" s="176"/>
      <c r="L93" s="176"/>
      <c r="M93" s="176"/>
      <c r="N93" s="176"/>
      <c r="O93" s="176"/>
    </row>
    <row r="94" spans="1:16" s="123" customFormat="1" x14ac:dyDescent="0.2">
      <c r="B94" s="159"/>
      <c r="C94" s="176"/>
      <c r="D94" s="176"/>
      <c r="E94" s="176"/>
      <c r="F94" s="176"/>
      <c r="G94" s="176"/>
      <c r="H94" s="176"/>
      <c r="I94" s="159"/>
      <c r="J94" s="176"/>
      <c r="K94" s="176"/>
      <c r="L94" s="176"/>
      <c r="M94" s="176"/>
      <c r="N94" s="176"/>
      <c r="O94" s="176"/>
    </row>
    <row r="95" spans="1:16" s="123" customFormat="1" x14ac:dyDescent="0.2">
      <c r="B95" s="159"/>
      <c r="C95" s="176"/>
      <c r="D95" s="176"/>
      <c r="E95" s="176"/>
      <c r="F95" s="176"/>
      <c r="G95" s="176"/>
      <c r="H95" s="176"/>
      <c r="I95" s="159"/>
      <c r="J95" s="176"/>
      <c r="K95" s="176"/>
      <c r="L95" s="176"/>
      <c r="M95" s="176"/>
      <c r="N95" s="176"/>
      <c r="O95" s="176"/>
    </row>
    <row r="96" spans="1:16" s="123" customFormat="1" x14ac:dyDescent="0.2">
      <c r="B96" s="159"/>
      <c r="C96" s="176"/>
      <c r="D96" s="176"/>
      <c r="E96" s="176"/>
      <c r="F96" s="176"/>
      <c r="G96" s="176"/>
      <c r="H96" s="176"/>
      <c r="I96" s="159"/>
      <c r="J96" s="176"/>
      <c r="K96" s="176"/>
      <c r="L96" s="176"/>
      <c r="M96" s="176"/>
      <c r="N96" s="176"/>
      <c r="O96" s="176"/>
    </row>
    <row r="97" spans="2:15" s="123" customFormat="1" x14ac:dyDescent="0.2">
      <c r="B97" s="159"/>
      <c r="C97" s="176"/>
      <c r="D97" s="176"/>
      <c r="E97" s="176"/>
      <c r="F97" s="176"/>
      <c r="G97" s="176"/>
      <c r="H97" s="176"/>
      <c r="I97" s="159"/>
      <c r="J97" s="176"/>
      <c r="K97" s="176"/>
      <c r="L97" s="176"/>
      <c r="M97" s="176"/>
      <c r="N97" s="176"/>
      <c r="O97" s="176"/>
    </row>
    <row r="98" spans="2:15" s="123" customFormat="1" x14ac:dyDescent="0.2">
      <c r="B98" s="159"/>
      <c r="C98" s="176"/>
      <c r="D98" s="176"/>
      <c r="E98" s="176"/>
      <c r="F98" s="176"/>
      <c r="G98" s="176"/>
      <c r="H98" s="176"/>
      <c r="I98" s="159"/>
      <c r="J98" s="176"/>
      <c r="K98" s="176"/>
      <c r="L98" s="176"/>
      <c r="M98" s="176"/>
      <c r="N98" s="176"/>
      <c r="O98" s="176"/>
    </row>
    <row r="99" spans="2:15" s="123" customFormat="1" x14ac:dyDescent="0.2">
      <c r="B99" s="159"/>
      <c r="C99" s="176"/>
      <c r="D99" s="176"/>
      <c r="E99" s="176"/>
      <c r="F99" s="176"/>
      <c r="G99" s="176"/>
      <c r="H99" s="176"/>
      <c r="I99" s="159"/>
      <c r="J99" s="176"/>
      <c r="K99" s="176"/>
      <c r="L99" s="176"/>
      <c r="M99" s="176"/>
      <c r="N99" s="176"/>
      <c r="O99" s="176"/>
    </row>
    <row r="100" spans="2:15" s="123" customFormat="1" x14ac:dyDescent="0.2">
      <c r="B100" s="159"/>
      <c r="C100" s="176"/>
      <c r="D100" s="176"/>
      <c r="E100" s="176"/>
      <c r="F100" s="176"/>
      <c r="G100" s="176"/>
      <c r="H100" s="176"/>
      <c r="I100" s="159"/>
      <c r="J100" s="176"/>
      <c r="K100" s="176"/>
      <c r="L100" s="176"/>
      <c r="M100" s="176"/>
      <c r="N100" s="176"/>
      <c r="O100" s="176"/>
    </row>
    <row r="101" spans="2:15" s="123" customFormat="1" x14ac:dyDescent="0.2">
      <c r="B101" s="159"/>
      <c r="C101" s="176"/>
      <c r="D101" s="176"/>
      <c r="E101" s="176"/>
      <c r="F101" s="176"/>
      <c r="G101" s="176"/>
      <c r="H101" s="176"/>
      <c r="I101" s="159"/>
      <c r="J101" s="176"/>
      <c r="K101" s="176"/>
      <c r="L101" s="176"/>
      <c r="M101" s="176"/>
      <c r="N101" s="176"/>
      <c r="O101" s="176"/>
    </row>
    <row r="102" spans="2:15" s="123" customFormat="1" x14ac:dyDescent="0.2">
      <c r="B102" s="159"/>
      <c r="C102" s="176"/>
      <c r="D102" s="176"/>
      <c r="E102" s="176"/>
      <c r="F102" s="176"/>
      <c r="G102" s="176"/>
      <c r="H102" s="176"/>
      <c r="I102" s="159"/>
      <c r="J102" s="176"/>
      <c r="K102" s="176"/>
      <c r="L102" s="176"/>
      <c r="M102" s="176"/>
      <c r="N102" s="176"/>
      <c r="O102" s="176"/>
    </row>
    <row r="103" spans="2:15" s="123" customFormat="1" x14ac:dyDescent="0.2">
      <c r="B103" s="159"/>
      <c r="C103" s="176"/>
      <c r="D103" s="176"/>
      <c r="E103" s="176"/>
      <c r="F103" s="176"/>
      <c r="G103" s="176"/>
      <c r="H103" s="176"/>
      <c r="I103" s="159"/>
      <c r="J103" s="176"/>
      <c r="K103" s="176"/>
      <c r="L103" s="176"/>
      <c r="M103" s="176"/>
      <c r="N103" s="176"/>
      <c r="O103" s="176"/>
    </row>
    <row r="104" spans="2:15" s="123" customFormat="1" x14ac:dyDescent="0.2">
      <c r="B104" s="159"/>
      <c r="C104" s="176"/>
      <c r="D104" s="176"/>
      <c r="E104" s="176"/>
      <c r="F104" s="176"/>
      <c r="G104" s="176"/>
      <c r="H104" s="176"/>
      <c r="I104" s="159"/>
      <c r="J104" s="176"/>
      <c r="K104" s="176"/>
      <c r="L104" s="176"/>
      <c r="M104" s="176"/>
      <c r="N104" s="176"/>
      <c r="O104" s="176"/>
    </row>
    <row r="105" spans="2:15" s="123" customFormat="1" x14ac:dyDescent="0.2">
      <c r="B105" s="159"/>
      <c r="C105" s="176"/>
      <c r="D105" s="176"/>
      <c r="E105" s="176"/>
      <c r="F105" s="176"/>
      <c r="G105" s="176"/>
      <c r="H105" s="176"/>
      <c r="I105" s="159"/>
      <c r="J105" s="176"/>
      <c r="K105" s="176"/>
      <c r="L105" s="176"/>
      <c r="M105" s="176"/>
      <c r="N105" s="176"/>
      <c r="O105" s="176"/>
    </row>
    <row r="106" spans="2:15" s="123" customFormat="1" x14ac:dyDescent="0.2">
      <c r="B106" s="159"/>
      <c r="C106" s="176"/>
      <c r="D106" s="176"/>
      <c r="E106" s="176"/>
      <c r="F106" s="176"/>
      <c r="G106" s="176"/>
      <c r="H106" s="176"/>
      <c r="I106" s="159"/>
      <c r="J106" s="176"/>
      <c r="K106" s="176"/>
      <c r="L106" s="176"/>
      <c r="M106" s="176"/>
      <c r="N106" s="176"/>
      <c r="O106" s="176"/>
    </row>
    <row r="107" spans="2:15" s="123" customFormat="1" x14ac:dyDescent="0.2">
      <c r="B107" s="159"/>
      <c r="C107" s="176"/>
      <c r="D107" s="176"/>
      <c r="E107" s="176"/>
      <c r="F107" s="176"/>
      <c r="G107" s="176"/>
      <c r="H107" s="176"/>
      <c r="I107" s="159"/>
      <c r="J107" s="176"/>
      <c r="K107" s="176"/>
      <c r="L107" s="176"/>
      <c r="M107" s="176"/>
      <c r="N107" s="176"/>
      <c r="O107" s="176"/>
    </row>
    <row r="108" spans="2:15" s="123" customFormat="1" x14ac:dyDescent="0.2">
      <c r="B108" s="159"/>
      <c r="C108" s="176"/>
      <c r="D108" s="176"/>
      <c r="E108" s="176"/>
      <c r="F108" s="176"/>
      <c r="G108" s="176"/>
      <c r="H108" s="176"/>
      <c r="I108" s="159"/>
      <c r="J108" s="176"/>
      <c r="K108" s="176"/>
      <c r="L108" s="176"/>
      <c r="M108" s="176"/>
      <c r="N108" s="176"/>
      <c r="O108" s="176"/>
    </row>
    <row r="109" spans="2:15" s="123" customFormat="1" x14ac:dyDescent="0.2">
      <c r="B109" s="159"/>
      <c r="C109" s="176"/>
      <c r="D109" s="176"/>
      <c r="E109" s="176"/>
      <c r="F109" s="176"/>
      <c r="G109" s="176"/>
      <c r="H109" s="176"/>
      <c r="I109" s="159"/>
      <c r="J109" s="176"/>
      <c r="K109" s="176"/>
      <c r="L109" s="176"/>
      <c r="M109" s="176"/>
      <c r="N109" s="176"/>
      <c r="O109" s="176"/>
    </row>
    <row r="110" spans="2:15" s="123" customFormat="1" x14ac:dyDescent="0.2">
      <c r="B110" s="159"/>
      <c r="C110" s="176"/>
      <c r="D110" s="176"/>
      <c r="E110" s="176"/>
      <c r="F110" s="176"/>
      <c r="G110" s="176"/>
      <c r="H110" s="176"/>
      <c r="I110" s="159"/>
      <c r="J110" s="176"/>
      <c r="K110" s="176"/>
      <c r="L110" s="176"/>
      <c r="M110" s="176"/>
      <c r="N110" s="176"/>
      <c r="O110" s="176"/>
    </row>
    <row r="111" spans="2:15" s="123" customFormat="1" x14ac:dyDescent="0.2">
      <c r="B111" s="159"/>
      <c r="C111" s="176"/>
      <c r="D111" s="176"/>
      <c r="E111" s="176"/>
      <c r="F111" s="176"/>
      <c r="G111" s="176"/>
      <c r="H111" s="176"/>
      <c r="I111" s="159"/>
      <c r="J111" s="176"/>
      <c r="K111" s="176"/>
      <c r="L111" s="176"/>
      <c r="M111" s="176"/>
      <c r="N111" s="176"/>
      <c r="O111" s="176"/>
    </row>
    <row r="112" spans="2:15" s="123" customFormat="1" x14ac:dyDescent="0.2">
      <c r="B112" s="159"/>
      <c r="C112" s="176"/>
      <c r="D112" s="176"/>
      <c r="E112" s="176"/>
      <c r="F112" s="176"/>
      <c r="G112" s="176"/>
      <c r="H112" s="176"/>
      <c r="I112" s="159"/>
      <c r="J112" s="176"/>
      <c r="K112" s="176"/>
      <c r="L112" s="176"/>
      <c r="M112" s="176"/>
      <c r="N112" s="176"/>
      <c r="O112" s="176"/>
    </row>
    <row r="113" spans="2:15" s="123" customFormat="1" x14ac:dyDescent="0.2">
      <c r="B113" s="159"/>
      <c r="C113" s="176"/>
      <c r="D113" s="176"/>
      <c r="E113" s="176"/>
      <c r="F113" s="176"/>
      <c r="G113" s="176"/>
      <c r="H113" s="176"/>
      <c r="I113" s="159"/>
      <c r="J113" s="176"/>
      <c r="K113" s="176"/>
      <c r="L113" s="176"/>
      <c r="M113" s="176"/>
      <c r="N113" s="176"/>
      <c r="O113" s="176"/>
    </row>
    <row r="114" spans="2:15" s="123" customFormat="1" x14ac:dyDescent="0.2">
      <c r="B114" s="159"/>
      <c r="C114" s="176"/>
      <c r="D114" s="176"/>
      <c r="E114" s="176"/>
      <c r="F114" s="176"/>
      <c r="G114" s="176"/>
      <c r="H114" s="176"/>
      <c r="I114" s="159"/>
      <c r="J114" s="176"/>
      <c r="K114" s="176"/>
      <c r="L114" s="176"/>
      <c r="M114" s="176"/>
      <c r="N114" s="176"/>
      <c r="O114" s="176"/>
    </row>
    <row r="115" spans="2:15" s="123" customFormat="1" x14ac:dyDescent="0.2">
      <c r="B115" s="159"/>
      <c r="C115" s="176"/>
      <c r="D115" s="176"/>
      <c r="E115" s="176"/>
      <c r="F115" s="176"/>
      <c r="G115" s="176"/>
      <c r="H115" s="176"/>
      <c r="I115" s="159"/>
      <c r="J115" s="176"/>
      <c r="K115" s="176"/>
      <c r="L115" s="176"/>
      <c r="M115" s="176"/>
      <c r="N115" s="176"/>
      <c r="O115" s="176"/>
    </row>
    <row r="116" spans="2:15" s="123" customFormat="1" x14ac:dyDescent="0.2">
      <c r="B116" s="159"/>
      <c r="C116" s="176"/>
      <c r="D116" s="176"/>
      <c r="E116" s="176"/>
      <c r="F116" s="176"/>
      <c r="G116" s="176"/>
      <c r="H116" s="176"/>
      <c r="I116" s="159"/>
      <c r="J116" s="176"/>
      <c r="K116" s="176"/>
      <c r="L116" s="176"/>
      <c r="M116" s="176"/>
      <c r="N116" s="176"/>
      <c r="O116" s="176"/>
    </row>
    <row r="117" spans="2:15" s="123" customFormat="1" x14ac:dyDescent="0.2">
      <c r="B117" s="159"/>
      <c r="C117" s="176"/>
      <c r="D117" s="176"/>
      <c r="E117" s="176"/>
      <c r="F117" s="176"/>
      <c r="G117" s="176"/>
      <c r="H117" s="176"/>
      <c r="I117" s="159"/>
      <c r="J117" s="176"/>
      <c r="K117" s="176"/>
      <c r="L117" s="176"/>
      <c r="M117" s="176"/>
      <c r="N117" s="176"/>
      <c r="O117" s="176"/>
    </row>
    <row r="118" spans="2:15" s="123" customFormat="1" x14ac:dyDescent="0.2">
      <c r="B118" s="159"/>
      <c r="C118" s="176"/>
      <c r="D118" s="176"/>
      <c r="E118" s="176"/>
      <c r="F118" s="176"/>
      <c r="G118" s="176"/>
      <c r="H118" s="176"/>
      <c r="I118" s="159"/>
      <c r="J118" s="176"/>
      <c r="K118" s="176"/>
      <c r="L118" s="176"/>
      <c r="M118" s="176"/>
      <c r="N118" s="176"/>
      <c r="O118" s="176"/>
    </row>
    <row r="119" spans="2:15" s="123" customFormat="1" x14ac:dyDescent="0.2">
      <c r="B119" s="159"/>
      <c r="C119" s="176"/>
      <c r="D119" s="176"/>
      <c r="E119" s="176"/>
      <c r="F119" s="176"/>
      <c r="G119" s="176"/>
      <c r="H119" s="176"/>
      <c r="I119" s="159"/>
      <c r="J119" s="176"/>
      <c r="K119" s="176"/>
      <c r="L119" s="176"/>
      <c r="M119" s="176"/>
      <c r="N119" s="176"/>
      <c r="O119" s="176"/>
    </row>
    <row r="120" spans="2:15" s="123" customFormat="1" x14ac:dyDescent="0.2">
      <c r="B120" s="159"/>
      <c r="C120" s="176"/>
      <c r="D120" s="176"/>
      <c r="E120" s="176"/>
      <c r="F120" s="176"/>
      <c r="G120" s="176"/>
      <c r="H120" s="176"/>
      <c r="I120" s="159"/>
      <c r="J120" s="176"/>
      <c r="K120" s="176"/>
      <c r="L120" s="176"/>
      <c r="M120" s="176"/>
      <c r="N120" s="176"/>
      <c r="O120" s="176"/>
    </row>
    <row r="121" spans="2:15" s="123" customFormat="1" x14ac:dyDescent="0.2">
      <c r="B121" s="159"/>
      <c r="C121" s="176"/>
      <c r="D121" s="176"/>
      <c r="E121" s="176"/>
      <c r="F121" s="176"/>
      <c r="G121" s="176"/>
      <c r="H121" s="176"/>
      <c r="I121" s="159"/>
      <c r="J121" s="176"/>
      <c r="K121" s="176"/>
      <c r="L121" s="176"/>
      <c r="M121" s="176"/>
      <c r="N121" s="176"/>
      <c r="O121" s="176"/>
    </row>
    <row r="122" spans="2:15" s="123" customFormat="1" x14ac:dyDescent="0.2">
      <c r="B122" s="159"/>
      <c r="C122" s="176"/>
      <c r="D122" s="176"/>
      <c r="E122" s="176"/>
      <c r="F122" s="176"/>
      <c r="G122" s="176"/>
      <c r="H122" s="176"/>
      <c r="I122" s="159"/>
      <c r="J122" s="176"/>
      <c r="K122" s="176"/>
      <c r="L122" s="176"/>
      <c r="M122" s="176"/>
      <c r="N122" s="176"/>
      <c r="O122" s="176"/>
    </row>
    <row r="123" spans="2:15" s="123" customFormat="1" x14ac:dyDescent="0.2">
      <c r="B123" s="159"/>
      <c r="C123" s="176"/>
      <c r="D123" s="176"/>
      <c r="E123" s="176"/>
      <c r="F123" s="176"/>
      <c r="G123" s="176"/>
      <c r="H123" s="176"/>
      <c r="I123" s="159"/>
      <c r="J123" s="176"/>
      <c r="K123" s="176"/>
      <c r="L123" s="176"/>
      <c r="M123" s="176"/>
      <c r="N123" s="176"/>
      <c r="O123" s="176"/>
    </row>
    <row r="124" spans="2:15" s="123" customFormat="1" x14ac:dyDescent="0.2">
      <c r="B124" s="159"/>
      <c r="C124" s="176"/>
      <c r="D124" s="176"/>
      <c r="E124" s="176"/>
      <c r="F124" s="176"/>
      <c r="G124" s="176"/>
      <c r="H124" s="176"/>
      <c r="I124" s="159"/>
      <c r="J124" s="176"/>
      <c r="K124" s="176"/>
      <c r="L124" s="176"/>
      <c r="M124" s="176"/>
      <c r="N124" s="176"/>
      <c r="O124" s="176"/>
    </row>
    <row r="125" spans="2:15" s="123" customFormat="1" x14ac:dyDescent="0.2">
      <c r="B125" s="159"/>
      <c r="C125" s="176"/>
      <c r="D125" s="176"/>
      <c r="E125" s="176"/>
      <c r="F125" s="176"/>
      <c r="G125" s="176"/>
      <c r="H125" s="176"/>
      <c r="I125" s="159"/>
      <c r="J125" s="176"/>
      <c r="K125" s="176"/>
      <c r="L125" s="176"/>
      <c r="M125" s="176"/>
      <c r="N125" s="176"/>
      <c r="O125" s="176"/>
    </row>
    <row r="126" spans="2:15" s="123" customFormat="1" x14ac:dyDescent="0.2">
      <c r="B126" s="159"/>
      <c r="C126" s="176"/>
      <c r="D126" s="176"/>
      <c r="E126" s="176"/>
      <c r="F126" s="176"/>
      <c r="G126" s="176"/>
      <c r="H126" s="176"/>
      <c r="I126" s="159"/>
      <c r="J126" s="176"/>
      <c r="K126" s="176"/>
      <c r="L126" s="176"/>
      <c r="M126" s="176"/>
      <c r="N126" s="176"/>
      <c r="O126" s="176"/>
    </row>
    <row r="127" spans="2:15" s="123" customFormat="1" x14ac:dyDescent="0.2">
      <c r="B127" s="159"/>
      <c r="C127" s="176"/>
      <c r="D127" s="176"/>
      <c r="E127" s="176"/>
      <c r="F127" s="176"/>
      <c r="G127" s="176"/>
      <c r="H127" s="176"/>
      <c r="I127" s="159"/>
      <c r="J127" s="176"/>
      <c r="K127" s="176"/>
      <c r="L127" s="176"/>
      <c r="M127" s="176"/>
      <c r="N127" s="176"/>
      <c r="O127" s="176"/>
    </row>
    <row r="128" spans="2:15" s="123" customFormat="1" ht="66" customHeight="1" x14ac:dyDescent="0.2">
      <c r="B128" s="159"/>
      <c r="C128" s="176"/>
      <c r="D128" s="176"/>
      <c r="E128" s="176"/>
      <c r="F128" s="176"/>
      <c r="G128" s="176"/>
      <c r="H128" s="176"/>
      <c r="I128" s="159"/>
      <c r="J128" s="176"/>
      <c r="K128" s="176"/>
      <c r="L128" s="176"/>
      <c r="M128" s="176"/>
      <c r="N128" s="176"/>
      <c r="O128" s="176"/>
    </row>
    <row r="129" spans="2:9" s="123" customFormat="1" x14ac:dyDescent="0.2">
      <c r="B129" s="156"/>
      <c r="I129" s="156"/>
    </row>
    <row r="130" spans="2:9" s="123" customFormat="1" x14ac:dyDescent="0.2">
      <c r="B130" s="156"/>
      <c r="I130" s="156"/>
    </row>
    <row r="131" spans="2:9" s="123" customFormat="1" x14ac:dyDescent="0.2">
      <c r="B131" s="156"/>
      <c r="I131" s="156"/>
    </row>
    <row r="132" spans="2:9" s="123" customFormat="1" x14ac:dyDescent="0.2">
      <c r="B132" s="156"/>
      <c r="I132" s="156"/>
    </row>
    <row r="133" spans="2:9" s="123" customFormat="1" x14ac:dyDescent="0.2">
      <c r="B133" s="156"/>
      <c r="I133" s="156"/>
    </row>
    <row r="134" spans="2:9" s="123" customFormat="1" x14ac:dyDescent="0.2">
      <c r="B134" s="156"/>
      <c r="I134" s="156"/>
    </row>
    <row r="135" spans="2:9" s="123" customFormat="1" x14ac:dyDescent="0.2">
      <c r="B135" s="156"/>
      <c r="I135" s="156"/>
    </row>
    <row r="136" spans="2:9" s="123" customFormat="1" x14ac:dyDescent="0.2">
      <c r="B136" s="156"/>
      <c r="I136" s="156"/>
    </row>
    <row r="137" spans="2:9" s="123" customFormat="1" x14ac:dyDescent="0.2">
      <c r="B137" s="156"/>
      <c r="I137" s="156"/>
    </row>
    <row r="138" spans="2:9" s="123" customFormat="1" x14ac:dyDescent="0.2">
      <c r="B138" s="156"/>
      <c r="I138" s="156"/>
    </row>
    <row r="139" spans="2:9" s="123" customFormat="1" x14ac:dyDescent="0.2">
      <c r="B139" s="156"/>
      <c r="I139" s="156"/>
    </row>
    <row r="140" spans="2:9" s="123" customFormat="1" x14ac:dyDescent="0.2">
      <c r="B140" s="156"/>
      <c r="I140" s="156"/>
    </row>
    <row r="141" spans="2:9" s="123" customFormat="1" x14ac:dyDescent="0.2">
      <c r="B141" s="156"/>
      <c r="I141" s="156"/>
    </row>
    <row r="142" spans="2:9" s="123" customFormat="1" x14ac:dyDescent="0.2">
      <c r="B142" s="156"/>
      <c r="I142" s="156"/>
    </row>
    <row r="143" spans="2:9" s="123" customFormat="1" x14ac:dyDescent="0.2">
      <c r="B143" s="156"/>
      <c r="I143" s="156"/>
    </row>
    <row r="144" spans="2:9" s="123" customFormat="1" x14ac:dyDescent="0.2">
      <c r="B144" s="156"/>
      <c r="I144" s="156"/>
    </row>
    <row r="145" spans="2:9" s="123" customFormat="1" x14ac:dyDescent="0.2">
      <c r="B145" s="156"/>
      <c r="I145" s="156"/>
    </row>
    <row r="146" spans="2:9" s="123" customFormat="1" x14ac:dyDescent="0.2">
      <c r="B146" s="156"/>
      <c r="I146" s="156"/>
    </row>
    <row r="147" spans="2:9" s="123" customFormat="1" x14ac:dyDescent="0.2">
      <c r="B147" s="156"/>
      <c r="I147" s="156"/>
    </row>
    <row r="148" spans="2:9" s="123" customFormat="1" x14ac:dyDescent="0.2">
      <c r="B148" s="156"/>
      <c r="I148" s="156"/>
    </row>
    <row r="149" spans="2:9" s="123" customFormat="1" x14ac:dyDescent="0.2">
      <c r="B149" s="156"/>
      <c r="I149" s="156"/>
    </row>
    <row r="150" spans="2:9" s="123" customFormat="1" x14ac:dyDescent="0.2">
      <c r="B150" s="156"/>
      <c r="I150" s="156"/>
    </row>
    <row r="151" spans="2:9" s="123" customFormat="1" x14ac:dyDescent="0.2">
      <c r="B151" s="156"/>
      <c r="I151" s="156"/>
    </row>
    <row r="152" spans="2:9" s="123" customFormat="1" x14ac:dyDescent="0.2">
      <c r="B152" s="156"/>
      <c r="I152" s="156"/>
    </row>
    <row r="153" spans="2:9" s="123" customFormat="1" x14ac:dyDescent="0.2">
      <c r="B153" s="156"/>
      <c r="I153" s="156"/>
    </row>
    <row r="154" spans="2:9" s="123" customFormat="1" x14ac:dyDescent="0.2">
      <c r="B154" s="156"/>
      <c r="I154" s="156"/>
    </row>
    <row r="155" spans="2:9" s="123" customFormat="1" x14ac:dyDescent="0.2">
      <c r="B155" s="156"/>
      <c r="I155" s="156"/>
    </row>
    <row r="156" spans="2:9" s="123" customFormat="1" x14ac:dyDescent="0.2">
      <c r="B156" s="156"/>
      <c r="I156" s="156"/>
    </row>
    <row r="157" spans="2:9" s="123" customFormat="1" x14ac:dyDescent="0.2">
      <c r="B157" s="156"/>
      <c r="I157" s="156"/>
    </row>
    <row r="158" spans="2:9" s="123" customFormat="1" x14ac:dyDescent="0.2">
      <c r="B158" s="156"/>
      <c r="I158" s="156"/>
    </row>
    <row r="159" spans="2:9" s="123" customFormat="1" x14ac:dyDescent="0.2">
      <c r="B159" s="156"/>
      <c r="I159" s="156"/>
    </row>
    <row r="160" spans="2:9" s="123" customFormat="1" x14ac:dyDescent="0.2">
      <c r="B160" s="156"/>
      <c r="I160" s="156"/>
    </row>
    <row r="161" spans="2:9" s="123" customFormat="1" x14ac:dyDescent="0.2">
      <c r="B161" s="156"/>
      <c r="I161" s="156"/>
    </row>
    <row r="162" spans="2:9" s="123" customFormat="1" x14ac:dyDescent="0.2">
      <c r="B162" s="156"/>
      <c r="I162" s="156"/>
    </row>
    <row r="163" spans="2:9" s="123" customFormat="1" x14ac:dyDescent="0.2">
      <c r="B163" s="156"/>
      <c r="I163" s="156"/>
    </row>
    <row r="164" spans="2:9" s="123" customFormat="1" x14ac:dyDescent="0.2">
      <c r="B164" s="156"/>
      <c r="I164" s="156"/>
    </row>
    <row r="165" spans="2:9" s="123" customFormat="1" x14ac:dyDescent="0.2">
      <c r="B165" s="156"/>
      <c r="I165" s="156"/>
    </row>
    <row r="166" spans="2:9" s="123" customFormat="1" x14ac:dyDescent="0.2">
      <c r="B166" s="156"/>
      <c r="I166" s="156"/>
    </row>
    <row r="167" spans="2:9" s="123" customFormat="1" x14ac:dyDescent="0.2">
      <c r="B167" s="156"/>
      <c r="I167" s="156"/>
    </row>
    <row r="168" spans="2:9" s="123" customFormat="1" x14ac:dyDescent="0.2">
      <c r="B168" s="156"/>
      <c r="I168" s="156"/>
    </row>
    <row r="169" spans="2:9" s="123" customFormat="1" x14ac:dyDescent="0.2">
      <c r="B169" s="156"/>
      <c r="I169" s="156"/>
    </row>
    <row r="170" spans="2:9" s="123" customFormat="1" x14ac:dyDescent="0.2">
      <c r="B170" s="156"/>
      <c r="I170" s="156"/>
    </row>
    <row r="171" spans="2:9" s="123" customFormat="1" x14ac:dyDescent="0.2">
      <c r="B171" s="156"/>
      <c r="I171" s="156"/>
    </row>
    <row r="172" spans="2:9" s="123" customFormat="1" x14ac:dyDescent="0.2">
      <c r="B172" s="156"/>
      <c r="I172" s="156"/>
    </row>
    <row r="173" spans="2:9" s="123" customFormat="1" x14ac:dyDescent="0.2">
      <c r="B173" s="156"/>
      <c r="I173" s="156"/>
    </row>
    <row r="174" spans="2:9" s="123" customFormat="1" x14ac:dyDescent="0.2">
      <c r="B174" s="156"/>
      <c r="I174" s="156"/>
    </row>
    <row r="175" spans="2:9" s="123" customFormat="1" x14ac:dyDescent="0.2">
      <c r="B175" s="156"/>
      <c r="I175" s="156"/>
    </row>
    <row r="176" spans="2:9" s="123" customFormat="1" x14ac:dyDescent="0.2">
      <c r="B176" s="156"/>
      <c r="I176" s="156"/>
    </row>
    <row r="177" spans="2:9" s="123" customFormat="1" x14ac:dyDescent="0.2">
      <c r="B177" s="156"/>
      <c r="I177" s="156"/>
    </row>
    <row r="178" spans="2:9" s="123" customFormat="1" x14ac:dyDescent="0.2">
      <c r="B178" s="156"/>
      <c r="I178" s="156"/>
    </row>
    <row r="179" spans="2:9" s="123" customFormat="1" x14ac:dyDescent="0.2">
      <c r="B179" s="156"/>
      <c r="I179" s="156"/>
    </row>
    <row r="180" spans="2:9" s="123" customFormat="1" x14ac:dyDescent="0.2">
      <c r="B180" s="156"/>
      <c r="I180" s="156"/>
    </row>
  </sheetData>
  <autoFilter ref="A2:J88" xr:uid="{142B8B72-3655-4553-88C5-F7018C9CD4CE}"/>
  <phoneticPr fontId="7" type="noConversion"/>
  <conditionalFormatting sqref="C3:H12 C15:D35 N64:O88 E15:H27 H28 E29:H48 E52:H65 E49:F51 C37:D55 C36 C57:D74 C56 C76:D86 C75 E69:H88 G66:H66 E66:E68">
    <cfRule type="expression" dxfId="88" priority="35">
      <formula>AND(OR($F3="No",$F3=""), $E3= "Yes",$G3&lt;&gt;"",$H3&lt;&gt;"")</formula>
    </cfRule>
  </conditionalFormatting>
  <conditionalFormatting sqref="N3:O12 N29:O62 N15:O27">
    <cfRule type="expression" dxfId="87" priority="12">
      <formula>AND(OR($F3="No",$F3=""), $E3= "Yes",$G3&lt;&gt;"",$H3&lt;&gt;"")</formula>
    </cfRule>
  </conditionalFormatting>
  <conditionalFormatting sqref="N63:O63">
    <cfRule type="expression" dxfId="86" priority="11">
      <formula>AND(OR($E63="No",$E63=""), $D63= "Yes",$F63&lt;&gt;"",$G63&lt;&gt;"")</formula>
    </cfRule>
  </conditionalFormatting>
  <conditionalFormatting sqref="N28:O28">
    <cfRule type="expression" dxfId="85" priority="10">
      <formula>AND(OR($F28="No",$F28=""), $E28= "Yes",$G28&lt;&gt;"",$H28&lt;&gt;"")</formula>
    </cfRule>
  </conditionalFormatting>
  <conditionalFormatting sqref="C13:H14">
    <cfRule type="expression" dxfId="84" priority="8">
      <formula>AND(OR($F13="No",$F13=""), $E13= "Yes",$G13&lt;&gt;"",$H13&lt;&gt;"")</formula>
    </cfRule>
  </conditionalFormatting>
  <conditionalFormatting sqref="N13:O14">
    <cfRule type="expression" dxfId="83" priority="7">
      <formula>AND(OR($E13="No",$E13=""), $D13= "Yes",$F13&lt;&gt;"",$G13&lt;&gt;"")</formula>
    </cfRule>
  </conditionalFormatting>
  <conditionalFormatting sqref="G49:H51">
    <cfRule type="expression" dxfId="82" priority="5">
      <formula>AND(OR($F49="No",$F49=""), $E49= "Yes",$G49&lt;&gt;"",$H49&lt;&gt;"")</formula>
    </cfRule>
    <cfRule type="expression" dxfId="81" priority="6">
      <formula>AND(OR($E49="No",$E49=""), $F49= "Yes",$G49&lt;&gt;"",$H49&lt;&gt;"")</formula>
    </cfRule>
  </conditionalFormatting>
  <conditionalFormatting sqref="I3:M88">
    <cfRule type="expression" dxfId="80" priority="4">
      <formula>AND(OR($E4="No",$E4=""), $D3= "Yes",$F3&lt;&gt;"",$G3&lt;&gt;"")</formula>
    </cfRule>
  </conditionalFormatting>
  <conditionalFormatting sqref="D36">
    <cfRule type="expression" dxfId="79" priority="3">
      <formula>AND(OR($F36="No",$F36=""), $E36= "Yes",$G36&lt;&gt;"",$H36&lt;&gt;"")</formula>
    </cfRule>
  </conditionalFormatting>
  <conditionalFormatting sqref="D56">
    <cfRule type="expression" dxfId="78" priority="2">
      <formula>AND(OR($F56="No",$F56=""), $E56= "Yes",$G56&lt;&gt;"",$H56&lt;&gt;"")</formula>
    </cfRule>
  </conditionalFormatting>
  <conditionalFormatting sqref="D75">
    <cfRule type="expression" dxfId="77"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K1:K2 K89:K1048576" xr:uid="{19AFA7F1-2931-4B63-8375-F75E42C1ACAA}">
      <formula1>"Yes, No"</formula1>
    </dataValidation>
  </dataValidations>
  <pageMargins left="0.7" right="0.7" top="0.75" bottom="0.75" header="0.3" footer="0.3"/>
  <pageSetup paperSize="8" scale="67" fitToHeight="0"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P180"/>
  <sheetViews>
    <sheetView zoomScale="55" zoomScaleNormal="55" workbookViewId="0">
      <pane ySplit="2" topLeftCell="A9" activePane="bottomLeft" state="frozen"/>
      <selection pane="bottomLeft" activeCell="E89" sqref="E89"/>
    </sheetView>
  </sheetViews>
  <sheetFormatPr defaultColWidth="8.88671875" defaultRowHeight="15" x14ac:dyDescent="0.2"/>
  <cols>
    <col min="1" max="1" width="15.44140625" style="2" hidden="1" customWidth="1"/>
    <col min="2" max="2" width="7.77734375" style="18" customWidth="1"/>
    <col min="3" max="3" width="60.77734375" style="45" customWidth="1"/>
    <col min="4" max="4" width="38.77734375" style="45" customWidth="1"/>
    <col min="5" max="6" width="13" style="18" bestFit="1" customWidth="1"/>
    <col min="7" max="7" width="38.77734375" style="18" customWidth="1"/>
    <col min="8" max="8" width="14.77734375" style="18" customWidth="1"/>
    <col min="9" max="10" width="10.33203125" style="18" customWidth="1"/>
    <col min="11" max="11" width="9.44140625" style="2" hidden="1" customWidth="1"/>
    <col min="12" max="12" width="16.21875" style="2" bestFit="1" customWidth="1"/>
    <col min="13" max="13" width="17.33203125" style="2" hidden="1" customWidth="1"/>
    <col min="14" max="14" width="10.21875" style="2" hidden="1" customWidth="1"/>
    <col min="15" max="15" width="8.21875" style="2" hidden="1" customWidth="1"/>
    <col min="16" max="16384" width="8.88671875" style="2"/>
  </cols>
  <sheetData>
    <row r="1" spans="1:16" ht="21" customHeight="1" thickBot="1" x14ac:dyDescent="0.25">
      <c r="A1" s="21"/>
      <c r="B1" s="83" t="s">
        <v>47</v>
      </c>
      <c r="C1" s="57" t="s">
        <v>744</v>
      </c>
      <c r="D1" s="44"/>
      <c r="E1" s="19"/>
      <c r="F1" s="19"/>
      <c r="G1" s="19"/>
      <c r="H1" s="19"/>
      <c r="I1" s="19"/>
      <c r="J1" s="19"/>
      <c r="K1" s="5"/>
      <c r="L1" s="5"/>
    </row>
    <row r="2" spans="1:16" s="6" customFormat="1" ht="87.95" customHeight="1" thickBot="1" x14ac:dyDescent="0.25">
      <c r="A2" s="51" t="s">
        <v>41</v>
      </c>
      <c r="B2" s="99" t="s">
        <v>42</v>
      </c>
      <c r="C2" s="100" t="s">
        <v>43</v>
      </c>
      <c r="D2" s="101" t="s">
        <v>44</v>
      </c>
      <c r="E2" s="102" t="s">
        <v>23</v>
      </c>
      <c r="F2" s="102" t="s">
        <v>19</v>
      </c>
      <c r="G2" s="103" t="s">
        <v>45</v>
      </c>
      <c r="H2" s="103" t="s">
        <v>46</v>
      </c>
      <c r="I2" s="67" t="s">
        <v>49</v>
      </c>
      <c r="J2" s="67" t="s">
        <v>50</v>
      </c>
      <c r="K2" s="67" t="s">
        <v>51</v>
      </c>
      <c r="L2" s="67" t="s">
        <v>52</v>
      </c>
      <c r="M2" s="55" t="s">
        <v>53</v>
      </c>
      <c r="N2" s="67" t="s">
        <v>54</v>
      </c>
      <c r="O2" s="67" t="s">
        <v>55</v>
      </c>
    </row>
    <row r="3" spans="1:16" s="123" customFormat="1" ht="54" customHeight="1" thickTop="1" x14ac:dyDescent="0.2">
      <c r="A3" s="79"/>
      <c r="B3" s="104" t="s">
        <v>10</v>
      </c>
      <c r="C3" s="92" t="s">
        <v>606</v>
      </c>
      <c r="D3" s="92" t="s">
        <v>607</v>
      </c>
      <c r="E3" s="92" t="s">
        <v>11</v>
      </c>
      <c r="F3" s="92" t="s">
        <v>21</v>
      </c>
      <c r="G3" s="92" t="s">
        <v>745</v>
      </c>
      <c r="H3" s="105" t="s">
        <v>59</v>
      </c>
      <c r="I3" s="91" t="s">
        <v>60</v>
      </c>
      <c r="J3" s="91" t="s">
        <v>61</v>
      </c>
      <c r="K3" s="91">
        <v>0</v>
      </c>
      <c r="L3" s="91" t="s">
        <v>481</v>
      </c>
      <c r="M3" s="91" t="s">
        <v>63</v>
      </c>
      <c r="N3" s="92">
        <v>2</v>
      </c>
      <c r="O3" s="93">
        <v>5.2083333333333333E-4</v>
      </c>
    </row>
    <row r="4" spans="1:16" s="123" customFormat="1" ht="54" customHeight="1" x14ac:dyDescent="0.2">
      <c r="A4" s="79"/>
      <c r="B4" s="69" t="s">
        <v>10</v>
      </c>
      <c r="C4" s="70" t="s">
        <v>609</v>
      </c>
      <c r="D4" s="70" t="s">
        <v>610</v>
      </c>
      <c r="E4" s="70" t="s">
        <v>11</v>
      </c>
      <c r="F4" s="70" t="s">
        <v>21</v>
      </c>
      <c r="G4" s="70" t="s">
        <v>300</v>
      </c>
      <c r="H4" s="80" t="s">
        <v>59</v>
      </c>
      <c r="I4" s="71" t="s">
        <v>60</v>
      </c>
      <c r="J4" s="71" t="s">
        <v>61</v>
      </c>
      <c r="K4" s="71">
        <v>0</v>
      </c>
      <c r="L4" s="71" t="s">
        <v>62</v>
      </c>
      <c r="M4" s="71" t="s">
        <v>63</v>
      </c>
      <c r="N4" s="70">
        <v>1</v>
      </c>
      <c r="O4" s="73">
        <v>2.4305555555555556E-3</v>
      </c>
    </row>
    <row r="5" spans="1:16" s="123" customFormat="1" ht="54" customHeight="1" x14ac:dyDescent="0.2">
      <c r="A5" s="79"/>
      <c r="B5" s="69" t="s">
        <v>10</v>
      </c>
      <c r="C5" s="70" t="s">
        <v>611</v>
      </c>
      <c r="D5" s="70" t="s">
        <v>483</v>
      </c>
      <c r="E5" s="70" t="s">
        <v>11</v>
      </c>
      <c r="F5" s="70" t="s">
        <v>21</v>
      </c>
      <c r="G5" s="70" t="s">
        <v>746</v>
      </c>
      <c r="H5" s="80" t="s">
        <v>59</v>
      </c>
      <c r="I5" s="71" t="s">
        <v>60</v>
      </c>
      <c r="J5" s="71" t="s">
        <v>61</v>
      </c>
      <c r="K5" s="71">
        <v>0</v>
      </c>
      <c r="L5" s="71" t="s">
        <v>67</v>
      </c>
      <c r="M5" s="71" t="s">
        <v>68</v>
      </c>
      <c r="N5" s="70">
        <v>1</v>
      </c>
      <c r="O5" s="73">
        <v>1.3888888888888889E-3</v>
      </c>
    </row>
    <row r="6" spans="1:16" s="123" customFormat="1" ht="54" customHeight="1" x14ac:dyDescent="0.2">
      <c r="A6" s="79"/>
      <c r="B6" s="69" t="s">
        <v>10</v>
      </c>
      <c r="C6" s="70" t="s">
        <v>612</v>
      </c>
      <c r="D6" s="70" t="s">
        <v>110</v>
      </c>
      <c r="E6" s="70" t="s">
        <v>11</v>
      </c>
      <c r="F6" s="70" t="s">
        <v>21</v>
      </c>
      <c r="G6" s="70" t="s">
        <v>275</v>
      </c>
      <c r="H6" s="80" t="s">
        <v>59</v>
      </c>
      <c r="I6" s="71" t="s">
        <v>60</v>
      </c>
      <c r="J6" s="71" t="s">
        <v>61</v>
      </c>
      <c r="K6" s="71">
        <v>0</v>
      </c>
      <c r="L6" s="71" t="s">
        <v>75</v>
      </c>
      <c r="M6" s="71" t="s">
        <v>76</v>
      </c>
      <c r="N6" s="70">
        <v>1</v>
      </c>
      <c r="O6" s="73">
        <v>3.4722222222222224E-4</v>
      </c>
    </row>
    <row r="7" spans="1:16" s="123" customFormat="1" ht="54" customHeight="1" x14ac:dyDescent="0.2">
      <c r="A7" s="79"/>
      <c r="B7" s="69" t="s">
        <v>10</v>
      </c>
      <c r="C7" s="70" t="s">
        <v>614</v>
      </c>
      <c r="D7" s="70" t="s">
        <v>615</v>
      </c>
      <c r="E7" s="70" t="s">
        <v>11</v>
      </c>
      <c r="F7" s="70" t="s">
        <v>21</v>
      </c>
      <c r="G7" s="70" t="s">
        <v>747</v>
      </c>
      <c r="H7" s="80" t="s">
        <v>59</v>
      </c>
      <c r="I7" s="71" t="s">
        <v>60</v>
      </c>
      <c r="J7" s="71" t="s">
        <v>61</v>
      </c>
      <c r="K7" s="71">
        <v>0</v>
      </c>
      <c r="L7" s="71" t="s">
        <v>100</v>
      </c>
      <c r="M7" s="71" t="s">
        <v>63</v>
      </c>
      <c r="N7" s="70">
        <v>1</v>
      </c>
      <c r="O7" s="73">
        <v>3.1249999999999997E-3</v>
      </c>
    </row>
    <row r="8" spans="1:16" s="123" customFormat="1" ht="54" customHeight="1" x14ac:dyDescent="0.2">
      <c r="A8" s="79"/>
      <c r="B8" s="69" t="s">
        <v>10</v>
      </c>
      <c r="C8" s="70" t="s">
        <v>617</v>
      </c>
      <c r="D8" s="70" t="s">
        <v>618</v>
      </c>
      <c r="E8" s="70" t="s">
        <v>11</v>
      </c>
      <c r="F8" s="70" t="s">
        <v>21</v>
      </c>
      <c r="G8" s="70" t="s">
        <v>58</v>
      </c>
      <c r="H8" s="80" t="s">
        <v>59</v>
      </c>
      <c r="I8" s="71" t="s">
        <v>60</v>
      </c>
      <c r="J8" s="71" t="s">
        <v>61</v>
      </c>
      <c r="K8" s="71">
        <v>0</v>
      </c>
      <c r="L8" s="71" t="s">
        <v>106</v>
      </c>
      <c r="M8" s="71" t="s">
        <v>63</v>
      </c>
      <c r="N8" s="70">
        <v>1</v>
      </c>
      <c r="O8" s="73">
        <v>8.1018518518518516E-4</v>
      </c>
    </row>
    <row r="9" spans="1:16" s="123" customFormat="1" ht="54" customHeight="1" x14ac:dyDescent="0.2">
      <c r="A9" s="79"/>
      <c r="B9" s="69" t="s">
        <v>10</v>
      </c>
      <c r="C9" s="70" t="s">
        <v>619</v>
      </c>
      <c r="D9" s="70" t="s">
        <v>112</v>
      </c>
      <c r="E9" s="70" t="s">
        <v>11</v>
      </c>
      <c r="F9" s="70" t="s">
        <v>21</v>
      </c>
      <c r="G9" s="70" t="s">
        <v>92</v>
      </c>
      <c r="H9" s="80" t="s">
        <v>59</v>
      </c>
      <c r="I9" s="71" t="s">
        <v>93</v>
      </c>
      <c r="J9" s="71" t="s">
        <v>61</v>
      </c>
      <c r="K9" s="71">
        <v>0</v>
      </c>
      <c r="L9" s="71" t="s">
        <v>113</v>
      </c>
      <c r="M9" s="71" t="s">
        <v>114</v>
      </c>
      <c r="N9" s="70">
        <v>1</v>
      </c>
      <c r="O9" s="73">
        <v>6.9444444444444447E-4</v>
      </c>
    </row>
    <row r="10" spans="1:16" s="123" customFormat="1" ht="54" customHeight="1" x14ac:dyDescent="0.2">
      <c r="A10" s="79"/>
      <c r="B10" s="69" t="s">
        <v>10</v>
      </c>
      <c r="C10" s="70" t="s">
        <v>620</v>
      </c>
      <c r="D10" s="70" t="s">
        <v>116</v>
      </c>
      <c r="E10" s="70" t="s">
        <v>11</v>
      </c>
      <c r="F10" s="70" t="s">
        <v>21</v>
      </c>
      <c r="G10" s="70" t="s">
        <v>92</v>
      </c>
      <c r="H10" s="80" t="s">
        <v>59</v>
      </c>
      <c r="I10" s="71" t="s">
        <v>93</v>
      </c>
      <c r="J10" s="71" t="s">
        <v>61</v>
      </c>
      <c r="K10" s="71">
        <v>0</v>
      </c>
      <c r="L10" s="71" t="s">
        <v>117</v>
      </c>
      <c r="M10" s="71" t="s">
        <v>114</v>
      </c>
      <c r="N10" s="70">
        <v>1</v>
      </c>
      <c r="O10" s="73">
        <v>6.9444444444444447E-4</v>
      </c>
    </row>
    <row r="11" spans="1:16" s="123" customFormat="1" ht="54" customHeight="1" x14ac:dyDescent="0.25">
      <c r="A11" s="79"/>
      <c r="B11" s="69" t="s">
        <v>10</v>
      </c>
      <c r="C11" s="70" t="s">
        <v>621</v>
      </c>
      <c r="D11" s="70" t="s">
        <v>124</v>
      </c>
      <c r="E11" s="70" t="s">
        <v>11</v>
      </c>
      <c r="F11" s="70" t="s">
        <v>21</v>
      </c>
      <c r="G11" s="70" t="s">
        <v>92</v>
      </c>
      <c r="H11" s="80" t="s">
        <v>59</v>
      </c>
      <c r="I11" s="71" t="s">
        <v>93</v>
      </c>
      <c r="J11" s="71" t="s">
        <v>61</v>
      </c>
      <c r="K11" s="71">
        <v>0</v>
      </c>
      <c r="L11" s="71" t="s">
        <v>125</v>
      </c>
      <c r="M11" s="71" t="s">
        <v>114</v>
      </c>
      <c r="N11" s="70">
        <v>2</v>
      </c>
      <c r="O11" s="73">
        <v>45.042187499999997</v>
      </c>
      <c r="P11" s="188"/>
    </row>
    <row r="12" spans="1:16" s="123" customFormat="1" ht="54" customHeight="1" thickBot="1" x14ac:dyDescent="0.3">
      <c r="A12" s="98"/>
      <c r="B12" s="69" t="s">
        <v>10</v>
      </c>
      <c r="C12" s="70" t="s">
        <v>622</v>
      </c>
      <c r="D12" s="70" t="s">
        <v>121</v>
      </c>
      <c r="E12" s="70" t="s">
        <v>11</v>
      </c>
      <c r="F12" s="70" t="s">
        <v>21</v>
      </c>
      <c r="G12" s="70" t="s">
        <v>92</v>
      </c>
      <c r="H12" s="80" t="s">
        <v>59</v>
      </c>
      <c r="I12" s="71" t="s">
        <v>93</v>
      </c>
      <c r="J12" s="71" t="s">
        <v>61</v>
      </c>
      <c r="K12" s="71">
        <v>0</v>
      </c>
      <c r="L12" s="71" t="s">
        <v>122</v>
      </c>
      <c r="M12" s="71" t="s">
        <v>114</v>
      </c>
      <c r="N12" s="70">
        <v>2</v>
      </c>
      <c r="O12" s="73">
        <v>45.000520833333333</v>
      </c>
      <c r="P12" s="188"/>
    </row>
    <row r="13" spans="1:16" s="123" customFormat="1" ht="54" customHeight="1" x14ac:dyDescent="0.2">
      <c r="A13" s="79"/>
      <c r="B13" s="69" t="s">
        <v>10</v>
      </c>
      <c r="C13" s="70" t="s">
        <v>623</v>
      </c>
      <c r="D13" s="70" t="s">
        <v>127</v>
      </c>
      <c r="E13" s="70" t="s">
        <v>11</v>
      </c>
      <c r="F13" s="70" t="s">
        <v>21</v>
      </c>
      <c r="G13" s="70" t="s">
        <v>92</v>
      </c>
      <c r="H13" s="80" t="s">
        <v>59</v>
      </c>
      <c r="I13" s="71" t="s">
        <v>93</v>
      </c>
      <c r="J13" s="71" t="s">
        <v>61</v>
      </c>
      <c r="K13" s="71">
        <v>0</v>
      </c>
      <c r="L13" s="71" t="s">
        <v>129</v>
      </c>
      <c r="M13" s="71" t="s">
        <v>130</v>
      </c>
      <c r="N13" s="70">
        <v>1</v>
      </c>
      <c r="O13" s="73">
        <v>5.2083333333333333E-4</v>
      </c>
    </row>
    <row r="14" spans="1:16" s="123" customFormat="1" ht="54" customHeight="1" thickBot="1" x14ac:dyDescent="0.25">
      <c r="A14" s="79"/>
      <c r="B14" s="74" t="s">
        <v>10</v>
      </c>
      <c r="C14" s="75" t="s">
        <v>624</v>
      </c>
      <c r="D14" s="75" t="s">
        <v>132</v>
      </c>
      <c r="E14" s="75" t="s">
        <v>11</v>
      </c>
      <c r="F14" s="75" t="s">
        <v>21</v>
      </c>
      <c r="G14" s="75" t="s">
        <v>92</v>
      </c>
      <c r="H14" s="81" t="s">
        <v>59</v>
      </c>
      <c r="I14" s="113" t="s">
        <v>93</v>
      </c>
      <c r="J14" s="113" t="s">
        <v>61</v>
      </c>
      <c r="K14" s="113">
        <v>0</v>
      </c>
      <c r="L14" s="113" t="s">
        <v>133</v>
      </c>
      <c r="M14" s="113" t="s">
        <v>130</v>
      </c>
      <c r="N14" s="75">
        <v>2</v>
      </c>
      <c r="O14" s="78">
        <v>6.9444444444444447E-4</v>
      </c>
    </row>
    <row r="15" spans="1:16" s="123" customFormat="1" ht="54" customHeight="1" thickTop="1" x14ac:dyDescent="0.25">
      <c r="A15" s="79"/>
      <c r="B15" s="104" t="s">
        <v>13</v>
      </c>
      <c r="C15" s="92" t="s">
        <v>625</v>
      </c>
      <c r="D15" s="92" t="s">
        <v>626</v>
      </c>
      <c r="E15" s="92" t="s">
        <v>11</v>
      </c>
      <c r="F15" s="92" t="s">
        <v>21</v>
      </c>
      <c r="G15" s="92" t="s">
        <v>138</v>
      </c>
      <c r="H15" s="105">
        <v>45340</v>
      </c>
      <c r="I15" s="91" t="s">
        <v>139</v>
      </c>
      <c r="J15" s="91" t="s">
        <v>140</v>
      </c>
      <c r="K15" s="91">
        <v>0</v>
      </c>
      <c r="L15" s="91" t="s">
        <v>141</v>
      </c>
      <c r="M15" s="91" t="s">
        <v>114</v>
      </c>
      <c r="N15" s="92">
        <v>4</v>
      </c>
      <c r="O15" s="93">
        <v>1.736111111111111E-3</v>
      </c>
      <c r="P15" s="188"/>
    </row>
    <row r="16" spans="1:16" s="123" customFormat="1" ht="54" customHeight="1" x14ac:dyDescent="0.25">
      <c r="A16" s="79"/>
      <c r="B16" s="69" t="s">
        <v>13</v>
      </c>
      <c r="C16" s="70" t="s">
        <v>627</v>
      </c>
      <c r="D16" s="70" t="s">
        <v>628</v>
      </c>
      <c r="E16" s="70" t="s">
        <v>11</v>
      </c>
      <c r="F16" s="70" t="s">
        <v>21</v>
      </c>
      <c r="G16" s="70" t="s">
        <v>496</v>
      </c>
      <c r="H16" s="80">
        <v>45345</v>
      </c>
      <c r="I16" s="71" t="s">
        <v>139</v>
      </c>
      <c r="J16" s="71" t="s">
        <v>140</v>
      </c>
      <c r="K16" s="71">
        <v>0</v>
      </c>
      <c r="L16" s="71" t="s">
        <v>141</v>
      </c>
      <c r="M16" s="71" t="s">
        <v>114</v>
      </c>
      <c r="N16" s="70">
        <v>4</v>
      </c>
      <c r="O16" s="73">
        <v>1.736111111111111E-3</v>
      </c>
      <c r="P16" s="188"/>
    </row>
    <row r="17" spans="1:16" s="123" customFormat="1" ht="54" customHeight="1" x14ac:dyDescent="0.25">
      <c r="A17" s="79"/>
      <c r="B17" s="69" t="s">
        <v>13</v>
      </c>
      <c r="C17" s="70" t="s">
        <v>629</v>
      </c>
      <c r="D17" s="70" t="s">
        <v>630</v>
      </c>
      <c r="E17" s="70" t="s">
        <v>11</v>
      </c>
      <c r="F17" s="70" t="s">
        <v>21</v>
      </c>
      <c r="G17" s="70" t="s">
        <v>138</v>
      </c>
      <c r="H17" s="80">
        <v>45340</v>
      </c>
      <c r="I17" s="71" t="s">
        <v>139</v>
      </c>
      <c r="J17" s="71" t="s">
        <v>140</v>
      </c>
      <c r="K17" s="71">
        <v>0</v>
      </c>
      <c r="L17" s="71" t="s">
        <v>141</v>
      </c>
      <c r="M17" s="71" t="s">
        <v>114</v>
      </c>
      <c r="N17" s="70">
        <v>4</v>
      </c>
      <c r="O17" s="73">
        <v>1.736111111111111E-3</v>
      </c>
      <c r="P17" s="188"/>
    </row>
    <row r="18" spans="1:16" s="123" customFormat="1" ht="54" customHeight="1" x14ac:dyDescent="0.25">
      <c r="A18" s="79"/>
      <c r="B18" s="69" t="s">
        <v>13</v>
      </c>
      <c r="C18" s="70" t="s">
        <v>631</v>
      </c>
      <c r="D18" s="70" t="s">
        <v>632</v>
      </c>
      <c r="E18" s="70" t="s">
        <v>11</v>
      </c>
      <c r="F18" s="70" t="s">
        <v>21</v>
      </c>
      <c r="G18" s="70" t="s">
        <v>748</v>
      </c>
      <c r="H18" s="80">
        <v>45344</v>
      </c>
      <c r="I18" s="71" t="s">
        <v>139</v>
      </c>
      <c r="J18" s="71" t="s">
        <v>140</v>
      </c>
      <c r="K18" s="71">
        <v>0</v>
      </c>
      <c r="L18" s="71" t="s">
        <v>141</v>
      </c>
      <c r="M18" s="71" t="s">
        <v>114</v>
      </c>
      <c r="N18" s="70">
        <v>4</v>
      </c>
      <c r="O18" s="73">
        <v>1.736111111111111E-3</v>
      </c>
      <c r="P18" s="188"/>
    </row>
    <row r="19" spans="1:16" s="123" customFormat="1" ht="54" customHeight="1" x14ac:dyDescent="0.25">
      <c r="A19" s="79"/>
      <c r="B19" s="69" t="s">
        <v>13</v>
      </c>
      <c r="C19" s="70" t="s">
        <v>633</v>
      </c>
      <c r="D19" s="70" t="s">
        <v>150</v>
      </c>
      <c r="E19" s="70" t="s">
        <v>11</v>
      </c>
      <c r="F19" s="70" t="s">
        <v>21</v>
      </c>
      <c r="G19" s="70" t="s">
        <v>749</v>
      </c>
      <c r="H19" s="80">
        <v>45342</v>
      </c>
      <c r="I19" s="71" t="s">
        <v>139</v>
      </c>
      <c r="J19" s="71" t="s">
        <v>61</v>
      </c>
      <c r="K19" s="71">
        <v>0</v>
      </c>
      <c r="L19" s="71" t="s">
        <v>152</v>
      </c>
      <c r="M19" s="71" t="s">
        <v>153</v>
      </c>
      <c r="N19" s="70">
        <v>2</v>
      </c>
      <c r="O19" s="73">
        <v>5.2083333333333333E-4</v>
      </c>
      <c r="P19" s="188"/>
    </row>
    <row r="20" spans="1:16" s="123" customFormat="1" ht="54" customHeight="1" x14ac:dyDescent="0.25">
      <c r="A20" s="79"/>
      <c r="B20" s="69" t="s">
        <v>13</v>
      </c>
      <c r="C20" s="70" t="s">
        <v>635</v>
      </c>
      <c r="D20" s="70" t="s">
        <v>150</v>
      </c>
      <c r="E20" s="70" t="s">
        <v>11</v>
      </c>
      <c r="F20" s="70" t="s">
        <v>21</v>
      </c>
      <c r="G20" s="70" t="s">
        <v>749</v>
      </c>
      <c r="H20" s="80">
        <v>45342</v>
      </c>
      <c r="I20" s="71" t="s">
        <v>139</v>
      </c>
      <c r="J20" s="71" t="s">
        <v>61</v>
      </c>
      <c r="K20" s="71">
        <v>0</v>
      </c>
      <c r="L20" s="71" t="s">
        <v>152</v>
      </c>
      <c r="M20" s="71" t="s">
        <v>153</v>
      </c>
      <c r="N20" s="70">
        <v>2</v>
      </c>
      <c r="O20" s="73">
        <v>5.2083333333333333E-4</v>
      </c>
      <c r="P20" s="188"/>
    </row>
    <row r="21" spans="1:16" s="123" customFormat="1" ht="54" customHeight="1" x14ac:dyDescent="0.25">
      <c r="A21" s="79"/>
      <c r="B21" s="69" t="s">
        <v>13</v>
      </c>
      <c r="C21" s="70" t="s">
        <v>636</v>
      </c>
      <c r="D21" s="70" t="s">
        <v>156</v>
      </c>
      <c r="E21" s="70" t="s">
        <v>11</v>
      </c>
      <c r="F21" s="70" t="s">
        <v>21</v>
      </c>
      <c r="G21" s="70" t="s">
        <v>750</v>
      </c>
      <c r="H21" s="80">
        <v>45342</v>
      </c>
      <c r="I21" s="71" t="s">
        <v>139</v>
      </c>
      <c r="J21" s="71" t="s">
        <v>61</v>
      </c>
      <c r="K21" s="71">
        <v>0</v>
      </c>
      <c r="L21" s="71" t="s">
        <v>158</v>
      </c>
      <c r="M21" s="71" t="s">
        <v>153</v>
      </c>
      <c r="N21" s="70">
        <v>1</v>
      </c>
      <c r="O21" s="73">
        <v>2.3148148148148146E-4</v>
      </c>
      <c r="P21" s="188"/>
    </row>
    <row r="22" spans="1:16" s="123" customFormat="1" ht="54" customHeight="1" x14ac:dyDescent="0.25">
      <c r="A22" s="79"/>
      <c r="B22" s="69" t="s">
        <v>13</v>
      </c>
      <c r="C22" s="70" t="s">
        <v>638</v>
      </c>
      <c r="D22" s="70" t="s">
        <v>160</v>
      </c>
      <c r="E22" s="70" t="s">
        <v>11</v>
      </c>
      <c r="F22" s="70" t="s">
        <v>21</v>
      </c>
      <c r="G22" s="70" t="s">
        <v>751</v>
      </c>
      <c r="H22" s="80">
        <v>45342</v>
      </c>
      <c r="I22" s="71" t="s">
        <v>139</v>
      </c>
      <c r="J22" s="71" t="s">
        <v>61</v>
      </c>
      <c r="K22" s="71">
        <v>0</v>
      </c>
      <c r="L22" s="71" t="s">
        <v>161</v>
      </c>
      <c r="M22" s="71" t="s">
        <v>153</v>
      </c>
      <c r="N22" s="70">
        <v>2</v>
      </c>
      <c r="O22" s="73">
        <v>2.3148148148148146E-4</v>
      </c>
      <c r="P22" s="188"/>
    </row>
    <row r="23" spans="1:16" s="123" customFormat="1" ht="54" customHeight="1" x14ac:dyDescent="0.25">
      <c r="A23" s="79"/>
      <c r="B23" s="69" t="s">
        <v>13</v>
      </c>
      <c r="C23" s="70" t="s">
        <v>640</v>
      </c>
      <c r="D23" s="70" t="s">
        <v>502</v>
      </c>
      <c r="E23" s="70" t="s">
        <v>11</v>
      </c>
      <c r="F23" s="70" t="s">
        <v>21</v>
      </c>
      <c r="G23" s="70" t="s">
        <v>496</v>
      </c>
      <c r="H23" s="80">
        <v>45345</v>
      </c>
      <c r="I23" s="71" t="s">
        <v>139</v>
      </c>
      <c r="J23" s="71" t="s">
        <v>140</v>
      </c>
      <c r="K23" s="71">
        <v>0</v>
      </c>
      <c r="L23" s="71" t="s">
        <v>168</v>
      </c>
      <c r="M23" s="71" t="s">
        <v>169</v>
      </c>
      <c r="N23" s="70">
        <v>2</v>
      </c>
      <c r="O23" s="73">
        <v>4.6296296296296293E-4</v>
      </c>
      <c r="P23" s="188"/>
    </row>
    <row r="24" spans="1:16" s="123" customFormat="1" ht="54" customHeight="1" x14ac:dyDescent="0.25">
      <c r="A24" s="79"/>
      <c r="B24" s="69" t="s">
        <v>13</v>
      </c>
      <c r="C24" s="70" t="s">
        <v>641</v>
      </c>
      <c r="D24" s="70" t="s">
        <v>642</v>
      </c>
      <c r="E24" s="70" t="s">
        <v>11</v>
      </c>
      <c r="F24" s="70" t="s">
        <v>21</v>
      </c>
      <c r="G24" s="70" t="s">
        <v>496</v>
      </c>
      <c r="H24" s="80">
        <v>45345</v>
      </c>
      <c r="I24" s="71" t="s">
        <v>139</v>
      </c>
      <c r="J24" s="71" t="s">
        <v>140</v>
      </c>
      <c r="K24" s="71">
        <v>0</v>
      </c>
      <c r="L24" s="71" t="s">
        <v>168</v>
      </c>
      <c r="M24" s="71" t="s">
        <v>169</v>
      </c>
      <c r="N24" s="70">
        <v>2</v>
      </c>
      <c r="O24" s="73">
        <v>4.6296296296296293E-4</v>
      </c>
      <c r="P24" s="188"/>
    </row>
    <row r="25" spans="1:16" s="123" customFormat="1" ht="54" customHeight="1" x14ac:dyDescent="0.25">
      <c r="A25" s="163"/>
      <c r="B25" s="130" t="s">
        <v>13</v>
      </c>
      <c r="C25" s="131" t="s">
        <v>643</v>
      </c>
      <c r="D25" s="131" t="s">
        <v>504</v>
      </c>
      <c r="E25" s="131" t="s">
        <v>11</v>
      </c>
      <c r="F25" s="131" t="s">
        <v>21</v>
      </c>
      <c r="G25" s="131" t="s">
        <v>752</v>
      </c>
      <c r="H25" s="147" t="s">
        <v>753</v>
      </c>
      <c r="I25" s="134" t="s">
        <v>60</v>
      </c>
      <c r="J25" s="134" t="s">
        <v>140</v>
      </c>
      <c r="K25" s="134">
        <v>0</v>
      </c>
      <c r="L25" s="134" t="s">
        <v>168</v>
      </c>
      <c r="M25" s="134" t="s">
        <v>169</v>
      </c>
      <c r="N25" s="131">
        <v>2</v>
      </c>
      <c r="O25" s="135">
        <v>4.6296296296296293E-4</v>
      </c>
      <c r="P25" s="188"/>
    </row>
    <row r="26" spans="1:16" s="123" customFormat="1" ht="54" customHeight="1" x14ac:dyDescent="0.25">
      <c r="A26" s="79"/>
      <c r="B26" s="69" t="s">
        <v>13</v>
      </c>
      <c r="C26" s="70" t="s">
        <v>644</v>
      </c>
      <c r="D26" s="70" t="s">
        <v>645</v>
      </c>
      <c r="E26" s="70" t="s">
        <v>11</v>
      </c>
      <c r="F26" s="70" t="s">
        <v>21</v>
      </c>
      <c r="G26" s="70" t="s">
        <v>752</v>
      </c>
      <c r="H26" s="80">
        <v>45344</v>
      </c>
      <c r="I26" s="71" t="s">
        <v>60</v>
      </c>
      <c r="J26" s="71" t="s">
        <v>140</v>
      </c>
      <c r="K26" s="71">
        <v>0</v>
      </c>
      <c r="L26" s="71" t="s">
        <v>168</v>
      </c>
      <c r="M26" s="71" t="s">
        <v>169</v>
      </c>
      <c r="N26" s="70">
        <v>2</v>
      </c>
      <c r="O26" s="73">
        <v>4.6296296296296293E-4</v>
      </c>
      <c r="P26" s="188"/>
    </row>
    <row r="27" spans="1:16" s="123" customFormat="1" ht="54" customHeight="1" x14ac:dyDescent="0.25">
      <c r="A27" s="163"/>
      <c r="B27" s="130" t="s">
        <v>13</v>
      </c>
      <c r="C27" s="131" t="s">
        <v>646</v>
      </c>
      <c r="D27" s="131" t="s">
        <v>186</v>
      </c>
      <c r="E27" s="131" t="s">
        <v>21</v>
      </c>
      <c r="F27" s="131"/>
      <c r="G27" s="131"/>
      <c r="H27" s="147"/>
      <c r="I27" s="134" t="s">
        <v>60</v>
      </c>
      <c r="J27" s="134" t="s">
        <v>61</v>
      </c>
      <c r="K27" s="134">
        <v>0</v>
      </c>
      <c r="L27" s="134" t="s">
        <v>187</v>
      </c>
      <c r="M27" s="134" t="s">
        <v>153</v>
      </c>
      <c r="N27" s="131">
        <v>2</v>
      </c>
      <c r="O27" s="135">
        <v>6.9444444444444447E-4</v>
      </c>
      <c r="P27" s="188"/>
    </row>
    <row r="28" spans="1:16" s="123" customFormat="1" ht="54" customHeight="1" thickBot="1" x14ac:dyDescent="0.25">
      <c r="A28" s="189"/>
      <c r="B28" s="139" t="s">
        <v>13</v>
      </c>
      <c r="C28" s="140" t="s">
        <v>648</v>
      </c>
      <c r="D28" s="140" t="s">
        <v>182</v>
      </c>
      <c r="E28" s="141" t="s">
        <v>11</v>
      </c>
      <c r="F28" s="141" t="s">
        <v>21</v>
      </c>
      <c r="G28" s="141" t="s">
        <v>183</v>
      </c>
      <c r="H28" s="162">
        <v>45344</v>
      </c>
      <c r="I28" s="143" t="s">
        <v>60</v>
      </c>
      <c r="J28" s="143" t="s">
        <v>61</v>
      </c>
      <c r="K28" s="143">
        <v>0</v>
      </c>
      <c r="L28" s="143" t="s">
        <v>184</v>
      </c>
      <c r="M28" s="143" t="s">
        <v>114</v>
      </c>
      <c r="N28" s="140">
        <v>1</v>
      </c>
      <c r="O28" s="144">
        <v>6.9444444444444447E-4</v>
      </c>
    </row>
    <row r="29" spans="1:16" s="123" customFormat="1" ht="54" customHeight="1" thickTop="1" x14ac:dyDescent="0.2">
      <c r="A29" s="79"/>
      <c r="B29" s="104" t="s">
        <v>16</v>
      </c>
      <c r="C29" s="92" t="s">
        <v>649</v>
      </c>
      <c r="D29" s="92" t="s">
        <v>189</v>
      </c>
      <c r="E29" s="92" t="s">
        <v>11</v>
      </c>
      <c r="F29" s="92" t="s">
        <v>21</v>
      </c>
      <c r="G29" s="92" t="s">
        <v>335</v>
      </c>
      <c r="H29" s="105">
        <v>45340</v>
      </c>
      <c r="I29" s="91" t="s">
        <v>60</v>
      </c>
      <c r="J29" s="91" t="s">
        <v>61</v>
      </c>
      <c r="K29" s="91">
        <v>0</v>
      </c>
      <c r="L29" s="91" t="s">
        <v>647</v>
      </c>
      <c r="M29" s="91" t="s">
        <v>192</v>
      </c>
      <c r="N29" s="92">
        <v>2</v>
      </c>
      <c r="O29" s="93">
        <v>1.0416666666666667E-3</v>
      </c>
    </row>
    <row r="30" spans="1:16" s="123" customFormat="1" ht="54" customHeight="1" x14ac:dyDescent="0.2">
      <c r="A30" s="79"/>
      <c r="B30" s="69" t="s">
        <v>16</v>
      </c>
      <c r="C30" s="70" t="s">
        <v>651</v>
      </c>
      <c r="D30" s="70" t="s">
        <v>194</v>
      </c>
      <c r="E30" s="70" t="s">
        <v>11</v>
      </c>
      <c r="F30" s="70" t="s">
        <v>21</v>
      </c>
      <c r="G30" s="70" t="s">
        <v>151</v>
      </c>
      <c r="H30" s="80">
        <v>45342</v>
      </c>
      <c r="I30" s="71" t="s">
        <v>139</v>
      </c>
      <c r="J30" s="71" t="s">
        <v>61</v>
      </c>
      <c r="K30" s="71">
        <v>0</v>
      </c>
      <c r="L30" s="71" t="s">
        <v>195</v>
      </c>
      <c r="M30" s="71" t="s">
        <v>153</v>
      </c>
      <c r="N30" s="70">
        <v>2</v>
      </c>
      <c r="O30" s="73">
        <v>1.5624999999999999E-3</v>
      </c>
    </row>
    <row r="31" spans="1:16" s="123" customFormat="1" ht="54" customHeight="1" x14ac:dyDescent="0.2">
      <c r="A31" s="79"/>
      <c r="B31" s="69" t="s">
        <v>16</v>
      </c>
      <c r="C31" s="70" t="s">
        <v>654</v>
      </c>
      <c r="D31" s="70" t="s">
        <v>655</v>
      </c>
      <c r="E31" s="70" t="s">
        <v>11</v>
      </c>
      <c r="F31" s="70" t="s">
        <v>21</v>
      </c>
      <c r="G31" s="70" t="s">
        <v>499</v>
      </c>
      <c r="H31" s="80">
        <v>45342</v>
      </c>
      <c r="I31" s="71" t="s">
        <v>139</v>
      </c>
      <c r="J31" s="71" t="s">
        <v>140</v>
      </c>
      <c r="K31" s="71">
        <v>0</v>
      </c>
      <c r="L31" s="71" t="s">
        <v>650</v>
      </c>
      <c r="M31" s="71" t="s">
        <v>153</v>
      </c>
      <c r="N31" s="70">
        <v>2</v>
      </c>
      <c r="O31" s="73">
        <v>5.2083333333333333E-4</v>
      </c>
    </row>
    <row r="32" spans="1:16" s="123" customFormat="1" ht="54" customHeight="1" x14ac:dyDescent="0.2">
      <c r="A32" s="79"/>
      <c r="B32" s="69" t="s">
        <v>16</v>
      </c>
      <c r="C32" s="70" t="s">
        <v>656</v>
      </c>
      <c r="D32" s="70" t="s">
        <v>657</v>
      </c>
      <c r="E32" s="70" t="s">
        <v>11</v>
      </c>
      <c r="F32" s="70" t="s">
        <v>21</v>
      </c>
      <c r="G32" s="70" t="s">
        <v>754</v>
      </c>
      <c r="H32" s="80" t="s">
        <v>755</v>
      </c>
      <c r="I32" s="71" t="s">
        <v>139</v>
      </c>
      <c r="J32" s="71" t="s">
        <v>61</v>
      </c>
      <c r="K32" s="71">
        <v>0</v>
      </c>
      <c r="L32" s="71" t="s">
        <v>653</v>
      </c>
      <c r="M32" s="71" t="s">
        <v>153</v>
      </c>
      <c r="N32" s="70">
        <v>2</v>
      </c>
      <c r="O32" s="73">
        <v>6.9444444444444447E-4</v>
      </c>
    </row>
    <row r="33" spans="1:15" s="123" customFormat="1" ht="54" customHeight="1" x14ac:dyDescent="0.2">
      <c r="A33" s="79"/>
      <c r="B33" s="69" t="s">
        <v>16</v>
      </c>
      <c r="C33" s="70" t="s">
        <v>658</v>
      </c>
      <c r="D33" s="70" t="s">
        <v>659</v>
      </c>
      <c r="E33" s="70" t="s">
        <v>11</v>
      </c>
      <c r="F33" s="70" t="s">
        <v>21</v>
      </c>
      <c r="G33" s="70" t="s">
        <v>756</v>
      </c>
      <c r="H33" s="80">
        <v>45342</v>
      </c>
      <c r="I33" s="71" t="s">
        <v>139</v>
      </c>
      <c r="J33" s="71" t="s">
        <v>61</v>
      </c>
      <c r="K33" s="71">
        <v>0</v>
      </c>
      <c r="L33" s="71" t="s">
        <v>198</v>
      </c>
      <c r="M33" s="71" t="s">
        <v>153</v>
      </c>
      <c r="N33" s="70">
        <v>2</v>
      </c>
      <c r="O33" s="73">
        <v>6.9444444444444447E-4</v>
      </c>
    </row>
    <row r="34" spans="1:15" s="123" customFormat="1" ht="54" customHeight="1" x14ac:dyDescent="0.2">
      <c r="A34" s="79"/>
      <c r="B34" s="69" t="s">
        <v>16</v>
      </c>
      <c r="C34" s="70" t="s">
        <v>660</v>
      </c>
      <c r="D34" s="70" t="s">
        <v>211</v>
      </c>
      <c r="E34" s="70" t="s">
        <v>11</v>
      </c>
      <c r="F34" s="70" t="s">
        <v>21</v>
      </c>
      <c r="G34" s="70" t="s">
        <v>212</v>
      </c>
      <c r="H34" s="80">
        <v>45341</v>
      </c>
      <c r="I34" s="71" t="s">
        <v>139</v>
      </c>
      <c r="J34" s="71" t="s">
        <v>140</v>
      </c>
      <c r="K34" s="71">
        <v>0</v>
      </c>
      <c r="L34" s="71" t="s">
        <v>213</v>
      </c>
      <c r="M34" s="71" t="s">
        <v>209</v>
      </c>
      <c r="N34" s="70">
        <v>1</v>
      </c>
      <c r="O34" s="73">
        <v>3.4722222222222224E-4</v>
      </c>
    </row>
    <row r="35" spans="1:15" s="123" customFormat="1" ht="54" customHeight="1" x14ac:dyDescent="0.2">
      <c r="A35" s="79"/>
      <c r="B35" s="69" t="s">
        <v>16</v>
      </c>
      <c r="C35" s="70" t="s">
        <v>661</v>
      </c>
      <c r="D35" s="70" t="s">
        <v>211</v>
      </c>
      <c r="E35" s="70" t="s">
        <v>11</v>
      </c>
      <c r="F35" s="70" t="s">
        <v>21</v>
      </c>
      <c r="G35" s="70" t="s">
        <v>212</v>
      </c>
      <c r="H35" s="80">
        <v>45341</v>
      </c>
      <c r="I35" s="71" t="s">
        <v>139</v>
      </c>
      <c r="J35" s="71" t="s">
        <v>140</v>
      </c>
      <c r="K35" s="71">
        <v>0</v>
      </c>
      <c r="L35" s="71" t="s">
        <v>213</v>
      </c>
      <c r="M35" s="71" t="s">
        <v>209</v>
      </c>
      <c r="N35" s="70">
        <v>1</v>
      </c>
      <c r="O35" s="73">
        <v>3.4722222222222224E-4</v>
      </c>
    </row>
    <row r="36" spans="1:15" s="123" customFormat="1" ht="54" customHeight="1" x14ac:dyDescent="0.2">
      <c r="A36" s="79"/>
      <c r="B36" s="69" t="s">
        <v>16</v>
      </c>
      <c r="C36" s="70" t="s">
        <v>662</v>
      </c>
      <c r="D36" s="70" t="s">
        <v>216</v>
      </c>
      <c r="E36" s="70" t="s">
        <v>11</v>
      </c>
      <c r="F36" s="70" t="s">
        <v>21</v>
      </c>
      <c r="G36" s="70" t="s">
        <v>217</v>
      </c>
      <c r="H36" s="80">
        <v>45341</v>
      </c>
      <c r="I36" s="71" t="s">
        <v>139</v>
      </c>
      <c r="J36" s="71" t="s">
        <v>140</v>
      </c>
      <c r="K36" s="71">
        <v>0</v>
      </c>
      <c r="L36" s="71" t="s">
        <v>218</v>
      </c>
      <c r="M36" s="71" t="s">
        <v>219</v>
      </c>
      <c r="N36" s="70">
        <v>1</v>
      </c>
      <c r="O36" s="73">
        <v>3.4722222222222224E-4</v>
      </c>
    </row>
    <row r="37" spans="1:15" s="123" customFormat="1" ht="54" customHeight="1" x14ac:dyDescent="0.2">
      <c r="A37" s="79"/>
      <c r="B37" s="69" t="s">
        <v>16</v>
      </c>
      <c r="C37" s="70" t="s">
        <v>663</v>
      </c>
      <c r="D37" s="70" t="s">
        <v>221</v>
      </c>
      <c r="E37" s="70" t="s">
        <v>11</v>
      </c>
      <c r="F37" s="70" t="s">
        <v>21</v>
      </c>
      <c r="G37" s="70" t="s">
        <v>222</v>
      </c>
      <c r="H37" s="80">
        <v>45341</v>
      </c>
      <c r="I37" s="71" t="s">
        <v>139</v>
      </c>
      <c r="J37" s="71" t="s">
        <v>140</v>
      </c>
      <c r="K37" s="71">
        <v>0</v>
      </c>
      <c r="L37" s="71" t="s">
        <v>223</v>
      </c>
      <c r="M37" s="71" t="s">
        <v>209</v>
      </c>
      <c r="N37" s="70">
        <v>1</v>
      </c>
      <c r="O37" s="73">
        <v>5.7870370370370378E-4</v>
      </c>
    </row>
    <row r="38" spans="1:15" s="123" customFormat="1" ht="54" customHeight="1" x14ac:dyDescent="0.2">
      <c r="A38" s="79"/>
      <c r="B38" s="69" t="s">
        <v>16</v>
      </c>
      <c r="C38" s="70" t="s">
        <v>664</v>
      </c>
      <c r="D38" s="70" t="s">
        <v>225</v>
      </c>
      <c r="E38" s="70" t="s">
        <v>11</v>
      </c>
      <c r="F38" s="70" t="s">
        <v>21</v>
      </c>
      <c r="G38" s="70" t="s">
        <v>279</v>
      </c>
      <c r="H38" s="80">
        <v>45979</v>
      </c>
      <c r="I38" s="71" t="s">
        <v>139</v>
      </c>
      <c r="J38" s="71" t="s">
        <v>140</v>
      </c>
      <c r="K38" s="71">
        <v>0</v>
      </c>
      <c r="L38" s="71" t="s">
        <v>227</v>
      </c>
      <c r="M38" s="71" t="s">
        <v>209</v>
      </c>
      <c r="N38" s="70">
        <v>2</v>
      </c>
      <c r="O38" s="73">
        <v>6.9444444444444447E-4</v>
      </c>
    </row>
    <row r="39" spans="1:15" s="123" customFormat="1" ht="54" customHeight="1" x14ac:dyDescent="0.2">
      <c r="A39" s="163"/>
      <c r="B39" s="130" t="s">
        <v>16</v>
      </c>
      <c r="C39" s="131" t="s">
        <v>665</v>
      </c>
      <c r="D39" s="131" t="s">
        <v>229</v>
      </c>
      <c r="E39" s="131" t="s">
        <v>11</v>
      </c>
      <c r="F39" s="131" t="s">
        <v>21</v>
      </c>
      <c r="G39" s="131" t="s">
        <v>230</v>
      </c>
      <c r="H39" s="147">
        <v>45340</v>
      </c>
      <c r="I39" s="134" t="s">
        <v>139</v>
      </c>
      <c r="J39" s="134" t="s">
        <v>140</v>
      </c>
      <c r="K39" s="134">
        <v>0</v>
      </c>
      <c r="L39" s="134" t="s">
        <v>231</v>
      </c>
      <c r="M39" s="134" t="s">
        <v>209</v>
      </c>
      <c r="N39" s="131">
        <v>1</v>
      </c>
      <c r="O39" s="135">
        <v>3.4722222222222224E-4</v>
      </c>
    </row>
    <row r="40" spans="1:15" s="123" customFormat="1" ht="54" customHeight="1" x14ac:dyDescent="0.2">
      <c r="A40" s="163"/>
      <c r="B40" s="130" t="s">
        <v>16</v>
      </c>
      <c r="C40" s="131" t="s">
        <v>666</v>
      </c>
      <c r="D40" s="131" t="s">
        <v>233</v>
      </c>
      <c r="E40" s="131" t="s">
        <v>11</v>
      </c>
      <c r="F40" s="131" t="s">
        <v>21</v>
      </c>
      <c r="G40" s="131" t="s">
        <v>222</v>
      </c>
      <c r="H40" s="147">
        <v>45341</v>
      </c>
      <c r="I40" s="134" t="s">
        <v>139</v>
      </c>
      <c r="J40" s="134" t="s">
        <v>61</v>
      </c>
      <c r="K40" s="134">
        <v>0</v>
      </c>
      <c r="L40" s="134" t="s">
        <v>223</v>
      </c>
      <c r="M40" s="134" t="s">
        <v>209</v>
      </c>
      <c r="N40" s="131">
        <v>1</v>
      </c>
      <c r="O40" s="135">
        <v>1.0416666666666667E-3</v>
      </c>
    </row>
    <row r="41" spans="1:15" s="123" customFormat="1" ht="54" customHeight="1" x14ac:dyDescent="0.2">
      <c r="A41" s="163"/>
      <c r="B41" s="130" t="s">
        <v>16</v>
      </c>
      <c r="C41" s="131" t="s">
        <v>667</v>
      </c>
      <c r="D41" s="131" t="s">
        <v>235</v>
      </c>
      <c r="E41" s="131" t="s">
        <v>11</v>
      </c>
      <c r="F41" s="131" t="s">
        <v>21</v>
      </c>
      <c r="G41" s="131" t="s">
        <v>757</v>
      </c>
      <c r="H41" s="147">
        <v>45341</v>
      </c>
      <c r="I41" s="134" t="s">
        <v>60</v>
      </c>
      <c r="J41" s="134" t="s">
        <v>140</v>
      </c>
      <c r="K41" s="134">
        <v>0</v>
      </c>
      <c r="L41" s="134" t="s">
        <v>237</v>
      </c>
      <c r="M41" s="134" t="s">
        <v>209</v>
      </c>
      <c r="N41" s="131">
        <v>1</v>
      </c>
      <c r="O41" s="135">
        <v>1.1574074074074073E-4</v>
      </c>
    </row>
    <row r="42" spans="1:15" s="123" customFormat="1" ht="54" customHeight="1" x14ac:dyDescent="0.2">
      <c r="A42" s="79"/>
      <c r="B42" s="69" t="s">
        <v>16</v>
      </c>
      <c r="C42" s="70" t="s">
        <v>668</v>
      </c>
      <c r="D42" s="70" t="s">
        <v>239</v>
      </c>
      <c r="E42" s="70" t="s">
        <v>11</v>
      </c>
      <c r="F42" s="70" t="s">
        <v>21</v>
      </c>
      <c r="G42" s="70" t="s">
        <v>240</v>
      </c>
      <c r="H42" s="80">
        <v>45978</v>
      </c>
      <c r="I42" s="71" t="s">
        <v>139</v>
      </c>
      <c r="J42" s="71" t="s">
        <v>140</v>
      </c>
      <c r="K42" s="71">
        <v>0</v>
      </c>
      <c r="L42" s="71" t="s">
        <v>241</v>
      </c>
      <c r="M42" s="71" t="s">
        <v>242</v>
      </c>
      <c r="N42" s="70">
        <v>2</v>
      </c>
      <c r="O42" s="73">
        <v>3.4722222222222224E-4</v>
      </c>
    </row>
    <row r="43" spans="1:15" s="123" customFormat="1" ht="54" customHeight="1" x14ac:dyDescent="0.2">
      <c r="A43" s="163"/>
      <c r="B43" s="130" t="s">
        <v>16</v>
      </c>
      <c r="C43" s="131" t="s">
        <v>669</v>
      </c>
      <c r="D43" s="131" t="s">
        <v>248</v>
      </c>
      <c r="E43" s="131" t="s">
        <v>11</v>
      </c>
      <c r="F43" s="131" t="s">
        <v>21</v>
      </c>
      <c r="G43" s="131" t="s">
        <v>249</v>
      </c>
      <c r="H43" s="147">
        <v>45341</v>
      </c>
      <c r="I43" s="134" t="s">
        <v>139</v>
      </c>
      <c r="J43" s="134" t="s">
        <v>140</v>
      </c>
      <c r="K43" s="134">
        <v>0</v>
      </c>
      <c r="L43" s="134" t="s">
        <v>250</v>
      </c>
      <c r="M43" s="134" t="s">
        <v>209</v>
      </c>
      <c r="N43" s="131">
        <v>1</v>
      </c>
      <c r="O43" s="135">
        <v>6.9444444444444447E-4</v>
      </c>
    </row>
    <row r="44" spans="1:15" s="123" customFormat="1" ht="54" customHeight="1" x14ac:dyDescent="0.2">
      <c r="A44" s="79"/>
      <c r="B44" s="69" t="s">
        <v>16</v>
      </c>
      <c r="C44" s="70" t="s">
        <v>671</v>
      </c>
      <c r="D44" s="70" t="s">
        <v>672</v>
      </c>
      <c r="E44" s="70" t="s">
        <v>11</v>
      </c>
      <c r="F44" s="70" t="s">
        <v>21</v>
      </c>
      <c r="G44" s="70" t="s">
        <v>253</v>
      </c>
      <c r="H44" s="80">
        <v>45979</v>
      </c>
      <c r="I44" s="71" t="s">
        <v>139</v>
      </c>
      <c r="J44" s="71" t="s">
        <v>140</v>
      </c>
      <c r="K44" s="71">
        <v>0</v>
      </c>
      <c r="L44" s="71" t="s">
        <v>758</v>
      </c>
      <c r="M44" s="71" t="s">
        <v>242</v>
      </c>
      <c r="N44" s="70">
        <v>1</v>
      </c>
      <c r="O44" s="73">
        <v>6.9444444444444447E-4</v>
      </c>
    </row>
    <row r="45" spans="1:15" s="123" customFormat="1" ht="54" customHeight="1" x14ac:dyDescent="0.2">
      <c r="A45" s="163"/>
      <c r="B45" s="130" t="s">
        <v>16</v>
      </c>
      <c r="C45" s="131" t="s">
        <v>673</v>
      </c>
      <c r="D45" s="131" t="s">
        <v>337</v>
      </c>
      <c r="E45" s="131" t="s">
        <v>11</v>
      </c>
      <c r="F45" s="131" t="s">
        <v>21</v>
      </c>
      <c r="G45" s="134" t="s">
        <v>674</v>
      </c>
      <c r="H45" s="138">
        <v>45341</v>
      </c>
      <c r="I45" s="134" t="s">
        <v>139</v>
      </c>
      <c r="J45" s="134" t="s">
        <v>140</v>
      </c>
      <c r="K45" s="134">
        <v>0</v>
      </c>
      <c r="L45" s="134" t="s">
        <v>670</v>
      </c>
      <c r="M45" s="134" t="s">
        <v>209</v>
      </c>
      <c r="N45" s="131">
        <v>2</v>
      </c>
      <c r="O45" s="135">
        <v>3.4722222222222224E-4</v>
      </c>
    </row>
    <row r="46" spans="1:15" s="123" customFormat="1" ht="54" customHeight="1" x14ac:dyDescent="0.2">
      <c r="A46" s="163"/>
      <c r="B46" s="130" t="s">
        <v>16</v>
      </c>
      <c r="C46" s="131" t="s">
        <v>675</v>
      </c>
      <c r="D46" s="131" t="s">
        <v>676</v>
      </c>
      <c r="E46" s="131" t="s">
        <v>11</v>
      </c>
      <c r="F46" s="131" t="s">
        <v>21</v>
      </c>
      <c r="G46" s="131" t="s">
        <v>268</v>
      </c>
      <c r="H46" s="147">
        <v>45340</v>
      </c>
      <c r="I46" s="134" t="s">
        <v>139</v>
      </c>
      <c r="J46" s="134" t="s">
        <v>140</v>
      </c>
      <c r="K46" s="134">
        <v>0</v>
      </c>
      <c r="L46" s="134" t="s">
        <v>269</v>
      </c>
      <c r="M46" s="134" t="s">
        <v>209</v>
      </c>
      <c r="N46" s="131">
        <v>1</v>
      </c>
      <c r="O46" s="135">
        <v>3.4722222222222224E-4</v>
      </c>
    </row>
    <row r="47" spans="1:15" s="123" customFormat="1" ht="54" customHeight="1" x14ac:dyDescent="0.2">
      <c r="A47" s="163"/>
      <c r="B47" s="130" t="s">
        <v>16</v>
      </c>
      <c r="C47" s="131" t="s">
        <v>677</v>
      </c>
      <c r="D47" s="131" t="s">
        <v>271</v>
      </c>
      <c r="E47" s="131" t="s">
        <v>11</v>
      </c>
      <c r="F47" s="131" t="s">
        <v>21</v>
      </c>
      <c r="G47" s="131" t="s">
        <v>268</v>
      </c>
      <c r="H47" s="147">
        <v>45340</v>
      </c>
      <c r="I47" s="134" t="s">
        <v>60</v>
      </c>
      <c r="J47" s="134" t="s">
        <v>140</v>
      </c>
      <c r="K47" s="134">
        <v>0</v>
      </c>
      <c r="L47" s="134" t="s">
        <v>272</v>
      </c>
      <c r="M47" s="134" t="s">
        <v>209</v>
      </c>
      <c r="N47" s="131">
        <v>1</v>
      </c>
      <c r="O47" s="135">
        <v>3.4722222222222224E-4</v>
      </c>
    </row>
    <row r="48" spans="1:15" s="123" customFormat="1" ht="54" customHeight="1" x14ac:dyDescent="0.2">
      <c r="A48" s="163"/>
      <c r="B48" s="130" t="s">
        <v>16</v>
      </c>
      <c r="C48" s="131" t="s">
        <v>678</v>
      </c>
      <c r="D48" s="131" t="s">
        <v>679</v>
      </c>
      <c r="E48" s="131" t="s">
        <v>11</v>
      </c>
      <c r="F48" s="131" t="s">
        <v>21</v>
      </c>
      <c r="G48" s="131" t="s">
        <v>249</v>
      </c>
      <c r="H48" s="147">
        <v>45342</v>
      </c>
      <c r="I48" s="134" t="s">
        <v>60</v>
      </c>
      <c r="J48" s="134" t="s">
        <v>140</v>
      </c>
      <c r="K48" s="134">
        <v>0</v>
      </c>
      <c r="L48" s="134" t="s">
        <v>276</v>
      </c>
      <c r="M48" s="134" t="s">
        <v>209</v>
      </c>
      <c r="N48" s="131">
        <v>1</v>
      </c>
      <c r="O48" s="135">
        <v>3.4722222222222224E-4</v>
      </c>
    </row>
    <row r="49" spans="1:15" s="123" customFormat="1" ht="54" customHeight="1" x14ac:dyDescent="0.2">
      <c r="A49" s="163"/>
      <c r="B49" s="130" t="s">
        <v>16</v>
      </c>
      <c r="C49" s="131" t="s">
        <v>680</v>
      </c>
      <c r="D49" s="131" t="s">
        <v>537</v>
      </c>
      <c r="E49" s="131" t="s">
        <v>11</v>
      </c>
      <c r="F49" s="131" t="s">
        <v>21</v>
      </c>
      <c r="G49" s="134" t="s">
        <v>279</v>
      </c>
      <c r="H49" s="138">
        <v>45341</v>
      </c>
      <c r="I49" s="134" t="s">
        <v>93</v>
      </c>
      <c r="J49" s="134" t="s">
        <v>140</v>
      </c>
      <c r="K49" s="134">
        <v>0</v>
      </c>
      <c r="L49" s="134" t="s">
        <v>280</v>
      </c>
      <c r="M49" s="134" t="s">
        <v>219</v>
      </c>
      <c r="N49" s="131">
        <v>1</v>
      </c>
      <c r="O49" s="135">
        <v>3.4722222222222224E-4</v>
      </c>
    </row>
    <row r="50" spans="1:15" s="123" customFormat="1" ht="54" customHeight="1" x14ac:dyDescent="0.2">
      <c r="A50" s="163"/>
      <c r="B50" s="130" t="s">
        <v>16</v>
      </c>
      <c r="C50" s="131" t="s">
        <v>681</v>
      </c>
      <c r="D50" s="131" t="s">
        <v>282</v>
      </c>
      <c r="E50" s="131" t="s">
        <v>11</v>
      </c>
      <c r="F50" s="131" t="s">
        <v>21</v>
      </c>
      <c r="G50" s="134" t="s">
        <v>283</v>
      </c>
      <c r="H50" s="138">
        <v>45341</v>
      </c>
      <c r="I50" s="134" t="s">
        <v>93</v>
      </c>
      <c r="J50" s="134" t="s">
        <v>140</v>
      </c>
      <c r="K50" s="134">
        <v>0</v>
      </c>
      <c r="L50" s="134" t="s">
        <v>284</v>
      </c>
      <c r="M50" s="134" t="s">
        <v>219</v>
      </c>
      <c r="N50" s="131">
        <v>1</v>
      </c>
      <c r="O50" s="135">
        <v>5.2083333333333333E-4</v>
      </c>
    </row>
    <row r="51" spans="1:15" s="123" customFormat="1" ht="54" customHeight="1" x14ac:dyDescent="0.2">
      <c r="A51" s="163"/>
      <c r="B51" s="130" t="s">
        <v>16</v>
      </c>
      <c r="C51" s="131" t="s">
        <v>682</v>
      </c>
      <c r="D51" s="131" t="s">
        <v>683</v>
      </c>
      <c r="E51" s="131" t="s">
        <v>11</v>
      </c>
      <c r="F51" s="131" t="s">
        <v>21</v>
      </c>
      <c r="G51" s="134" t="s">
        <v>283</v>
      </c>
      <c r="H51" s="138">
        <v>45341</v>
      </c>
      <c r="I51" s="134" t="s">
        <v>93</v>
      </c>
      <c r="J51" s="134" t="s">
        <v>140</v>
      </c>
      <c r="K51" s="134">
        <v>0</v>
      </c>
      <c r="L51" s="134" t="s">
        <v>287</v>
      </c>
      <c r="M51" s="134" t="s">
        <v>219</v>
      </c>
      <c r="N51" s="131">
        <v>1</v>
      </c>
      <c r="O51" s="135">
        <v>6.9444444444444447E-4</v>
      </c>
    </row>
    <row r="52" spans="1:15" s="123" customFormat="1" ht="54" customHeight="1" x14ac:dyDescent="0.2">
      <c r="A52" s="163"/>
      <c r="B52" s="130" t="s">
        <v>16</v>
      </c>
      <c r="C52" s="131" t="s">
        <v>684</v>
      </c>
      <c r="D52" s="131" t="s">
        <v>289</v>
      </c>
      <c r="E52" s="131" t="s">
        <v>11</v>
      </c>
      <c r="F52" s="131" t="s">
        <v>21</v>
      </c>
      <c r="G52" s="131" t="s">
        <v>290</v>
      </c>
      <c r="H52" s="147">
        <v>45341</v>
      </c>
      <c r="I52" s="134" t="s">
        <v>60</v>
      </c>
      <c r="J52" s="134" t="s">
        <v>140</v>
      </c>
      <c r="K52" s="134">
        <v>0</v>
      </c>
      <c r="L52" s="134" t="s">
        <v>291</v>
      </c>
      <c r="M52" s="134" t="s">
        <v>209</v>
      </c>
      <c r="N52" s="131">
        <v>1</v>
      </c>
      <c r="O52" s="135">
        <v>3.4722222222222224E-4</v>
      </c>
    </row>
    <row r="53" spans="1:15" s="123" customFormat="1" ht="54" customHeight="1" x14ac:dyDescent="0.2">
      <c r="A53" s="163"/>
      <c r="B53" s="130" t="s">
        <v>16</v>
      </c>
      <c r="C53" s="131" t="s">
        <v>685</v>
      </c>
      <c r="D53" s="131" t="s">
        <v>293</v>
      </c>
      <c r="E53" s="131" t="s">
        <v>11</v>
      </c>
      <c r="F53" s="131" t="s">
        <v>21</v>
      </c>
      <c r="G53" s="131" t="s">
        <v>245</v>
      </c>
      <c r="H53" s="147">
        <v>45341</v>
      </c>
      <c r="I53" s="134" t="s">
        <v>139</v>
      </c>
      <c r="J53" s="134" t="s">
        <v>140</v>
      </c>
      <c r="K53" s="134">
        <v>0</v>
      </c>
      <c r="L53" s="134" t="s">
        <v>294</v>
      </c>
      <c r="M53" s="134" t="s">
        <v>209</v>
      </c>
      <c r="N53" s="131">
        <v>1</v>
      </c>
      <c r="O53" s="135">
        <v>6.9444444444444447E-4</v>
      </c>
    </row>
    <row r="54" spans="1:15" s="123" customFormat="1" ht="54" customHeight="1" x14ac:dyDescent="0.2">
      <c r="A54" s="163"/>
      <c r="B54" s="130" t="s">
        <v>16</v>
      </c>
      <c r="C54" s="131" t="s">
        <v>686</v>
      </c>
      <c r="D54" s="131" t="s">
        <v>299</v>
      </c>
      <c r="E54" s="131" t="s">
        <v>11</v>
      </c>
      <c r="F54" s="131" t="s">
        <v>21</v>
      </c>
      <c r="G54" s="131" t="s">
        <v>300</v>
      </c>
      <c r="H54" s="147">
        <v>45340</v>
      </c>
      <c r="I54" s="134" t="s">
        <v>139</v>
      </c>
      <c r="J54" s="134" t="s">
        <v>140</v>
      </c>
      <c r="K54" s="134">
        <v>0</v>
      </c>
      <c r="L54" s="134" t="s">
        <v>301</v>
      </c>
      <c r="M54" s="134" t="s">
        <v>209</v>
      </c>
      <c r="N54" s="131">
        <v>1</v>
      </c>
      <c r="O54" s="135">
        <v>3.4722222222222224E-4</v>
      </c>
    </row>
    <row r="55" spans="1:15" s="123" customFormat="1" ht="54" customHeight="1" x14ac:dyDescent="0.2">
      <c r="A55" s="163"/>
      <c r="B55" s="130" t="s">
        <v>16</v>
      </c>
      <c r="C55" s="131" t="s">
        <v>687</v>
      </c>
      <c r="D55" s="131" t="s">
        <v>303</v>
      </c>
      <c r="E55" s="131" t="s">
        <v>11</v>
      </c>
      <c r="F55" s="131" t="s">
        <v>21</v>
      </c>
      <c r="G55" s="131" t="s">
        <v>300</v>
      </c>
      <c r="H55" s="147">
        <v>45340</v>
      </c>
      <c r="I55" s="134" t="s">
        <v>139</v>
      </c>
      <c r="J55" s="134" t="s">
        <v>140</v>
      </c>
      <c r="K55" s="134">
        <v>0</v>
      </c>
      <c r="L55" s="134" t="s">
        <v>301</v>
      </c>
      <c r="M55" s="134" t="s">
        <v>209</v>
      </c>
      <c r="N55" s="131">
        <v>1</v>
      </c>
      <c r="O55" s="135">
        <v>3.4722222222222224E-4</v>
      </c>
    </row>
    <row r="56" spans="1:15" s="123" customFormat="1" ht="54" customHeight="1" x14ac:dyDescent="0.2">
      <c r="A56" s="163"/>
      <c r="B56" s="130" t="s">
        <v>16</v>
      </c>
      <c r="C56" s="131" t="s">
        <v>662</v>
      </c>
      <c r="D56" s="131" t="s">
        <v>759</v>
      </c>
      <c r="E56" s="131" t="s">
        <v>11</v>
      </c>
      <c r="F56" s="131" t="s">
        <v>21</v>
      </c>
      <c r="G56" s="131" t="s">
        <v>217</v>
      </c>
      <c r="H56" s="147">
        <v>45341</v>
      </c>
      <c r="I56" s="134" t="s">
        <v>139</v>
      </c>
      <c r="J56" s="134" t="s">
        <v>140</v>
      </c>
      <c r="K56" s="134">
        <v>0</v>
      </c>
      <c r="L56" s="134" t="s">
        <v>218</v>
      </c>
      <c r="M56" s="134" t="s">
        <v>219</v>
      </c>
      <c r="N56" s="131">
        <v>1</v>
      </c>
      <c r="O56" s="135">
        <v>3.4722222222222224E-4</v>
      </c>
    </row>
    <row r="57" spans="1:15" s="123" customFormat="1" ht="54" customHeight="1" x14ac:dyDescent="0.2">
      <c r="A57" s="163"/>
      <c r="B57" s="130" t="s">
        <v>16</v>
      </c>
      <c r="C57" s="131" t="s">
        <v>689</v>
      </c>
      <c r="D57" s="131" t="s">
        <v>690</v>
      </c>
      <c r="E57" s="131" t="s">
        <v>11</v>
      </c>
      <c r="F57" s="131" t="s">
        <v>21</v>
      </c>
      <c r="G57" s="131" t="s">
        <v>582</v>
      </c>
      <c r="H57" s="147">
        <v>45341</v>
      </c>
      <c r="I57" s="134" t="s">
        <v>60</v>
      </c>
      <c r="J57" s="134" t="s">
        <v>140</v>
      </c>
      <c r="K57" s="134">
        <v>0</v>
      </c>
      <c r="L57" s="134" t="s">
        <v>314</v>
      </c>
      <c r="M57" s="134" t="s">
        <v>209</v>
      </c>
      <c r="N57" s="131">
        <v>1</v>
      </c>
      <c r="O57" s="135">
        <v>8.6805555555555551E-4</v>
      </c>
    </row>
    <row r="58" spans="1:15" s="123" customFormat="1" ht="54" customHeight="1" x14ac:dyDescent="0.2">
      <c r="A58" s="163"/>
      <c r="B58" s="130" t="s">
        <v>16</v>
      </c>
      <c r="C58" s="131" t="s">
        <v>692</v>
      </c>
      <c r="D58" s="131" t="s">
        <v>316</v>
      </c>
      <c r="E58" s="131" t="s">
        <v>11</v>
      </c>
      <c r="F58" s="131" t="s">
        <v>21</v>
      </c>
      <c r="G58" s="131" t="s">
        <v>103</v>
      </c>
      <c r="H58" s="147">
        <v>45341</v>
      </c>
      <c r="I58" s="134" t="s">
        <v>139</v>
      </c>
      <c r="J58" s="134" t="s">
        <v>140</v>
      </c>
      <c r="K58" s="134">
        <v>0</v>
      </c>
      <c r="L58" s="134" t="s">
        <v>318</v>
      </c>
      <c r="M58" s="134" t="s">
        <v>209</v>
      </c>
      <c r="N58" s="131">
        <v>1</v>
      </c>
      <c r="O58" s="135">
        <v>6.9444444444444447E-4</v>
      </c>
    </row>
    <row r="59" spans="1:15" s="123" customFormat="1" ht="54" customHeight="1" x14ac:dyDescent="0.2">
      <c r="A59" s="163"/>
      <c r="B59" s="130" t="s">
        <v>16</v>
      </c>
      <c r="C59" s="131" t="s">
        <v>693</v>
      </c>
      <c r="D59" s="131" t="s">
        <v>323</v>
      </c>
      <c r="E59" s="131" t="s">
        <v>11</v>
      </c>
      <c r="F59" s="131" t="s">
        <v>21</v>
      </c>
      <c r="G59" s="131" t="s">
        <v>103</v>
      </c>
      <c r="H59" s="147">
        <v>45341</v>
      </c>
      <c r="I59" s="134" t="s">
        <v>139</v>
      </c>
      <c r="J59" s="134" t="s">
        <v>140</v>
      </c>
      <c r="K59" s="134">
        <v>0</v>
      </c>
      <c r="L59" s="134" t="s">
        <v>318</v>
      </c>
      <c r="M59" s="134" t="s">
        <v>209</v>
      </c>
      <c r="N59" s="131">
        <v>1</v>
      </c>
      <c r="O59" s="135">
        <v>6.9444444444444447E-4</v>
      </c>
    </row>
    <row r="60" spans="1:15" s="123" customFormat="1" ht="54" customHeight="1" x14ac:dyDescent="0.2">
      <c r="A60" s="163"/>
      <c r="B60" s="130" t="s">
        <v>16</v>
      </c>
      <c r="C60" s="132" t="s">
        <v>695</v>
      </c>
      <c r="D60" s="131" t="s">
        <v>760</v>
      </c>
      <c r="E60" s="131" t="s">
        <v>21</v>
      </c>
      <c r="F60" s="131"/>
      <c r="G60" s="131"/>
      <c r="H60" s="147"/>
      <c r="I60" s="134" t="s">
        <v>139</v>
      </c>
      <c r="J60" s="134" t="s">
        <v>61</v>
      </c>
      <c r="K60" s="134">
        <v>0</v>
      </c>
      <c r="L60" s="134" t="s">
        <v>691</v>
      </c>
      <c r="M60" s="134" t="s">
        <v>130</v>
      </c>
      <c r="N60" s="131">
        <v>1</v>
      </c>
      <c r="O60" s="135">
        <v>6.9444444444444447E-4</v>
      </c>
    </row>
    <row r="61" spans="1:15" s="123" customFormat="1" ht="54" customHeight="1" x14ac:dyDescent="0.2">
      <c r="A61" s="79"/>
      <c r="B61" s="69" t="s">
        <v>16</v>
      </c>
      <c r="C61" s="70" t="s">
        <v>697</v>
      </c>
      <c r="D61" s="70" t="s">
        <v>325</v>
      </c>
      <c r="E61" s="70" t="s">
        <v>11</v>
      </c>
      <c r="F61" s="70" t="s">
        <v>21</v>
      </c>
      <c r="G61" s="70" t="s">
        <v>698</v>
      </c>
      <c r="H61" s="80">
        <v>45978</v>
      </c>
      <c r="I61" s="71" t="s">
        <v>139</v>
      </c>
      <c r="J61" s="71" t="s">
        <v>61</v>
      </c>
      <c r="K61" s="71">
        <v>0</v>
      </c>
      <c r="L61" s="71" t="s">
        <v>327</v>
      </c>
      <c r="M61" s="71" t="s">
        <v>153</v>
      </c>
      <c r="N61" s="70">
        <v>1</v>
      </c>
      <c r="O61" s="73">
        <v>1.7361111111111112E-4</v>
      </c>
    </row>
    <row r="62" spans="1:15" s="123" customFormat="1" ht="54" customHeight="1" x14ac:dyDescent="0.2">
      <c r="A62" s="163"/>
      <c r="B62" s="130" t="s">
        <v>16</v>
      </c>
      <c r="C62" s="131" t="s">
        <v>699</v>
      </c>
      <c r="D62" s="131" t="s">
        <v>329</v>
      </c>
      <c r="E62" s="131" t="s">
        <v>21</v>
      </c>
      <c r="F62" s="131"/>
      <c r="G62" s="131"/>
      <c r="H62" s="147"/>
      <c r="I62" s="134" t="s">
        <v>139</v>
      </c>
      <c r="J62" s="134" t="s">
        <v>140</v>
      </c>
      <c r="K62" s="134">
        <v>0</v>
      </c>
      <c r="L62" s="134" t="s">
        <v>330</v>
      </c>
      <c r="M62" s="134" t="s">
        <v>242</v>
      </c>
      <c r="N62" s="131">
        <v>2</v>
      </c>
      <c r="O62" s="135">
        <v>5.2083333333333333E-4</v>
      </c>
    </row>
    <row r="63" spans="1:15" s="123" customFormat="1" ht="54" customHeight="1" x14ac:dyDescent="0.2">
      <c r="A63" s="79"/>
      <c r="B63" s="69" t="s">
        <v>16</v>
      </c>
      <c r="C63" s="70" t="s">
        <v>700</v>
      </c>
      <c r="D63" s="70" t="s">
        <v>701</v>
      </c>
      <c r="E63" s="70" t="s">
        <v>11</v>
      </c>
      <c r="F63" s="70" t="s">
        <v>21</v>
      </c>
      <c r="G63" s="70" t="s">
        <v>268</v>
      </c>
      <c r="H63" s="80">
        <v>45978</v>
      </c>
      <c r="I63" s="71" t="s">
        <v>60</v>
      </c>
      <c r="J63" s="71" t="s">
        <v>61</v>
      </c>
      <c r="K63" s="71">
        <v>0</v>
      </c>
      <c r="L63" s="71">
        <v>0</v>
      </c>
      <c r="M63" s="71" t="s">
        <v>153</v>
      </c>
      <c r="N63" s="70">
        <v>3</v>
      </c>
      <c r="O63" s="73">
        <v>5.2083333333333333E-4</v>
      </c>
    </row>
    <row r="64" spans="1:15" s="123" customFormat="1" ht="54" customHeight="1" thickBot="1" x14ac:dyDescent="0.25">
      <c r="A64" s="98"/>
      <c r="B64" s="74" t="s">
        <v>16</v>
      </c>
      <c r="C64" s="75" t="s">
        <v>702</v>
      </c>
      <c r="D64" s="75" t="s">
        <v>334</v>
      </c>
      <c r="E64" s="75" t="s">
        <v>11</v>
      </c>
      <c r="F64" s="75" t="s">
        <v>21</v>
      </c>
      <c r="G64" s="75" t="s">
        <v>761</v>
      </c>
      <c r="H64" s="81">
        <v>45978</v>
      </c>
      <c r="I64" s="113" t="s">
        <v>60</v>
      </c>
      <c r="J64" s="113" t="s">
        <v>61</v>
      </c>
      <c r="K64" s="113">
        <v>0</v>
      </c>
      <c r="L64" s="113">
        <v>0</v>
      </c>
      <c r="M64" s="113" t="s">
        <v>153</v>
      </c>
      <c r="N64" s="75">
        <v>4</v>
      </c>
      <c r="O64" s="78">
        <v>5.2083333333333333E-4</v>
      </c>
    </row>
    <row r="65" spans="1:15" s="123" customFormat="1" ht="54" customHeight="1" thickTop="1" x14ac:dyDescent="0.2">
      <c r="A65" s="193"/>
      <c r="B65" s="183" t="s">
        <v>20</v>
      </c>
      <c r="C65" s="184" t="s">
        <v>762</v>
      </c>
      <c r="D65" s="184" t="s">
        <v>763</v>
      </c>
      <c r="E65" s="184" t="s">
        <v>21</v>
      </c>
      <c r="F65" s="184" t="s">
        <v>11</v>
      </c>
      <c r="G65" s="184" t="s">
        <v>764</v>
      </c>
      <c r="H65" s="185">
        <v>45978</v>
      </c>
      <c r="I65" s="186" t="s">
        <v>60</v>
      </c>
      <c r="J65" s="186" t="s">
        <v>140</v>
      </c>
      <c r="K65" s="186">
        <v>0</v>
      </c>
      <c r="L65" s="186" t="s">
        <v>703</v>
      </c>
      <c r="M65" s="186" t="s">
        <v>342</v>
      </c>
      <c r="N65" s="184">
        <v>4</v>
      </c>
      <c r="O65" s="187">
        <v>4.1666666666666666E-3</v>
      </c>
    </row>
    <row r="66" spans="1:15" s="123" customFormat="1" ht="54" customHeight="1" x14ac:dyDescent="0.2">
      <c r="A66" s="79"/>
      <c r="B66" s="69" t="s">
        <v>20</v>
      </c>
      <c r="C66" s="70" t="s">
        <v>707</v>
      </c>
      <c r="D66" s="70" t="s">
        <v>708</v>
      </c>
      <c r="E66" s="70" t="s">
        <v>11</v>
      </c>
      <c r="F66" s="70" t="s">
        <v>21</v>
      </c>
      <c r="G66" s="70" t="s">
        <v>765</v>
      </c>
      <c r="H66" s="80">
        <v>45979</v>
      </c>
      <c r="I66" s="71" t="s">
        <v>60</v>
      </c>
      <c r="J66" s="71" t="s">
        <v>140</v>
      </c>
      <c r="K66" s="71">
        <v>0</v>
      </c>
      <c r="L66" s="71" t="s">
        <v>348</v>
      </c>
      <c r="M66" s="71" t="s">
        <v>342</v>
      </c>
      <c r="N66" s="70">
        <v>4</v>
      </c>
      <c r="O66" s="73">
        <v>1.3888888888888889E-3</v>
      </c>
    </row>
    <row r="67" spans="1:15" s="123" customFormat="1" ht="54" customHeight="1" x14ac:dyDescent="0.2">
      <c r="A67" s="79"/>
      <c r="B67" s="69" t="s">
        <v>20</v>
      </c>
      <c r="C67" s="70" t="s">
        <v>711</v>
      </c>
      <c r="D67" s="70" t="s">
        <v>350</v>
      </c>
      <c r="E67" s="70" t="s">
        <v>11</v>
      </c>
      <c r="F67" s="86" t="s">
        <v>21</v>
      </c>
      <c r="G67" s="86" t="s">
        <v>766</v>
      </c>
      <c r="H67" s="87">
        <v>45978</v>
      </c>
      <c r="I67" s="71" t="s">
        <v>139</v>
      </c>
      <c r="J67" s="71" t="s">
        <v>140</v>
      </c>
      <c r="K67" s="71">
        <v>0</v>
      </c>
      <c r="L67" s="71" t="s">
        <v>710</v>
      </c>
      <c r="M67" s="71" t="s">
        <v>353</v>
      </c>
      <c r="N67" s="70">
        <v>2</v>
      </c>
      <c r="O67" s="73">
        <v>2.0833333333333333E-3</v>
      </c>
    </row>
    <row r="68" spans="1:15" s="123" customFormat="1" ht="54" customHeight="1" x14ac:dyDescent="0.2">
      <c r="A68" s="79"/>
      <c r="B68" s="69" t="s">
        <v>20</v>
      </c>
      <c r="C68" s="70" t="s">
        <v>713</v>
      </c>
      <c r="D68" s="70" t="s">
        <v>355</v>
      </c>
      <c r="E68" s="70" t="s">
        <v>11</v>
      </c>
      <c r="F68" s="86" t="s">
        <v>21</v>
      </c>
      <c r="G68" s="86" t="s">
        <v>351</v>
      </c>
      <c r="H68" s="87">
        <v>45978</v>
      </c>
      <c r="I68" s="71" t="s">
        <v>139</v>
      </c>
      <c r="J68" s="71" t="s">
        <v>140</v>
      </c>
      <c r="K68" s="71">
        <v>0</v>
      </c>
      <c r="L68" s="71" t="s">
        <v>356</v>
      </c>
      <c r="M68" s="71" t="s">
        <v>353</v>
      </c>
      <c r="N68" s="70">
        <v>2</v>
      </c>
      <c r="O68" s="73">
        <v>2.0833333333333333E-3</v>
      </c>
    </row>
    <row r="69" spans="1:15" s="123" customFormat="1" ht="54" customHeight="1" x14ac:dyDescent="0.2">
      <c r="A69" s="79"/>
      <c r="B69" s="69" t="s">
        <v>20</v>
      </c>
      <c r="C69" s="70" t="s">
        <v>714</v>
      </c>
      <c r="D69" s="70" t="s">
        <v>358</v>
      </c>
      <c r="E69" s="70" t="s">
        <v>11</v>
      </c>
      <c r="F69" s="70" t="s">
        <v>21</v>
      </c>
      <c r="G69" s="70" t="s">
        <v>698</v>
      </c>
      <c r="H69" s="80">
        <v>45978</v>
      </c>
      <c r="I69" s="71" t="s">
        <v>139</v>
      </c>
      <c r="J69" s="71" t="s">
        <v>61</v>
      </c>
      <c r="K69" s="71">
        <v>0</v>
      </c>
      <c r="L69" s="71" t="s">
        <v>359</v>
      </c>
      <c r="M69" s="71" t="s">
        <v>153</v>
      </c>
      <c r="N69" s="70">
        <v>2</v>
      </c>
      <c r="O69" s="73">
        <v>6.9444444444444447E-4</v>
      </c>
    </row>
    <row r="70" spans="1:15" s="123" customFormat="1" ht="54" customHeight="1" x14ac:dyDescent="0.2">
      <c r="A70" s="163"/>
      <c r="B70" s="130" t="s">
        <v>20</v>
      </c>
      <c r="C70" s="131" t="s">
        <v>715</v>
      </c>
      <c r="D70" s="131" t="s">
        <v>374</v>
      </c>
      <c r="E70" s="131" t="s">
        <v>21</v>
      </c>
      <c r="F70" s="131"/>
      <c r="G70" s="131"/>
      <c r="H70" s="147"/>
      <c r="I70" s="134" t="s">
        <v>139</v>
      </c>
      <c r="J70" s="134" t="s">
        <v>140</v>
      </c>
      <c r="K70" s="134">
        <v>0</v>
      </c>
      <c r="L70" s="134" t="s">
        <v>375</v>
      </c>
      <c r="M70" s="134" t="s">
        <v>209</v>
      </c>
      <c r="N70" s="131">
        <v>2</v>
      </c>
      <c r="O70" s="135">
        <v>1.736111111111111E-3</v>
      </c>
    </row>
    <row r="71" spans="1:15" s="123" customFormat="1" ht="54" customHeight="1" x14ac:dyDescent="0.2">
      <c r="A71" s="163"/>
      <c r="B71" s="130" t="s">
        <v>20</v>
      </c>
      <c r="C71" s="131" t="s">
        <v>716</v>
      </c>
      <c r="D71" s="131" t="s">
        <v>717</v>
      </c>
      <c r="E71" s="131" t="s">
        <v>21</v>
      </c>
      <c r="F71" s="131"/>
      <c r="G71" s="131"/>
      <c r="H71" s="147"/>
      <c r="I71" s="134" t="s">
        <v>60</v>
      </c>
      <c r="J71" s="134" t="s">
        <v>140</v>
      </c>
      <c r="K71" s="134">
        <v>0</v>
      </c>
      <c r="L71" s="134" t="s">
        <v>381</v>
      </c>
      <c r="M71" s="134" t="s">
        <v>169</v>
      </c>
      <c r="N71" s="131">
        <v>1</v>
      </c>
      <c r="O71" s="135">
        <v>9.2592592592592585E-4</v>
      </c>
    </row>
    <row r="72" spans="1:15" s="123" customFormat="1" ht="54" customHeight="1" x14ac:dyDescent="0.2">
      <c r="A72" s="163"/>
      <c r="B72" s="130" t="s">
        <v>20</v>
      </c>
      <c r="C72" s="131" t="s">
        <v>718</v>
      </c>
      <c r="D72" s="131" t="s">
        <v>719</v>
      </c>
      <c r="E72" s="131" t="s">
        <v>21</v>
      </c>
      <c r="F72" s="131"/>
      <c r="G72" s="131"/>
      <c r="H72" s="147"/>
      <c r="I72" s="134" t="s">
        <v>139</v>
      </c>
      <c r="J72" s="134" t="s">
        <v>140</v>
      </c>
      <c r="K72" s="134">
        <v>0</v>
      </c>
      <c r="L72" s="134" t="s">
        <v>378</v>
      </c>
      <c r="M72" s="134" t="s">
        <v>169</v>
      </c>
      <c r="N72" s="131">
        <v>2</v>
      </c>
      <c r="O72" s="135">
        <v>9.2592592592592585E-4</v>
      </c>
    </row>
    <row r="73" spans="1:15" s="123" customFormat="1" ht="54" customHeight="1" x14ac:dyDescent="0.2">
      <c r="A73" s="163"/>
      <c r="B73" s="130" t="s">
        <v>20</v>
      </c>
      <c r="C73" s="131" t="s">
        <v>720</v>
      </c>
      <c r="D73" s="131" t="s">
        <v>383</v>
      </c>
      <c r="E73" s="131" t="s">
        <v>21</v>
      </c>
      <c r="F73" s="131"/>
      <c r="G73" s="131"/>
      <c r="H73" s="147"/>
      <c r="I73" s="134" t="s">
        <v>60</v>
      </c>
      <c r="J73" s="134" t="s">
        <v>61</v>
      </c>
      <c r="K73" s="134">
        <v>0</v>
      </c>
      <c r="L73" s="134" t="s">
        <v>384</v>
      </c>
      <c r="M73" s="134" t="s">
        <v>364</v>
      </c>
      <c r="N73" s="131">
        <v>1</v>
      </c>
      <c r="O73" s="135">
        <v>1.1574074074074073E-4</v>
      </c>
    </row>
    <row r="74" spans="1:15" s="123" customFormat="1" ht="54" customHeight="1" x14ac:dyDescent="0.2">
      <c r="A74" s="163"/>
      <c r="B74" s="130" t="s">
        <v>20</v>
      </c>
      <c r="C74" s="131" t="s">
        <v>721</v>
      </c>
      <c r="D74" s="131" t="s">
        <v>386</v>
      </c>
      <c r="E74" s="131" t="s">
        <v>21</v>
      </c>
      <c r="F74" s="131"/>
      <c r="G74" s="131"/>
      <c r="H74" s="147"/>
      <c r="I74" s="134" t="s">
        <v>60</v>
      </c>
      <c r="J74" s="134" t="s">
        <v>61</v>
      </c>
      <c r="K74" s="134">
        <v>0</v>
      </c>
      <c r="L74" s="134" t="s">
        <v>387</v>
      </c>
      <c r="M74" s="134" t="s">
        <v>130</v>
      </c>
      <c r="N74" s="131">
        <v>1</v>
      </c>
      <c r="O74" s="135">
        <v>6.9444444444444447E-4</v>
      </c>
    </row>
    <row r="75" spans="1:15" s="123" customFormat="1" ht="54" customHeight="1" x14ac:dyDescent="0.2">
      <c r="A75" s="163"/>
      <c r="B75" s="130" t="s">
        <v>20</v>
      </c>
      <c r="C75" s="131" t="s">
        <v>722</v>
      </c>
      <c r="D75" s="131" t="s">
        <v>723</v>
      </c>
      <c r="E75" s="131" t="s">
        <v>21</v>
      </c>
      <c r="F75" s="131"/>
      <c r="G75" s="131"/>
      <c r="H75" s="147"/>
      <c r="I75" s="134" t="s">
        <v>60</v>
      </c>
      <c r="J75" s="134" t="s">
        <v>61</v>
      </c>
      <c r="K75" s="134">
        <v>0</v>
      </c>
      <c r="L75" s="134" t="s">
        <v>407</v>
      </c>
      <c r="M75" s="134" t="s">
        <v>153</v>
      </c>
      <c r="N75" s="131">
        <v>2</v>
      </c>
      <c r="O75" s="135">
        <v>3.4722222222222224E-4</v>
      </c>
    </row>
    <row r="76" spans="1:15" s="123" customFormat="1" ht="54" customHeight="1" x14ac:dyDescent="0.2">
      <c r="A76" s="163"/>
      <c r="B76" s="130" t="s">
        <v>20</v>
      </c>
      <c r="C76" s="131" t="s">
        <v>724</v>
      </c>
      <c r="D76" s="131" t="s">
        <v>725</v>
      </c>
      <c r="E76" s="131" t="s">
        <v>21</v>
      </c>
      <c r="F76" s="131"/>
      <c r="G76" s="131"/>
      <c r="H76" s="147"/>
      <c r="I76" s="134" t="s">
        <v>60</v>
      </c>
      <c r="J76" s="134" t="s">
        <v>61</v>
      </c>
      <c r="K76" s="134">
        <v>0</v>
      </c>
      <c r="L76" s="134" t="s">
        <v>410</v>
      </c>
      <c r="M76" s="134" t="s">
        <v>153</v>
      </c>
      <c r="N76" s="131">
        <v>2</v>
      </c>
      <c r="O76" s="135">
        <v>6.9444444444444447E-4</v>
      </c>
    </row>
    <row r="77" spans="1:15" s="123" customFormat="1" ht="54" customHeight="1" x14ac:dyDescent="0.2">
      <c r="A77" s="163"/>
      <c r="B77" s="130" t="s">
        <v>20</v>
      </c>
      <c r="C77" s="131" t="s">
        <v>726</v>
      </c>
      <c r="D77" s="131" t="s">
        <v>425</v>
      </c>
      <c r="E77" s="131" t="s">
        <v>21</v>
      </c>
      <c r="F77" s="131"/>
      <c r="G77" s="131"/>
      <c r="H77" s="147"/>
      <c r="I77" s="134" t="s">
        <v>60</v>
      </c>
      <c r="J77" s="134" t="s">
        <v>140</v>
      </c>
      <c r="K77" s="134">
        <v>0</v>
      </c>
      <c r="L77" s="134" t="s">
        <v>729</v>
      </c>
      <c r="M77" s="134" t="s">
        <v>114</v>
      </c>
      <c r="N77" s="131">
        <v>2</v>
      </c>
      <c r="O77" s="135">
        <v>1.3888888888888889E-3</v>
      </c>
    </row>
    <row r="78" spans="1:15" s="123" customFormat="1" ht="54" customHeight="1" x14ac:dyDescent="0.2">
      <c r="A78" s="79"/>
      <c r="B78" s="69" t="s">
        <v>20</v>
      </c>
      <c r="C78" s="70" t="s">
        <v>727</v>
      </c>
      <c r="D78" s="70" t="s">
        <v>728</v>
      </c>
      <c r="E78" s="70" t="s">
        <v>11</v>
      </c>
      <c r="F78" s="70" t="s">
        <v>21</v>
      </c>
      <c r="G78" s="70" t="s">
        <v>761</v>
      </c>
      <c r="H78" s="80">
        <v>45978</v>
      </c>
      <c r="I78" s="71" t="s">
        <v>60</v>
      </c>
      <c r="J78" s="71" t="s">
        <v>61</v>
      </c>
      <c r="K78" s="71">
        <v>0</v>
      </c>
      <c r="L78" s="71" t="s">
        <v>404</v>
      </c>
      <c r="M78" s="71" t="s">
        <v>153</v>
      </c>
      <c r="N78" s="70">
        <v>1</v>
      </c>
      <c r="O78" s="73">
        <v>6.9444444444444447E-4</v>
      </c>
    </row>
    <row r="79" spans="1:15" s="123" customFormat="1" ht="54" customHeight="1" x14ac:dyDescent="0.2">
      <c r="A79" s="163"/>
      <c r="B79" s="130" t="s">
        <v>20</v>
      </c>
      <c r="C79" s="131" t="s">
        <v>730</v>
      </c>
      <c r="D79" s="131" t="s">
        <v>416</v>
      </c>
      <c r="E79" s="131" t="s">
        <v>21</v>
      </c>
      <c r="F79" s="131"/>
      <c r="G79" s="131"/>
      <c r="H79" s="147"/>
      <c r="I79" s="134" t="s">
        <v>93</v>
      </c>
      <c r="J79" s="134" t="s">
        <v>61</v>
      </c>
      <c r="K79" s="134">
        <v>0</v>
      </c>
      <c r="L79" s="134" t="s">
        <v>417</v>
      </c>
      <c r="M79" s="134" t="s">
        <v>114</v>
      </c>
      <c r="N79" s="131">
        <v>4</v>
      </c>
      <c r="O79" s="135">
        <v>2.0833333333333333E-3</v>
      </c>
    </row>
    <row r="80" spans="1:15" s="123" customFormat="1" ht="54" customHeight="1" thickBot="1" x14ac:dyDescent="0.25">
      <c r="A80" s="163"/>
      <c r="B80" s="139" t="s">
        <v>20</v>
      </c>
      <c r="C80" s="140" t="s">
        <v>731</v>
      </c>
      <c r="D80" s="140" t="s">
        <v>428</v>
      </c>
      <c r="E80" s="140" t="s">
        <v>21</v>
      </c>
      <c r="F80" s="140"/>
      <c r="G80" s="140"/>
      <c r="H80" s="162"/>
      <c r="I80" s="143" t="s">
        <v>93</v>
      </c>
      <c r="J80" s="143" t="s">
        <v>61</v>
      </c>
      <c r="K80" s="143">
        <v>0</v>
      </c>
      <c r="L80" s="143" t="s">
        <v>429</v>
      </c>
      <c r="M80" s="143" t="s">
        <v>114</v>
      </c>
      <c r="N80" s="140">
        <v>2</v>
      </c>
      <c r="O80" s="144">
        <v>6.9444444444444447E-4</v>
      </c>
    </row>
    <row r="81" spans="1:16" s="123" customFormat="1" ht="54" customHeight="1" thickTop="1" x14ac:dyDescent="0.25">
      <c r="A81" s="190"/>
      <c r="B81" s="124" t="s">
        <v>24</v>
      </c>
      <c r="C81" s="125" t="s">
        <v>732</v>
      </c>
      <c r="D81" s="125" t="s">
        <v>447</v>
      </c>
      <c r="E81" s="125" t="s">
        <v>21</v>
      </c>
      <c r="F81" s="125"/>
      <c r="G81" s="125"/>
      <c r="H81" s="161"/>
      <c r="I81" s="128" t="s">
        <v>139</v>
      </c>
      <c r="J81" s="128" t="s">
        <v>61</v>
      </c>
      <c r="K81" s="128">
        <v>0</v>
      </c>
      <c r="L81" s="128" t="s">
        <v>448</v>
      </c>
      <c r="M81" s="128" t="s">
        <v>114</v>
      </c>
      <c r="N81" s="125">
        <v>1</v>
      </c>
      <c r="O81" s="129">
        <v>3.4722222222222224E-4</v>
      </c>
      <c r="P81" s="188"/>
    </row>
    <row r="82" spans="1:16" s="123" customFormat="1" ht="54" customHeight="1" x14ac:dyDescent="0.25">
      <c r="A82" s="163"/>
      <c r="B82" s="130" t="s">
        <v>24</v>
      </c>
      <c r="C82" s="131" t="s">
        <v>733</v>
      </c>
      <c r="D82" s="131" t="s">
        <v>440</v>
      </c>
      <c r="E82" s="131" t="s">
        <v>21</v>
      </c>
      <c r="F82" s="131"/>
      <c r="G82" s="131"/>
      <c r="H82" s="147"/>
      <c r="I82" s="134" t="s">
        <v>139</v>
      </c>
      <c r="J82" s="134" t="s">
        <v>61</v>
      </c>
      <c r="K82" s="134">
        <v>0</v>
      </c>
      <c r="L82" s="134" t="s">
        <v>441</v>
      </c>
      <c r="M82" s="134" t="s">
        <v>114</v>
      </c>
      <c r="N82" s="131">
        <v>1</v>
      </c>
      <c r="O82" s="135">
        <v>6.9444444444444447E-4</v>
      </c>
      <c r="P82" s="188"/>
    </row>
    <row r="83" spans="1:16" s="123" customFormat="1" ht="54" customHeight="1" x14ac:dyDescent="0.25">
      <c r="A83" s="163"/>
      <c r="B83" s="130" t="s">
        <v>24</v>
      </c>
      <c r="C83" s="131" t="s">
        <v>734</v>
      </c>
      <c r="D83" s="131" t="s">
        <v>437</v>
      </c>
      <c r="E83" s="131" t="s">
        <v>21</v>
      </c>
      <c r="F83" s="131"/>
      <c r="G83" s="131"/>
      <c r="H83" s="147"/>
      <c r="I83" s="134" t="s">
        <v>139</v>
      </c>
      <c r="J83" s="134" t="s">
        <v>61</v>
      </c>
      <c r="K83" s="134">
        <v>0</v>
      </c>
      <c r="L83" s="134" t="s">
        <v>438</v>
      </c>
      <c r="M83" s="134" t="s">
        <v>242</v>
      </c>
      <c r="N83" s="131">
        <v>1</v>
      </c>
      <c r="O83" s="135">
        <v>6.9444444444444447E-4</v>
      </c>
      <c r="P83" s="188"/>
    </row>
    <row r="84" spans="1:16" s="123" customFormat="1" ht="54" customHeight="1" x14ac:dyDescent="0.25">
      <c r="A84" s="163"/>
      <c r="B84" s="130" t="s">
        <v>24</v>
      </c>
      <c r="C84" s="131" t="s">
        <v>735</v>
      </c>
      <c r="D84" s="131" t="s">
        <v>736</v>
      </c>
      <c r="E84" s="131" t="s">
        <v>21</v>
      </c>
      <c r="F84" s="131"/>
      <c r="G84" s="131"/>
      <c r="H84" s="147"/>
      <c r="I84" s="134" t="s">
        <v>139</v>
      </c>
      <c r="J84" s="134" t="s">
        <v>61</v>
      </c>
      <c r="K84" s="134">
        <v>0</v>
      </c>
      <c r="L84" s="134" t="s">
        <v>451</v>
      </c>
      <c r="M84" s="134" t="s">
        <v>242</v>
      </c>
      <c r="N84" s="131">
        <v>1</v>
      </c>
      <c r="O84" s="135">
        <v>0</v>
      </c>
      <c r="P84" s="188"/>
    </row>
    <row r="85" spans="1:16" s="123" customFormat="1" ht="54" customHeight="1" x14ac:dyDescent="0.25">
      <c r="A85" s="163"/>
      <c r="B85" s="130" t="s">
        <v>24</v>
      </c>
      <c r="C85" s="131" t="s">
        <v>737</v>
      </c>
      <c r="D85" s="131" t="s">
        <v>453</v>
      </c>
      <c r="E85" s="131" t="s">
        <v>21</v>
      </c>
      <c r="F85" s="131"/>
      <c r="G85" s="131"/>
      <c r="H85" s="147"/>
      <c r="I85" s="134" t="s">
        <v>139</v>
      </c>
      <c r="J85" s="134" t="s">
        <v>61</v>
      </c>
      <c r="K85" s="134">
        <v>0</v>
      </c>
      <c r="L85" s="134" t="s">
        <v>454</v>
      </c>
      <c r="M85" s="134" t="s">
        <v>242</v>
      </c>
      <c r="N85" s="131">
        <v>2</v>
      </c>
      <c r="O85" s="135">
        <v>1.0416666666666667E-3</v>
      </c>
      <c r="P85" s="188"/>
    </row>
    <row r="86" spans="1:16" s="123" customFormat="1" ht="54" customHeight="1" x14ac:dyDescent="0.25">
      <c r="A86" s="163"/>
      <c r="B86" s="130" t="s">
        <v>24</v>
      </c>
      <c r="C86" s="131" t="s">
        <v>738</v>
      </c>
      <c r="D86" s="131" t="s">
        <v>739</v>
      </c>
      <c r="E86" s="131" t="s">
        <v>21</v>
      </c>
      <c r="F86" s="131"/>
      <c r="G86" s="131"/>
      <c r="H86" s="147"/>
      <c r="I86" s="134" t="s">
        <v>60</v>
      </c>
      <c r="J86" s="134" t="s">
        <v>61</v>
      </c>
      <c r="K86" s="134">
        <v>0</v>
      </c>
      <c r="L86" s="134" t="s">
        <v>396</v>
      </c>
      <c r="M86" s="134" t="s">
        <v>472</v>
      </c>
      <c r="N86" s="131">
        <v>2</v>
      </c>
      <c r="O86" s="135">
        <v>5.2083333333333333E-4</v>
      </c>
      <c r="P86" s="188"/>
    </row>
    <row r="87" spans="1:16" s="123" customFormat="1" ht="54" customHeight="1" thickBot="1" x14ac:dyDescent="0.3">
      <c r="A87" s="189"/>
      <c r="B87" s="139" t="s">
        <v>24</v>
      </c>
      <c r="C87" s="140" t="s">
        <v>740</v>
      </c>
      <c r="D87" s="140" t="s">
        <v>462</v>
      </c>
      <c r="E87" s="140" t="s">
        <v>21</v>
      </c>
      <c r="F87" s="140"/>
      <c r="G87" s="140"/>
      <c r="H87" s="162"/>
      <c r="I87" s="143" t="s">
        <v>93</v>
      </c>
      <c r="J87" s="143" t="s">
        <v>61</v>
      </c>
      <c r="K87" s="143">
        <v>0</v>
      </c>
      <c r="L87" s="143" t="s">
        <v>463</v>
      </c>
      <c r="M87" s="143" t="s">
        <v>464</v>
      </c>
      <c r="N87" s="140">
        <v>2</v>
      </c>
      <c r="O87" s="144">
        <v>6.9444444444444447E-4</v>
      </c>
      <c r="P87" s="188"/>
    </row>
    <row r="88" spans="1:16" s="123" customFormat="1" ht="66" customHeight="1" thickTop="1" thickBot="1" x14ac:dyDescent="0.3">
      <c r="A88" s="191"/>
      <c r="B88" s="150" t="s">
        <v>741</v>
      </c>
      <c r="C88" s="151" t="s">
        <v>742</v>
      </c>
      <c r="D88" s="151" t="s">
        <v>475</v>
      </c>
      <c r="E88" s="154" t="s">
        <v>21</v>
      </c>
      <c r="F88" s="154"/>
      <c r="G88" s="154"/>
      <c r="H88" s="180"/>
      <c r="I88" s="151" t="s">
        <v>60</v>
      </c>
      <c r="J88" s="151" t="s">
        <v>140</v>
      </c>
      <c r="K88" s="151">
        <v>0</v>
      </c>
      <c r="L88" s="151" t="s">
        <v>743</v>
      </c>
      <c r="M88" s="151" t="s">
        <v>477</v>
      </c>
      <c r="N88" s="154">
        <v>2</v>
      </c>
      <c r="O88" s="181">
        <v>2.0013888888888891</v>
      </c>
      <c r="P88" s="192"/>
    </row>
    <row r="89" spans="1:16" s="123" customFormat="1" x14ac:dyDescent="0.2">
      <c r="B89" s="159"/>
      <c r="C89" s="175"/>
      <c r="D89" s="175"/>
      <c r="E89" s="159"/>
      <c r="F89" s="159"/>
      <c r="G89" s="159"/>
      <c r="H89" s="159"/>
      <c r="I89" s="159"/>
      <c r="J89" s="159"/>
      <c r="K89" s="176"/>
      <c r="L89" s="176"/>
      <c r="M89" s="176"/>
      <c r="N89" s="176"/>
      <c r="O89" s="176"/>
    </row>
    <row r="90" spans="1:16" s="123" customFormat="1" x14ac:dyDescent="0.2">
      <c r="B90" s="159"/>
      <c r="C90" s="175"/>
      <c r="D90" s="175"/>
      <c r="E90" s="159"/>
      <c r="F90" s="159"/>
      <c r="G90" s="159"/>
      <c r="H90" s="159"/>
      <c r="I90" s="159"/>
      <c r="J90" s="159"/>
      <c r="K90" s="176"/>
      <c r="L90" s="176"/>
      <c r="M90" s="176"/>
      <c r="N90" s="176"/>
      <c r="O90" s="176"/>
    </row>
    <row r="91" spans="1:16" s="123" customFormat="1" x14ac:dyDescent="0.2">
      <c r="B91" s="159"/>
      <c r="C91" s="175"/>
      <c r="D91" s="175"/>
      <c r="E91" s="159"/>
      <c r="F91" s="159"/>
      <c r="G91" s="159"/>
      <c r="H91" s="159"/>
      <c r="I91" s="159"/>
      <c r="J91" s="159"/>
      <c r="K91" s="176"/>
      <c r="L91" s="176"/>
      <c r="M91" s="176"/>
      <c r="N91" s="176"/>
      <c r="O91" s="176"/>
    </row>
    <row r="92" spans="1:16" s="123" customFormat="1" x14ac:dyDescent="0.2">
      <c r="B92" s="159"/>
      <c r="C92" s="175"/>
      <c r="D92" s="175"/>
      <c r="E92" s="159"/>
      <c r="F92" s="159"/>
      <c r="G92" s="159"/>
      <c r="H92" s="159"/>
      <c r="I92" s="159"/>
      <c r="J92" s="159"/>
      <c r="K92" s="176"/>
      <c r="L92" s="176"/>
      <c r="M92" s="176"/>
      <c r="N92" s="176"/>
      <c r="O92" s="176"/>
    </row>
    <row r="93" spans="1:16" s="123" customFormat="1" x14ac:dyDescent="0.2">
      <c r="B93" s="159"/>
      <c r="C93" s="175"/>
      <c r="D93" s="175"/>
      <c r="E93" s="159"/>
      <c r="F93" s="159"/>
      <c r="G93" s="159"/>
      <c r="H93" s="159"/>
      <c r="I93" s="159"/>
      <c r="J93" s="159"/>
      <c r="K93" s="176"/>
      <c r="L93" s="176"/>
      <c r="M93" s="176"/>
      <c r="N93" s="176"/>
      <c r="O93" s="176"/>
    </row>
    <row r="94" spans="1:16" s="123" customFormat="1" x14ac:dyDescent="0.2">
      <c r="B94" s="159"/>
      <c r="C94" s="175"/>
      <c r="D94" s="175"/>
      <c r="E94" s="159"/>
      <c r="F94" s="159"/>
      <c r="G94" s="159"/>
      <c r="H94" s="159"/>
      <c r="I94" s="159"/>
      <c r="J94" s="159"/>
      <c r="K94" s="176"/>
      <c r="L94" s="176"/>
      <c r="M94" s="176"/>
      <c r="N94" s="176"/>
      <c r="O94" s="176"/>
    </row>
    <row r="95" spans="1:16" s="123" customFormat="1" x14ac:dyDescent="0.2">
      <c r="B95" s="159"/>
      <c r="C95" s="175"/>
      <c r="D95" s="175"/>
      <c r="E95" s="159"/>
      <c r="F95" s="159"/>
      <c r="G95" s="159"/>
      <c r="H95" s="159"/>
      <c r="I95" s="159"/>
      <c r="J95" s="159"/>
      <c r="K95" s="176"/>
      <c r="L95" s="176"/>
      <c r="M95" s="176"/>
      <c r="N95" s="176"/>
      <c r="O95" s="176"/>
    </row>
    <row r="96" spans="1:16" s="123" customFormat="1" x14ac:dyDescent="0.2">
      <c r="B96" s="159"/>
      <c r="C96" s="175"/>
      <c r="D96" s="175"/>
      <c r="E96" s="159"/>
      <c r="F96" s="159"/>
      <c r="G96" s="159"/>
      <c r="H96" s="159"/>
      <c r="I96" s="159"/>
      <c r="J96" s="159"/>
      <c r="K96" s="176"/>
      <c r="L96" s="176"/>
      <c r="M96" s="176"/>
      <c r="N96" s="176"/>
      <c r="O96" s="176"/>
    </row>
    <row r="97" spans="2:15" s="123" customFormat="1" x14ac:dyDescent="0.2">
      <c r="B97" s="159"/>
      <c r="C97" s="175"/>
      <c r="D97" s="175"/>
      <c r="E97" s="159"/>
      <c r="F97" s="159"/>
      <c r="G97" s="159"/>
      <c r="H97" s="159"/>
      <c r="I97" s="159"/>
      <c r="J97" s="159"/>
      <c r="K97" s="176"/>
      <c r="L97" s="176"/>
      <c r="M97" s="176"/>
      <c r="N97" s="176"/>
      <c r="O97" s="176"/>
    </row>
    <row r="98" spans="2:15" s="123" customFormat="1" x14ac:dyDescent="0.2">
      <c r="B98" s="159"/>
      <c r="C98" s="175"/>
      <c r="D98" s="175"/>
      <c r="E98" s="159"/>
      <c r="F98" s="159"/>
      <c r="G98" s="159"/>
      <c r="H98" s="159"/>
      <c r="I98" s="159"/>
      <c r="J98" s="159"/>
      <c r="K98" s="176"/>
      <c r="L98" s="176"/>
      <c r="M98" s="176"/>
      <c r="N98" s="176"/>
      <c r="O98" s="176"/>
    </row>
    <row r="99" spans="2:15" s="123" customFormat="1" x14ac:dyDescent="0.2">
      <c r="B99" s="159"/>
      <c r="C99" s="175"/>
      <c r="D99" s="175"/>
      <c r="E99" s="159"/>
      <c r="F99" s="159"/>
      <c r="G99" s="159"/>
      <c r="H99" s="159"/>
      <c r="I99" s="159"/>
      <c r="J99" s="159"/>
      <c r="K99" s="176"/>
      <c r="L99" s="176"/>
      <c r="M99" s="176"/>
      <c r="N99" s="176"/>
      <c r="O99" s="176"/>
    </row>
    <row r="100" spans="2:15" s="123" customFormat="1" x14ac:dyDescent="0.2">
      <c r="B100" s="159"/>
      <c r="C100" s="175"/>
      <c r="D100" s="175"/>
      <c r="E100" s="159"/>
      <c r="F100" s="159"/>
      <c r="G100" s="159"/>
      <c r="H100" s="159"/>
      <c r="I100" s="159"/>
      <c r="J100" s="159"/>
      <c r="K100" s="176"/>
      <c r="L100" s="176"/>
      <c r="M100" s="176"/>
      <c r="N100" s="176"/>
      <c r="O100" s="176"/>
    </row>
    <row r="101" spans="2:15" s="123" customFormat="1" x14ac:dyDescent="0.2">
      <c r="B101" s="159"/>
      <c r="C101" s="175"/>
      <c r="D101" s="175"/>
      <c r="E101" s="159"/>
      <c r="F101" s="159"/>
      <c r="G101" s="159"/>
      <c r="H101" s="159"/>
      <c r="I101" s="159"/>
      <c r="J101" s="159"/>
      <c r="K101" s="176"/>
      <c r="L101" s="176"/>
      <c r="M101" s="176"/>
      <c r="N101" s="176"/>
      <c r="O101" s="176"/>
    </row>
    <row r="102" spans="2:15" s="123" customFormat="1" x14ac:dyDescent="0.2">
      <c r="B102" s="159"/>
      <c r="C102" s="175"/>
      <c r="D102" s="175"/>
      <c r="E102" s="159"/>
      <c r="F102" s="159"/>
      <c r="G102" s="159"/>
      <c r="H102" s="159"/>
      <c r="I102" s="159"/>
      <c r="J102" s="159"/>
      <c r="K102" s="176"/>
      <c r="L102" s="176"/>
      <c r="M102" s="176"/>
      <c r="N102" s="176"/>
      <c r="O102" s="176"/>
    </row>
    <row r="103" spans="2:15" s="123" customFormat="1" x14ac:dyDescent="0.2">
      <c r="B103" s="159"/>
      <c r="C103" s="175"/>
      <c r="D103" s="175"/>
      <c r="E103" s="159"/>
      <c r="F103" s="159"/>
      <c r="G103" s="159"/>
      <c r="H103" s="159"/>
      <c r="I103" s="159"/>
      <c r="J103" s="159"/>
      <c r="K103" s="176"/>
      <c r="L103" s="176"/>
      <c r="M103" s="176"/>
      <c r="N103" s="176"/>
      <c r="O103" s="176"/>
    </row>
    <row r="104" spans="2:15" s="123" customFormat="1" x14ac:dyDescent="0.2">
      <c r="B104" s="159"/>
      <c r="C104" s="175"/>
      <c r="D104" s="175"/>
      <c r="E104" s="159"/>
      <c r="F104" s="159"/>
      <c r="G104" s="159"/>
      <c r="H104" s="159"/>
      <c r="I104" s="159"/>
      <c r="J104" s="159"/>
      <c r="K104" s="176"/>
      <c r="L104" s="176"/>
      <c r="M104" s="176"/>
      <c r="N104" s="176"/>
      <c r="O104" s="176"/>
    </row>
    <row r="105" spans="2:15" s="123" customFormat="1" x14ac:dyDescent="0.2">
      <c r="B105" s="159"/>
      <c r="C105" s="175"/>
      <c r="D105" s="175"/>
      <c r="E105" s="159"/>
      <c r="F105" s="159"/>
      <c r="G105" s="159"/>
      <c r="H105" s="159"/>
      <c r="I105" s="159"/>
      <c r="J105" s="159"/>
      <c r="K105" s="176"/>
      <c r="L105" s="176"/>
      <c r="M105" s="176"/>
      <c r="N105" s="176"/>
      <c r="O105" s="176"/>
    </row>
    <row r="106" spans="2:15" s="123" customFormat="1" x14ac:dyDescent="0.2">
      <c r="B106" s="159"/>
      <c r="C106" s="175"/>
      <c r="D106" s="175"/>
      <c r="E106" s="159"/>
      <c r="F106" s="159"/>
      <c r="G106" s="159"/>
      <c r="H106" s="159"/>
      <c r="I106" s="159"/>
      <c r="J106" s="159"/>
      <c r="K106" s="176"/>
      <c r="L106" s="176"/>
      <c r="M106" s="176"/>
      <c r="N106" s="176"/>
      <c r="O106" s="176"/>
    </row>
    <row r="107" spans="2:15" s="123" customFormat="1" x14ac:dyDescent="0.2">
      <c r="B107" s="159"/>
      <c r="C107" s="175"/>
      <c r="D107" s="175"/>
      <c r="E107" s="159"/>
      <c r="F107" s="159"/>
      <c r="G107" s="159"/>
      <c r="H107" s="159"/>
      <c r="I107" s="159"/>
      <c r="J107" s="159"/>
      <c r="K107" s="176"/>
      <c r="L107" s="176"/>
      <c r="M107" s="176"/>
      <c r="N107" s="176"/>
      <c r="O107" s="176"/>
    </row>
    <row r="108" spans="2:15" s="123" customFormat="1" x14ac:dyDescent="0.2">
      <c r="B108" s="159"/>
      <c r="C108" s="175"/>
      <c r="D108" s="175"/>
      <c r="E108" s="159"/>
      <c r="F108" s="159"/>
      <c r="G108" s="159"/>
      <c r="H108" s="159"/>
      <c r="I108" s="159"/>
      <c r="J108" s="159"/>
      <c r="K108" s="176"/>
      <c r="L108" s="176"/>
      <c r="M108" s="176"/>
      <c r="N108" s="176"/>
      <c r="O108" s="176"/>
    </row>
    <row r="109" spans="2:15" s="123" customFormat="1" x14ac:dyDescent="0.2">
      <c r="B109" s="159"/>
      <c r="C109" s="175"/>
      <c r="D109" s="175"/>
      <c r="E109" s="159"/>
      <c r="F109" s="159"/>
      <c r="G109" s="159"/>
      <c r="H109" s="159"/>
      <c r="I109" s="159"/>
      <c r="J109" s="159"/>
      <c r="K109" s="176"/>
      <c r="L109" s="176"/>
      <c r="M109" s="176"/>
      <c r="N109" s="176"/>
      <c r="O109" s="176"/>
    </row>
    <row r="110" spans="2:15" s="123" customFormat="1" x14ac:dyDescent="0.2">
      <c r="B110" s="159"/>
      <c r="C110" s="175"/>
      <c r="D110" s="175"/>
      <c r="E110" s="159"/>
      <c r="F110" s="159"/>
      <c r="G110" s="159"/>
      <c r="H110" s="159"/>
      <c r="I110" s="159"/>
      <c r="J110" s="159"/>
      <c r="K110" s="176"/>
      <c r="L110" s="176"/>
      <c r="M110" s="176"/>
      <c r="N110" s="176"/>
      <c r="O110" s="176"/>
    </row>
    <row r="111" spans="2:15" s="123" customFormat="1" x14ac:dyDescent="0.2">
      <c r="B111" s="159"/>
      <c r="C111" s="175"/>
      <c r="D111" s="175"/>
      <c r="E111" s="159"/>
      <c r="F111" s="159"/>
      <c r="G111" s="159"/>
      <c r="H111" s="159"/>
      <c r="I111" s="159"/>
      <c r="J111" s="159"/>
      <c r="K111" s="176"/>
      <c r="L111" s="176"/>
      <c r="M111" s="176"/>
      <c r="N111" s="176"/>
      <c r="O111" s="176"/>
    </row>
    <row r="112" spans="2:15" s="123" customFormat="1" x14ac:dyDescent="0.2">
      <c r="B112" s="159"/>
      <c r="C112" s="175"/>
      <c r="D112" s="175"/>
      <c r="E112" s="159"/>
      <c r="F112" s="159"/>
      <c r="G112" s="159"/>
      <c r="H112" s="159"/>
      <c r="I112" s="159"/>
      <c r="J112" s="159"/>
      <c r="K112" s="176"/>
      <c r="L112" s="176"/>
      <c r="M112" s="176"/>
      <c r="N112" s="176"/>
      <c r="O112" s="176"/>
    </row>
    <row r="113" spans="2:15" s="123" customFormat="1" x14ac:dyDescent="0.2">
      <c r="B113" s="159"/>
      <c r="C113" s="175"/>
      <c r="D113" s="175"/>
      <c r="E113" s="159"/>
      <c r="F113" s="159"/>
      <c r="G113" s="159"/>
      <c r="H113" s="159"/>
      <c r="I113" s="159"/>
      <c r="J113" s="159"/>
      <c r="K113" s="176"/>
      <c r="L113" s="176"/>
      <c r="M113" s="176"/>
      <c r="N113" s="176"/>
      <c r="O113" s="176"/>
    </row>
    <row r="114" spans="2:15" s="123" customFormat="1" x14ac:dyDescent="0.2">
      <c r="B114" s="159"/>
      <c r="C114" s="175"/>
      <c r="D114" s="175"/>
      <c r="E114" s="159"/>
      <c r="F114" s="159"/>
      <c r="G114" s="159"/>
      <c r="H114" s="159"/>
      <c r="I114" s="159"/>
      <c r="J114" s="159"/>
      <c r="K114" s="176"/>
      <c r="L114" s="176"/>
      <c r="M114" s="176"/>
      <c r="N114" s="176"/>
      <c r="O114" s="176"/>
    </row>
    <row r="115" spans="2:15" s="123" customFormat="1" x14ac:dyDescent="0.2">
      <c r="B115" s="159"/>
      <c r="C115" s="175"/>
      <c r="D115" s="175"/>
      <c r="E115" s="159"/>
      <c r="F115" s="159"/>
      <c r="G115" s="159"/>
      <c r="H115" s="159"/>
      <c r="I115" s="159"/>
      <c r="J115" s="159"/>
      <c r="K115" s="176"/>
      <c r="L115" s="176"/>
      <c r="M115" s="176"/>
      <c r="N115" s="176"/>
      <c r="O115" s="176"/>
    </row>
    <row r="116" spans="2:15" s="123" customFormat="1" x14ac:dyDescent="0.2">
      <c r="B116" s="159"/>
      <c r="C116" s="175"/>
      <c r="D116" s="175"/>
      <c r="E116" s="159"/>
      <c r="F116" s="159"/>
      <c r="G116" s="159"/>
      <c r="H116" s="159"/>
      <c r="I116" s="159"/>
      <c r="J116" s="159"/>
      <c r="K116" s="176"/>
      <c r="L116" s="176"/>
      <c r="M116" s="176"/>
      <c r="N116" s="176"/>
      <c r="O116" s="176"/>
    </row>
    <row r="117" spans="2:15" s="123" customFormat="1" x14ac:dyDescent="0.2">
      <c r="B117" s="159"/>
      <c r="C117" s="175"/>
      <c r="D117" s="175"/>
      <c r="E117" s="159"/>
      <c r="F117" s="159"/>
      <c r="G117" s="159"/>
      <c r="H117" s="159"/>
      <c r="I117" s="159"/>
      <c r="J117" s="159"/>
      <c r="K117" s="176"/>
      <c r="L117" s="176"/>
      <c r="M117" s="176"/>
      <c r="N117" s="176"/>
      <c r="O117" s="176"/>
    </row>
    <row r="118" spans="2:15" s="123" customFormat="1" x14ac:dyDescent="0.2">
      <c r="B118" s="159"/>
      <c r="C118" s="175"/>
      <c r="D118" s="175"/>
      <c r="E118" s="159"/>
      <c r="F118" s="159"/>
      <c r="G118" s="159"/>
      <c r="H118" s="159"/>
      <c r="I118" s="159"/>
      <c r="J118" s="159"/>
      <c r="K118" s="176"/>
      <c r="L118" s="176"/>
      <c r="M118" s="176"/>
      <c r="N118" s="176"/>
      <c r="O118" s="176"/>
    </row>
    <row r="119" spans="2:15" s="123" customFormat="1" x14ac:dyDescent="0.2">
      <c r="B119" s="159"/>
      <c r="C119" s="175"/>
      <c r="D119" s="175"/>
      <c r="E119" s="159"/>
      <c r="F119" s="159"/>
      <c r="G119" s="159"/>
      <c r="H119" s="159"/>
      <c r="I119" s="159"/>
      <c r="J119" s="159"/>
      <c r="K119" s="176"/>
      <c r="L119" s="176"/>
      <c r="M119" s="176"/>
      <c r="N119" s="176"/>
      <c r="O119" s="176"/>
    </row>
    <row r="120" spans="2:15" s="123" customFormat="1" x14ac:dyDescent="0.2">
      <c r="B120" s="159"/>
      <c r="C120" s="175"/>
      <c r="D120" s="175"/>
      <c r="E120" s="159"/>
      <c r="F120" s="159"/>
      <c r="G120" s="159"/>
      <c r="H120" s="159"/>
      <c r="I120" s="159"/>
      <c r="J120" s="159"/>
      <c r="K120" s="176"/>
      <c r="L120" s="176"/>
      <c r="M120" s="176"/>
      <c r="N120" s="176"/>
      <c r="O120" s="176"/>
    </row>
    <row r="121" spans="2:15" s="123" customFormat="1" x14ac:dyDescent="0.2">
      <c r="B121" s="159"/>
      <c r="C121" s="175"/>
      <c r="D121" s="175"/>
      <c r="E121" s="159"/>
      <c r="F121" s="159"/>
      <c r="G121" s="159"/>
      <c r="H121" s="159"/>
      <c r="I121" s="159"/>
      <c r="J121" s="159"/>
      <c r="K121" s="176"/>
      <c r="L121" s="176"/>
      <c r="M121" s="176"/>
      <c r="N121" s="176"/>
      <c r="O121" s="176"/>
    </row>
    <row r="122" spans="2:15" s="123" customFormat="1" x14ac:dyDescent="0.2">
      <c r="B122" s="159"/>
      <c r="C122" s="175"/>
      <c r="D122" s="175"/>
      <c r="E122" s="159"/>
      <c r="F122" s="159"/>
      <c r="G122" s="159"/>
      <c r="H122" s="159"/>
      <c r="I122" s="159"/>
      <c r="J122" s="159"/>
      <c r="K122" s="176"/>
      <c r="L122" s="176"/>
      <c r="M122" s="176"/>
      <c r="N122" s="176"/>
      <c r="O122" s="176"/>
    </row>
    <row r="123" spans="2:15" s="123" customFormat="1" x14ac:dyDescent="0.2">
      <c r="B123" s="159"/>
      <c r="C123" s="175"/>
      <c r="D123" s="175"/>
      <c r="E123" s="159"/>
      <c r="F123" s="159"/>
      <c r="G123" s="159"/>
      <c r="H123" s="159"/>
      <c r="I123" s="159"/>
      <c r="J123" s="159"/>
      <c r="K123" s="176"/>
      <c r="L123" s="176"/>
      <c r="M123" s="176"/>
      <c r="N123" s="176"/>
      <c r="O123" s="176"/>
    </row>
    <row r="124" spans="2:15" s="123" customFormat="1" x14ac:dyDescent="0.2">
      <c r="B124" s="159"/>
      <c r="C124" s="175"/>
      <c r="D124" s="175"/>
      <c r="E124" s="159"/>
      <c r="F124" s="159"/>
      <c r="G124" s="159"/>
      <c r="H124" s="159"/>
      <c r="I124" s="159"/>
      <c r="J124" s="159"/>
      <c r="K124" s="176"/>
      <c r="L124" s="176"/>
      <c r="M124" s="176"/>
      <c r="N124" s="176"/>
      <c r="O124" s="176"/>
    </row>
    <row r="125" spans="2:15" s="123" customFormat="1" x14ac:dyDescent="0.2">
      <c r="B125" s="159"/>
      <c r="C125" s="175"/>
      <c r="D125" s="175"/>
      <c r="E125" s="159"/>
      <c r="F125" s="159"/>
      <c r="G125" s="159"/>
      <c r="H125" s="159"/>
      <c r="I125" s="159"/>
      <c r="J125" s="159"/>
      <c r="K125" s="176"/>
      <c r="L125" s="176"/>
      <c r="M125" s="176"/>
      <c r="N125" s="176"/>
      <c r="O125" s="176"/>
    </row>
    <row r="126" spans="2:15" s="123" customFormat="1" x14ac:dyDescent="0.2">
      <c r="B126" s="159"/>
      <c r="C126" s="175"/>
      <c r="D126" s="175"/>
      <c r="E126" s="159"/>
      <c r="F126" s="159"/>
      <c r="G126" s="159"/>
      <c r="H126" s="159"/>
      <c r="I126" s="159"/>
      <c r="J126" s="159"/>
      <c r="K126" s="176"/>
      <c r="L126" s="176"/>
      <c r="M126" s="176"/>
      <c r="N126" s="176"/>
      <c r="O126" s="176"/>
    </row>
    <row r="127" spans="2:15" s="123" customFormat="1" x14ac:dyDescent="0.2">
      <c r="B127" s="159"/>
      <c r="C127" s="175"/>
      <c r="D127" s="175"/>
      <c r="E127" s="159"/>
      <c r="F127" s="159"/>
      <c r="G127" s="159"/>
      <c r="H127" s="159"/>
      <c r="I127" s="159"/>
      <c r="J127" s="159"/>
      <c r="K127" s="176"/>
      <c r="L127" s="176"/>
      <c r="M127" s="176"/>
      <c r="N127" s="176"/>
      <c r="O127" s="176"/>
    </row>
    <row r="128" spans="2:15" s="123" customFormat="1" ht="66" customHeight="1" x14ac:dyDescent="0.2">
      <c r="B128" s="159"/>
      <c r="C128" s="175"/>
      <c r="D128" s="175"/>
      <c r="E128" s="159"/>
      <c r="F128" s="159"/>
      <c r="G128" s="159"/>
      <c r="H128" s="159"/>
      <c r="I128" s="159"/>
      <c r="J128" s="159"/>
      <c r="K128" s="176"/>
      <c r="L128" s="176"/>
      <c r="M128" s="176"/>
      <c r="N128" s="176"/>
      <c r="O128" s="176"/>
    </row>
    <row r="129" spans="2:10" s="123" customFormat="1" x14ac:dyDescent="0.2">
      <c r="B129" s="156"/>
      <c r="C129" s="170"/>
      <c r="D129" s="170"/>
      <c r="E129" s="156"/>
      <c r="F129" s="156"/>
      <c r="G129" s="156"/>
      <c r="H129" s="156"/>
      <c r="I129" s="156"/>
      <c r="J129" s="156"/>
    </row>
    <row r="130" spans="2:10" s="123" customFormat="1" x14ac:dyDescent="0.2">
      <c r="B130" s="156"/>
      <c r="C130" s="170"/>
      <c r="D130" s="170"/>
      <c r="E130" s="156"/>
      <c r="F130" s="156"/>
      <c r="G130" s="156"/>
      <c r="H130" s="156"/>
      <c r="I130" s="156"/>
      <c r="J130" s="156"/>
    </row>
    <row r="131" spans="2:10" s="123" customFormat="1" x14ac:dyDescent="0.2">
      <c r="B131" s="156"/>
      <c r="C131" s="170"/>
      <c r="D131" s="170"/>
      <c r="E131" s="156"/>
      <c r="F131" s="156"/>
      <c r="G131" s="156"/>
      <c r="H131" s="156"/>
      <c r="I131" s="156"/>
      <c r="J131" s="156"/>
    </row>
    <row r="132" spans="2:10" s="123" customFormat="1" x14ac:dyDescent="0.2">
      <c r="B132" s="156"/>
      <c r="C132" s="170"/>
      <c r="D132" s="170"/>
      <c r="E132" s="156"/>
      <c r="F132" s="156"/>
      <c r="G132" s="156"/>
      <c r="H132" s="156"/>
      <c r="I132" s="156"/>
      <c r="J132" s="156"/>
    </row>
    <row r="133" spans="2:10" s="123" customFormat="1" x14ac:dyDescent="0.2">
      <c r="B133" s="156"/>
      <c r="C133" s="170"/>
      <c r="D133" s="170"/>
      <c r="E133" s="156"/>
      <c r="F133" s="156"/>
      <c r="G133" s="156"/>
      <c r="H133" s="156"/>
      <c r="I133" s="156"/>
      <c r="J133" s="156"/>
    </row>
    <row r="134" spans="2:10" s="123" customFormat="1" x14ac:dyDescent="0.2">
      <c r="B134" s="156"/>
      <c r="C134" s="170"/>
      <c r="D134" s="170"/>
      <c r="E134" s="156"/>
      <c r="F134" s="156"/>
      <c r="G134" s="156"/>
      <c r="H134" s="156"/>
      <c r="I134" s="156"/>
      <c r="J134" s="156"/>
    </row>
    <row r="135" spans="2:10" s="123" customFormat="1" x14ac:dyDescent="0.2">
      <c r="B135" s="156"/>
      <c r="C135" s="170"/>
      <c r="D135" s="170"/>
      <c r="E135" s="156"/>
      <c r="F135" s="156"/>
      <c r="G135" s="156"/>
      <c r="H135" s="156"/>
      <c r="I135" s="156"/>
      <c r="J135" s="156"/>
    </row>
    <row r="136" spans="2:10" s="123" customFormat="1" x14ac:dyDescent="0.2">
      <c r="B136" s="156"/>
      <c r="C136" s="170"/>
      <c r="D136" s="170"/>
      <c r="E136" s="156"/>
      <c r="F136" s="156"/>
      <c r="G136" s="156"/>
      <c r="H136" s="156"/>
      <c r="I136" s="156"/>
      <c r="J136" s="156"/>
    </row>
    <row r="137" spans="2:10" s="123" customFormat="1" x14ac:dyDescent="0.2">
      <c r="B137" s="156"/>
      <c r="C137" s="170"/>
      <c r="D137" s="170"/>
      <c r="E137" s="156"/>
      <c r="F137" s="156"/>
      <c r="G137" s="156"/>
      <c r="H137" s="156"/>
      <c r="I137" s="156"/>
      <c r="J137" s="156"/>
    </row>
    <row r="138" spans="2:10" s="123" customFormat="1" x14ac:dyDescent="0.2">
      <c r="B138" s="156"/>
      <c r="C138" s="170"/>
      <c r="D138" s="170"/>
      <c r="E138" s="156"/>
      <c r="F138" s="156"/>
      <c r="G138" s="156"/>
      <c r="H138" s="156"/>
      <c r="I138" s="156"/>
      <c r="J138" s="156"/>
    </row>
    <row r="139" spans="2:10" s="123" customFormat="1" x14ac:dyDescent="0.2">
      <c r="B139" s="156"/>
      <c r="C139" s="170"/>
      <c r="D139" s="170"/>
      <c r="E139" s="156"/>
      <c r="F139" s="156"/>
      <c r="G139" s="156"/>
      <c r="H139" s="156"/>
      <c r="I139" s="156"/>
      <c r="J139" s="156"/>
    </row>
    <row r="140" spans="2:10" s="123" customFormat="1" x14ac:dyDescent="0.2">
      <c r="B140" s="156"/>
      <c r="C140" s="170"/>
      <c r="D140" s="170"/>
      <c r="E140" s="156"/>
      <c r="F140" s="156"/>
      <c r="G140" s="156"/>
      <c r="H140" s="156"/>
      <c r="I140" s="156"/>
      <c r="J140" s="156"/>
    </row>
    <row r="141" spans="2:10" s="123" customFormat="1" x14ac:dyDescent="0.2">
      <c r="B141" s="156"/>
      <c r="C141" s="170"/>
      <c r="D141" s="170"/>
      <c r="E141" s="156"/>
      <c r="F141" s="156"/>
      <c r="G141" s="156"/>
      <c r="H141" s="156"/>
      <c r="I141" s="156"/>
      <c r="J141" s="156"/>
    </row>
    <row r="142" spans="2:10" s="123" customFormat="1" x14ac:dyDescent="0.2">
      <c r="B142" s="156"/>
      <c r="C142" s="170"/>
      <c r="D142" s="170"/>
      <c r="E142" s="156"/>
      <c r="F142" s="156"/>
      <c r="G142" s="156"/>
      <c r="H142" s="156"/>
      <c r="I142" s="156"/>
      <c r="J142" s="156"/>
    </row>
    <row r="143" spans="2:10" s="123" customFormat="1" x14ac:dyDescent="0.2">
      <c r="B143" s="156"/>
      <c r="C143" s="170"/>
      <c r="D143" s="170"/>
      <c r="E143" s="156"/>
      <c r="F143" s="156"/>
      <c r="G143" s="156"/>
      <c r="H143" s="156"/>
      <c r="I143" s="156"/>
      <c r="J143" s="156"/>
    </row>
    <row r="144" spans="2:10" s="123" customFormat="1" x14ac:dyDescent="0.2">
      <c r="B144" s="156"/>
      <c r="C144" s="170"/>
      <c r="D144" s="170"/>
      <c r="E144" s="156"/>
      <c r="F144" s="156"/>
      <c r="G144" s="156"/>
      <c r="H144" s="156"/>
      <c r="I144" s="156"/>
      <c r="J144" s="156"/>
    </row>
    <row r="145" spans="2:10" s="123" customFormat="1" x14ac:dyDescent="0.2">
      <c r="B145" s="156"/>
      <c r="C145" s="170"/>
      <c r="D145" s="170"/>
      <c r="E145" s="156"/>
      <c r="F145" s="156"/>
      <c r="G145" s="156"/>
      <c r="H145" s="156"/>
      <c r="I145" s="156"/>
      <c r="J145" s="156"/>
    </row>
    <row r="146" spans="2:10" s="123" customFormat="1" x14ac:dyDescent="0.2">
      <c r="B146" s="156"/>
      <c r="C146" s="170"/>
      <c r="D146" s="170"/>
      <c r="E146" s="156"/>
      <c r="F146" s="156"/>
      <c r="G146" s="156"/>
      <c r="H146" s="156"/>
      <c r="I146" s="156"/>
      <c r="J146" s="156"/>
    </row>
    <row r="147" spans="2:10" s="123" customFormat="1" x14ac:dyDescent="0.2">
      <c r="B147" s="156"/>
      <c r="C147" s="170"/>
      <c r="D147" s="170"/>
      <c r="E147" s="156"/>
      <c r="F147" s="156"/>
      <c r="G147" s="156"/>
      <c r="H147" s="156"/>
      <c r="I147" s="156"/>
      <c r="J147" s="156"/>
    </row>
    <row r="148" spans="2:10" s="123" customFormat="1" x14ac:dyDescent="0.2">
      <c r="B148" s="156"/>
      <c r="C148" s="170"/>
      <c r="D148" s="170"/>
      <c r="E148" s="156"/>
      <c r="F148" s="156"/>
      <c r="G148" s="156"/>
      <c r="H148" s="156"/>
      <c r="I148" s="156"/>
      <c r="J148" s="156"/>
    </row>
    <row r="149" spans="2:10" s="123" customFormat="1" x14ac:dyDescent="0.2">
      <c r="B149" s="156"/>
      <c r="C149" s="170"/>
      <c r="D149" s="170"/>
      <c r="E149" s="156"/>
      <c r="F149" s="156"/>
      <c r="G149" s="156"/>
      <c r="H149" s="156"/>
      <c r="I149" s="156"/>
      <c r="J149" s="156"/>
    </row>
    <row r="150" spans="2:10" s="123" customFormat="1" x14ac:dyDescent="0.2">
      <c r="B150" s="156"/>
      <c r="C150" s="170"/>
      <c r="D150" s="170"/>
      <c r="E150" s="156"/>
      <c r="F150" s="156"/>
      <c r="G150" s="156"/>
      <c r="H150" s="156"/>
      <c r="I150" s="156"/>
      <c r="J150" s="156"/>
    </row>
    <row r="151" spans="2:10" s="123" customFormat="1" x14ac:dyDescent="0.2">
      <c r="B151" s="156"/>
      <c r="C151" s="170"/>
      <c r="D151" s="170"/>
      <c r="E151" s="156"/>
      <c r="F151" s="156"/>
      <c r="G151" s="156"/>
      <c r="H151" s="156"/>
      <c r="I151" s="156"/>
      <c r="J151" s="156"/>
    </row>
    <row r="152" spans="2:10" s="123" customFormat="1" x14ac:dyDescent="0.2">
      <c r="B152" s="156"/>
      <c r="C152" s="170"/>
      <c r="D152" s="170"/>
      <c r="E152" s="156"/>
      <c r="F152" s="156"/>
      <c r="G152" s="156"/>
      <c r="H152" s="156"/>
      <c r="I152" s="156"/>
      <c r="J152" s="156"/>
    </row>
    <row r="153" spans="2:10" s="123" customFormat="1" x14ac:dyDescent="0.2">
      <c r="B153" s="156"/>
      <c r="C153" s="170"/>
      <c r="D153" s="170"/>
      <c r="E153" s="156"/>
      <c r="F153" s="156"/>
      <c r="G153" s="156"/>
      <c r="H153" s="156"/>
      <c r="I153" s="156"/>
      <c r="J153" s="156"/>
    </row>
    <row r="154" spans="2:10" s="123" customFormat="1" x14ac:dyDescent="0.2">
      <c r="B154" s="156"/>
      <c r="C154" s="170"/>
      <c r="D154" s="170"/>
      <c r="E154" s="156"/>
      <c r="F154" s="156"/>
      <c r="G154" s="156"/>
      <c r="H154" s="156"/>
      <c r="I154" s="156"/>
      <c r="J154" s="156"/>
    </row>
    <row r="155" spans="2:10" s="123" customFormat="1" x14ac:dyDescent="0.2">
      <c r="B155" s="156"/>
      <c r="C155" s="170"/>
      <c r="D155" s="170"/>
      <c r="E155" s="156"/>
      <c r="F155" s="156"/>
      <c r="G155" s="156"/>
      <c r="H155" s="156"/>
      <c r="I155" s="156"/>
      <c r="J155" s="156"/>
    </row>
    <row r="156" spans="2:10" s="123" customFormat="1" x14ac:dyDescent="0.2">
      <c r="B156" s="156"/>
      <c r="C156" s="170"/>
      <c r="D156" s="170"/>
      <c r="E156" s="156"/>
      <c r="F156" s="156"/>
      <c r="G156" s="156"/>
      <c r="H156" s="156"/>
      <c r="I156" s="156"/>
      <c r="J156" s="156"/>
    </row>
    <row r="157" spans="2:10" s="123" customFormat="1" x14ac:dyDescent="0.2">
      <c r="B157" s="156"/>
      <c r="C157" s="170"/>
      <c r="D157" s="170"/>
      <c r="E157" s="156"/>
      <c r="F157" s="156"/>
      <c r="G157" s="156"/>
      <c r="H157" s="156"/>
      <c r="I157" s="156"/>
      <c r="J157" s="156"/>
    </row>
    <row r="158" spans="2:10" s="123" customFormat="1" x14ac:dyDescent="0.2">
      <c r="B158" s="156"/>
      <c r="C158" s="170"/>
      <c r="D158" s="170"/>
      <c r="E158" s="156"/>
      <c r="F158" s="156"/>
      <c r="G158" s="156"/>
      <c r="H158" s="156"/>
      <c r="I158" s="156"/>
      <c r="J158" s="156"/>
    </row>
    <row r="159" spans="2:10" s="123" customFormat="1" x14ac:dyDescent="0.2">
      <c r="B159" s="156"/>
      <c r="C159" s="170"/>
      <c r="D159" s="170"/>
      <c r="E159" s="156"/>
      <c r="F159" s="156"/>
      <c r="G159" s="156"/>
      <c r="H159" s="156"/>
      <c r="I159" s="156"/>
      <c r="J159" s="156"/>
    </row>
    <row r="160" spans="2:10" s="123" customFormat="1" x14ac:dyDescent="0.2">
      <c r="B160" s="156"/>
      <c r="C160" s="170"/>
      <c r="D160" s="170"/>
      <c r="E160" s="156"/>
      <c r="F160" s="156"/>
      <c r="G160" s="156"/>
      <c r="H160" s="156"/>
      <c r="I160" s="156"/>
      <c r="J160" s="156"/>
    </row>
    <row r="161" spans="2:10" s="123" customFormat="1" x14ac:dyDescent="0.2">
      <c r="B161" s="156"/>
      <c r="C161" s="170"/>
      <c r="D161" s="170"/>
      <c r="E161" s="156"/>
      <c r="F161" s="156"/>
      <c r="G161" s="156"/>
      <c r="H161" s="156"/>
      <c r="I161" s="156"/>
      <c r="J161" s="156"/>
    </row>
    <row r="162" spans="2:10" s="123" customFormat="1" x14ac:dyDescent="0.2">
      <c r="B162" s="156"/>
      <c r="C162" s="170"/>
      <c r="D162" s="170"/>
      <c r="E162" s="156"/>
      <c r="F162" s="156"/>
      <c r="G162" s="156"/>
      <c r="H162" s="156"/>
      <c r="I162" s="156"/>
      <c r="J162" s="156"/>
    </row>
    <row r="163" spans="2:10" s="123" customFormat="1" x14ac:dyDescent="0.2">
      <c r="B163" s="156"/>
      <c r="C163" s="170"/>
      <c r="D163" s="170"/>
      <c r="E163" s="156"/>
      <c r="F163" s="156"/>
      <c r="G163" s="156"/>
      <c r="H163" s="156"/>
      <c r="I163" s="156"/>
      <c r="J163" s="156"/>
    </row>
    <row r="164" spans="2:10" s="123" customFormat="1" x14ac:dyDescent="0.2">
      <c r="B164" s="156"/>
      <c r="C164" s="170"/>
      <c r="D164" s="170"/>
      <c r="E164" s="156"/>
      <c r="F164" s="156"/>
      <c r="G164" s="156"/>
      <c r="H164" s="156"/>
      <c r="I164" s="156"/>
      <c r="J164" s="156"/>
    </row>
    <row r="165" spans="2:10" s="123" customFormat="1" x14ac:dyDescent="0.2">
      <c r="B165" s="156"/>
      <c r="C165" s="170"/>
      <c r="D165" s="170"/>
      <c r="E165" s="156"/>
      <c r="F165" s="156"/>
      <c r="G165" s="156"/>
      <c r="H165" s="156"/>
      <c r="I165" s="156"/>
      <c r="J165" s="156"/>
    </row>
    <row r="166" spans="2:10" s="123" customFormat="1" x14ac:dyDescent="0.2">
      <c r="B166" s="156"/>
      <c r="C166" s="170"/>
      <c r="D166" s="170"/>
      <c r="E166" s="156"/>
      <c r="F166" s="156"/>
      <c r="G166" s="156"/>
      <c r="H166" s="156"/>
      <c r="I166" s="156"/>
      <c r="J166" s="156"/>
    </row>
    <row r="167" spans="2:10" s="123" customFormat="1" x14ac:dyDescent="0.2">
      <c r="B167" s="156"/>
      <c r="C167" s="170"/>
      <c r="D167" s="170"/>
      <c r="E167" s="156"/>
      <c r="F167" s="156"/>
      <c r="G167" s="156"/>
      <c r="H167" s="156"/>
      <c r="I167" s="156"/>
      <c r="J167" s="156"/>
    </row>
    <row r="168" spans="2:10" s="123" customFormat="1" x14ac:dyDescent="0.2">
      <c r="B168" s="156"/>
      <c r="C168" s="170"/>
      <c r="D168" s="170"/>
      <c r="E168" s="156"/>
      <c r="F168" s="156"/>
      <c r="G168" s="156"/>
      <c r="H168" s="156"/>
      <c r="I168" s="156"/>
      <c r="J168" s="156"/>
    </row>
    <row r="169" spans="2:10" s="123" customFormat="1" x14ac:dyDescent="0.2">
      <c r="B169" s="156"/>
      <c r="C169" s="170"/>
      <c r="D169" s="170"/>
      <c r="E169" s="156"/>
      <c r="F169" s="156"/>
      <c r="G169" s="156"/>
      <c r="H169" s="156"/>
      <c r="I169" s="156"/>
      <c r="J169" s="156"/>
    </row>
    <row r="170" spans="2:10" s="123" customFormat="1" x14ac:dyDescent="0.2">
      <c r="B170" s="156"/>
      <c r="C170" s="170"/>
      <c r="D170" s="170"/>
      <c r="E170" s="156"/>
      <c r="F170" s="156"/>
      <c r="G170" s="156"/>
      <c r="H170" s="156"/>
      <c r="I170" s="156"/>
      <c r="J170" s="156"/>
    </row>
    <row r="171" spans="2:10" s="123" customFormat="1" x14ac:dyDescent="0.2">
      <c r="B171" s="156"/>
      <c r="C171" s="170"/>
      <c r="D171" s="170"/>
      <c r="E171" s="156"/>
      <c r="F171" s="156"/>
      <c r="G171" s="156"/>
      <c r="H171" s="156"/>
      <c r="I171" s="156"/>
      <c r="J171" s="156"/>
    </row>
    <row r="172" spans="2:10" s="123" customFormat="1" x14ac:dyDescent="0.2">
      <c r="B172" s="156"/>
      <c r="C172" s="170"/>
      <c r="D172" s="170"/>
      <c r="E172" s="156"/>
      <c r="F172" s="156"/>
      <c r="G172" s="156"/>
      <c r="H172" s="156"/>
      <c r="I172" s="156"/>
      <c r="J172" s="156"/>
    </row>
    <row r="173" spans="2:10" s="123" customFormat="1" x14ac:dyDescent="0.2">
      <c r="B173" s="156"/>
      <c r="C173" s="170"/>
      <c r="D173" s="170"/>
      <c r="E173" s="156"/>
      <c r="F173" s="156"/>
      <c r="G173" s="156"/>
      <c r="H173" s="156"/>
      <c r="I173" s="156"/>
      <c r="J173" s="156"/>
    </row>
    <row r="174" spans="2:10" s="123" customFormat="1" x14ac:dyDescent="0.2">
      <c r="B174" s="156"/>
      <c r="C174" s="170"/>
      <c r="D174" s="170"/>
      <c r="E174" s="156"/>
      <c r="F174" s="156"/>
      <c r="G174" s="156"/>
      <c r="H174" s="156"/>
      <c r="I174" s="156"/>
      <c r="J174" s="156"/>
    </row>
    <row r="175" spans="2:10" s="123" customFormat="1" x14ac:dyDescent="0.2">
      <c r="B175" s="156"/>
      <c r="C175" s="170"/>
      <c r="D175" s="170"/>
      <c r="E175" s="156"/>
      <c r="F175" s="156"/>
      <c r="G175" s="156"/>
      <c r="H175" s="156"/>
      <c r="I175" s="156"/>
      <c r="J175" s="156"/>
    </row>
    <row r="176" spans="2:10" s="123" customFormat="1" x14ac:dyDescent="0.2">
      <c r="B176" s="156"/>
      <c r="C176" s="170"/>
      <c r="D176" s="170"/>
      <c r="E176" s="156"/>
      <c r="F176" s="156"/>
      <c r="G176" s="156"/>
      <c r="H176" s="156"/>
      <c r="I176" s="156"/>
      <c r="J176" s="156"/>
    </row>
    <row r="177" spans="2:10" s="123" customFormat="1" x14ac:dyDescent="0.2">
      <c r="B177" s="156"/>
      <c r="C177" s="170"/>
      <c r="D177" s="170"/>
      <c r="E177" s="156"/>
      <c r="F177" s="156"/>
      <c r="G177" s="156"/>
      <c r="H177" s="156"/>
      <c r="I177" s="156"/>
      <c r="J177" s="156"/>
    </row>
    <row r="178" spans="2:10" s="123" customFormat="1" x14ac:dyDescent="0.2">
      <c r="B178" s="156"/>
      <c r="C178" s="170"/>
      <c r="D178" s="170"/>
      <c r="E178" s="156"/>
      <c r="F178" s="156"/>
      <c r="G178" s="156"/>
      <c r="H178" s="156"/>
      <c r="I178" s="156"/>
      <c r="J178" s="156"/>
    </row>
    <row r="179" spans="2:10" s="123" customFormat="1" x14ac:dyDescent="0.2">
      <c r="B179" s="156"/>
      <c r="C179" s="170"/>
      <c r="D179" s="170"/>
      <c r="E179" s="156"/>
      <c r="F179" s="156"/>
      <c r="G179" s="156"/>
      <c r="H179" s="156"/>
      <c r="I179" s="156"/>
      <c r="J179" s="156"/>
    </row>
    <row r="180" spans="2:10" s="123" customFormat="1" x14ac:dyDescent="0.2">
      <c r="B180" s="156"/>
      <c r="C180" s="170"/>
      <c r="D180" s="170"/>
      <c r="E180" s="156"/>
      <c r="F180" s="156"/>
      <c r="G180" s="156"/>
      <c r="H180" s="156"/>
      <c r="I180" s="156"/>
      <c r="J180" s="156"/>
    </row>
  </sheetData>
  <autoFilter ref="A2:J88" xr:uid="{1F478E64-C5A9-4A43-89AA-045599EB1EC1}"/>
  <conditionalFormatting sqref="C3:H12 C15:D35 C61:D74 E15:H27 H28 E29:H44 E46:H48 E45:F45 E52:H66 E49:F51 C76:D87 C75 C57:D59 C56 C37:D55 C36 E69:H88 E67:E68">
    <cfRule type="expression" dxfId="76" priority="29">
      <formula>AND(OR($F3="No",$F3=""), $E3= "Yes",$G3&lt;&gt;"",$H3&lt;&gt;"")</formula>
    </cfRule>
  </conditionalFormatting>
  <conditionalFormatting sqref="N66:O88">
    <cfRule type="expression" dxfId="75" priority="28">
      <formula>AND(OR($E66="No",$E66=""), $D66= "Yes",$F66&lt;&gt;"",$G66&lt;&gt;"")</formula>
    </cfRule>
  </conditionalFormatting>
  <conditionalFormatting sqref="N3:O12 N29:O64 N15:O27">
    <cfRule type="expression" dxfId="74" priority="12">
      <formula>AND(OR($E3="No",$E3=""), $D3= "Yes",$F3&lt;&gt;"",$G3&lt;&gt;"")</formula>
    </cfRule>
  </conditionalFormatting>
  <conditionalFormatting sqref="N65:O65">
    <cfRule type="expression" dxfId="73" priority="11">
      <formula>AND(OR($F65="No",$F65=""), $E65= "Yes",$G65&lt;&gt;"",$H65&lt;&gt;"")</formula>
    </cfRule>
  </conditionalFormatting>
  <conditionalFormatting sqref="N28:O28">
    <cfRule type="expression" dxfId="72" priority="10">
      <formula>AND(OR($F28="No",$F28=""), $E28= "Yes",$G28&lt;&gt;"",$H28&lt;&gt;"")</formula>
    </cfRule>
  </conditionalFormatting>
  <conditionalFormatting sqref="C13:H14">
    <cfRule type="expression" dxfId="71" priority="8">
      <formula>AND(OR($F13="No",$F13=""), $E13= "Yes",$G13&lt;&gt;"",$H13&lt;&gt;"")</formula>
    </cfRule>
  </conditionalFormatting>
  <conditionalFormatting sqref="N13:O14">
    <cfRule type="expression" dxfId="70" priority="7">
      <formula>AND(OR($E13="No",$E13=""), $D13= "Yes",$F13&lt;&gt;"",$G13&lt;&gt;"")</formula>
    </cfRule>
  </conditionalFormatting>
  <conditionalFormatting sqref="G45:H45">
    <cfRule type="expression" dxfId="69" priority="5">
      <formula>AND(OR($E45="No",$E45=""), $F45= "Yes",$G45&lt;&gt;"",$H45&lt;&gt;"")</formula>
    </cfRule>
    <cfRule type="expression" dxfId="68" priority="6">
      <formula>AND(OR($F45="No",$F45=""), $E45= "Yes",$G45&lt;&gt;"",$H45&lt;&gt;"")</formula>
    </cfRule>
  </conditionalFormatting>
  <conditionalFormatting sqref="G49:H51">
    <cfRule type="expression" dxfId="67" priority="3">
      <formula>AND(OR($E49="No",$E49=""), $F49= "Yes",$G49&lt;&gt;"",$H49&lt;&gt;"")</formula>
    </cfRule>
    <cfRule type="expression" dxfId="66" priority="4">
      <formula>AND(OR($F49="No",$F49=""), $E49= "Yes",$G49&lt;&gt;"",$H49&lt;&gt;"")</formula>
    </cfRule>
  </conditionalFormatting>
  <conditionalFormatting sqref="I3:M88">
    <cfRule type="expression" dxfId="65" priority="2">
      <formula>AND(OR($E4="No",$E4=""), $D3= "Yes",$F3&lt;&gt;"",$G3&lt;&gt;"")</formula>
    </cfRule>
  </conditionalFormatting>
  <conditionalFormatting sqref="D75">
    <cfRule type="expression" dxfId="64"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29:E88 E3:E27 K1:K2 K89:K1048576" xr:uid="{DC18D1DE-4330-45F8-AA50-116294833802}">
      <formula1>"Yes, No"</formula1>
    </dataValidation>
  </dataValidations>
  <pageMargins left="0.7" right="0.7" top="0.75" bottom="0.75" header="0.3" footer="0.3"/>
  <pageSetup paperSize="8" scale="59" fitToHeight="0" orientation="landscape"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O180"/>
  <sheetViews>
    <sheetView zoomScale="50" zoomScaleNormal="50" workbookViewId="0">
      <pane ySplit="2" topLeftCell="A27" activePane="bottomLeft" state="frozen"/>
      <selection pane="bottomLeft" activeCell="F37" sqref="F37"/>
    </sheetView>
  </sheetViews>
  <sheetFormatPr defaultColWidth="8.88671875" defaultRowHeight="15" x14ac:dyDescent="0.2"/>
  <cols>
    <col min="1" max="1" width="16.109375" style="2" hidden="1" customWidth="1"/>
    <col min="2" max="2" width="7.77734375" style="18" customWidth="1"/>
    <col min="3" max="3" width="60.77734375" style="2" customWidth="1"/>
    <col min="4" max="4" width="38.77734375" style="2" customWidth="1"/>
    <col min="5" max="6" width="13.88671875" style="18" bestFit="1" customWidth="1"/>
    <col min="7" max="7" width="38.77734375" style="18" customWidth="1"/>
    <col min="8" max="8" width="14.77734375" style="18" customWidth="1"/>
    <col min="9" max="10" width="10.33203125" style="18" customWidth="1"/>
    <col min="11" max="11" width="10.77734375" style="2" hidden="1" customWidth="1"/>
    <col min="12" max="12" width="17" style="2" bestFit="1" customWidth="1"/>
    <col min="13" max="13" width="14.109375" style="2" hidden="1" customWidth="1"/>
    <col min="14" max="14" width="9.88671875" style="2" hidden="1" customWidth="1"/>
    <col min="15" max="15" width="8.77734375" style="2" hidden="1" customWidth="1"/>
    <col min="16" max="16384" width="8.88671875" style="2"/>
  </cols>
  <sheetData>
    <row r="1" spans="1:15" ht="21" customHeight="1" thickBot="1" x14ac:dyDescent="0.3">
      <c r="A1" s="21"/>
      <c r="B1" s="83" t="s">
        <v>47</v>
      </c>
      <c r="C1" s="56" t="s">
        <v>767</v>
      </c>
      <c r="D1" s="5"/>
      <c r="E1" s="19"/>
      <c r="F1" s="19"/>
      <c r="G1" s="19"/>
      <c r="H1" s="19"/>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23" customFormat="1" ht="54" customHeight="1" thickTop="1" x14ac:dyDescent="0.2">
      <c r="A3" s="95"/>
      <c r="B3" s="104" t="s">
        <v>10</v>
      </c>
      <c r="C3" s="92" t="s">
        <v>768</v>
      </c>
      <c r="D3" s="92" t="s">
        <v>483</v>
      </c>
      <c r="E3" s="92" t="s">
        <v>11</v>
      </c>
      <c r="F3" s="92" t="s">
        <v>21</v>
      </c>
      <c r="G3" s="92" t="s">
        <v>746</v>
      </c>
      <c r="H3" s="105" t="s">
        <v>59</v>
      </c>
      <c r="I3" s="92" t="s">
        <v>60</v>
      </c>
      <c r="J3" s="92" t="s">
        <v>61</v>
      </c>
      <c r="K3" s="92">
        <v>0</v>
      </c>
      <c r="L3" s="92" t="s">
        <v>67</v>
      </c>
      <c r="M3" s="92" t="s">
        <v>68</v>
      </c>
      <c r="N3" s="92">
        <v>1</v>
      </c>
      <c r="O3" s="93">
        <v>1.3888888888888889E-3</v>
      </c>
    </row>
    <row r="4" spans="1:15" s="123" customFormat="1" ht="54" customHeight="1" x14ac:dyDescent="0.2">
      <c r="A4" s="95"/>
      <c r="B4" s="69" t="s">
        <v>10</v>
      </c>
      <c r="C4" s="70" t="s">
        <v>769</v>
      </c>
      <c r="D4" s="70" t="s">
        <v>770</v>
      </c>
      <c r="E4" s="70" t="s">
        <v>11</v>
      </c>
      <c r="F4" s="70" t="s">
        <v>21</v>
      </c>
      <c r="G4" s="70" t="s">
        <v>257</v>
      </c>
      <c r="H4" s="80" t="s">
        <v>59</v>
      </c>
      <c r="I4" s="70" t="s">
        <v>60</v>
      </c>
      <c r="J4" s="70" t="s">
        <v>61</v>
      </c>
      <c r="K4" s="70">
        <v>0</v>
      </c>
      <c r="L4" s="70" t="s">
        <v>100</v>
      </c>
      <c r="M4" s="70" t="s">
        <v>63</v>
      </c>
      <c r="N4" s="70">
        <v>1</v>
      </c>
      <c r="O4" s="73">
        <v>2.0833333333333333E-3</v>
      </c>
    </row>
    <row r="5" spans="1:15" s="123" customFormat="1" ht="54" customHeight="1" thickBot="1" x14ac:dyDescent="0.25">
      <c r="A5" s="96"/>
      <c r="B5" s="74" t="s">
        <v>10</v>
      </c>
      <c r="C5" s="75" t="s">
        <v>771</v>
      </c>
      <c r="D5" s="75" t="s">
        <v>487</v>
      </c>
      <c r="E5" s="75" t="s">
        <v>11</v>
      </c>
      <c r="F5" s="75" t="s">
        <v>21</v>
      </c>
      <c r="G5" s="75" t="s">
        <v>290</v>
      </c>
      <c r="H5" s="81" t="s">
        <v>59</v>
      </c>
      <c r="I5" s="75" t="s">
        <v>60</v>
      </c>
      <c r="J5" s="75" t="s">
        <v>61</v>
      </c>
      <c r="K5" s="75">
        <v>0</v>
      </c>
      <c r="L5" s="75" t="s">
        <v>106</v>
      </c>
      <c r="M5" s="75" t="s">
        <v>63</v>
      </c>
      <c r="N5" s="75">
        <v>1</v>
      </c>
      <c r="O5" s="78">
        <v>1.0416666666666667E-3</v>
      </c>
    </row>
    <row r="6" spans="1:15" s="123" customFormat="1" ht="54" customHeight="1" thickTop="1" x14ac:dyDescent="0.2">
      <c r="A6" s="95"/>
      <c r="B6" s="104" t="s">
        <v>13</v>
      </c>
      <c r="C6" s="92" t="s">
        <v>772</v>
      </c>
      <c r="D6" s="92" t="s">
        <v>773</v>
      </c>
      <c r="E6" s="92" t="s">
        <v>11</v>
      </c>
      <c r="F6" s="92" t="s">
        <v>21</v>
      </c>
      <c r="G6" s="92" t="s">
        <v>148</v>
      </c>
      <c r="H6" s="105">
        <v>45341</v>
      </c>
      <c r="I6" s="92" t="s">
        <v>139</v>
      </c>
      <c r="J6" s="92" t="s">
        <v>140</v>
      </c>
      <c r="K6" s="92">
        <v>0</v>
      </c>
      <c r="L6" s="92" t="s">
        <v>141</v>
      </c>
      <c r="M6" s="92" t="s">
        <v>114</v>
      </c>
      <c r="N6" s="92">
        <v>4</v>
      </c>
      <c r="O6" s="93">
        <v>1.736111111111111E-3</v>
      </c>
    </row>
    <row r="7" spans="1:15" s="123" customFormat="1" ht="54" customHeight="1" x14ac:dyDescent="0.2">
      <c r="A7" s="95"/>
      <c r="B7" s="69" t="s">
        <v>13</v>
      </c>
      <c r="C7" s="70" t="s">
        <v>774</v>
      </c>
      <c r="D7" s="70" t="s">
        <v>775</v>
      </c>
      <c r="E7" s="70" t="s">
        <v>11</v>
      </c>
      <c r="F7" s="70" t="s">
        <v>21</v>
      </c>
      <c r="G7" s="70" t="s">
        <v>776</v>
      </c>
      <c r="H7" s="80">
        <v>45343</v>
      </c>
      <c r="I7" s="70" t="s">
        <v>139</v>
      </c>
      <c r="J7" s="70" t="s">
        <v>140</v>
      </c>
      <c r="K7" s="70">
        <v>0</v>
      </c>
      <c r="L7" s="70" t="s">
        <v>141</v>
      </c>
      <c r="M7" s="70" t="s">
        <v>114</v>
      </c>
      <c r="N7" s="70">
        <v>4</v>
      </c>
      <c r="O7" s="73">
        <v>1.736111111111111E-3</v>
      </c>
    </row>
    <row r="8" spans="1:15" s="123" customFormat="1" ht="54" customHeight="1" x14ac:dyDescent="0.2">
      <c r="A8" s="95"/>
      <c r="B8" s="69" t="s">
        <v>13</v>
      </c>
      <c r="C8" s="70" t="s">
        <v>777</v>
      </c>
      <c r="D8" s="70" t="s">
        <v>778</v>
      </c>
      <c r="E8" s="70" t="s">
        <v>11</v>
      </c>
      <c r="F8" s="70" t="s">
        <v>21</v>
      </c>
      <c r="G8" s="70" t="s">
        <v>148</v>
      </c>
      <c r="H8" s="80">
        <v>45341</v>
      </c>
      <c r="I8" s="70" t="s">
        <v>139</v>
      </c>
      <c r="J8" s="70" t="s">
        <v>140</v>
      </c>
      <c r="K8" s="70">
        <v>0</v>
      </c>
      <c r="L8" s="70" t="s">
        <v>141</v>
      </c>
      <c r="M8" s="70" t="s">
        <v>114</v>
      </c>
      <c r="N8" s="70">
        <v>4</v>
      </c>
      <c r="O8" s="73">
        <v>1.736111111111111E-3</v>
      </c>
    </row>
    <row r="9" spans="1:15" s="123" customFormat="1" ht="54" customHeight="1" x14ac:dyDescent="0.2">
      <c r="A9" s="95"/>
      <c r="B9" s="69" t="s">
        <v>13</v>
      </c>
      <c r="C9" s="70" t="s">
        <v>779</v>
      </c>
      <c r="D9" s="70" t="s">
        <v>780</v>
      </c>
      <c r="E9" s="70" t="s">
        <v>11</v>
      </c>
      <c r="F9" s="70" t="s">
        <v>21</v>
      </c>
      <c r="G9" s="70" t="s">
        <v>148</v>
      </c>
      <c r="H9" s="80">
        <v>45342</v>
      </c>
      <c r="I9" s="70" t="s">
        <v>139</v>
      </c>
      <c r="J9" s="70" t="s">
        <v>140</v>
      </c>
      <c r="K9" s="70">
        <v>0</v>
      </c>
      <c r="L9" s="70" t="s">
        <v>141</v>
      </c>
      <c r="M9" s="70" t="s">
        <v>114</v>
      </c>
      <c r="N9" s="70">
        <v>4</v>
      </c>
      <c r="O9" s="73">
        <v>1.736111111111111E-3</v>
      </c>
    </row>
    <row r="10" spans="1:15" s="123" customFormat="1" ht="54" customHeight="1" x14ac:dyDescent="0.2">
      <c r="A10" s="95"/>
      <c r="B10" s="69" t="s">
        <v>13</v>
      </c>
      <c r="C10" s="70" t="s">
        <v>781</v>
      </c>
      <c r="D10" s="70" t="s">
        <v>498</v>
      </c>
      <c r="E10" s="70" t="s">
        <v>11</v>
      </c>
      <c r="F10" s="70" t="s">
        <v>21</v>
      </c>
      <c r="G10" s="70" t="s">
        <v>782</v>
      </c>
      <c r="H10" s="80">
        <v>45342</v>
      </c>
      <c r="I10" s="70" t="s">
        <v>139</v>
      </c>
      <c r="J10" s="70" t="s">
        <v>61</v>
      </c>
      <c r="K10" s="70">
        <v>0</v>
      </c>
      <c r="L10" s="70" t="s">
        <v>500</v>
      </c>
      <c r="M10" s="70" t="s">
        <v>153</v>
      </c>
      <c r="N10" s="70">
        <v>1</v>
      </c>
      <c r="O10" s="73">
        <v>6.9444444444444447E-4</v>
      </c>
    </row>
    <row r="11" spans="1:15" s="123" customFormat="1" ht="54" customHeight="1" x14ac:dyDescent="0.2">
      <c r="A11" s="95"/>
      <c r="B11" s="69" t="s">
        <v>13</v>
      </c>
      <c r="C11" s="70" t="s">
        <v>783</v>
      </c>
      <c r="D11" s="70" t="s">
        <v>502</v>
      </c>
      <c r="E11" s="70" t="s">
        <v>11</v>
      </c>
      <c r="F11" s="70" t="s">
        <v>21</v>
      </c>
      <c r="G11" s="70" t="s">
        <v>784</v>
      </c>
      <c r="H11" s="80">
        <v>45343</v>
      </c>
      <c r="I11" s="70" t="s">
        <v>60</v>
      </c>
      <c r="J11" s="70" t="s">
        <v>140</v>
      </c>
      <c r="K11" s="70">
        <v>0</v>
      </c>
      <c r="L11" s="70" t="s">
        <v>168</v>
      </c>
      <c r="M11" s="70" t="s">
        <v>169</v>
      </c>
      <c r="N11" s="70">
        <v>2</v>
      </c>
      <c r="O11" s="73">
        <v>4.6296296296296293E-4</v>
      </c>
    </row>
    <row r="12" spans="1:15" s="123" customFormat="1" ht="54" customHeight="1" x14ac:dyDescent="0.2">
      <c r="A12" s="95"/>
      <c r="B12" s="69" t="s">
        <v>13</v>
      </c>
      <c r="C12" s="70" t="s">
        <v>785</v>
      </c>
      <c r="D12" s="70" t="s">
        <v>504</v>
      </c>
      <c r="E12" s="70" t="s">
        <v>11</v>
      </c>
      <c r="F12" s="70" t="s">
        <v>21</v>
      </c>
      <c r="G12" s="70" t="s">
        <v>148</v>
      </c>
      <c r="H12" s="80">
        <v>45342</v>
      </c>
      <c r="I12" s="70" t="s">
        <v>60</v>
      </c>
      <c r="J12" s="70" t="s">
        <v>140</v>
      </c>
      <c r="K12" s="70">
        <v>0</v>
      </c>
      <c r="L12" s="70" t="s">
        <v>168</v>
      </c>
      <c r="M12" s="70" t="s">
        <v>169</v>
      </c>
      <c r="N12" s="70">
        <v>2</v>
      </c>
      <c r="O12" s="73">
        <v>4.6296296296296293E-4</v>
      </c>
    </row>
    <row r="13" spans="1:15" s="123" customFormat="1" ht="54" customHeight="1" thickBot="1" x14ac:dyDescent="0.25">
      <c r="A13" s="96"/>
      <c r="B13" s="74" t="s">
        <v>13</v>
      </c>
      <c r="C13" s="75" t="s">
        <v>786</v>
      </c>
      <c r="D13" s="75" t="s">
        <v>506</v>
      </c>
      <c r="E13" s="76" t="s">
        <v>11</v>
      </c>
      <c r="F13" s="76" t="s">
        <v>21</v>
      </c>
      <c r="G13" s="76" t="s">
        <v>183</v>
      </c>
      <c r="H13" s="81">
        <v>45342</v>
      </c>
      <c r="I13" s="75" t="s">
        <v>93</v>
      </c>
      <c r="J13" s="75" t="s">
        <v>61</v>
      </c>
      <c r="K13" s="75">
        <v>0</v>
      </c>
      <c r="L13" s="75" t="s">
        <v>507</v>
      </c>
      <c r="M13" s="75" t="s">
        <v>114</v>
      </c>
      <c r="N13" s="75">
        <v>1</v>
      </c>
      <c r="O13" s="78">
        <v>6.9444444444444447E-4</v>
      </c>
    </row>
    <row r="14" spans="1:15" s="123" customFormat="1" ht="54" customHeight="1" thickTop="1" x14ac:dyDescent="0.2">
      <c r="A14" s="95"/>
      <c r="B14" s="104" t="s">
        <v>16</v>
      </c>
      <c r="C14" s="92" t="s">
        <v>787</v>
      </c>
      <c r="D14" s="92" t="s">
        <v>211</v>
      </c>
      <c r="E14" s="92" t="s">
        <v>11</v>
      </c>
      <c r="F14" s="92" t="s">
        <v>21</v>
      </c>
      <c r="G14" s="92" t="s">
        <v>212</v>
      </c>
      <c r="H14" s="105">
        <v>45341</v>
      </c>
      <c r="I14" s="92" t="s">
        <v>139</v>
      </c>
      <c r="J14" s="92" t="s">
        <v>140</v>
      </c>
      <c r="K14" s="92">
        <v>0</v>
      </c>
      <c r="L14" s="92" t="s">
        <v>213</v>
      </c>
      <c r="M14" s="92" t="s">
        <v>209</v>
      </c>
      <c r="N14" s="92">
        <v>1</v>
      </c>
      <c r="O14" s="93">
        <v>3.4722222222222224E-4</v>
      </c>
    </row>
    <row r="15" spans="1:15" s="123" customFormat="1" ht="54" customHeight="1" x14ac:dyDescent="0.2">
      <c r="A15" s="95"/>
      <c r="B15" s="69" t="s">
        <v>16</v>
      </c>
      <c r="C15" s="70" t="s">
        <v>788</v>
      </c>
      <c r="D15" s="70" t="s">
        <v>211</v>
      </c>
      <c r="E15" s="70" t="s">
        <v>11</v>
      </c>
      <c r="F15" s="70" t="s">
        <v>21</v>
      </c>
      <c r="G15" s="70" t="s">
        <v>212</v>
      </c>
      <c r="H15" s="80">
        <v>45341</v>
      </c>
      <c r="I15" s="70" t="s">
        <v>139</v>
      </c>
      <c r="J15" s="70" t="s">
        <v>140</v>
      </c>
      <c r="K15" s="70">
        <v>0</v>
      </c>
      <c r="L15" s="70" t="s">
        <v>213</v>
      </c>
      <c r="M15" s="70" t="s">
        <v>209</v>
      </c>
      <c r="N15" s="70">
        <v>1</v>
      </c>
      <c r="O15" s="73">
        <v>3.4722222222222224E-4</v>
      </c>
    </row>
    <row r="16" spans="1:15" s="123" customFormat="1" ht="54" customHeight="1" x14ac:dyDescent="0.2">
      <c r="A16" s="95"/>
      <c r="B16" s="69" t="s">
        <v>16</v>
      </c>
      <c r="C16" s="70" t="s">
        <v>789</v>
      </c>
      <c r="D16" s="70" t="s">
        <v>790</v>
      </c>
      <c r="E16" s="70" t="s">
        <v>11</v>
      </c>
      <c r="F16" s="70" t="s">
        <v>21</v>
      </c>
      <c r="G16" s="70" t="s">
        <v>217</v>
      </c>
      <c r="H16" s="80">
        <v>45341</v>
      </c>
      <c r="I16" s="70" t="s">
        <v>93</v>
      </c>
      <c r="J16" s="70" t="s">
        <v>140</v>
      </c>
      <c r="K16" s="70">
        <v>0</v>
      </c>
      <c r="L16" s="70" t="s">
        <v>218</v>
      </c>
      <c r="M16" s="70" t="s">
        <v>219</v>
      </c>
      <c r="N16" s="70">
        <v>1</v>
      </c>
      <c r="O16" s="73">
        <v>3.4722222222222224E-4</v>
      </c>
    </row>
    <row r="17" spans="1:15" s="123" customFormat="1" ht="54" customHeight="1" x14ac:dyDescent="0.2">
      <c r="A17" s="95"/>
      <c r="B17" s="69" t="s">
        <v>16</v>
      </c>
      <c r="C17" s="70" t="s">
        <v>791</v>
      </c>
      <c r="D17" s="70" t="s">
        <v>221</v>
      </c>
      <c r="E17" s="70" t="s">
        <v>11</v>
      </c>
      <c r="F17" s="70" t="s">
        <v>21</v>
      </c>
      <c r="G17" s="70" t="s">
        <v>222</v>
      </c>
      <c r="H17" s="80">
        <v>45341</v>
      </c>
      <c r="I17" s="70" t="s">
        <v>139</v>
      </c>
      <c r="J17" s="70" t="s">
        <v>140</v>
      </c>
      <c r="K17" s="70">
        <v>0</v>
      </c>
      <c r="L17" s="70" t="s">
        <v>223</v>
      </c>
      <c r="M17" s="70" t="s">
        <v>219</v>
      </c>
      <c r="N17" s="70">
        <v>1</v>
      </c>
      <c r="O17" s="73">
        <v>5.7870370370370378E-4</v>
      </c>
    </row>
    <row r="18" spans="1:15" s="123" customFormat="1" ht="54" customHeight="1" x14ac:dyDescent="0.2">
      <c r="A18" s="95"/>
      <c r="B18" s="69" t="s">
        <v>16</v>
      </c>
      <c r="C18" s="70" t="s">
        <v>792</v>
      </c>
      <c r="D18" s="70" t="s">
        <v>225</v>
      </c>
      <c r="E18" s="70" t="s">
        <v>11</v>
      </c>
      <c r="F18" s="70" t="s">
        <v>21</v>
      </c>
      <c r="G18" s="70" t="s">
        <v>279</v>
      </c>
      <c r="H18" s="80">
        <v>45979</v>
      </c>
      <c r="I18" s="70" t="s">
        <v>139</v>
      </c>
      <c r="J18" s="70" t="s">
        <v>140</v>
      </c>
      <c r="K18" s="70">
        <v>0</v>
      </c>
      <c r="L18" s="70" t="s">
        <v>227</v>
      </c>
      <c r="M18" s="70" t="s">
        <v>209</v>
      </c>
      <c r="N18" s="70">
        <v>2</v>
      </c>
      <c r="O18" s="73">
        <v>6.9444444444444447E-4</v>
      </c>
    </row>
    <row r="19" spans="1:15" s="123" customFormat="1" ht="54" customHeight="1" x14ac:dyDescent="0.2">
      <c r="A19" s="160"/>
      <c r="B19" s="130" t="s">
        <v>16</v>
      </c>
      <c r="C19" s="131" t="s">
        <v>793</v>
      </c>
      <c r="D19" s="131" t="s">
        <v>229</v>
      </c>
      <c r="E19" s="131" t="s">
        <v>11</v>
      </c>
      <c r="F19" s="131" t="s">
        <v>21</v>
      </c>
      <c r="G19" s="131" t="s">
        <v>230</v>
      </c>
      <c r="H19" s="147">
        <v>45340</v>
      </c>
      <c r="I19" s="131" t="s">
        <v>60</v>
      </c>
      <c r="J19" s="131" t="s">
        <v>140</v>
      </c>
      <c r="K19" s="131">
        <v>0</v>
      </c>
      <c r="L19" s="131" t="s">
        <v>231</v>
      </c>
      <c r="M19" s="131" t="s">
        <v>209</v>
      </c>
      <c r="N19" s="131">
        <v>1</v>
      </c>
      <c r="O19" s="135">
        <v>3.4722222222222224E-4</v>
      </c>
    </row>
    <row r="20" spans="1:15" s="123" customFormat="1" ht="54" customHeight="1" x14ac:dyDescent="0.2">
      <c r="A20" s="160"/>
      <c r="B20" s="130" t="s">
        <v>16</v>
      </c>
      <c r="C20" s="131" t="s">
        <v>794</v>
      </c>
      <c r="D20" s="131" t="s">
        <v>233</v>
      </c>
      <c r="E20" s="131" t="s">
        <v>11</v>
      </c>
      <c r="F20" s="131" t="s">
        <v>21</v>
      </c>
      <c r="G20" s="131" t="s">
        <v>222</v>
      </c>
      <c r="H20" s="147">
        <v>45341</v>
      </c>
      <c r="I20" s="131" t="s">
        <v>139</v>
      </c>
      <c r="J20" s="131" t="s">
        <v>61</v>
      </c>
      <c r="K20" s="131">
        <v>0</v>
      </c>
      <c r="L20" s="131" t="s">
        <v>223</v>
      </c>
      <c r="M20" s="131" t="s">
        <v>209</v>
      </c>
      <c r="N20" s="131">
        <v>1</v>
      </c>
      <c r="O20" s="135">
        <v>1.0416666666666667E-3</v>
      </c>
    </row>
    <row r="21" spans="1:15" s="123" customFormat="1" ht="54" customHeight="1" x14ac:dyDescent="0.2">
      <c r="A21" s="160"/>
      <c r="B21" s="130" t="s">
        <v>16</v>
      </c>
      <c r="C21" s="131" t="s">
        <v>795</v>
      </c>
      <c r="D21" s="131" t="s">
        <v>235</v>
      </c>
      <c r="E21" s="131" t="s">
        <v>11</v>
      </c>
      <c r="F21" s="131" t="s">
        <v>21</v>
      </c>
      <c r="G21" s="131" t="s">
        <v>757</v>
      </c>
      <c r="H21" s="147">
        <v>45341</v>
      </c>
      <c r="I21" s="131" t="s">
        <v>139</v>
      </c>
      <c r="J21" s="131" t="s">
        <v>140</v>
      </c>
      <c r="K21" s="131">
        <v>0</v>
      </c>
      <c r="L21" s="131" t="s">
        <v>237</v>
      </c>
      <c r="M21" s="131" t="s">
        <v>209</v>
      </c>
      <c r="N21" s="131">
        <v>1</v>
      </c>
      <c r="O21" s="135">
        <v>1.1574074074074073E-4</v>
      </c>
    </row>
    <row r="22" spans="1:15" s="123" customFormat="1" ht="54" customHeight="1" x14ac:dyDescent="0.2">
      <c r="A22" s="160"/>
      <c r="B22" s="130" t="s">
        <v>16</v>
      </c>
      <c r="C22" s="131" t="s">
        <v>796</v>
      </c>
      <c r="D22" s="131" t="s">
        <v>518</v>
      </c>
      <c r="E22" s="131" t="s">
        <v>11</v>
      </c>
      <c r="F22" s="131" t="s">
        <v>21</v>
      </c>
      <c r="G22" s="131" t="s">
        <v>283</v>
      </c>
      <c r="H22" s="147">
        <v>45341</v>
      </c>
      <c r="I22" s="131" t="s">
        <v>93</v>
      </c>
      <c r="J22" s="131" t="s">
        <v>140</v>
      </c>
      <c r="K22" s="131">
        <v>0</v>
      </c>
      <c r="L22" s="131" t="s">
        <v>519</v>
      </c>
      <c r="M22" s="131" t="s">
        <v>219</v>
      </c>
      <c r="N22" s="131">
        <v>1</v>
      </c>
      <c r="O22" s="135">
        <v>3.4722222222222224E-4</v>
      </c>
    </row>
    <row r="23" spans="1:15" s="123" customFormat="1" ht="54" customHeight="1" x14ac:dyDescent="0.2">
      <c r="A23" s="160"/>
      <c r="B23" s="130" t="s">
        <v>16</v>
      </c>
      <c r="C23" s="131" t="s">
        <v>797</v>
      </c>
      <c r="D23" s="131" t="s">
        <v>248</v>
      </c>
      <c r="E23" s="131" t="s">
        <v>11</v>
      </c>
      <c r="F23" s="131" t="s">
        <v>21</v>
      </c>
      <c r="G23" s="131" t="s">
        <v>249</v>
      </c>
      <c r="H23" s="147">
        <v>45341</v>
      </c>
      <c r="I23" s="131" t="s">
        <v>139</v>
      </c>
      <c r="J23" s="131" t="s">
        <v>140</v>
      </c>
      <c r="K23" s="131">
        <v>0</v>
      </c>
      <c r="L23" s="131" t="s">
        <v>250</v>
      </c>
      <c r="M23" s="131" t="s">
        <v>209</v>
      </c>
      <c r="N23" s="131">
        <v>1</v>
      </c>
      <c r="O23" s="135">
        <v>6.9444444444444447E-4</v>
      </c>
    </row>
    <row r="24" spans="1:15" s="123" customFormat="1" ht="54" customHeight="1" x14ac:dyDescent="0.2">
      <c r="A24" s="160"/>
      <c r="B24" s="130" t="s">
        <v>16</v>
      </c>
      <c r="C24" s="131" t="s">
        <v>798</v>
      </c>
      <c r="D24" s="131" t="s">
        <v>271</v>
      </c>
      <c r="E24" s="131" t="s">
        <v>11</v>
      </c>
      <c r="F24" s="131" t="s">
        <v>21</v>
      </c>
      <c r="G24" s="131" t="s">
        <v>268</v>
      </c>
      <c r="H24" s="147">
        <v>45340</v>
      </c>
      <c r="I24" s="131" t="s">
        <v>60</v>
      </c>
      <c r="J24" s="131" t="s">
        <v>140</v>
      </c>
      <c r="K24" s="131">
        <v>0</v>
      </c>
      <c r="L24" s="131" t="s">
        <v>272</v>
      </c>
      <c r="M24" s="131" t="s">
        <v>209</v>
      </c>
      <c r="N24" s="131">
        <v>1</v>
      </c>
      <c r="O24" s="135">
        <v>3.4722222222222224E-4</v>
      </c>
    </row>
    <row r="25" spans="1:15" s="123" customFormat="1" ht="54" customHeight="1" x14ac:dyDescent="0.2">
      <c r="A25" s="163"/>
      <c r="B25" s="130" t="s">
        <v>16</v>
      </c>
      <c r="C25" s="131" t="s">
        <v>799</v>
      </c>
      <c r="D25" s="131" t="s">
        <v>537</v>
      </c>
      <c r="E25" s="131" t="s">
        <v>11</v>
      </c>
      <c r="F25" s="131" t="s">
        <v>21</v>
      </c>
      <c r="G25" s="145" t="s">
        <v>279</v>
      </c>
      <c r="H25" s="146">
        <v>45341</v>
      </c>
      <c r="I25" s="131" t="s">
        <v>93</v>
      </c>
      <c r="J25" s="131" t="s">
        <v>140</v>
      </c>
      <c r="K25" s="131">
        <v>0</v>
      </c>
      <c r="L25" s="131" t="s">
        <v>280</v>
      </c>
      <c r="M25" s="131" t="s">
        <v>219</v>
      </c>
      <c r="N25" s="131">
        <v>1</v>
      </c>
      <c r="O25" s="135">
        <v>3.4722222222222224E-4</v>
      </c>
    </row>
    <row r="26" spans="1:15" s="123" customFormat="1" ht="54" customHeight="1" x14ac:dyDescent="0.2">
      <c r="A26" s="163"/>
      <c r="B26" s="130" t="s">
        <v>16</v>
      </c>
      <c r="C26" s="131" t="s">
        <v>800</v>
      </c>
      <c r="D26" s="131" t="s">
        <v>539</v>
      </c>
      <c r="E26" s="131" t="s">
        <v>11</v>
      </c>
      <c r="F26" s="131" t="s">
        <v>21</v>
      </c>
      <c r="G26" s="145" t="s">
        <v>283</v>
      </c>
      <c r="H26" s="146">
        <v>45341</v>
      </c>
      <c r="I26" s="131" t="s">
        <v>93</v>
      </c>
      <c r="J26" s="131" t="s">
        <v>140</v>
      </c>
      <c r="K26" s="131">
        <v>0</v>
      </c>
      <c r="L26" s="131" t="s">
        <v>287</v>
      </c>
      <c r="M26" s="131" t="s">
        <v>219</v>
      </c>
      <c r="N26" s="131">
        <v>1</v>
      </c>
      <c r="O26" s="135">
        <v>6.9444444444444447E-4</v>
      </c>
    </row>
    <row r="27" spans="1:15" s="123" customFormat="1" ht="54" customHeight="1" x14ac:dyDescent="0.2">
      <c r="A27" s="160"/>
      <c r="B27" s="130" t="s">
        <v>16</v>
      </c>
      <c r="C27" s="131" t="s">
        <v>801</v>
      </c>
      <c r="D27" s="131" t="s">
        <v>289</v>
      </c>
      <c r="E27" s="131" t="s">
        <v>11</v>
      </c>
      <c r="F27" s="131" t="s">
        <v>21</v>
      </c>
      <c r="G27" s="131" t="s">
        <v>290</v>
      </c>
      <c r="H27" s="147">
        <v>45341</v>
      </c>
      <c r="I27" s="131" t="s">
        <v>60</v>
      </c>
      <c r="J27" s="131" t="s">
        <v>140</v>
      </c>
      <c r="K27" s="131">
        <v>0</v>
      </c>
      <c r="L27" s="131" t="s">
        <v>291</v>
      </c>
      <c r="M27" s="131" t="s">
        <v>209</v>
      </c>
      <c r="N27" s="131">
        <v>1</v>
      </c>
      <c r="O27" s="135">
        <v>3.4722222222222224E-4</v>
      </c>
    </row>
    <row r="28" spans="1:15" s="123" customFormat="1" ht="54" customHeight="1" x14ac:dyDescent="0.2">
      <c r="A28" s="160"/>
      <c r="B28" s="130" t="s">
        <v>16</v>
      </c>
      <c r="C28" s="131" t="s">
        <v>802</v>
      </c>
      <c r="D28" s="131" t="s">
        <v>293</v>
      </c>
      <c r="E28" s="131" t="s">
        <v>11</v>
      </c>
      <c r="F28" s="131" t="s">
        <v>21</v>
      </c>
      <c r="G28" s="131" t="s">
        <v>245</v>
      </c>
      <c r="H28" s="147">
        <v>45341</v>
      </c>
      <c r="I28" s="131" t="s">
        <v>139</v>
      </c>
      <c r="J28" s="131" t="s">
        <v>140</v>
      </c>
      <c r="K28" s="131">
        <v>0</v>
      </c>
      <c r="L28" s="131" t="s">
        <v>294</v>
      </c>
      <c r="M28" s="131" t="s">
        <v>209</v>
      </c>
      <c r="N28" s="131">
        <v>1</v>
      </c>
      <c r="O28" s="135">
        <v>6.9444444444444447E-4</v>
      </c>
    </row>
    <row r="29" spans="1:15" s="123" customFormat="1" ht="54" customHeight="1" x14ac:dyDescent="0.2">
      <c r="A29" s="160"/>
      <c r="B29" s="130" t="s">
        <v>16</v>
      </c>
      <c r="C29" s="131" t="s">
        <v>803</v>
      </c>
      <c r="D29" s="131" t="s">
        <v>804</v>
      </c>
      <c r="E29" s="131" t="s">
        <v>11</v>
      </c>
      <c r="F29" s="131" t="s">
        <v>21</v>
      </c>
      <c r="G29" s="131" t="s">
        <v>582</v>
      </c>
      <c r="H29" s="147">
        <v>45341</v>
      </c>
      <c r="I29" s="131" t="s">
        <v>60</v>
      </c>
      <c r="J29" s="131" t="s">
        <v>140</v>
      </c>
      <c r="K29" s="131">
        <v>0</v>
      </c>
      <c r="L29" s="131" t="s">
        <v>314</v>
      </c>
      <c r="M29" s="131" t="s">
        <v>209</v>
      </c>
      <c r="N29" s="131">
        <v>1</v>
      </c>
      <c r="O29" s="135">
        <v>8.6805555555555551E-4</v>
      </c>
    </row>
    <row r="30" spans="1:15" s="123" customFormat="1" ht="54" customHeight="1" x14ac:dyDescent="0.2">
      <c r="A30" s="160"/>
      <c r="B30" s="130" t="s">
        <v>16</v>
      </c>
      <c r="C30" s="131" t="s">
        <v>805</v>
      </c>
      <c r="D30" s="131" t="s">
        <v>551</v>
      </c>
      <c r="E30" s="131" t="s">
        <v>11</v>
      </c>
      <c r="F30" s="131" t="s">
        <v>21</v>
      </c>
      <c r="G30" s="131" t="s">
        <v>806</v>
      </c>
      <c r="H30" s="147">
        <v>45341</v>
      </c>
      <c r="I30" s="131" t="s">
        <v>139</v>
      </c>
      <c r="J30" s="131" t="s">
        <v>140</v>
      </c>
      <c r="K30" s="131">
        <v>0</v>
      </c>
      <c r="L30" s="131" t="s">
        <v>318</v>
      </c>
      <c r="M30" s="131" t="s">
        <v>209</v>
      </c>
      <c r="N30" s="131">
        <v>1</v>
      </c>
      <c r="O30" s="135">
        <v>6.9444444444444447E-4</v>
      </c>
    </row>
    <row r="31" spans="1:15" s="123" customFormat="1" ht="54" customHeight="1" thickBot="1" x14ac:dyDescent="0.25">
      <c r="A31" s="148"/>
      <c r="B31" s="139" t="s">
        <v>16</v>
      </c>
      <c r="C31" s="140" t="s">
        <v>807</v>
      </c>
      <c r="D31" s="140" t="s">
        <v>553</v>
      </c>
      <c r="E31" s="140" t="s">
        <v>11</v>
      </c>
      <c r="F31" s="140" t="s">
        <v>21</v>
      </c>
      <c r="G31" s="140" t="s">
        <v>806</v>
      </c>
      <c r="H31" s="162">
        <v>45341</v>
      </c>
      <c r="I31" s="140" t="s">
        <v>139</v>
      </c>
      <c r="J31" s="140" t="s">
        <v>140</v>
      </c>
      <c r="K31" s="140">
        <v>0</v>
      </c>
      <c r="L31" s="140" t="s">
        <v>318</v>
      </c>
      <c r="M31" s="140" t="s">
        <v>209</v>
      </c>
      <c r="N31" s="140">
        <v>1</v>
      </c>
      <c r="O31" s="144">
        <v>6.9444444444444447E-4</v>
      </c>
    </row>
    <row r="32" spans="1:15" s="123" customFormat="1" ht="54" customHeight="1" thickTop="1" x14ac:dyDescent="0.2">
      <c r="A32" s="95"/>
      <c r="B32" s="104" t="s">
        <v>20</v>
      </c>
      <c r="C32" s="92" t="s">
        <v>808</v>
      </c>
      <c r="D32" s="92" t="s">
        <v>809</v>
      </c>
      <c r="E32" s="92" t="s">
        <v>11</v>
      </c>
      <c r="F32" s="89" t="s">
        <v>21</v>
      </c>
      <c r="G32" s="89" t="s">
        <v>351</v>
      </c>
      <c r="H32" s="90">
        <v>45978</v>
      </c>
      <c r="I32" s="92" t="s">
        <v>139</v>
      </c>
      <c r="J32" s="92" t="s">
        <v>140</v>
      </c>
      <c r="K32" s="92">
        <v>0</v>
      </c>
      <c r="L32" s="92" t="s">
        <v>356</v>
      </c>
      <c r="M32" s="92" t="s">
        <v>353</v>
      </c>
      <c r="N32" s="92">
        <v>2</v>
      </c>
      <c r="O32" s="93">
        <v>2.0833333333333333E-3</v>
      </c>
    </row>
    <row r="33" spans="1:15" s="123" customFormat="1" ht="54" customHeight="1" x14ac:dyDescent="0.2">
      <c r="A33" s="95"/>
      <c r="B33" s="69" t="s">
        <v>20</v>
      </c>
      <c r="C33" s="70" t="s">
        <v>810</v>
      </c>
      <c r="D33" s="70" t="s">
        <v>811</v>
      </c>
      <c r="E33" s="70" t="s">
        <v>11</v>
      </c>
      <c r="F33" s="86" t="s">
        <v>21</v>
      </c>
      <c r="G33" s="86" t="s">
        <v>351</v>
      </c>
      <c r="H33" s="87">
        <v>45978</v>
      </c>
      <c r="I33" s="70" t="s">
        <v>139</v>
      </c>
      <c r="J33" s="70" t="s">
        <v>140</v>
      </c>
      <c r="K33" s="70">
        <v>0</v>
      </c>
      <c r="L33" s="70" t="s">
        <v>356</v>
      </c>
      <c r="M33" s="70" t="s">
        <v>353</v>
      </c>
      <c r="N33" s="70">
        <v>2</v>
      </c>
      <c r="O33" s="73">
        <v>2.0833333333333333E-3</v>
      </c>
    </row>
    <row r="34" spans="1:15" s="123" customFormat="1" ht="54" customHeight="1" x14ac:dyDescent="0.2">
      <c r="A34" s="95"/>
      <c r="B34" s="69" t="s">
        <v>20</v>
      </c>
      <c r="C34" s="70" t="s">
        <v>812</v>
      </c>
      <c r="D34" s="70" t="s">
        <v>813</v>
      </c>
      <c r="E34" s="70" t="s">
        <v>11</v>
      </c>
      <c r="F34" s="70" t="s">
        <v>21</v>
      </c>
      <c r="G34" s="70" t="s">
        <v>814</v>
      </c>
      <c r="H34" s="80">
        <v>45979</v>
      </c>
      <c r="I34" s="70" t="s">
        <v>139</v>
      </c>
      <c r="J34" s="70" t="s">
        <v>140</v>
      </c>
      <c r="K34" s="70">
        <v>0</v>
      </c>
      <c r="L34" s="70" t="s">
        <v>348</v>
      </c>
      <c r="M34" s="70" t="s">
        <v>342</v>
      </c>
      <c r="N34" s="70">
        <v>4</v>
      </c>
      <c r="O34" s="73">
        <v>5.208333333333333E-3</v>
      </c>
    </row>
    <row r="35" spans="1:15" s="123" customFormat="1" ht="54" customHeight="1" x14ac:dyDescent="0.2">
      <c r="A35" s="95"/>
      <c r="B35" s="69" t="s">
        <v>20</v>
      </c>
      <c r="C35" s="70" t="s">
        <v>815</v>
      </c>
      <c r="D35" s="70" t="s">
        <v>561</v>
      </c>
      <c r="E35" s="70" t="s">
        <v>11</v>
      </c>
      <c r="F35" s="70" t="s">
        <v>21</v>
      </c>
      <c r="G35" s="70" t="s">
        <v>816</v>
      </c>
      <c r="H35" s="80">
        <v>45979</v>
      </c>
      <c r="I35" s="70" t="s">
        <v>139</v>
      </c>
      <c r="J35" s="70" t="s">
        <v>140</v>
      </c>
      <c r="K35" s="70">
        <v>0</v>
      </c>
      <c r="L35" s="70" t="s">
        <v>348</v>
      </c>
      <c r="M35" s="70" t="s">
        <v>342</v>
      </c>
      <c r="N35" s="70">
        <v>4</v>
      </c>
      <c r="O35" s="73">
        <v>5.208333333333333E-3</v>
      </c>
    </row>
    <row r="36" spans="1:15" s="123" customFormat="1" ht="54" customHeight="1" x14ac:dyDescent="0.2">
      <c r="A36" s="160"/>
      <c r="B36" s="130" t="s">
        <v>20</v>
      </c>
      <c r="C36" s="131" t="s">
        <v>817</v>
      </c>
      <c r="D36" s="131" t="s">
        <v>374</v>
      </c>
      <c r="E36" s="131" t="s">
        <v>21</v>
      </c>
      <c r="F36" s="131"/>
      <c r="G36" s="131"/>
      <c r="H36" s="147"/>
      <c r="I36" s="131" t="s">
        <v>139</v>
      </c>
      <c r="J36" s="131" t="s">
        <v>140</v>
      </c>
      <c r="K36" s="131">
        <v>0</v>
      </c>
      <c r="L36" s="131" t="s">
        <v>375</v>
      </c>
      <c r="M36" s="131" t="s">
        <v>209</v>
      </c>
      <c r="N36" s="131">
        <v>2</v>
      </c>
      <c r="O36" s="135">
        <v>1.736111111111111E-3</v>
      </c>
    </row>
    <row r="37" spans="1:15" s="123" customFormat="1" ht="54" customHeight="1" x14ac:dyDescent="0.2">
      <c r="A37" s="160"/>
      <c r="B37" s="130" t="s">
        <v>20</v>
      </c>
      <c r="C37" s="131" t="s">
        <v>818</v>
      </c>
      <c r="D37" s="131" t="s">
        <v>819</v>
      </c>
      <c r="E37" s="131" t="s">
        <v>21</v>
      </c>
      <c r="F37" s="131"/>
      <c r="G37" s="131"/>
      <c r="H37" s="147"/>
      <c r="I37" s="131" t="s">
        <v>60</v>
      </c>
      <c r="J37" s="131" t="s">
        <v>140</v>
      </c>
      <c r="K37" s="131">
        <v>0</v>
      </c>
      <c r="L37" s="131" t="s">
        <v>378</v>
      </c>
      <c r="M37" s="131" t="s">
        <v>169</v>
      </c>
      <c r="N37" s="131">
        <v>2</v>
      </c>
      <c r="O37" s="135">
        <v>4.6296296296296293E-4</v>
      </c>
    </row>
    <row r="38" spans="1:15" s="123" customFormat="1" ht="54" customHeight="1" x14ac:dyDescent="0.2">
      <c r="A38" s="160"/>
      <c r="B38" s="130" t="s">
        <v>20</v>
      </c>
      <c r="C38" s="131" t="s">
        <v>820</v>
      </c>
      <c r="D38" s="131" t="s">
        <v>416</v>
      </c>
      <c r="E38" s="131" t="s">
        <v>21</v>
      </c>
      <c r="F38" s="131"/>
      <c r="G38" s="131"/>
      <c r="H38" s="147"/>
      <c r="I38" s="131" t="s">
        <v>93</v>
      </c>
      <c r="J38" s="131" t="s">
        <v>61</v>
      </c>
      <c r="K38" s="131">
        <v>0</v>
      </c>
      <c r="L38" s="131" t="s">
        <v>417</v>
      </c>
      <c r="M38" s="131" t="s">
        <v>114</v>
      </c>
      <c r="N38" s="131">
        <v>4</v>
      </c>
      <c r="O38" s="135">
        <v>2.0833333333333333E-3</v>
      </c>
    </row>
    <row r="39" spans="1:15" s="123" customFormat="1" ht="54" customHeight="1" thickBot="1" x14ac:dyDescent="0.25">
      <c r="A39" s="160"/>
      <c r="B39" s="139" t="s">
        <v>20</v>
      </c>
      <c r="C39" s="140" t="s">
        <v>821</v>
      </c>
      <c r="D39" s="140" t="s">
        <v>428</v>
      </c>
      <c r="E39" s="140" t="s">
        <v>21</v>
      </c>
      <c r="F39" s="140"/>
      <c r="G39" s="140"/>
      <c r="H39" s="162"/>
      <c r="I39" s="140" t="s">
        <v>60</v>
      </c>
      <c r="J39" s="140" t="s">
        <v>61</v>
      </c>
      <c r="K39" s="140">
        <v>0</v>
      </c>
      <c r="L39" s="140" t="s">
        <v>429</v>
      </c>
      <c r="M39" s="140" t="s">
        <v>114</v>
      </c>
      <c r="N39" s="140">
        <v>2</v>
      </c>
      <c r="O39" s="144">
        <v>6.9444444444444447E-4</v>
      </c>
    </row>
    <row r="40" spans="1:15" s="123" customFormat="1" ht="54" customHeight="1" thickTop="1" x14ac:dyDescent="0.2">
      <c r="A40" s="194"/>
      <c r="B40" s="124" t="s">
        <v>24</v>
      </c>
      <c r="C40" s="125" t="s">
        <v>822</v>
      </c>
      <c r="D40" s="125" t="s">
        <v>437</v>
      </c>
      <c r="E40" s="125" t="s">
        <v>21</v>
      </c>
      <c r="F40" s="125"/>
      <c r="G40" s="125"/>
      <c r="H40" s="161"/>
      <c r="I40" s="125" t="s">
        <v>139</v>
      </c>
      <c r="J40" s="125" t="s">
        <v>61</v>
      </c>
      <c r="K40" s="125">
        <v>0</v>
      </c>
      <c r="L40" s="125" t="s">
        <v>438</v>
      </c>
      <c r="M40" s="125" t="s">
        <v>242</v>
      </c>
      <c r="N40" s="125">
        <v>1</v>
      </c>
      <c r="O40" s="129">
        <v>6.9444444444444447E-4</v>
      </c>
    </row>
    <row r="41" spans="1:15" s="123" customFormat="1" ht="54" customHeight="1" thickBot="1" x14ac:dyDescent="0.25">
      <c r="A41" s="148"/>
      <c r="B41" s="130" t="s">
        <v>24</v>
      </c>
      <c r="C41" s="131" t="s">
        <v>823</v>
      </c>
      <c r="D41" s="131" t="s">
        <v>824</v>
      </c>
      <c r="E41" s="131" t="s">
        <v>21</v>
      </c>
      <c r="F41" s="131"/>
      <c r="G41" s="131"/>
      <c r="H41" s="147"/>
      <c r="I41" s="131" t="s">
        <v>139</v>
      </c>
      <c r="J41" s="131" t="s">
        <v>61</v>
      </c>
      <c r="K41" s="131">
        <v>0</v>
      </c>
      <c r="L41" s="131">
        <v>0</v>
      </c>
      <c r="M41" s="131" t="s">
        <v>442</v>
      </c>
      <c r="N41" s="131">
        <v>1</v>
      </c>
      <c r="O41" s="135">
        <v>3.4722222222222224E-4</v>
      </c>
    </row>
    <row r="42" spans="1:15" s="123" customFormat="1" ht="54" customHeight="1" thickBot="1" x14ac:dyDescent="0.25">
      <c r="A42" s="68"/>
      <c r="B42" s="197" t="s">
        <v>602</v>
      </c>
      <c r="C42" s="198" t="s">
        <v>603</v>
      </c>
      <c r="D42" s="198" t="s">
        <v>604</v>
      </c>
      <c r="E42" s="113" t="s">
        <v>11</v>
      </c>
      <c r="F42" s="113" t="s">
        <v>21</v>
      </c>
      <c r="G42" s="113" t="s">
        <v>283</v>
      </c>
      <c r="H42" s="199">
        <v>45978</v>
      </c>
      <c r="I42" s="75" t="s">
        <v>60</v>
      </c>
      <c r="J42" s="75" t="s">
        <v>140</v>
      </c>
      <c r="K42" s="75">
        <v>0</v>
      </c>
      <c r="L42" s="75">
        <v>0</v>
      </c>
      <c r="M42" s="75" t="s">
        <v>114</v>
      </c>
      <c r="N42" s="200"/>
      <c r="O42" s="201"/>
    </row>
    <row r="43" spans="1:15" s="123" customFormat="1" ht="15.75" thickTop="1" x14ac:dyDescent="0.2">
      <c r="B43" s="159"/>
      <c r="C43" s="176"/>
      <c r="D43" s="176"/>
      <c r="E43" s="159"/>
      <c r="F43" s="159"/>
      <c r="G43" s="159"/>
      <c r="H43" s="159"/>
      <c r="I43" s="159"/>
      <c r="J43" s="159"/>
      <c r="K43" s="176"/>
      <c r="L43" s="176"/>
      <c r="M43" s="176"/>
      <c r="N43" s="176"/>
      <c r="O43" s="176"/>
    </row>
    <row r="44" spans="1:15" s="123" customFormat="1" x14ac:dyDescent="0.2">
      <c r="B44" s="159"/>
      <c r="C44" s="176"/>
      <c r="D44" s="176"/>
      <c r="E44" s="159"/>
      <c r="F44" s="159"/>
      <c r="G44" s="159"/>
      <c r="H44" s="159"/>
      <c r="I44" s="159"/>
      <c r="J44" s="159"/>
      <c r="K44" s="176"/>
      <c r="L44" s="176"/>
      <c r="M44" s="176"/>
      <c r="N44" s="176"/>
      <c r="O44" s="176"/>
    </row>
    <row r="45" spans="1:15" s="123" customFormat="1" x14ac:dyDescent="0.2">
      <c r="B45" s="159"/>
      <c r="C45" s="176"/>
      <c r="D45" s="176"/>
      <c r="E45" s="159"/>
      <c r="F45" s="159"/>
      <c r="G45" s="159"/>
      <c r="H45" s="159"/>
      <c r="I45" s="159"/>
      <c r="J45" s="159"/>
      <c r="K45" s="176"/>
      <c r="L45" s="176"/>
      <c r="M45" s="176"/>
      <c r="N45" s="176"/>
      <c r="O45" s="176"/>
    </row>
    <row r="46" spans="1:15" s="123" customFormat="1" x14ac:dyDescent="0.2">
      <c r="B46" s="159"/>
      <c r="C46" s="176"/>
      <c r="D46" s="176"/>
      <c r="E46" s="159"/>
      <c r="F46" s="159"/>
      <c r="G46" s="159"/>
      <c r="H46" s="159"/>
      <c r="I46" s="159"/>
      <c r="J46" s="159"/>
      <c r="K46" s="176"/>
      <c r="L46" s="176"/>
      <c r="M46" s="176"/>
      <c r="N46" s="176"/>
      <c r="O46" s="176"/>
    </row>
    <row r="47" spans="1:15" s="123" customFormat="1" x14ac:dyDescent="0.2">
      <c r="B47" s="159"/>
      <c r="C47" s="176"/>
      <c r="D47" s="176"/>
      <c r="E47" s="159"/>
      <c r="F47" s="159"/>
      <c r="G47" s="159"/>
      <c r="H47" s="159"/>
      <c r="I47" s="159"/>
      <c r="J47" s="159"/>
      <c r="K47" s="176"/>
      <c r="L47" s="176"/>
      <c r="M47" s="176"/>
      <c r="N47" s="176"/>
      <c r="O47" s="176"/>
    </row>
    <row r="48" spans="1:15" s="123" customFormat="1" x14ac:dyDescent="0.2">
      <c r="B48" s="159"/>
      <c r="C48" s="176"/>
      <c r="D48" s="176"/>
      <c r="E48" s="159"/>
      <c r="F48" s="159"/>
      <c r="G48" s="159"/>
      <c r="H48" s="159"/>
      <c r="I48" s="159"/>
      <c r="J48" s="159"/>
      <c r="K48" s="176"/>
      <c r="L48" s="176"/>
      <c r="M48" s="176"/>
      <c r="N48" s="176"/>
      <c r="O48" s="176"/>
    </row>
    <row r="49" spans="2:15" s="123" customFormat="1" x14ac:dyDescent="0.2">
      <c r="B49" s="159"/>
      <c r="C49" s="176"/>
      <c r="D49" s="176"/>
      <c r="E49" s="159"/>
      <c r="F49" s="159"/>
      <c r="G49" s="159"/>
      <c r="H49" s="159"/>
      <c r="I49" s="159"/>
      <c r="J49" s="159"/>
      <c r="K49" s="176"/>
      <c r="L49" s="176"/>
      <c r="M49" s="176"/>
      <c r="N49" s="176"/>
      <c r="O49" s="176"/>
    </row>
    <row r="50" spans="2:15" s="123" customFormat="1" x14ac:dyDescent="0.2">
      <c r="B50" s="159"/>
      <c r="C50" s="176"/>
      <c r="D50" s="176"/>
      <c r="E50" s="159"/>
      <c r="F50" s="159"/>
      <c r="G50" s="159"/>
      <c r="H50" s="159"/>
      <c r="I50" s="159"/>
      <c r="J50" s="159"/>
      <c r="K50" s="176"/>
      <c r="L50" s="176"/>
      <c r="M50" s="176"/>
      <c r="N50" s="176"/>
      <c r="O50" s="176"/>
    </row>
    <row r="51" spans="2:15" s="123" customFormat="1" x14ac:dyDescent="0.2">
      <c r="B51" s="159"/>
      <c r="C51" s="176"/>
      <c r="D51" s="176"/>
      <c r="E51" s="159"/>
      <c r="F51" s="159"/>
      <c r="G51" s="159"/>
      <c r="H51" s="159"/>
      <c r="I51" s="159"/>
      <c r="J51" s="159"/>
      <c r="K51" s="176"/>
      <c r="L51" s="176"/>
      <c r="M51" s="176"/>
      <c r="N51" s="176"/>
      <c r="O51" s="176"/>
    </row>
    <row r="52" spans="2:15" s="123" customFormat="1" x14ac:dyDescent="0.2">
      <c r="B52" s="159"/>
      <c r="C52" s="176"/>
      <c r="D52" s="176"/>
      <c r="E52" s="159"/>
      <c r="F52" s="159"/>
      <c r="G52" s="159"/>
      <c r="H52" s="159"/>
      <c r="I52" s="159"/>
      <c r="J52" s="159"/>
      <c r="K52" s="176"/>
      <c r="L52" s="176"/>
      <c r="M52" s="176"/>
      <c r="N52" s="176"/>
      <c r="O52" s="176"/>
    </row>
    <row r="53" spans="2:15" s="123" customFormat="1" x14ac:dyDescent="0.2">
      <c r="B53" s="159"/>
      <c r="C53" s="176"/>
      <c r="D53" s="176"/>
      <c r="E53" s="159"/>
      <c r="F53" s="159"/>
      <c r="G53" s="159"/>
      <c r="H53" s="159"/>
      <c r="I53" s="159"/>
      <c r="J53" s="159"/>
      <c r="K53" s="176"/>
      <c r="L53" s="176"/>
      <c r="M53" s="176"/>
      <c r="N53" s="176"/>
      <c r="O53" s="176"/>
    </row>
    <row r="54" spans="2:15" s="123" customFormat="1" x14ac:dyDescent="0.2">
      <c r="B54" s="159"/>
      <c r="C54" s="176"/>
      <c r="D54" s="176"/>
      <c r="E54" s="159"/>
      <c r="F54" s="159"/>
      <c r="G54" s="159"/>
      <c r="H54" s="159"/>
      <c r="I54" s="159"/>
      <c r="J54" s="159"/>
      <c r="K54" s="176"/>
      <c r="L54" s="176"/>
      <c r="M54" s="176"/>
      <c r="N54" s="176"/>
      <c r="O54" s="176"/>
    </row>
    <row r="55" spans="2:15" s="123" customFormat="1" x14ac:dyDescent="0.2">
      <c r="B55" s="159"/>
      <c r="C55" s="176"/>
      <c r="D55" s="176"/>
      <c r="E55" s="159"/>
      <c r="F55" s="159"/>
      <c r="G55" s="159"/>
      <c r="H55" s="159"/>
      <c r="I55" s="159"/>
      <c r="J55" s="159"/>
      <c r="K55" s="176"/>
      <c r="L55" s="176"/>
      <c r="M55" s="176"/>
      <c r="N55" s="176"/>
      <c r="O55" s="176"/>
    </row>
    <row r="56" spans="2:15" s="123" customFormat="1" x14ac:dyDescent="0.2">
      <c r="B56" s="159"/>
      <c r="C56" s="176"/>
      <c r="D56" s="176"/>
      <c r="E56" s="159"/>
      <c r="F56" s="159"/>
      <c r="G56" s="159"/>
      <c r="H56" s="159"/>
      <c r="I56" s="159"/>
      <c r="J56" s="159"/>
      <c r="K56" s="176"/>
      <c r="L56" s="176"/>
      <c r="M56" s="176"/>
      <c r="N56" s="176"/>
      <c r="O56" s="176"/>
    </row>
    <row r="57" spans="2:15" s="123" customFormat="1" x14ac:dyDescent="0.2">
      <c r="B57" s="159"/>
      <c r="C57" s="176"/>
      <c r="D57" s="176"/>
      <c r="E57" s="159"/>
      <c r="F57" s="159"/>
      <c r="G57" s="159"/>
      <c r="H57" s="159"/>
      <c r="I57" s="159"/>
      <c r="J57" s="159"/>
      <c r="K57" s="176"/>
      <c r="L57" s="176"/>
      <c r="M57" s="176"/>
      <c r="N57" s="176"/>
      <c r="O57" s="176"/>
    </row>
    <row r="58" spans="2:15" s="123" customFormat="1" x14ac:dyDescent="0.2">
      <c r="B58" s="159"/>
      <c r="C58" s="176"/>
      <c r="D58" s="176"/>
      <c r="E58" s="159"/>
      <c r="F58" s="159"/>
      <c r="G58" s="159"/>
      <c r="H58" s="159"/>
      <c r="I58" s="159"/>
      <c r="J58" s="159"/>
      <c r="K58" s="176"/>
      <c r="L58" s="176"/>
      <c r="M58" s="176"/>
      <c r="N58" s="176"/>
      <c r="O58" s="176"/>
    </row>
    <row r="59" spans="2:15" s="123" customFormat="1" x14ac:dyDescent="0.2">
      <c r="B59" s="159"/>
      <c r="C59" s="176"/>
      <c r="D59" s="176"/>
      <c r="E59" s="159"/>
      <c r="F59" s="159"/>
      <c r="G59" s="159"/>
      <c r="H59" s="159"/>
      <c r="I59" s="159"/>
      <c r="J59" s="159"/>
      <c r="K59" s="176"/>
      <c r="L59" s="176"/>
      <c r="M59" s="176"/>
      <c r="N59" s="176"/>
      <c r="O59" s="176"/>
    </row>
    <row r="60" spans="2:15" s="123" customFormat="1" x14ac:dyDescent="0.2">
      <c r="B60" s="159"/>
      <c r="C60" s="176"/>
      <c r="D60" s="176"/>
      <c r="E60" s="159"/>
      <c r="F60" s="159"/>
      <c r="G60" s="159"/>
      <c r="H60" s="159"/>
      <c r="I60" s="159"/>
      <c r="J60" s="159"/>
      <c r="K60" s="176"/>
      <c r="L60" s="176"/>
      <c r="M60" s="176"/>
      <c r="N60" s="176"/>
      <c r="O60" s="176"/>
    </row>
    <row r="61" spans="2:15" s="123" customFormat="1" x14ac:dyDescent="0.2">
      <c r="B61" s="159"/>
      <c r="C61" s="176"/>
      <c r="D61" s="176"/>
      <c r="E61" s="159"/>
      <c r="F61" s="159"/>
      <c r="G61" s="159"/>
      <c r="H61" s="159"/>
      <c r="I61" s="159"/>
      <c r="J61" s="159"/>
      <c r="K61" s="176"/>
      <c r="L61" s="176"/>
      <c r="M61" s="176"/>
      <c r="N61" s="176"/>
      <c r="O61" s="176"/>
    </row>
    <row r="62" spans="2:15" s="123" customFormat="1" x14ac:dyDescent="0.2">
      <c r="B62" s="159"/>
      <c r="C62" s="176"/>
      <c r="D62" s="176"/>
      <c r="E62" s="159"/>
      <c r="F62" s="159"/>
      <c r="G62" s="159"/>
      <c r="H62" s="159"/>
      <c r="I62" s="159"/>
      <c r="J62" s="159"/>
      <c r="K62" s="176"/>
      <c r="L62" s="176"/>
      <c r="M62" s="176"/>
      <c r="N62" s="176"/>
      <c r="O62" s="176"/>
    </row>
    <row r="63" spans="2:15" s="123" customFormat="1" x14ac:dyDescent="0.2">
      <c r="B63" s="159"/>
      <c r="C63" s="176"/>
      <c r="D63" s="176"/>
      <c r="E63" s="159"/>
      <c r="F63" s="159"/>
      <c r="G63" s="159"/>
      <c r="H63" s="159"/>
      <c r="I63" s="159"/>
      <c r="J63" s="159"/>
      <c r="K63" s="176"/>
      <c r="L63" s="176"/>
      <c r="M63" s="176"/>
      <c r="N63" s="176"/>
      <c r="O63" s="176"/>
    </row>
    <row r="64" spans="2:15" s="123" customFormat="1" x14ac:dyDescent="0.2">
      <c r="B64" s="159"/>
      <c r="C64" s="176"/>
      <c r="D64" s="176"/>
      <c r="E64" s="159"/>
      <c r="F64" s="159"/>
      <c r="G64" s="159"/>
      <c r="H64" s="159"/>
      <c r="I64" s="159"/>
      <c r="J64" s="159"/>
      <c r="K64" s="176"/>
      <c r="L64" s="176"/>
      <c r="M64" s="176"/>
      <c r="N64" s="176"/>
      <c r="O64" s="176"/>
    </row>
    <row r="65" spans="2:15" s="123" customFormat="1" x14ac:dyDescent="0.2">
      <c r="B65" s="159"/>
      <c r="C65" s="176"/>
      <c r="D65" s="176"/>
      <c r="E65" s="159"/>
      <c r="F65" s="159"/>
      <c r="G65" s="159"/>
      <c r="H65" s="159"/>
      <c r="I65" s="159"/>
      <c r="J65" s="159"/>
      <c r="K65" s="176"/>
      <c r="L65" s="176"/>
      <c r="M65" s="176"/>
      <c r="N65" s="176"/>
      <c r="O65" s="176"/>
    </row>
    <row r="66" spans="2:15" s="123" customFormat="1" x14ac:dyDescent="0.2">
      <c r="B66" s="159"/>
      <c r="C66" s="176"/>
      <c r="D66" s="176"/>
      <c r="E66" s="159"/>
      <c r="F66" s="159"/>
      <c r="G66" s="159"/>
      <c r="H66" s="159"/>
      <c r="I66" s="159"/>
      <c r="J66" s="159"/>
      <c r="K66" s="176"/>
      <c r="L66" s="176"/>
      <c r="M66" s="176"/>
      <c r="N66" s="176"/>
      <c r="O66" s="176"/>
    </row>
    <row r="67" spans="2:15" s="123" customFormat="1" x14ac:dyDescent="0.2">
      <c r="B67" s="159"/>
      <c r="C67" s="176"/>
      <c r="D67" s="176"/>
      <c r="E67" s="159"/>
      <c r="F67" s="159"/>
      <c r="G67" s="159"/>
      <c r="H67" s="159"/>
      <c r="I67" s="159"/>
      <c r="J67" s="159"/>
      <c r="K67" s="176"/>
      <c r="L67" s="176"/>
      <c r="M67" s="176"/>
      <c r="N67" s="176"/>
      <c r="O67" s="176"/>
    </row>
    <row r="68" spans="2:15" s="123" customFormat="1" x14ac:dyDescent="0.2">
      <c r="B68" s="159"/>
      <c r="C68" s="176"/>
      <c r="D68" s="176"/>
      <c r="E68" s="159"/>
      <c r="F68" s="159"/>
      <c r="G68" s="159"/>
      <c r="H68" s="159"/>
      <c r="I68" s="159"/>
      <c r="J68" s="159"/>
      <c r="K68" s="176"/>
      <c r="L68" s="176"/>
      <c r="M68" s="176"/>
      <c r="N68" s="176"/>
      <c r="O68" s="176"/>
    </row>
    <row r="69" spans="2:15" s="123" customFormat="1" x14ac:dyDescent="0.2">
      <c r="B69" s="159"/>
      <c r="C69" s="176"/>
      <c r="D69" s="176"/>
      <c r="E69" s="159"/>
      <c r="F69" s="159"/>
      <c r="G69" s="159"/>
      <c r="H69" s="159"/>
      <c r="I69" s="159"/>
      <c r="J69" s="159"/>
      <c r="K69" s="176"/>
      <c r="L69" s="176"/>
      <c r="M69" s="176"/>
      <c r="N69" s="176"/>
      <c r="O69" s="176"/>
    </row>
    <row r="70" spans="2:15" s="123" customFormat="1" x14ac:dyDescent="0.2">
      <c r="B70" s="159"/>
      <c r="C70" s="176"/>
      <c r="D70" s="176"/>
      <c r="E70" s="159"/>
      <c r="F70" s="159"/>
      <c r="G70" s="159"/>
      <c r="H70" s="159"/>
      <c r="I70" s="159"/>
      <c r="J70" s="159"/>
      <c r="K70" s="176"/>
      <c r="L70" s="176"/>
      <c r="M70" s="176"/>
      <c r="N70" s="176"/>
      <c r="O70" s="176"/>
    </row>
    <row r="71" spans="2:15" s="123" customFormat="1" x14ac:dyDescent="0.2">
      <c r="B71" s="159"/>
      <c r="C71" s="176"/>
      <c r="D71" s="176"/>
      <c r="E71" s="159"/>
      <c r="F71" s="159"/>
      <c r="G71" s="159"/>
      <c r="H71" s="159"/>
      <c r="I71" s="159"/>
      <c r="J71" s="159"/>
      <c r="K71" s="176"/>
      <c r="L71" s="176"/>
      <c r="M71" s="176"/>
      <c r="N71" s="176"/>
      <c r="O71" s="176"/>
    </row>
    <row r="72" spans="2:15" s="123" customFormat="1" x14ac:dyDescent="0.2">
      <c r="B72" s="159"/>
      <c r="C72" s="176"/>
      <c r="D72" s="176"/>
      <c r="E72" s="159"/>
      <c r="F72" s="159"/>
      <c r="G72" s="159"/>
      <c r="H72" s="159"/>
      <c r="I72" s="159"/>
      <c r="J72" s="159"/>
      <c r="K72" s="176"/>
      <c r="L72" s="176"/>
      <c r="M72" s="176"/>
      <c r="N72" s="176"/>
      <c r="O72" s="176"/>
    </row>
    <row r="73" spans="2:15" s="123" customFormat="1" x14ac:dyDescent="0.2">
      <c r="B73" s="159"/>
      <c r="C73" s="176"/>
      <c r="D73" s="176"/>
      <c r="E73" s="159"/>
      <c r="F73" s="159"/>
      <c r="G73" s="159"/>
      <c r="H73" s="159"/>
      <c r="I73" s="159"/>
      <c r="J73" s="159"/>
      <c r="K73" s="176"/>
      <c r="L73" s="176"/>
      <c r="M73" s="176"/>
      <c r="N73" s="176"/>
      <c r="O73" s="176"/>
    </row>
    <row r="74" spans="2:15" s="123" customFormat="1" x14ac:dyDescent="0.2">
      <c r="B74" s="159"/>
      <c r="C74" s="176"/>
      <c r="D74" s="176"/>
      <c r="E74" s="159"/>
      <c r="F74" s="159"/>
      <c r="G74" s="159"/>
      <c r="H74" s="159"/>
      <c r="I74" s="159"/>
      <c r="J74" s="159"/>
      <c r="K74" s="176"/>
      <c r="L74" s="176"/>
      <c r="M74" s="176"/>
      <c r="N74" s="176"/>
      <c r="O74" s="176"/>
    </row>
    <row r="75" spans="2:15" s="123" customFormat="1" x14ac:dyDescent="0.2">
      <c r="B75" s="159"/>
      <c r="C75" s="176"/>
      <c r="D75" s="176"/>
      <c r="E75" s="159"/>
      <c r="F75" s="159"/>
      <c r="G75" s="159"/>
      <c r="H75" s="159"/>
      <c r="I75" s="159"/>
      <c r="J75" s="159"/>
      <c r="K75" s="176"/>
      <c r="L75" s="176"/>
      <c r="M75" s="176"/>
      <c r="N75" s="176"/>
      <c r="O75" s="176"/>
    </row>
    <row r="76" spans="2:15" s="123" customFormat="1" x14ac:dyDescent="0.2">
      <c r="B76" s="159"/>
      <c r="C76" s="176"/>
      <c r="D76" s="176"/>
      <c r="E76" s="159"/>
      <c r="F76" s="159"/>
      <c r="G76" s="159"/>
      <c r="H76" s="159"/>
      <c r="I76" s="159"/>
      <c r="J76" s="159"/>
      <c r="K76" s="176"/>
      <c r="L76" s="176"/>
      <c r="M76" s="176"/>
      <c r="N76" s="176"/>
      <c r="O76" s="176"/>
    </row>
    <row r="77" spans="2:15" s="123" customFormat="1" x14ac:dyDescent="0.2">
      <c r="B77" s="159"/>
      <c r="C77" s="176"/>
      <c r="D77" s="176"/>
      <c r="E77" s="159"/>
      <c r="F77" s="159"/>
      <c r="G77" s="159"/>
      <c r="H77" s="159"/>
      <c r="I77" s="159"/>
      <c r="J77" s="159"/>
      <c r="K77" s="176"/>
      <c r="L77" s="176"/>
      <c r="M77" s="176"/>
      <c r="N77" s="176"/>
      <c r="O77" s="176"/>
    </row>
    <row r="78" spans="2:15" s="123" customFormat="1" x14ac:dyDescent="0.2">
      <c r="B78" s="159"/>
      <c r="C78" s="176"/>
      <c r="D78" s="176"/>
      <c r="E78" s="159"/>
      <c r="F78" s="159"/>
      <c r="G78" s="159"/>
      <c r="H78" s="159"/>
      <c r="I78" s="159"/>
      <c r="J78" s="159"/>
      <c r="K78" s="176"/>
      <c r="L78" s="176"/>
      <c r="M78" s="176"/>
      <c r="N78" s="176"/>
      <c r="O78" s="176"/>
    </row>
    <row r="79" spans="2:15" s="123" customFormat="1" x14ac:dyDescent="0.2">
      <c r="B79" s="159"/>
      <c r="C79" s="176"/>
      <c r="D79" s="176"/>
      <c r="E79" s="159"/>
      <c r="F79" s="159"/>
      <c r="G79" s="159"/>
      <c r="H79" s="159"/>
      <c r="I79" s="159"/>
      <c r="J79" s="159"/>
      <c r="K79" s="176"/>
      <c r="L79" s="176"/>
      <c r="M79" s="176"/>
      <c r="N79" s="176"/>
      <c r="O79" s="176"/>
    </row>
    <row r="80" spans="2:15" s="123" customFormat="1" x14ac:dyDescent="0.2">
      <c r="B80" s="159"/>
      <c r="C80" s="176"/>
      <c r="D80" s="176"/>
      <c r="E80" s="159"/>
      <c r="F80" s="159"/>
      <c r="G80" s="159"/>
      <c r="H80" s="159"/>
      <c r="I80" s="159"/>
      <c r="J80" s="159"/>
      <c r="K80" s="176"/>
      <c r="L80" s="176"/>
      <c r="M80" s="176"/>
      <c r="N80" s="176"/>
      <c r="O80" s="176"/>
    </row>
    <row r="81" spans="2:15" s="123" customFormat="1" x14ac:dyDescent="0.2">
      <c r="B81" s="159"/>
      <c r="C81" s="176"/>
      <c r="D81" s="176"/>
      <c r="E81" s="159"/>
      <c r="F81" s="159"/>
      <c r="G81" s="159"/>
      <c r="H81" s="159"/>
      <c r="I81" s="159"/>
      <c r="J81" s="159"/>
      <c r="K81" s="176"/>
      <c r="L81" s="176"/>
      <c r="M81" s="176"/>
      <c r="N81" s="176"/>
      <c r="O81" s="176"/>
    </row>
    <row r="82" spans="2:15" s="123" customFormat="1" x14ac:dyDescent="0.2">
      <c r="B82" s="159"/>
      <c r="C82" s="176"/>
      <c r="D82" s="176"/>
      <c r="E82" s="159"/>
      <c r="F82" s="159"/>
      <c r="G82" s="159"/>
      <c r="H82" s="159"/>
      <c r="I82" s="159"/>
      <c r="J82" s="159"/>
      <c r="K82" s="176"/>
      <c r="L82" s="176"/>
      <c r="M82" s="176"/>
      <c r="N82" s="176"/>
      <c r="O82" s="176"/>
    </row>
    <row r="83" spans="2:15" s="123" customFormat="1" x14ac:dyDescent="0.2">
      <c r="B83" s="159"/>
      <c r="C83" s="176"/>
      <c r="D83" s="176"/>
      <c r="E83" s="159"/>
      <c r="F83" s="159"/>
      <c r="G83" s="159"/>
      <c r="H83" s="159"/>
      <c r="I83" s="159"/>
      <c r="J83" s="159"/>
      <c r="K83" s="176"/>
      <c r="L83" s="176"/>
      <c r="M83" s="176"/>
      <c r="N83" s="176"/>
      <c r="O83" s="176"/>
    </row>
    <row r="84" spans="2:15" s="123" customFormat="1" x14ac:dyDescent="0.2">
      <c r="B84" s="159"/>
      <c r="C84" s="176"/>
      <c r="D84" s="176"/>
      <c r="E84" s="159"/>
      <c r="F84" s="159"/>
      <c r="G84" s="159"/>
      <c r="H84" s="159"/>
      <c r="I84" s="159"/>
      <c r="J84" s="159"/>
      <c r="K84" s="176"/>
      <c r="L84" s="176"/>
      <c r="M84" s="176"/>
      <c r="N84" s="176"/>
      <c r="O84" s="176"/>
    </row>
    <row r="85" spans="2:15" s="123" customFormat="1" x14ac:dyDescent="0.2">
      <c r="B85" s="159"/>
      <c r="C85" s="176"/>
      <c r="D85" s="176"/>
      <c r="E85" s="159"/>
      <c r="F85" s="159"/>
      <c r="G85" s="159"/>
      <c r="H85" s="159"/>
      <c r="I85" s="159"/>
      <c r="J85" s="159"/>
      <c r="K85" s="176"/>
      <c r="L85" s="176"/>
      <c r="M85" s="176"/>
      <c r="N85" s="176"/>
      <c r="O85" s="176"/>
    </row>
    <row r="86" spans="2:15" s="123" customFormat="1" x14ac:dyDescent="0.2">
      <c r="B86" s="159"/>
      <c r="C86" s="176"/>
      <c r="D86" s="176"/>
      <c r="E86" s="159"/>
      <c r="F86" s="159"/>
      <c r="G86" s="159"/>
      <c r="H86" s="159"/>
      <c r="I86" s="159"/>
      <c r="J86" s="159"/>
      <c r="K86" s="176"/>
      <c r="L86" s="176"/>
      <c r="M86" s="176"/>
      <c r="N86" s="176"/>
      <c r="O86" s="176"/>
    </row>
    <row r="87" spans="2:15" s="123" customFormat="1" x14ac:dyDescent="0.2">
      <c r="B87" s="159"/>
      <c r="C87" s="176"/>
      <c r="D87" s="176"/>
      <c r="E87" s="159"/>
      <c r="F87" s="159"/>
      <c r="G87" s="159"/>
      <c r="H87" s="159"/>
      <c r="I87" s="159"/>
      <c r="J87" s="159"/>
      <c r="K87" s="176"/>
      <c r="L87" s="176"/>
      <c r="M87" s="176"/>
      <c r="N87" s="176"/>
      <c r="O87" s="176"/>
    </row>
    <row r="88" spans="2:15" s="123" customFormat="1" ht="66" customHeight="1" x14ac:dyDescent="0.2">
      <c r="B88" s="159"/>
      <c r="C88" s="176"/>
      <c r="D88" s="176"/>
      <c r="E88" s="159"/>
      <c r="F88" s="159"/>
      <c r="G88" s="159"/>
      <c r="H88" s="159"/>
      <c r="I88" s="159"/>
      <c r="J88" s="159"/>
      <c r="K88" s="176"/>
      <c r="L88" s="176"/>
      <c r="M88" s="176"/>
      <c r="N88" s="176"/>
      <c r="O88" s="176"/>
    </row>
    <row r="89" spans="2:15" s="123" customFormat="1" x14ac:dyDescent="0.2">
      <c r="B89" s="159"/>
      <c r="C89" s="176"/>
      <c r="D89" s="176"/>
      <c r="E89" s="159"/>
      <c r="F89" s="159"/>
      <c r="G89" s="159"/>
      <c r="H89" s="159"/>
      <c r="I89" s="159"/>
      <c r="J89" s="159"/>
      <c r="K89" s="176"/>
      <c r="L89" s="176"/>
      <c r="M89" s="176"/>
      <c r="N89" s="176"/>
      <c r="O89" s="176"/>
    </row>
    <row r="90" spans="2:15" s="123" customFormat="1" x14ac:dyDescent="0.2">
      <c r="B90" s="159"/>
      <c r="C90" s="176"/>
      <c r="D90" s="176"/>
      <c r="E90" s="159"/>
      <c r="F90" s="159"/>
      <c r="G90" s="159"/>
      <c r="H90" s="159"/>
      <c r="I90" s="159"/>
      <c r="J90" s="159"/>
      <c r="K90" s="176"/>
      <c r="L90" s="176"/>
      <c r="M90" s="176"/>
      <c r="N90" s="176"/>
      <c r="O90" s="176"/>
    </row>
    <row r="91" spans="2:15" s="123" customFormat="1" x14ac:dyDescent="0.2">
      <c r="B91" s="159"/>
      <c r="C91" s="176"/>
      <c r="D91" s="176"/>
      <c r="E91" s="159"/>
      <c r="F91" s="159"/>
      <c r="G91" s="159"/>
      <c r="H91" s="159"/>
      <c r="I91" s="159"/>
      <c r="J91" s="159"/>
      <c r="K91" s="176"/>
      <c r="L91" s="176"/>
      <c r="M91" s="176"/>
      <c r="N91" s="176"/>
      <c r="O91" s="176"/>
    </row>
    <row r="92" spans="2:15" s="123" customFormat="1" x14ac:dyDescent="0.2">
      <c r="B92" s="159"/>
      <c r="C92" s="176"/>
      <c r="D92" s="176"/>
      <c r="E92" s="159"/>
      <c r="F92" s="159"/>
      <c r="G92" s="159"/>
      <c r="H92" s="159"/>
      <c r="I92" s="159"/>
      <c r="J92" s="159"/>
      <c r="K92" s="176"/>
      <c r="L92" s="176"/>
      <c r="M92" s="176"/>
      <c r="N92" s="176"/>
      <c r="O92" s="176"/>
    </row>
    <row r="93" spans="2:15" s="123" customFormat="1" x14ac:dyDescent="0.2">
      <c r="B93" s="159"/>
      <c r="C93" s="176"/>
      <c r="D93" s="176"/>
      <c r="E93" s="159"/>
      <c r="F93" s="159"/>
      <c r="G93" s="159"/>
      <c r="H93" s="159"/>
      <c r="I93" s="159"/>
      <c r="J93" s="159"/>
      <c r="K93" s="176"/>
      <c r="L93" s="176"/>
      <c r="M93" s="176"/>
      <c r="N93" s="176"/>
      <c r="O93" s="176"/>
    </row>
    <row r="94" spans="2:15" s="123" customFormat="1" x14ac:dyDescent="0.2">
      <c r="B94" s="159"/>
      <c r="C94" s="176"/>
      <c r="D94" s="176"/>
      <c r="E94" s="159"/>
      <c r="F94" s="159"/>
      <c r="G94" s="159"/>
      <c r="H94" s="159"/>
      <c r="I94" s="159"/>
      <c r="J94" s="159"/>
      <c r="K94" s="176"/>
      <c r="L94" s="176"/>
      <c r="M94" s="176"/>
      <c r="N94" s="176"/>
      <c r="O94" s="176"/>
    </row>
    <row r="95" spans="2:15" s="123" customFormat="1" x14ac:dyDescent="0.2">
      <c r="B95" s="159"/>
      <c r="C95" s="176"/>
      <c r="D95" s="176"/>
      <c r="E95" s="159"/>
      <c r="F95" s="159"/>
      <c r="G95" s="159"/>
      <c r="H95" s="159"/>
      <c r="I95" s="159"/>
      <c r="J95" s="159"/>
      <c r="K95" s="176"/>
      <c r="L95" s="176"/>
      <c r="M95" s="176"/>
      <c r="N95" s="176"/>
      <c r="O95" s="176"/>
    </row>
    <row r="96" spans="2:15" s="123" customFormat="1" x14ac:dyDescent="0.2">
      <c r="B96" s="159"/>
      <c r="C96" s="176"/>
      <c r="D96" s="176"/>
      <c r="E96" s="159"/>
      <c r="F96" s="159"/>
      <c r="G96" s="159"/>
      <c r="H96" s="159"/>
      <c r="I96" s="159"/>
      <c r="J96" s="159"/>
      <c r="K96" s="176"/>
      <c r="L96" s="176"/>
      <c r="M96" s="176"/>
      <c r="N96" s="176"/>
      <c r="O96" s="176"/>
    </row>
    <row r="97" spans="2:15" s="123" customFormat="1" x14ac:dyDescent="0.2">
      <c r="B97" s="159"/>
      <c r="C97" s="176"/>
      <c r="D97" s="176"/>
      <c r="E97" s="159"/>
      <c r="F97" s="159"/>
      <c r="G97" s="159"/>
      <c r="H97" s="159"/>
      <c r="I97" s="159"/>
      <c r="J97" s="159"/>
      <c r="K97" s="176"/>
      <c r="L97" s="176"/>
      <c r="M97" s="176"/>
      <c r="N97" s="176"/>
      <c r="O97" s="176"/>
    </row>
    <row r="98" spans="2:15" s="123" customFormat="1" x14ac:dyDescent="0.2">
      <c r="B98" s="159"/>
      <c r="C98" s="176"/>
      <c r="D98" s="176"/>
      <c r="E98" s="159"/>
      <c r="F98" s="159"/>
      <c r="G98" s="159"/>
      <c r="H98" s="159"/>
      <c r="I98" s="159"/>
      <c r="J98" s="159"/>
      <c r="K98" s="176"/>
      <c r="L98" s="176"/>
      <c r="M98" s="176"/>
      <c r="N98" s="176"/>
      <c r="O98" s="176"/>
    </row>
    <row r="99" spans="2:15" s="123" customFormat="1" x14ac:dyDescent="0.2">
      <c r="B99" s="159"/>
      <c r="C99" s="176"/>
      <c r="D99" s="176"/>
      <c r="E99" s="159"/>
      <c r="F99" s="159"/>
      <c r="G99" s="159"/>
      <c r="H99" s="159"/>
      <c r="I99" s="159"/>
      <c r="J99" s="159"/>
      <c r="K99" s="176"/>
      <c r="L99" s="176"/>
      <c r="M99" s="176"/>
      <c r="N99" s="176"/>
      <c r="O99" s="176"/>
    </row>
    <row r="100" spans="2:15" s="123" customFormat="1" x14ac:dyDescent="0.2">
      <c r="B100" s="159"/>
      <c r="C100" s="176"/>
      <c r="D100" s="176"/>
      <c r="E100" s="159"/>
      <c r="F100" s="159"/>
      <c r="G100" s="159"/>
      <c r="H100" s="159"/>
      <c r="I100" s="159"/>
      <c r="J100" s="159"/>
      <c r="K100" s="176"/>
      <c r="L100" s="176"/>
      <c r="M100" s="176"/>
      <c r="N100" s="176"/>
      <c r="O100" s="176"/>
    </row>
    <row r="101" spans="2:15" s="123" customFormat="1" x14ac:dyDescent="0.2">
      <c r="B101" s="159"/>
      <c r="C101" s="176"/>
      <c r="D101" s="176"/>
      <c r="E101" s="159"/>
      <c r="F101" s="159"/>
      <c r="G101" s="159"/>
      <c r="H101" s="159"/>
      <c r="I101" s="159"/>
      <c r="J101" s="159"/>
      <c r="K101" s="176"/>
      <c r="L101" s="176"/>
      <c r="M101" s="176"/>
      <c r="N101" s="176"/>
      <c r="O101" s="176"/>
    </row>
    <row r="102" spans="2:15" s="123" customFormat="1" x14ac:dyDescent="0.2">
      <c r="B102" s="159"/>
      <c r="C102" s="176"/>
      <c r="D102" s="176"/>
      <c r="E102" s="159"/>
      <c r="F102" s="159"/>
      <c r="G102" s="159"/>
      <c r="H102" s="159"/>
      <c r="I102" s="159"/>
      <c r="J102" s="159"/>
      <c r="K102" s="176"/>
      <c r="L102" s="176"/>
      <c r="M102" s="176"/>
      <c r="N102" s="176"/>
      <c r="O102" s="176"/>
    </row>
    <row r="103" spans="2:15" s="123" customFormat="1" x14ac:dyDescent="0.2">
      <c r="B103" s="159"/>
      <c r="C103" s="176"/>
      <c r="D103" s="176"/>
      <c r="E103" s="159"/>
      <c r="F103" s="159"/>
      <c r="G103" s="159"/>
      <c r="H103" s="159"/>
      <c r="I103" s="159"/>
      <c r="J103" s="159"/>
      <c r="K103" s="176"/>
      <c r="L103" s="176"/>
      <c r="M103" s="176"/>
      <c r="N103" s="176"/>
      <c r="O103" s="176"/>
    </row>
    <row r="104" spans="2:15" s="123" customFormat="1" x14ac:dyDescent="0.2">
      <c r="B104" s="159"/>
      <c r="C104" s="176"/>
      <c r="D104" s="176"/>
      <c r="E104" s="159"/>
      <c r="F104" s="159"/>
      <c r="G104" s="159"/>
      <c r="H104" s="159"/>
      <c r="I104" s="159"/>
      <c r="J104" s="159"/>
      <c r="K104" s="176"/>
      <c r="L104" s="176"/>
      <c r="M104" s="176"/>
      <c r="N104" s="176"/>
      <c r="O104" s="176"/>
    </row>
    <row r="105" spans="2:15" s="123" customFormat="1" x14ac:dyDescent="0.2">
      <c r="B105" s="159"/>
      <c r="C105" s="176"/>
      <c r="D105" s="176"/>
      <c r="E105" s="159"/>
      <c r="F105" s="159"/>
      <c r="G105" s="159"/>
      <c r="H105" s="159"/>
      <c r="I105" s="159"/>
      <c r="J105" s="159"/>
      <c r="K105" s="176"/>
      <c r="L105" s="176"/>
      <c r="M105" s="176"/>
      <c r="N105" s="176"/>
      <c r="O105" s="176"/>
    </row>
    <row r="106" spans="2:15" s="123" customFormat="1" x14ac:dyDescent="0.2">
      <c r="B106" s="159"/>
      <c r="C106" s="176"/>
      <c r="D106" s="176"/>
      <c r="E106" s="159"/>
      <c r="F106" s="159"/>
      <c r="G106" s="159"/>
      <c r="H106" s="159"/>
      <c r="I106" s="159"/>
      <c r="J106" s="159"/>
      <c r="K106" s="176"/>
      <c r="L106" s="176"/>
      <c r="M106" s="176"/>
      <c r="N106" s="176"/>
      <c r="O106" s="176"/>
    </row>
    <row r="107" spans="2:15" s="123" customFormat="1" x14ac:dyDescent="0.2">
      <c r="B107" s="159"/>
      <c r="C107" s="176"/>
      <c r="D107" s="176"/>
      <c r="E107" s="159"/>
      <c r="F107" s="159"/>
      <c r="G107" s="159"/>
      <c r="H107" s="159"/>
      <c r="I107" s="159"/>
      <c r="J107" s="159"/>
      <c r="K107" s="176"/>
      <c r="L107" s="176"/>
      <c r="M107" s="176"/>
      <c r="N107" s="176"/>
      <c r="O107" s="176"/>
    </row>
    <row r="108" spans="2:15" s="123" customFormat="1" x14ac:dyDescent="0.2">
      <c r="B108" s="159"/>
      <c r="C108" s="176"/>
      <c r="D108" s="176"/>
      <c r="E108" s="159"/>
      <c r="F108" s="159"/>
      <c r="G108" s="159"/>
      <c r="H108" s="159"/>
      <c r="I108" s="159"/>
      <c r="J108" s="159"/>
      <c r="K108" s="176"/>
      <c r="L108" s="176"/>
      <c r="M108" s="176"/>
      <c r="N108" s="176"/>
      <c r="O108" s="176"/>
    </row>
    <row r="109" spans="2:15" s="123" customFormat="1" x14ac:dyDescent="0.2">
      <c r="B109" s="159"/>
      <c r="C109" s="176"/>
      <c r="D109" s="176"/>
      <c r="E109" s="159"/>
      <c r="F109" s="159"/>
      <c r="G109" s="159"/>
      <c r="H109" s="159"/>
      <c r="I109" s="159"/>
      <c r="J109" s="159"/>
      <c r="K109" s="176"/>
      <c r="L109" s="176"/>
      <c r="M109" s="176"/>
      <c r="N109" s="176"/>
      <c r="O109" s="176"/>
    </row>
    <row r="110" spans="2:15" s="123" customFormat="1" x14ac:dyDescent="0.2">
      <c r="B110" s="159"/>
      <c r="C110" s="176"/>
      <c r="D110" s="176"/>
      <c r="E110" s="159"/>
      <c r="F110" s="159"/>
      <c r="G110" s="159"/>
      <c r="H110" s="159"/>
      <c r="I110" s="159"/>
      <c r="J110" s="159"/>
      <c r="K110" s="176"/>
      <c r="L110" s="176"/>
      <c r="M110" s="176"/>
      <c r="N110" s="176"/>
      <c r="O110" s="176"/>
    </row>
    <row r="111" spans="2:15" s="123" customFormat="1" x14ac:dyDescent="0.2">
      <c r="B111" s="159"/>
      <c r="C111" s="176"/>
      <c r="D111" s="176"/>
      <c r="E111" s="159"/>
      <c r="F111" s="159"/>
      <c r="G111" s="159"/>
      <c r="H111" s="159"/>
      <c r="I111" s="159"/>
      <c r="J111" s="159"/>
      <c r="K111" s="176"/>
      <c r="L111" s="176"/>
      <c r="M111" s="176"/>
      <c r="N111" s="176"/>
      <c r="O111" s="176"/>
    </row>
    <row r="112" spans="2:15" s="123" customFormat="1" x14ac:dyDescent="0.2">
      <c r="B112" s="159"/>
      <c r="C112" s="176"/>
      <c r="D112" s="176"/>
      <c r="E112" s="159"/>
      <c r="F112" s="159"/>
      <c r="G112" s="159"/>
      <c r="H112" s="159"/>
      <c r="I112" s="159"/>
      <c r="J112" s="159"/>
      <c r="K112" s="176"/>
      <c r="L112" s="176"/>
      <c r="M112" s="176"/>
      <c r="N112" s="176"/>
      <c r="O112" s="176"/>
    </row>
    <row r="113" spans="2:15" s="123" customFormat="1" x14ac:dyDescent="0.2">
      <c r="B113" s="159"/>
      <c r="C113" s="176"/>
      <c r="D113" s="176"/>
      <c r="E113" s="159"/>
      <c r="F113" s="159"/>
      <c r="G113" s="159"/>
      <c r="H113" s="159"/>
      <c r="I113" s="159"/>
      <c r="J113" s="159"/>
      <c r="K113" s="176"/>
      <c r="L113" s="176"/>
      <c r="M113" s="176"/>
      <c r="N113" s="176"/>
      <c r="O113" s="176"/>
    </row>
    <row r="114" spans="2:15" s="123" customFormat="1" x14ac:dyDescent="0.2">
      <c r="B114" s="159"/>
      <c r="C114" s="176"/>
      <c r="D114" s="176"/>
      <c r="E114" s="159"/>
      <c r="F114" s="159"/>
      <c r="G114" s="159"/>
      <c r="H114" s="159"/>
      <c r="I114" s="159"/>
      <c r="J114" s="159"/>
      <c r="K114" s="176"/>
      <c r="L114" s="176"/>
      <c r="M114" s="176"/>
      <c r="N114" s="176"/>
      <c r="O114" s="176"/>
    </row>
    <row r="115" spans="2:15" s="123" customFormat="1" x14ac:dyDescent="0.2">
      <c r="B115" s="159"/>
      <c r="C115" s="176"/>
      <c r="D115" s="176"/>
      <c r="E115" s="159"/>
      <c r="F115" s="159"/>
      <c r="G115" s="159"/>
      <c r="H115" s="159"/>
      <c r="I115" s="159"/>
      <c r="J115" s="159"/>
      <c r="K115" s="176"/>
      <c r="L115" s="176"/>
      <c r="M115" s="176"/>
      <c r="N115" s="176"/>
      <c r="O115" s="176"/>
    </row>
    <row r="116" spans="2:15" s="123" customFormat="1" x14ac:dyDescent="0.2">
      <c r="B116" s="159"/>
      <c r="C116" s="176"/>
      <c r="D116" s="176"/>
      <c r="E116" s="159"/>
      <c r="F116" s="159"/>
      <c r="G116" s="159"/>
      <c r="H116" s="159"/>
      <c r="I116" s="159"/>
      <c r="J116" s="159"/>
      <c r="K116" s="176"/>
      <c r="L116" s="176"/>
      <c r="M116" s="176"/>
      <c r="N116" s="176"/>
      <c r="O116" s="176"/>
    </row>
    <row r="117" spans="2:15" s="123" customFormat="1" x14ac:dyDescent="0.2">
      <c r="B117" s="159"/>
      <c r="C117" s="176"/>
      <c r="D117" s="176"/>
      <c r="E117" s="159"/>
      <c r="F117" s="159"/>
      <c r="G117" s="159"/>
      <c r="H117" s="159"/>
      <c r="I117" s="159"/>
      <c r="J117" s="159"/>
      <c r="K117" s="176"/>
      <c r="L117" s="176"/>
      <c r="M117" s="176"/>
      <c r="N117" s="176"/>
      <c r="O117" s="176"/>
    </row>
    <row r="118" spans="2:15" s="123" customFormat="1" x14ac:dyDescent="0.2">
      <c r="B118" s="159"/>
      <c r="C118" s="176"/>
      <c r="D118" s="176"/>
      <c r="E118" s="159"/>
      <c r="F118" s="159"/>
      <c r="G118" s="159"/>
      <c r="H118" s="159"/>
      <c r="I118" s="159"/>
      <c r="J118" s="159"/>
      <c r="K118" s="176"/>
      <c r="L118" s="176"/>
      <c r="M118" s="176"/>
      <c r="N118" s="176"/>
      <c r="O118" s="176"/>
    </row>
    <row r="119" spans="2:15" s="123" customFormat="1" x14ac:dyDescent="0.2">
      <c r="B119" s="159"/>
      <c r="C119" s="176"/>
      <c r="D119" s="176"/>
      <c r="E119" s="159"/>
      <c r="F119" s="159"/>
      <c r="G119" s="159"/>
      <c r="H119" s="159"/>
      <c r="I119" s="159"/>
      <c r="J119" s="159"/>
      <c r="K119" s="176"/>
      <c r="L119" s="176"/>
      <c r="M119" s="176"/>
      <c r="N119" s="176"/>
      <c r="O119" s="176"/>
    </row>
    <row r="120" spans="2:15" s="123" customFormat="1" x14ac:dyDescent="0.2">
      <c r="B120" s="159"/>
      <c r="C120" s="176"/>
      <c r="D120" s="176"/>
      <c r="E120" s="159"/>
      <c r="F120" s="159"/>
      <c r="G120" s="159"/>
      <c r="H120" s="159"/>
      <c r="I120" s="159"/>
      <c r="J120" s="159"/>
      <c r="K120" s="176"/>
      <c r="L120" s="176"/>
      <c r="M120" s="176"/>
      <c r="N120" s="176"/>
      <c r="O120" s="176"/>
    </row>
    <row r="121" spans="2:15" s="123" customFormat="1" x14ac:dyDescent="0.2">
      <c r="B121" s="159"/>
      <c r="C121" s="176"/>
      <c r="D121" s="176"/>
      <c r="E121" s="159"/>
      <c r="F121" s="159"/>
      <c r="G121" s="159"/>
      <c r="H121" s="159"/>
      <c r="I121" s="159"/>
      <c r="J121" s="159"/>
      <c r="K121" s="176"/>
      <c r="L121" s="176"/>
      <c r="M121" s="176"/>
      <c r="N121" s="176"/>
      <c r="O121" s="176"/>
    </row>
    <row r="122" spans="2:15" s="123" customFormat="1" x14ac:dyDescent="0.2">
      <c r="B122" s="159"/>
      <c r="C122" s="176"/>
      <c r="D122" s="176"/>
      <c r="E122" s="159"/>
      <c r="F122" s="159"/>
      <c r="G122" s="159"/>
      <c r="H122" s="159"/>
      <c r="I122" s="159"/>
      <c r="J122" s="159"/>
      <c r="K122" s="176"/>
      <c r="L122" s="176"/>
      <c r="M122" s="176"/>
      <c r="N122" s="176"/>
      <c r="O122" s="176"/>
    </row>
    <row r="123" spans="2:15" s="123" customFormat="1" x14ac:dyDescent="0.2">
      <c r="B123" s="159"/>
      <c r="C123" s="176"/>
      <c r="D123" s="176"/>
      <c r="E123" s="159"/>
      <c r="F123" s="159"/>
      <c r="G123" s="159"/>
      <c r="H123" s="159"/>
      <c r="I123" s="159"/>
      <c r="J123" s="159"/>
      <c r="K123" s="176"/>
      <c r="L123" s="176"/>
      <c r="M123" s="176"/>
      <c r="N123" s="176"/>
      <c r="O123" s="176"/>
    </row>
    <row r="124" spans="2:15" s="123" customFormat="1" x14ac:dyDescent="0.2">
      <c r="B124" s="159"/>
      <c r="C124" s="176"/>
      <c r="D124" s="176"/>
      <c r="E124" s="159"/>
      <c r="F124" s="159"/>
      <c r="G124" s="159"/>
      <c r="H124" s="159"/>
      <c r="I124" s="159"/>
      <c r="J124" s="159"/>
      <c r="K124" s="176"/>
      <c r="L124" s="176"/>
      <c r="M124" s="176"/>
      <c r="N124" s="176"/>
      <c r="O124" s="176"/>
    </row>
    <row r="125" spans="2:15" s="123" customFormat="1" x14ac:dyDescent="0.2">
      <c r="B125" s="159"/>
      <c r="C125" s="176"/>
      <c r="D125" s="176"/>
      <c r="E125" s="159"/>
      <c r="F125" s="159"/>
      <c r="G125" s="159"/>
      <c r="H125" s="159"/>
      <c r="I125" s="159"/>
      <c r="J125" s="159"/>
      <c r="K125" s="176"/>
      <c r="L125" s="176"/>
      <c r="M125" s="176"/>
      <c r="N125" s="176"/>
      <c r="O125" s="176"/>
    </row>
    <row r="126" spans="2:15" s="123" customFormat="1" x14ac:dyDescent="0.2">
      <c r="B126" s="159"/>
      <c r="C126" s="176"/>
      <c r="D126" s="176"/>
      <c r="E126" s="159"/>
      <c r="F126" s="159"/>
      <c r="G126" s="159"/>
      <c r="H126" s="159"/>
      <c r="I126" s="159"/>
      <c r="J126" s="159"/>
      <c r="K126" s="176"/>
      <c r="L126" s="176"/>
      <c r="M126" s="176"/>
      <c r="N126" s="176"/>
      <c r="O126" s="176"/>
    </row>
    <row r="127" spans="2:15" s="123" customFormat="1" x14ac:dyDescent="0.2">
      <c r="B127" s="159"/>
      <c r="C127" s="176"/>
      <c r="D127" s="176"/>
      <c r="E127" s="159"/>
      <c r="F127" s="159"/>
      <c r="G127" s="159"/>
      <c r="H127" s="159"/>
      <c r="I127" s="159"/>
      <c r="J127" s="159"/>
      <c r="K127" s="176"/>
      <c r="L127" s="176"/>
      <c r="M127" s="176"/>
      <c r="N127" s="176"/>
      <c r="O127" s="176"/>
    </row>
    <row r="128" spans="2:15" s="123" customFormat="1" ht="66" customHeight="1" x14ac:dyDescent="0.2">
      <c r="B128" s="159"/>
      <c r="C128" s="176"/>
      <c r="D128" s="176"/>
      <c r="E128" s="159"/>
      <c r="F128" s="159"/>
      <c r="G128" s="159"/>
      <c r="H128" s="159"/>
      <c r="I128" s="159"/>
      <c r="J128" s="159"/>
      <c r="K128" s="176"/>
      <c r="L128" s="176"/>
      <c r="M128" s="176"/>
      <c r="N128" s="176"/>
      <c r="O128" s="176"/>
    </row>
    <row r="129" spans="2:10" s="123" customFormat="1" x14ac:dyDescent="0.2">
      <c r="B129" s="156"/>
      <c r="E129" s="156"/>
      <c r="F129" s="156"/>
      <c r="G129" s="156"/>
      <c r="H129" s="156"/>
      <c r="I129" s="156"/>
      <c r="J129" s="156"/>
    </row>
    <row r="130" spans="2:10" s="123" customFormat="1" x14ac:dyDescent="0.2">
      <c r="B130" s="156"/>
      <c r="E130" s="156"/>
      <c r="F130" s="156"/>
      <c r="G130" s="156"/>
      <c r="H130" s="156"/>
      <c r="I130" s="156"/>
      <c r="J130" s="156"/>
    </row>
    <row r="131" spans="2:10" s="123" customFormat="1" x14ac:dyDescent="0.2">
      <c r="B131" s="156"/>
      <c r="E131" s="156"/>
      <c r="F131" s="156"/>
      <c r="G131" s="156"/>
      <c r="H131" s="156"/>
      <c r="I131" s="156"/>
      <c r="J131" s="156"/>
    </row>
    <row r="132" spans="2:10" s="123" customFormat="1" x14ac:dyDescent="0.2">
      <c r="B132" s="156"/>
      <c r="E132" s="156"/>
      <c r="F132" s="156"/>
      <c r="G132" s="156"/>
      <c r="H132" s="156"/>
      <c r="I132" s="156"/>
      <c r="J132" s="156"/>
    </row>
    <row r="133" spans="2:10" s="123" customFormat="1" x14ac:dyDescent="0.2">
      <c r="B133" s="156"/>
      <c r="E133" s="156"/>
      <c r="F133" s="156"/>
      <c r="G133" s="156"/>
      <c r="H133" s="156"/>
      <c r="I133" s="156"/>
      <c r="J133" s="156"/>
    </row>
    <row r="134" spans="2:10" s="123" customFormat="1" x14ac:dyDescent="0.2">
      <c r="B134" s="156"/>
      <c r="E134" s="156"/>
      <c r="F134" s="156"/>
      <c r="G134" s="156"/>
      <c r="H134" s="156"/>
      <c r="I134" s="156"/>
      <c r="J134" s="156"/>
    </row>
    <row r="135" spans="2:10" s="123" customFormat="1" x14ac:dyDescent="0.2">
      <c r="B135" s="156"/>
      <c r="E135" s="156"/>
      <c r="F135" s="156"/>
      <c r="G135" s="156"/>
      <c r="H135" s="156"/>
      <c r="I135" s="156"/>
      <c r="J135" s="156"/>
    </row>
    <row r="136" spans="2:10" s="123" customFormat="1" x14ac:dyDescent="0.2">
      <c r="B136" s="156"/>
      <c r="E136" s="156"/>
      <c r="F136" s="156"/>
      <c r="G136" s="156"/>
      <c r="H136" s="156"/>
      <c r="I136" s="156"/>
      <c r="J136" s="156"/>
    </row>
    <row r="137" spans="2:10" s="123" customFormat="1" x14ac:dyDescent="0.2">
      <c r="B137" s="156"/>
      <c r="E137" s="156"/>
      <c r="F137" s="156"/>
      <c r="G137" s="156"/>
      <c r="H137" s="156"/>
      <c r="I137" s="156"/>
      <c r="J137" s="156"/>
    </row>
    <row r="138" spans="2:10" s="123" customFormat="1" x14ac:dyDescent="0.2">
      <c r="B138" s="156"/>
      <c r="E138" s="156"/>
      <c r="F138" s="156"/>
      <c r="G138" s="156"/>
      <c r="H138" s="156"/>
      <c r="I138" s="156"/>
      <c r="J138" s="156"/>
    </row>
    <row r="139" spans="2:10" s="123" customFormat="1" x14ac:dyDescent="0.2">
      <c r="B139" s="156"/>
      <c r="E139" s="156"/>
      <c r="F139" s="156"/>
      <c r="G139" s="156"/>
      <c r="H139" s="156"/>
      <c r="I139" s="156"/>
      <c r="J139" s="156"/>
    </row>
    <row r="140" spans="2:10" s="123" customFormat="1" x14ac:dyDescent="0.2">
      <c r="B140" s="156"/>
      <c r="E140" s="156"/>
      <c r="F140" s="156"/>
      <c r="G140" s="156"/>
      <c r="H140" s="156"/>
      <c r="I140" s="156"/>
      <c r="J140" s="156"/>
    </row>
    <row r="141" spans="2:10" s="123" customFormat="1" x14ac:dyDescent="0.2">
      <c r="B141" s="156"/>
      <c r="E141" s="156"/>
      <c r="F141" s="156"/>
      <c r="G141" s="156"/>
      <c r="H141" s="156"/>
      <c r="I141" s="156"/>
      <c r="J141" s="156"/>
    </row>
    <row r="142" spans="2:10" s="123" customFormat="1" x14ac:dyDescent="0.2">
      <c r="B142" s="156"/>
      <c r="E142" s="156"/>
      <c r="F142" s="156"/>
      <c r="G142" s="156"/>
      <c r="H142" s="156"/>
      <c r="I142" s="156"/>
      <c r="J142" s="156"/>
    </row>
    <row r="143" spans="2:10" s="123" customFormat="1" x14ac:dyDescent="0.2">
      <c r="B143" s="156"/>
      <c r="E143" s="156"/>
      <c r="F143" s="156"/>
      <c r="G143" s="156"/>
      <c r="H143" s="156"/>
      <c r="I143" s="156"/>
      <c r="J143" s="156"/>
    </row>
    <row r="144" spans="2:10" s="123" customFormat="1" x14ac:dyDescent="0.2">
      <c r="B144" s="156"/>
      <c r="E144" s="156"/>
      <c r="F144" s="156"/>
      <c r="G144" s="156"/>
      <c r="H144" s="156"/>
      <c r="I144" s="156"/>
      <c r="J144" s="156"/>
    </row>
    <row r="145" spans="2:10" s="123" customFormat="1" x14ac:dyDescent="0.2">
      <c r="B145" s="156"/>
      <c r="E145" s="156"/>
      <c r="F145" s="156"/>
      <c r="G145" s="156"/>
      <c r="H145" s="156"/>
      <c r="I145" s="156"/>
      <c r="J145" s="156"/>
    </row>
    <row r="146" spans="2:10" s="123" customFormat="1" x14ac:dyDescent="0.2">
      <c r="B146" s="156"/>
      <c r="E146" s="156"/>
      <c r="F146" s="156"/>
      <c r="G146" s="156"/>
      <c r="H146" s="156"/>
      <c r="I146" s="156"/>
      <c r="J146" s="156"/>
    </row>
    <row r="147" spans="2:10" s="123" customFormat="1" x14ac:dyDescent="0.2">
      <c r="B147" s="156"/>
      <c r="E147" s="156"/>
      <c r="F147" s="156"/>
      <c r="G147" s="156"/>
      <c r="H147" s="156"/>
      <c r="I147" s="156"/>
      <c r="J147" s="156"/>
    </row>
    <row r="148" spans="2:10" s="123" customFormat="1" x14ac:dyDescent="0.2">
      <c r="B148" s="156"/>
      <c r="E148" s="156"/>
      <c r="F148" s="156"/>
      <c r="G148" s="156"/>
      <c r="H148" s="156"/>
      <c r="I148" s="156"/>
      <c r="J148" s="156"/>
    </row>
    <row r="149" spans="2:10" s="123" customFormat="1" x14ac:dyDescent="0.2">
      <c r="B149" s="156"/>
      <c r="E149" s="156"/>
      <c r="F149" s="156"/>
      <c r="G149" s="156"/>
      <c r="H149" s="156"/>
      <c r="I149" s="156"/>
      <c r="J149" s="156"/>
    </row>
    <row r="150" spans="2:10" s="123" customFormat="1" x14ac:dyDescent="0.2">
      <c r="B150" s="156"/>
      <c r="E150" s="156"/>
      <c r="F150" s="156"/>
      <c r="G150" s="156"/>
      <c r="H150" s="156"/>
      <c r="I150" s="156"/>
      <c r="J150" s="156"/>
    </row>
    <row r="151" spans="2:10" s="123" customFormat="1" x14ac:dyDescent="0.2">
      <c r="B151" s="156"/>
      <c r="E151" s="156"/>
      <c r="F151" s="156"/>
      <c r="G151" s="156"/>
      <c r="H151" s="156"/>
      <c r="I151" s="156"/>
      <c r="J151" s="156"/>
    </row>
    <row r="152" spans="2:10" s="123" customFormat="1" x14ac:dyDescent="0.2">
      <c r="B152" s="156"/>
      <c r="E152" s="156"/>
      <c r="F152" s="156"/>
      <c r="G152" s="156"/>
      <c r="H152" s="156"/>
      <c r="I152" s="156"/>
      <c r="J152" s="156"/>
    </row>
    <row r="153" spans="2:10" s="123" customFormat="1" x14ac:dyDescent="0.2">
      <c r="B153" s="156"/>
      <c r="E153" s="156"/>
      <c r="F153" s="156"/>
      <c r="G153" s="156"/>
      <c r="H153" s="156"/>
      <c r="I153" s="156"/>
      <c r="J153" s="156"/>
    </row>
    <row r="154" spans="2:10" s="123" customFormat="1" x14ac:dyDescent="0.2">
      <c r="B154" s="156"/>
      <c r="E154" s="156"/>
      <c r="F154" s="156"/>
      <c r="G154" s="156"/>
      <c r="H154" s="156"/>
      <c r="I154" s="156"/>
      <c r="J154" s="156"/>
    </row>
    <row r="155" spans="2:10" s="123" customFormat="1" x14ac:dyDescent="0.2">
      <c r="B155" s="156"/>
      <c r="E155" s="156"/>
      <c r="F155" s="156"/>
      <c r="G155" s="156"/>
      <c r="H155" s="156"/>
      <c r="I155" s="156"/>
      <c r="J155" s="156"/>
    </row>
    <row r="156" spans="2:10" s="123" customFormat="1" x14ac:dyDescent="0.2">
      <c r="B156" s="156"/>
      <c r="E156" s="156"/>
      <c r="F156" s="156"/>
      <c r="G156" s="156"/>
      <c r="H156" s="156"/>
      <c r="I156" s="156"/>
      <c r="J156" s="156"/>
    </row>
    <row r="157" spans="2:10" s="123" customFormat="1" x14ac:dyDescent="0.2">
      <c r="B157" s="156"/>
      <c r="E157" s="156"/>
      <c r="F157" s="156"/>
      <c r="G157" s="156"/>
      <c r="H157" s="156"/>
      <c r="I157" s="156"/>
      <c r="J157" s="156"/>
    </row>
    <row r="158" spans="2:10" s="123" customFormat="1" x14ac:dyDescent="0.2">
      <c r="B158" s="156"/>
      <c r="E158" s="156"/>
      <c r="F158" s="156"/>
      <c r="G158" s="156"/>
      <c r="H158" s="156"/>
      <c r="I158" s="156"/>
      <c r="J158" s="156"/>
    </row>
    <row r="159" spans="2:10" s="123" customFormat="1" x14ac:dyDescent="0.2">
      <c r="B159" s="156"/>
      <c r="E159" s="156"/>
      <c r="F159" s="156"/>
      <c r="G159" s="156"/>
      <c r="H159" s="156"/>
      <c r="I159" s="156"/>
      <c r="J159" s="156"/>
    </row>
    <row r="160" spans="2:10" s="123" customFormat="1" x14ac:dyDescent="0.2">
      <c r="B160" s="156"/>
      <c r="E160" s="156"/>
      <c r="F160" s="156"/>
      <c r="G160" s="156"/>
      <c r="H160" s="156"/>
      <c r="I160" s="156"/>
      <c r="J160" s="156"/>
    </row>
    <row r="161" spans="2:10" s="123" customFormat="1" x14ac:dyDescent="0.2">
      <c r="B161" s="156"/>
      <c r="E161" s="156"/>
      <c r="F161" s="156"/>
      <c r="G161" s="156"/>
      <c r="H161" s="156"/>
      <c r="I161" s="156"/>
      <c r="J161" s="156"/>
    </row>
    <row r="162" spans="2:10" s="123" customFormat="1" x14ac:dyDescent="0.2">
      <c r="B162" s="156"/>
      <c r="E162" s="156"/>
      <c r="F162" s="156"/>
      <c r="G162" s="156"/>
      <c r="H162" s="156"/>
      <c r="I162" s="156"/>
      <c r="J162" s="156"/>
    </row>
    <row r="163" spans="2:10" s="123" customFormat="1" x14ac:dyDescent="0.2">
      <c r="B163" s="156"/>
      <c r="E163" s="156"/>
      <c r="F163" s="156"/>
      <c r="G163" s="156"/>
      <c r="H163" s="156"/>
      <c r="I163" s="156"/>
      <c r="J163" s="156"/>
    </row>
    <row r="164" spans="2:10" s="123" customFormat="1" x14ac:dyDescent="0.2">
      <c r="B164" s="156"/>
      <c r="E164" s="156"/>
      <c r="F164" s="156"/>
      <c r="G164" s="156"/>
      <c r="H164" s="156"/>
      <c r="I164" s="156"/>
      <c r="J164" s="156"/>
    </row>
    <row r="165" spans="2:10" s="123" customFormat="1" x14ac:dyDescent="0.2">
      <c r="B165" s="156"/>
      <c r="E165" s="156"/>
      <c r="F165" s="156"/>
      <c r="G165" s="156"/>
      <c r="H165" s="156"/>
      <c r="I165" s="156"/>
      <c r="J165" s="156"/>
    </row>
    <row r="166" spans="2:10" s="123" customFormat="1" x14ac:dyDescent="0.2">
      <c r="B166" s="156"/>
      <c r="E166" s="156"/>
      <c r="F166" s="156"/>
      <c r="G166" s="156"/>
      <c r="H166" s="156"/>
      <c r="I166" s="156"/>
      <c r="J166" s="156"/>
    </row>
    <row r="167" spans="2:10" s="123" customFormat="1" x14ac:dyDescent="0.2">
      <c r="B167" s="156"/>
      <c r="E167" s="156"/>
      <c r="F167" s="156"/>
      <c r="G167" s="156"/>
      <c r="H167" s="156"/>
      <c r="I167" s="156"/>
      <c r="J167" s="156"/>
    </row>
    <row r="168" spans="2:10" s="123" customFormat="1" x14ac:dyDescent="0.2">
      <c r="B168" s="156"/>
      <c r="E168" s="156"/>
      <c r="F168" s="156"/>
      <c r="G168" s="156"/>
      <c r="H168" s="156"/>
      <c r="I168" s="156"/>
      <c r="J168" s="156"/>
    </row>
    <row r="169" spans="2:10" s="123" customFormat="1" x14ac:dyDescent="0.2">
      <c r="B169" s="156"/>
      <c r="E169" s="156"/>
      <c r="F169" s="156"/>
      <c r="G169" s="156"/>
      <c r="H169" s="156"/>
      <c r="I169" s="156"/>
      <c r="J169" s="156"/>
    </row>
    <row r="170" spans="2:10" s="123" customFormat="1" x14ac:dyDescent="0.2">
      <c r="B170" s="156"/>
      <c r="E170" s="156"/>
      <c r="F170" s="156"/>
      <c r="G170" s="156"/>
      <c r="H170" s="156"/>
      <c r="I170" s="156"/>
      <c r="J170" s="156"/>
    </row>
    <row r="171" spans="2:10" s="123" customFormat="1" x14ac:dyDescent="0.2">
      <c r="B171" s="156"/>
      <c r="E171" s="156"/>
      <c r="F171" s="156"/>
      <c r="G171" s="156"/>
      <c r="H171" s="156"/>
      <c r="I171" s="156"/>
      <c r="J171" s="156"/>
    </row>
    <row r="172" spans="2:10" s="123" customFormat="1" x14ac:dyDescent="0.2">
      <c r="B172" s="156"/>
      <c r="E172" s="156"/>
      <c r="F172" s="156"/>
      <c r="G172" s="156"/>
      <c r="H172" s="156"/>
      <c r="I172" s="156"/>
      <c r="J172" s="156"/>
    </row>
    <row r="173" spans="2:10" s="123" customFormat="1" x14ac:dyDescent="0.2">
      <c r="B173" s="156"/>
      <c r="E173" s="156"/>
      <c r="F173" s="156"/>
      <c r="G173" s="156"/>
      <c r="H173" s="156"/>
      <c r="I173" s="156"/>
      <c r="J173" s="156"/>
    </row>
    <row r="174" spans="2:10" s="123" customFormat="1" x14ac:dyDescent="0.2">
      <c r="B174" s="156"/>
      <c r="E174" s="156"/>
      <c r="F174" s="156"/>
      <c r="G174" s="156"/>
      <c r="H174" s="156"/>
      <c r="I174" s="156"/>
      <c r="J174" s="156"/>
    </row>
    <row r="175" spans="2:10" s="123" customFormat="1" x14ac:dyDescent="0.2">
      <c r="B175" s="156"/>
      <c r="E175" s="156"/>
      <c r="F175" s="156"/>
      <c r="G175" s="156"/>
      <c r="H175" s="156"/>
      <c r="I175" s="156"/>
      <c r="J175" s="156"/>
    </row>
    <row r="176" spans="2:10" s="123" customFormat="1" x14ac:dyDescent="0.2">
      <c r="B176" s="156"/>
      <c r="E176" s="156"/>
      <c r="F176" s="156"/>
      <c r="G176" s="156"/>
      <c r="H176" s="156"/>
      <c r="I176" s="156"/>
      <c r="J176" s="156"/>
    </row>
    <row r="177" spans="2:10" s="123" customFormat="1" x14ac:dyDescent="0.2">
      <c r="B177" s="156"/>
      <c r="E177" s="156"/>
      <c r="F177" s="156"/>
      <c r="G177" s="156"/>
      <c r="H177" s="156"/>
      <c r="I177" s="156"/>
      <c r="J177" s="156"/>
    </row>
    <row r="178" spans="2:10" s="123" customFormat="1" x14ac:dyDescent="0.2">
      <c r="B178" s="156"/>
      <c r="E178" s="156"/>
      <c r="F178" s="156"/>
      <c r="G178" s="156"/>
      <c r="H178" s="156"/>
      <c r="I178" s="156"/>
      <c r="J178" s="156"/>
    </row>
    <row r="179" spans="2:10" s="123" customFormat="1" x14ac:dyDescent="0.2">
      <c r="B179" s="156"/>
      <c r="E179" s="156"/>
      <c r="F179" s="156"/>
      <c r="G179" s="156"/>
      <c r="H179" s="156"/>
      <c r="I179" s="156"/>
      <c r="J179" s="156"/>
    </row>
    <row r="180" spans="2:10" s="123" customFormat="1" x14ac:dyDescent="0.2">
      <c r="B180" s="156"/>
      <c r="E180" s="156"/>
      <c r="F180" s="156"/>
      <c r="G180" s="156"/>
      <c r="H180" s="156"/>
      <c r="I180" s="156"/>
      <c r="J180" s="156"/>
    </row>
  </sheetData>
  <autoFilter ref="A2:J42" xr:uid="{A1F54CA9-D850-4C56-9250-200AD4095B93}"/>
  <conditionalFormatting sqref="C3:D9 C11:D15 E3:G12 E14:G16 H3:H16 E17:H24 E25:F26 C36:D41 D34:D35 E27:H31 C17:D21 C16 C23:D33 C22 E34:H41 E32:E33">
    <cfRule type="expression" dxfId="63" priority="23">
      <formula>AND(OR($F3="No",$F3=""), $E3= "Yes",$G3&lt;&gt;"",$H3&lt;&gt;"")</formula>
    </cfRule>
  </conditionalFormatting>
  <conditionalFormatting sqref="C10:D10">
    <cfRule type="expression" dxfId="62" priority="133">
      <formula>AND(OR($F10="No",$F10=""), $E10= "Yes",#REF!&lt;&gt;"",$H10&lt;&gt;"")</formula>
    </cfRule>
  </conditionalFormatting>
  <conditionalFormatting sqref="N3:O3 N5:O12 N35:O36 N38:O40 N14:O31">
    <cfRule type="expression" dxfId="61" priority="14">
      <formula>AND(OR($F3="No",$F3=""), $E3= "Yes",$G3&lt;&gt;"",$H3&lt;&gt;"")</formula>
    </cfRule>
  </conditionalFormatting>
  <conditionalFormatting sqref="N4:O4">
    <cfRule type="expression" dxfId="60" priority="13">
      <formula>AND(OR($F4="No",$F4=""), $E4= "Yes",$G4&lt;&gt;"",$H4&lt;&gt;"")</formula>
    </cfRule>
  </conditionalFormatting>
  <conditionalFormatting sqref="N32:O32">
    <cfRule type="expression" dxfId="59" priority="12">
      <formula>AND(OR($F32="No",$F32=""), $E32= "Yes",$G32&lt;&gt;"",$H32&lt;&gt;"")</formula>
    </cfRule>
  </conditionalFormatting>
  <conditionalFormatting sqref="N33:O33">
    <cfRule type="expression" dxfId="58" priority="11">
      <formula>AND(OR($F33="No",$F33=""), $E33= "Yes",$G33&lt;&gt;"",$H33&lt;&gt;"")</formula>
    </cfRule>
  </conditionalFormatting>
  <conditionalFormatting sqref="N34:O34">
    <cfRule type="expression" dxfId="57" priority="10">
      <formula>AND(OR($F34="No",$F34=""), $E34= "Yes",$G34&lt;&gt;"",$H34&lt;&gt;"")</formula>
    </cfRule>
  </conditionalFormatting>
  <conditionalFormatting sqref="N37:O37">
    <cfRule type="expression" dxfId="56" priority="9">
      <formula>AND(OR($F37="No",$F37=""), $E37= "Yes",$G37&lt;&gt;"",$H37&lt;&gt;"")</formula>
    </cfRule>
  </conditionalFormatting>
  <conditionalFormatting sqref="N41:O41">
    <cfRule type="expression" dxfId="55" priority="8">
      <formula>AND(OR($E41="No",$E41=""), $D41= "Yes",$F41&lt;&gt;"",$G41&lt;&gt;"")</formula>
    </cfRule>
  </conditionalFormatting>
  <conditionalFormatting sqref="N13:O13">
    <cfRule type="expression" dxfId="54" priority="7">
      <formula>AND(OR($F13="No",$F13=""), $E13= "Yes",$G13&lt;&gt;"",$H13&lt;&gt;"")</formula>
    </cfRule>
  </conditionalFormatting>
  <conditionalFormatting sqref="G25:H26">
    <cfRule type="expression" dxfId="53" priority="5">
      <formula>AND(OR($F25="No",$F25=""), $E25= "Yes",$G25&lt;&gt;"",$H25&lt;&gt;"")</formula>
    </cfRule>
    <cfRule type="expression" dxfId="52" priority="6">
      <formula>AND(OR($E25="No",$E25=""), $F25= "Yes",$G25&lt;&gt;"",$H25&lt;&gt;"")</formula>
    </cfRule>
  </conditionalFormatting>
  <conditionalFormatting sqref="C34:C35">
    <cfRule type="expression" dxfId="51" priority="4">
      <formula>AND(OR($F34="No",$F34=""), $E34= "Yes",$G34&lt;&gt;"",$H34&lt;&gt;"")</formula>
    </cfRule>
  </conditionalFormatting>
  <conditionalFormatting sqref="I3:M42">
    <cfRule type="expression" dxfId="50" priority="3">
      <formula>AND(OR($F3="No",$F3=""), $E3= "Yes",$G3&lt;&gt;"",$H3&lt;&gt;"")</formula>
    </cfRule>
  </conditionalFormatting>
  <conditionalFormatting sqref="D16">
    <cfRule type="expression" dxfId="49" priority="2">
      <formula>AND(OR($F16="No",$F16=""), $E16= "Yes",$G16&lt;&gt;"",$H16&lt;&gt;"")</formula>
    </cfRule>
  </conditionalFormatting>
  <conditionalFormatting sqref="D22">
    <cfRule type="expression" dxfId="48" priority="1">
      <formula>AND(OR($F22="No",$F22=""), $E22= "Yes",$G22&lt;&gt;"",$H22&lt;&gt;"")</formula>
    </cfRule>
  </conditionalFormatting>
  <dataValidations count="1">
    <dataValidation type="list" allowBlank="1" showInputMessage="1" showErrorMessage="1" sqref="E36:E41 E3:E12 E14:E33 K1:K2 K43:K1048576" xr:uid="{63B66D06-6651-4924-98D9-F3C7F6C19769}">
      <formula1>"Yes, No"</formula1>
    </dataValidation>
  </dataValidations>
  <pageMargins left="0.7" right="0.7" top="0.75" bottom="0.75" header="0.3" footer="0.3"/>
  <pageSetup paperSize="8" scale="66"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P180"/>
  <sheetViews>
    <sheetView zoomScale="60" zoomScaleNormal="60" workbookViewId="0">
      <pane ySplit="2" topLeftCell="A3" activePane="bottomLeft" state="frozen"/>
      <selection pane="bottomLeft" activeCell="E52" sqref="E52"/>
    </sheetView>
  </sheetViews>
  <sheetFormatPr defaultColWidth="8.88671875" defaultRowHeight="15" x14ac:dyDescent="0.2"/>
  <cols>
    <col min="1" max="1" width="13.77734375" style="2" hidden="1" customWidth="1"/>
    <col min="2" max="2" width="7.77734375" style="18" customWidth="1"/>
    <col min="3" max="3" width="60.77734375" style="2" customWidth="1"/>
    <col min="4" max="4" width="38.77734375" style="2" customWidth="1"/>
    <col min="5" max="5" width="9.5546875" style="2" bestFit="1" customWidth="1"/>
    <col min="6" max="6" width="12.109375" style="2" bestFit="1" customWidth="1"/>
    <col min="7" max="7" width="38.77734375" style="2" customWidth="1"/>
    <col min="8" max="8" width="14.77734375" style="2" customWidth="1"/>
    <col min="9" max="10" width="10.33203125" style="18" customWidth="1"/>
    <col min="11" max="11" width="9.33203125" style="2" hidden="1" customWidth="1"/>
    <col min="12" max="12" width="14.88671875" style="2" bestFit="1" customWidth="1"/>
    <col min="13" max="13" width="13.109375" style="2" hidden="1" customWidth="1"/>
    <col min="14" max="14" width="9.33203125" style="2" hidden="1" customWidth="1"/>
    <col min="15" max="15" width="7.5546875" style="2" hidden="1" customWidth="1"/>
    <col min="16" max="16384" width="8.88671875" style="2"/>
  </cols>
  <sheetData>
    <row r="1" spans="1:15" ht="21" customHeight="1" thickBot="1" x14ac:dyDescent="0.3">
      <c r="A1" s="21"/>
      <c r="B1" s="83" t="s">
        <v>47</v>
      </c>
      <c r="C1" s="56" t="s">
        <v>825</v>
      </c>
      <c r="D1" s="5"/>
      <c r="E1" s="5"/>
      <c r="F1" s="5"/>
      <c r="G1" s="5"/>
      <c r="H1" s="5"/>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23" customFormat="1" ht="54" customHeight="1" thickTop="1" x14ac:dyDescent="0.2">
      <c r="A3" s="97"/>
      <c r="B3" s="104" t="s">
        <v>10</v>
      </c>
      <c r="C3" s="92" t="s">
        <v>479</v>
      </c>
      <c r="D3" s="92" t="s">
        <v>480</v>
      </c>
      <c r="E3" s="92" t="s">
        <v>11</v>
      </c>
      <c r="F3" s="92" t="s">
        <v>21</v>
      </c>
      <c r="G3" s="92" t="s">
        <v>99</v>
      </c>
      <c r="H3" s="105" t="s">
        <v>59</v>
      </c>
      <c r="I3" s="92" t="s">
        <v>60</v>
      </c>
      <c r="J3" s="92" t="s">
        <v>61</v>
      </c>
      <c r="K3" s="92">
        <v>0</v>
      </c>
      <c r="L3" s="92" t="s">
        <v>481</v>
      </c>
      <c r="M3" s="92" t="s">
        <v>63</v>
      </c>
      <c r="N3" s="92">
        <v>2</v>
      </c>
      <c r="O3" s="93">
        <v>5.2083333333333333E-4</v>
      </c>
    </row>
    <row r="4" spans="1:15" s="123" customFormat="1" ht="54" customHeight="1" x14ac:dyDescent="0.2">
      <c r="A4" s="95"/>
      <c r="B4" s="69" t="s">
        <v>10</v>
      </c>
      <c r="C4" s="70" t="s">
        <v>482</v>
      </c>
      <c r="D4" s="70" t="s">
        <v>483</v>
      </c>
      <c r="E4" s="70" t="s">
        <v>11</v>
      </c>
      <c r="F4" s="70" t="s">
        <v>21</v>
      </c>
      <c r="G4" s="70" t="s">
        <v>746</v>
      </c>
      <c r="H4" s="80" t="s">
        <v>59</v>
      </c>
      <c r="I4" s="70" t="s">
        <v>60</v>
      </c>
      <c r="J4" s="70" t="s">
        <v>61</v>
      </c>
      <c r="K4" s="70">
        <v>0</v>
      </c>
      <c r="L4" s="70" t="s">
        <v>67</v>
      </c>
      <c r="M4" s="70" t="s">
        <v>68</v>
      </c>
      <c r="N4" s="70">
        <v>1</v>
      </c>
      <c r="O4" s="73">
        <v>1.3888888888888889E-3</v>
      </c>
    </row>
    <row r="5" spans="1:15" s="123" customFormat="1" ht="54" customHeight="1" x14ac:dyDescent="0.2">
      <c r="A5" s="95"/>
      <c r="B5" s="69" t="s">
        <v>10</v>
      </c>
      <c r="C5" s="70" t="s">
        <v>484</v>
      </c>
      <c r="D5" s="70" t="s">
        <v>485</v>
      </c>
      <c r="E5" s="70" t="s">
        <v>11</v>
      </c>
      <c r="F5" s="70" t="s">
        <v>21</v>
      </c>
      <c r="G5" s="70" t="s">
        <v>745</v>
      </c>
      <c r="H5" s="80" t="s">
        <v>59</v>
      </c>
      <c r="I5" s="70" t="s">
        <v>60</v>
      </c>
      <c r="J5" s="70" t="s">
        <v>61</v>
      </c>
      <c r="K5" s="70">
        <v>0</v>
      </c>
      <c r="L5" s="70" t="s">
        <v>100</v>
      </c>
      <c r="M5" s="70" t="s">
        <v>63</v>
      </c>
      <c r="N5" s="70">
        <v>1</v>
      </c>
      <c r="O5" s="73">
        <v>2.0833333333333333E-3</v>
      </c>
    </row>
    <row r="6" spans="1:15" s="123" customFormat="1" ht="54" customHeight="1" thickBot="1" x14ac:dyDescent="0.25">
      <c r="A6" s="96"/>
      <c r="B6" s="74" t="s">
        <v>10</v>
      </c>
      <c r="C6" s="75" t="s">
        <v>486</v>
      </c>
      <c r="D6" s="75" t="s">
        <v>487</v>
      </c>
      <c r="E6" s="75" t="s">
        <v>11</v>
      </c>
      <c r="F6" s="75" t="s">
        <v>21</v>
      </c>
      <c r="G6" s="75" t="s">
        <v>58</v>
      </c>
      <c r="H6" s="81" t="s">
        <v>59</v>
      </c>
      <c r="I6" s="75" t="s">
        <v>60</v>
      </c>
      <c r="J6" s="75" t="s">
        <v>61</v>
      </c>
      <c r="K6" s="75">
        <v>0</v>
      </c>
      <c r="L6" s="75" t="s">
        <v>106</v>
      </c>
      <c r="M6" s="75" t="s">
        <v>63</v>
      </c>
      <c r="N6" s="75">
        <v>1</v>
      </c>
      <c r="O6" s="78">
        <v>1.0416666666666667E-3</v>
      </c>
    </row>
    <row r="7" spans="1:15" s="123" customFormat="1" ht="54" customHeight="1" thickTop="1" x14ac:dyDescent="0.2">
      <c r="A7" s="95"/>
      <c r="B7" s="104" t="s">
        <v>13</v>
      </c>
      <c r="C7" s="92" t="s">
        <v>488</v>
      </c>
      <c r="D7" s="92" t="s">
        <v>489</v>
      </c>
      <c r="E7" s="92" t="s">
        <v>11</v>
      </c>
      <c r="F7" s="92" t="s">
        <v>21</v>
      </c>
      <c r="G7" s="92" t="s">
        <v>148</v>
      </c>
      <c r="H7" s="105">
        <v>45341</v>
      </c>
      <c r="I7" s="92" t="s">
        <v>139</v>
      </c>
      <c r="J7" s="92" t="s">
        <v>140</v>
      </c>
      <c r="K7" s="92">
        <v>0</v>
      </c>
      <c r="L7" s="92" t="s">
        <v>141</v>
      </c>
      <c r="M7" s="92" t="s">
        <v>114</v>
      </c>
      <c r="N7" s="92">
        <v>4</v>
      </c>
      <c r="O7" s="93">
        <v>1.736111111111111E-3</v>
      </c>
    </row>
    <row r="8" spans="1:15" s="123" customFormat="1" ht="54" customHeight="1" x14ac:dyDescent="0.2">
      <c r="A8" s="95"/>
      <c r="B8" s="69" t="s">
        <v>13</v>
      </c>
      <c r="C8" s="70" t="s">
        <v>490</v>
      </c>
      <c r="D8" s="70" t="s">
        <v>491</v>
      </c>
      <c r="E8" s="70" t="s">
        <v>11</v>
      </c>
      <c r="F8" s="70" t="s">
        <v>21</v>
      </c>
      <c r="G8" s="70" t="s">
        <v>826</v>
      </c>
      <c r="H8" s="80">
        <v>45343</v>
      </c>
      <c r="I8" s="70" t="s">
        <v>139</v>
      </c>
      <c r="J8" s="70" t="s">
        <v>140</v>
      </c>
      <c r="K8" s="70">
        <v>0</v>
      </c>
      <c r="L8" s="70" t="s">
        <v>141</v>
      </c>
      <c r="M8" s="70" t="s">
        <v>114</v>
      </c>
      <c r="N8" s="70">
        <v>4</v>
      </c>
      <c r="O8" s="73">
        <v>1.736111111111111E-3</v>
      </c>
    </row>
    <row r="9" spans="1:15" s="123" customFormat="1" ht="54" customHeight="1" x14ac:dyDescent="0.2">
      <c r="A9" s="95"/>
      <c r="B9" s="69" t="s">
        <v>13</v>
      </c>
      <c r="C9" s="70" t="s">
        <v>492</v>
      </c>
      <c r="D9" s="70" t="s">
        <v>493</v>
      </c>
      <c r="E9" s="70" t="s">
        <v>11</v>
      </c>
      <c r="F9" s="70" t="s">
        <v>21</v>
      </c>
      <c r="G9" s="70" t="s">
        <v>148</v>
      </c>
      <c r="H9" s="80">
        <v>45341</v>
      </c>
      <c r="I9" s="70" t="s">
        <v>139</v>
      </c>
      <c r="J9" s="70" t="s">
        <v>140</v>
      </c>
      <c r="K9" s="70">
        <v>0</v>
      </c>
      <c r="L9" s="70" t="s">
        <v>141</v>
      </c>
      <c r="M9" s="70" t="s">
        <v>114</v>
      </c>
      <c r="N9" s="70">
        <v>4</v>
      </c>
      <c r="O9" s="73">
        <v>1.736111111111111E-3</v>
      </c>
    </row>
    <row r="10" spans="1:15" s="123" customFormat="1" ht="54" customHeight="1" x14ac:dyDescent="0.2">
      <c r="A10" s="95"/>
      <c r="B10" s="69" t="s">
        <v>13</v>
      </c>
      <c r="C10" s="70" t="s">
        <v>494</v>
      </c>
      <c r="D10" s="70" t="s">
        <v>495</v>
      </c>
      <c r="E10" s="70" t="s">
        <v>11</v>
      </c>
      <c r="F10" s="70" t="s">
        <v>21</v>
      </c>
      <c r="G10" s="70" t="s">
        <v>827</v>
      </c>
      <c r="H10" s="80">
        <v>45343</v>
      </c>
      <c r="I10" s="70" t="s">
        <v>139</v>
      </c>
      <c r="J10" s="70" t="s">
        <v>140</v>
      </c>
      <c r="K10" s="70">
        <v>0</v>
      </c>
      <c r="L10" s="70" t="s">
        <v>141</v>
      </c>
      <c r="M10" s="70" t="s">
        <v>114</v>
      </c>
      <c r="N10" s="70">
        <v>4</v>
      </c>
      <c r="O10" s="73">
        <v>1.736111111111111E-3</v>
      </c>
    </row>
    <row r="11" spans="1:15" s="123" customFormat="1" ht="54" customHeight="1" x14ac:dyDescent="0.2">
      <c r="A11" s="95"/>
      <c r="B11" s="69" t="s">
        <v>13</v>
      </c>
      <c r="C11" s="70" t="s">
        <v>497</v>
      </c>
      <c r="D11" s="70" t="s">
        <v>498</v>
      </c>
      <c r="E11" s="70" t="s">
        <v>11</v>
      </c>
      <c r="F11" s="70" t="s">
        <v>21</v>
      </c>
      <c r="G11" s="70" t="s">
        <v>828</v>
      </c>
      <c r="H11" s="80">
        <v>45342</v>
      </c>
      <c r="I11" s="70" t="s">
        <v>139</v>
      </c>
      <c r="J11" s="70" t="s">
        <v>61</v>
      </c>
      <c r="K11" s="70">
        <v>0</v>
      </c>
      <c r="L11" s="70" t="s">
        <v>500</v>
      </c>
      <c r="M11" s="70" t="s">
        <v>153</v>
      </c>
      <c r="N11" s="70">
        <v>1</v>
      </c>
      <c r="O11" s="73">
        <v>6.9444444444444447E-4</v>
      </c>
    </row>
    <row r="12" spans="1:15" s="123" customFormat="1" ht="54" customHeight="1" x14ac:dyDescent="0.2">
      <c r="A12" s="95"/>
      <c r="B12" s="69" t="s">
        <v>13</v>
      </c>
      <c r="C12" s="70" t="s">
        <v>501</v>
      </c>
      <c r="D12" s="70" t="s">
        <v>502</v>
      </c>
      <c r="E12" s="70" t="s">
        <v>11</v>
      </c>
      <c r="F12" s="70" t="s">
        <v>21</v>
      </c>
      <c r="G12" s="70" t="s">
        <v>148</v>
      </c>
      <c r="H12" s="80">
        <v>45343</v>
      </c>
      <c r="I12" s="70" t="s">
        <v>60</v>
      </c>
      <c r="J12" s="70" t="s">
        <v>140</v>
      </c>
      <c r="K12" s="70">
        <v>0</v>
      </c>
      <c r="L12" s="70" t="s">
        <v>168</v>
      </c>
      <c r="M12" s="70" t="s">
        <v>169</v>
      </c>
      <c r="N12" s="70">
        <v>2</v>
      </c>
      <c r="O12" s="73">
        <v>4.6296296296296293E-4</v>
      </c>
    </row>
    <row r="13" spans="1:15" s="123" customFormat="1" ht="54" customHeight="1" x14ac:dyDescent="0.2">
      <c r="A13" s="95"/>
      <c r="B13" s="69" t="s">
        <v>13</v>
      </c>
      <c r="C13" s="70" t="s">
        <v>503</v>
      </c>
      <c r="D13" s="70" t="s">
        <v>504</v>
      </c>
      <c r="E13" s="70" t="s">
        <v>11</v>
      </c>
      <c r="F13" s="70" t="s">
        <v>21</v>
      </c>
      <c r="G13" s="70" t="s">
        <v>784</v>
      </c>
      <c r="H13" s="80">
        <v>45343</v>
      </c>
      <c r="I13" s="70" t="s">
        <v>60</v>
      </c>
      <c r="J13" s="70" t="s">
        <v>140</v>
      </c>
      <c r="K13" s="70">
        <v>0</v>
      </c>
      <c r="L13" s="70" t="s">
        <v>168</v>
      </c>
      <c r="M13" s="70" t="s">
        <v>169</v>
      </c>
      <c r="N13" s="70">
        <v>2</v>
      </c>
      <c r="O13" s="73">
        <v>4.6296296296296293E-4</v>
      </c>
    </row>
    <row r="14" spans="1:15" s="123" customFormat="1" ht="54" customHeight="1" thickBot="1" x14ac:dyDescent="0.25">
      <c r="A14" s="96"/>
      <c r="B14" s="74" t="s">
        <v>13</v>
      </c>
      <c r="C14" s="75" t="s">
        <v>505</v>
      </c>
      <c r="D14" s="75" t="s">
        <v>506</v>
      </c>
      <c r="E14" s="76" t="s">
        <v>11</v>
      </c>
      <c r="F14" s="76" t="s">
        <v>21</v>
      </c>
      <c r="G14" s="76" t="s">
        <v>183</v>
      </c>
      <c r="H14" s="81">
        <v>45343</v>
      </c>
      <c r="I14" s="75" t="s">
        <v>93</v>
      </c>
      <c r="J14" s="75" t="s">
        <v>61</v>
      </c>
      <c r="K14" s="75">
        <v>0</v>
      </c>
      <c r="L14" s="75" t="s">
        <v>507</v>
      </c>
      <c r="M14" s="75" t="s">
        <v>114</v>
      </c>
      <c r="N14" s="75">
        <v>1</v>
      </c>
      <c r="O14" s="78">
        <v>6.9444444444444447E-4</v>
      </c>
    </row>
    <row r="15" spans="1:15" s="123" customFormat="1" ht="54" customHeight="1" thickTop="1" x14ac:dyDescent="0.2">
      <c r="A15" s="95"/>
      <c r="B15" s="104" t="s">
        <v>16</v>
      </c>
      <c r="C15" s="92" t="s">
        <v>829</v>
      </c>
      <c r="D15" s="92" t="s">
        <v>211</v>
      </c>
      <c r="E15" s="92" t="s">
        <v>11</v>
      </c>
      <c r="F15" s="92" t="s">
        <v>21</v>
      </c>
      <c r="G15" s="92" t="s">
        <v>212</v>
      </c>
      <c r="H15" s="105">
        <v>45341</v>
      </c>
      <c r="I15" s="92" t="s">
        <v>139</v>
      </c>
      <c r="J15" s="92" t="s">
        <v>140</v>
      </c>
      <c r="K15" s="92">
        <v>0</v>
      </c>
      <c r="L15" s="92" t="s">
        <v>213</v>
      </c>
      <c r="M15" s="92" t="s">
        <v>209</v>
      </c>
      <c r="N15" s="92">
        <v>1</v>
      </c>
      <c r="O15" s="93">
        <v>3.4722222222222224E-4</v>
      </c>
    </row>
    <row r="16" spans="1:15" s="123" customFormat="1" ht="54" customHeight="1" x14ac:dyDescent="0.2">
      <c r="A16" s="95"/>
      <c r="B16" s="69" t="s">
        <v>16</v>
      </c>
      <c r="C16" s="70" t="s">
        <v>509</v>
      </c>
      <c r="D16" s="70" t="s">
        <v>211</v>
      </c>
      <c r="E16" s="70" t="s">
        <v>11</v>
      </c>
      <c r="F16" s="70" t="s">
        <v>21</v>
      </c>
      <c r="G16" s="70" t="s">
        <v>212</v>
      </c>
      <c r="H16" s="80">
        <v>45341</v>
      </c>
      <c r="I16" s="70" t="s">
        <v>139</v>
      </c>
      <c r="J16" s="70" t="s">
        <v>140</v>
      </c>
      <c r="K16" s="70">
        <v>0</v>
      </c>
      <c r="L16" s="70" t="s">
        <v>213</v>
      </c>
      <c r="M16" s="70" t="s">
        <v>209</v>
      </c>
      <c r="N16" s="70">
        <v>1</v>
      </c>
      <c r="O16" s="73">
        <v>3.4722222222222224E-4</v>
      </c>
    </row>
    <row r="17" spans="1:15" s="123" customFormat="1" ht="54" customHeight="1" x14ac:dyDescent="0.2">
      <c r="A17" s="95"/>
      <c r="B17" s="69" t="s">
        <v>16</v>
      </c>
      <c r="C17" s="70" t="s">
        <v>830</v>
      </c>
      <c r="D17" s="70" t="s">
        <v>216</v>
      </c>
      <c r="E17" s="70" t="s">
        <v>11</v>
      </c>
      <c r="F17" s="70" t="s">
        <v>21</v>
      </c>
      <c r="G17" s="70" t="s">
        <v>217</v>
      </c>
      <c r="H17" s="80">
        <v>45341</v>
      </c>
      <c r="I17" s="70" t="s">
        <v>93</v>
      </c>
      <c r="J17" s="70" t="s">
        <v>140</v>
      </c>
      <c r="K17" s="70">
        <v>0</v>
      </c>
      <c r="L17" s="70" t="s">
        <v>218</v>
      </c>
      <c r="M17" s="70" t="s">
        <v>219</v>
      </c>
      <c r="N17" s="70">
        <v>1</v>
      </c>
      <c r="O17" s="73">
        <v>3.4722222222222224E-4</v>
      </c>
    </row>
    <row r="18" spans="1:15" s="123" customFormat="1" ht="54" customHeight="1" x14ac:dyDescent="0.2">
      <c r="A18" s="95"/>
      <c r="B18" s="69" t="s">
        <v>16</v>
      </c>
      <c r="C18" s="70" t="s">
        <v>512</v>
      </c>
      <c r="D18" s="70" t="s">
        <v>221</v>
      </c>
      <c r="E18" s="70" t="s">
        <v>11</v>
      </c>
      <c r="F18" s="70" t="s">
        <v>21</v>
      </c>
      <c r="G18" s="70" t="s">
        <v>222</v>
      </c>
      <c r="H18" s="80">
        <v>45341</v>
      </c>
      <c r="I18" s="70" t="s">
        <v>139</v>
      </c>
      <c r="J18" s="70" t="s">
        <v>140</v>
      </c>
      <c r="K18" s="70">
        <v>0</v>
      </c>
      <c r="L18" s="70" t="s">
        <v>223</v>
      </c>
      <c r="M18" s="70" t="s">
        <v>209</v>
      </c>
      <c r="N18" s="70">
        <v>1</v>
      </c>
      <c r="O18" s="73">
        <v>5.7870370370370378E-4</v>
      </c>
    </row>
    <row r="19" spans="1:15" s="123" customFormat="1" ht="54" customHeight="1" x14ac:dyDescent="0.2">
      <c r="A19" s="95"/>
      <c r="B19" s="69" t="s">
        <v>16</v>
      </c>
      <c r="C19" s="70" t="s">
        <v>513</v>
      </c>
      <c r="D19" s="70" t="s">
        <v>225</v>
      </c>
      <c r="E19" s="70" t="s">
        <v>11</v>
      </c>
      <c r="F19" s="70" t="s">
        <v>21</v>
      </c>
      <c r="G19" s="70" t="s">
        <v>279</v>
      </c>
      <c r="H19" s="80">
        <v>45979</v>
      </c>
      <c r="I19" s="70" t="s">
        <v>139</v>
      </c>
      <c r="J19" s="70" t="s">
        <v>140</v>
      </c>
      <c r="K19" s="70">
        <v>0</v>
      </c>
      <c r="L19" s="70" t="s">
        <v>227</v>
      </c>
      <c r="M19" s="70" t="s">
        <v>209</v>
      </c>
      <c r="N19" s="70">
        <v>2</v>
      </c>
      <c r="O19" s="73">
        <v>6.9444444444444447E-4</v>
      </c>
    </row>
    <row r="20" spans="1:15" s="123" customFormat="1" ht="54" customHeight="1" x14ac:dyDescent="0.2">
      <c r="A20" s="160"/>
      <c r="B20" s="130" t="s">
        <v>16</v>
      </c>
      <c r="C20" s="131" t="s">
        <v>514</v>
      </c>
      <c r="D20" s="131" t="s">
        <v>229</v>
      </c>
      <c r="E20" s="131" t="s">
        <v>11</v>
      </c>
      <c r="F20" s="131" t="s">
        <v>21</v>
      </c>
      <c r="G20" s="131" t="s">
        <v>230</v>
      </c>
      <c r="H20" s="147">
        <v>45340</v>
      </c>
      <c r="I20" s="131" t="s">
        <v>60</v>
      </c>
      <c r="J20" s="131" t="s">
        <v>140</v>
      </c>
      <c r="K20" s="131">
        <v>0</v>
      </c>
      <c r="L20" s="131" t="s">
        <v>231</v>
      </c>
      <c r="M20" s="131" t="s">
        <v>209</v>
      </c>
      <c r="N20" s="131">
        <v>1</v>
      </c>
      <c r="O20" s="135">
        <v>3.4722222222222224E-4</v>
      </c>
    </row>
    <row r="21" spans="1:15" s="123" customFormat="1" ht="54" customHeight="1" x14ac:dyDescent="0.2">
      <c r="A21" s="160"/>
      <c r="B21" s="130" t="s">
        <v>16</v>
      </c>
      <c r="C21" s="131" t="s">
        <v>515</v>
      </c>
      <c r="D21" s="131" t="s">
        <v>233</v>
      </c>
      <c r="E21" s="131" t="s">
        <v>11</v>
      </c>
      <c r="F21" s="131" t="s">
        <v>21</v>
      </c>
      <c r="G21" s="131" t="s">
        <v>222</v>
      </c>
      <c r="H21" s="147">
        <v>45341</v>
      </c>
      <c r="I21" s="131" t="s">
        <v>139</v>
      </c>
      <c r="J21" s="131" t="s">
        <v>61</v>
      </c>
      <c r="K21" s="131">
        <v>0</v>
      </c>
      <c r="L21" s="131" t="s">
        <v>223</v>
      </c>
      <c r="M21" s="131" t="s">
        <v>209</v>
      </c>
      <c r="N21" s="131">
        <v>1</v>
      </c>
      <c r="O21" s="135">
        <v>1.0416666666666667E-3</v>
      </c>
    </row>
    <row r="22" spans="1:15" s="123" customFormat="1" ht="54" customHeight="1" x14ac:dyDescent="0.2">
      <c r="A22" s="160"/>
      <c r="B22" s="130" t="s">
        <v>16</v>
      </c>
      <c r="C22" s="131" t="s">
        <v>516</v>
      </c>
      <c r="D22" s="131" t="s">
        <v>235</v>
      </c>
      <c r="E22" s="131" t="s">
        <v>11</v>
      </c>
      <c r="F22" s="131" t="s">
        <v>21</v>
      </c>
      <c r="G22" s="131" t="s">
        <v>757</v>
      </c>
      <c r="H22" s="147">
        <v>45341</v>
      </c>
      <c r="I22" s="131" t="s">
        <v>139</v>
      </c>
      <c r="J22" s="131" t="s">
        <v>140</v>
      </c>
      <c r="K22" s="131">
        <v>0</v>
      </c>
      <c r="L22" s="131" t="s">
        <v>237</v>
      </c>
      <c r="M22" s="131" t="s">
        <v>209</v>
      </c>
      <c r="N22" s="131">
        <v>1</v>
      </c>
      <c r="O22" s="135">
        <v>1.1574074074074073E-4</v>
      </c>
    </row>
    <row r="23" spans="1:15" s="123" customFormat="1" ht="54" customHeight="1" x14ac:dyDescent="0.2">
      <c r="A23" s="160"/>
      <c r="B23" s="130" t="s">
        <v>16</v>
      </c>
      <c r="C23" s="131" t="s">
        <v>517</v>
      </c>
      <c r="D23" s="131" t="s">
        <v>518</v>
      </c>
      <c r="E23" s="131" t="s">
        <v>11</v>
      </c>
      <c r="F23" s="131" t="s">
        <v>21</v>
      </c>
      <c r="G23" s="131" t="s">
        <v>283</v>
      </c>
      <c r="H23" s="147">
        <v>45341</v>
      </c>
      <c r="I23" s="131" t="s">
        <v>93</v>
      </c>
      <c r="J23" s="131" t="s">
        <v>140</v>
      </c>
      <c r="K23" s="131">
        <v>0</v>
      </c>
      <c r="L23" s="131" t="s">
        <v>519</v>
      </c>
      <c r="M23" s="131" t="s">
        <v>219</v>
      </c>
      <c r="N23" s="131">
        <v>1</v>
      </c>
      <c r="O23" s="135">
        <v>3.4722222222222224E-4</v>
      </c>
    </row>
    <row r="24" spans="1:15" s="123" customFormat="1" ht="54" customHeight="1" x14ac:dyDescent="0.2">
      <c r="A24" s="160"/>
      <c r="B24" s="130" t="s">
        <v>16</v>
      </c>
      <c r="C24" s="131" t="s">
        <v>520</v>
      </c>
      <c r="D24" s="131" t="s">
        <v>248</v>
      </c>
      <c r="E24" s="131" t="s">
        <v>11</v>
      </c>
      <c r="F24" s="131" t="s">
        <v>21</v>
      </c>
      <c r="G24" s="131" t="s">
        <v>249</v>
      </c>
      <c r="H24" s="147">
        <v>45341</v>
      </c>
      <c r="I24" s="131" t="s">
        <v>139</v>
      </c>
      <c r="J24" s="131" t="s">
        <v>140</v>
      </c>
      <c r="K24" s="131">
        <v>0</v>
      </c>
      <c r="L24" s="131" t="s">
        <v>250</v>
      </c>
      <c r="M24" s="131" t="s">
        <v>209</v>
      </c>
      <c r="N24" s="131">
        <v>1</v>
      </c>
      <c r="O24" s="135">
        <v>6.9444444444444447E-4</v>
      </c>
    </row>
    <row r="25" spans="1:15" s="123" customFormat="1" ht="54" customHeight="1" x14ac:dyDescent="0.2">
      <c r="A25" s="160"/>
      <c r="B25" s="130" t="s">
        <v>16</v>
      </c>
      <c r="C25" s="131" t="s">
        <v>522</v>
      </c>
      <c r="D25" s="131" t="s">
        <v>271</v>
      </c>
      <c r="E25" s="131" t="s">
        <v>11</v>
      </c>
      <c r="F25" s="131" t="s">
        <v>21</v>
      </c>
      <c r="G25" s="131" t="s">
        <v>268</v>
      </c>
      <c r="H25" s="147">
        <v>45340</v>
      </c>
      <c r="I25" s="131" t="s">
        <v>60</v>
      </c>
      <c r="J25" s="131" t="s">
        <v>140</v>
      </c>
      <c r="K25" s="131">
        <v>0</v>
      </c>
      <c r="L25" s="131" t="s">
        <v>272</v>
      </c>
      <c r="M25" s="131" t="s">
        <v>209</v>
      </c>
      <c r="N25" s="131">
        <v>1</v>
      </c>
      <c r="O25" s="135">
        <v>3.4722222222222224E-4</v>
      </c>
    </row>
    <row r="26" spans="1:15" s="123" customFormat="1" ht="54" customHeight="1" x14ac:dyDescent="0.2">
      <c r="A26" s="160"/>
      <c r="B26" s="130" t="s">
        <v>16</v>
      </c>
      <c r="C26" s="131" t="s">
        <v>523</v>
      </c>
      <c r="D26" s="131" t="s">
        <v>524</v>
      </c>
      <c r="E26" s="131" t="s">
        <v>11</v>
      </c>
      <c r="F26" s="131" t="s">
        <v>21</v>
      </c>
      <c r="G26" s="131" t="s">
        <v>525</v>
      </c>
      <c r="H26" s="147">
        <v>45341</v>
      </c>
      <c r="I26" s="131" t="s">
        <v>60</v>
      </c>
      <c r="J26" s="131" t="s">
        <v>140</v>
      </c>
      <c r="K26" s="131">
        <v>0</v>
      </c>
      <c r="L26" s="131" t="s">
        <v>526</v>
      </c>
      <c r="M26" s="131" t="s">
        <v>209</v>
      </c>
      <c r="N26" s="131">
        <v>2</v>
      </c>
      <c r="O26" s="135">
        <v>2.3148148148148146E-4</v>
      </c>
    </row>
    <row r="27" spans="1:15" s="123" customFormat="1" ht="54" customHeight="1" x14ac:dyDescent="0.2">
      <c r="A27" s="160"/>
      <c r="B27" s="130" t="s">
        <v>16</v>
      </c>
      <c r="C27" s="131" t="s">
        <v>527</v>
      </c>
      <c r="D27" s="131" t="s">
        <v>528</v>
      </c>
      <c r="E27" s="131" t="s">
        <v>11</v>
      </c>
      <c r="F27" s="131" t="s">
        <v>21</v>
      </c>
      <c r="G27" s="131" t="s">
        <v>525</v>
      </c>
      <c r="H27" s="147">
        <v>45341</v>
      </c>
      <c r="I27" s="131" t="s">
        <v>93</v>
      </c>
      <c r="J27" s="131" t="s">
        <v>140</v>
      </c>
      <c r="K27" s="131">
        <v>0</v>
      </c>
      <c r="L27" s="131" t="s">
        <v>529</v>
      </c>
      <c r="M27" s="131" t="s">
        <v>219</v>
      </c>
      <c r="N27" s="131">
        <v>1</v>
      </c>
      <c r="O27" s="135">
        <v>3.4722222222222224E-4</v>
      </c>
    </row>
    <row r="28" spans="1:15" s="123" customFormat="1" ht="54" customHeight="1" x14ac:dyDescent="0.2">
      <c r="A28" s="160"/>
      <c r="B28" s="130" t="s">
        <v>16</v>
      </c>
      <c r="C28" s="131" t="s">
        <v>530</v>
      </c>
      <c r="D28" s="131" t="s">
        <v>531</v>
      </c>
      <c r="E28" s="131" t="s">
        <v>11</v>
      </c>
      <c r="F28" s="131" t="s">
        <v>21</v>
      </c>
      <c r="G28" s="131" t="s">
        <v>525</v>
      </c>
      <c r="H28" s="147">
        <v>45341</v>
      </c>
      <c r="I28" s="131" t="s">
        <v>60</v>
      </c>
      <c r="J28" s="131" t="s">
        <v>140</v>
      </c>
      <c r="K28" s="131">
        <v>0</v>
      </c>
      <c r="L28" s="131" t="s">
        <v>532</v>
      </c>
      <c r="M28" s="131" t="s">
        <v>209</v>
      </c>
      <c r="N28" s="131">
        <v>1</v>
      </c>
      <c r="O28" s="135">
        <v>4.6296296296296293E-4</v>
      </c>
    </row>
    <row r="29" spans="1:15" s="123" customFormat="1" ht="54" customHeight="1" x14ac:dyDescent="0.2">
      <c r="A29" s="95"/>
      <c r="B29" s="69" t="s">
        <v>16</v>
      </c>
      <c r="C29" s="70" t="s">
        <v>533</v>
      </c>
      <c r="D29" s="70" t="s">
        <v>534</v>
      </c>
      <c r="E29" s="70" t="s">
        <v>11</v>
      </c>
      <c r="F29" s="70" t="s">
        <v>21</v>
      </c>
      <c r="G29" s="70" t="s">
        <v>74</v>
      </c>
      <c r="H29" s="80">
        <v>45978</v>
      </c>
      <c r="I29" s="70" t="s">
        <v>60</v>
      </c>
      <c r="J29" s="70" t="s">
        <v>61</v>
      </c>
      <c r="K29" s="70">
        <v>0</v>
      </c>
      <c r="L29" s="70" t="s">
        <v>535</v>
      </c>
      <c r="M29" s="70" t="s">
        <v>209</v>
      </c>
      <c r="N29" s="70">
        <v>1</v>
      </c>
      <c r="O29" s="73">
        <v>6.9444444444444447E-4</v>
      </c>
    </row>
    <row r="30" spans="1:15" s="123" customFormat="1" ht="54" customHeight="1" x14ac:dyDescent="0.2">
      <c r="A30" s="160"/>
      <c r="B30" s="130" t="s">
        <v>16</v>
      </c>
      <c r="C30" s="131" t="s">
        <v>536</v>
      </c>
      <c r="D30" s="131" t="s">
        <v>537</v>
      </c>
      <c r="E30" s="131" t="s">
        <v>11</v>
      </c>
      <c r="F30" s="131" t="s">
        <v>21</v>
      </c>
      <c r="G30" s="145" t="s">
        <v>279</v>
      </c>
      <c r="H30" s="146">
        <v>45341</v>
      </c>
      <c r="I30" s="131" t="s">
        <v>93</v>
      </c>
      <c r="J30" s="131" t="s">
        <v>140</v>
      </c>
      <c r="K30" s="131">
        <v>0</v>
      </c>
      <c r="L30" s="131" t="s">
        <v>280</v>
      </c>
      <c r="M30" s="131" t="s">
        <v>219</v>
      </c>
      <c r="N30" s="131">
        <v>1</v>
      </c>
      <c r="O30" s="135">
        <v>3.4722222222222224E-4</v>
      </c>
    </row>
    <row r="31" spans="1:15" s="123" customFormat="1" ht="54" customHeight="1" x14ac:dyDescent="0.2">
      <c r="A31" s="160"/>
      <c r="B31" s="130" t="s">
        <v>16</v>
      </c>
      <c r="C31" s="131" t="s">
        <v>538</v>
      </c>
      <c r="D31" s="131" t="s">
        <v>539</v>
      </c>
      <c r="E31" s="131" t="s">
        <v>11</v>
      </c>
      <c r="F31" s="131" t="s">
        <v>21</v>
      </c>
      <c r="G31" s="145" t="s">
        <v>283</v>
      </c>
      <c r="H31" s="146">
        <v>45341</v>
      </c>
      <c r="I31" s="131" t="s">
        <v>93</v>
      </c>
      <c r="J31" s="131" t="s">
        <v>140</v>
      </c>
      <c r="K31" s="131">
        <v>0</v>
      </c>
      <c r="L31" s="131" t="s">
        <v>287</v>
      </c>
      <c r="M31" s="131" t="s">
        <v>219</v>
      </c>
      <c r="N31" s="131">
        <v>1</v>
      </c>
      <c r="O31" s="135">
        <v>6.9444444444444447E-4</v>
      </c>
    </row>
    <row r="32" spans="1:15" s="123" customFormat="1" ht="54" customHeight="1" x14ac:dyDescent="0.2">
      <c r="A32" s="160"/>
      <c r="B32" s="130" t="s">
        <v>16</v>
      </c>
      <c r="C32" s="131" t="s">
        <v>540</v>
      </c>
      <c r="D32" s="131" t="s">
        <v>289</v>
      </c>
      <c r="E32" s="131" t="s">
        <v>11</v>
      </c>
      <c r="F32" s="131" t="s">
        <v>21</v>
      </c>
      <c r="G32" s="131" t="s">
        <v>290</v>
      </c>
      <c r="H32" s="147">
        <v>45341</v>
      </c>
      <c r="I32" s="131" t="s">
        <v>60</v>
      </c>
      <c r="J32" s="131" t="s">
        <v>140</v>
      </c>
      <c r="K32" s="131">
        <v>0</v>
      </c>
      <c r="L32" s="131" t="s">
        <v>291</v>
      </c>
      <c r="M32" s="131" t="s">
        <v>209</v>
      </c>
      <c r="N32" s="131">
        <v>1</v>
      </c>
      <c r="O32" s="135">
        <v>3.4722222222222224E-4</v>
      </c>
    </row>
    <row r="33" spans="1:15" s="123" customFormat="1" ht="54" customHeight="1" x14ac:dyDescent="0.2">
      <c r="A33" s="160"/>
      <c r="B33" s="130" t="s">
        <v>16</v>
      </c>
      <c r="C33" s="131" t="s">
        <v>541</v>
      </c>
      <c r="D33" s="131" t="s">
        <v>542</v>
      </c>
      <c r="E33" s="131" t="s">
        <v>21</v>
      </c>
      <c r="F33" s="131"/>
      <c r="G33" s="131"/>
      <c r="H33" s="147"/>
      <c r="I33" s="131" t="s">
        <v>60</v>
      </c>
      <c r="J33" s="131" t="s">
        <v>140</v>
      </c>
      <c r="K33" s="131">
        <v>0</v>
      </c>
      <c r="L33" s="131" t="s">
        <v>543</v>
      </c>
      <c r="M33" s="131" t="s">
        <v>209</v>
      </c>
      <c r="N33" s="131">
        <v>1</v>
      </c>
      <c r="O33" s="135">
        <v>5.7870370370370378E-4</v>
      </c>
    </row>
    <row r="34" spans="1:15" s="123" customFormat="1" ht="54" customHeight="1" x14ac:dyDescent="0.2">
      <c r="A34" s="160"/>
      <c r="B34" s="130" t="s">
        <v>16</v>
      </c>
      <c r="C34" s="131" t="s">
        <v>544</v>
      </c>
      <c r="D34" s="131" t="s">
        <v>545</v>
      </c>
      <c r="E34" s="131" t="s">
        <v>11</v>
      </c>
      <c r="F34" s="131" t="s">
        <v>21</v>
      </c>
      <c r="G34" s="131" t="s">
        <v>525</v>
      </c>
      <c r="H34" s="147">
        <v>45341</v>
      </c>
      <c r="I34" s="131" t="s">
        <v>60</v>
      </c>
      <c r="J34" s="131" t="s">
        <v>140</v>
      </c>
      <c r="K34" s="131">
        <v>0</v>
      </c>
      <c r="L34" s="131" t="s">
        <v>546</v>
      </c>
      <c r="M34" s="131" t="s">
        <v>209</v>
      </c>
      <c r="N34" s="131">
        <v>1</v>
      </c>
      <c r="O34" s="135">
        <v>2.3148148148148146E-4</v>
      </c>
    </row>
    <row r="35" spans="1:15" s="123" customFormat="1" ht="54" customHeight="1" x14ac:dyDescent="0.2">
      <c r="A35" s="160"/>
      <c r="B35" s="130" t="s">
        <v>16</v>
      </c>
      <c r="C35" s="131" t="s">
        <v>547</v>
      </c>
      <c r="D35" s="131" t="s">
        <v>293</v>
      </c>
      <c r="E35" s="131" t="s">
        <v>11</v>
      </c>
      <c r="F35" s="131" t="s">
        <v>21</v>
      </c>
      <c r="G35" s="131" t="s">
        <v>245</v>
      </c>
      <c r="H35" s="147">
        <v>45341</v>
      </c>
      <c r="I35" s="131" t="s">
        <v>139</v>
      </c>
      <c r="J35" s="131" t="s">
        <v>140</v>
      </c>
      <c r="K35" s="131">
        <v>0</v>
      </c>
      <c r="L35" s="131" t="s">
        <v>294</v>
      </c>
      <c r="M35" s="131" t="s">
        <v>209</v>
      </c>
      <c r="N35" s="131">
        <v>1</v>
      </c>
      <c r="O35" s="135">
        <v>6.9444444444444447E-4</v>
      </c>
    </row>
    <row r="36" spans="1:15" s="123" customFormat="1" ht="54" customHeight="1" x14ac:dyDescent="0.2">
      <c r="A36" s="160"/>
      <c r="B36" s="130" t="s">
        <v>16</v>
      </c>
      <c r="C36" s="131" t="s">
        <v>548</v>
      </c>
      <c r="D36" s="131" t="s">
        <v>549</v>
      </c>
      <c r="E36" s="131" t="s">
        <v>11</v>
      </c>
      <c r="F36" s="131" t="s">
        <v>21</v>
      </c>
      <c r="G36" s="131" t="s">
        <v>582</v>
      </c>
      <c r="H36" s="147">
        <v>45341</v>
      </c>
      <c r="I36" s="131" t="s">
        <v>139</v>
      </c>
      <c r="J36" s="131" t="s">
        <v>140</v>
      </c>
      <c r="K36" s="131">
        <v>0</v>
      </c>
      <c r="L36" s="131" t="s">
        <v>314</v>
      </c>
      <c r="M36" s="131" t="s">
        <v>209</v>
      </c>
      <c r="N36" s="131">
        <v>1</v>
      </c>
      <c r="O36" s="135">
        <v>8.6805555555555551E-4</v>
      </c>
    </row>
    <row r="37" spans="1:15" s="123" customFormat="1" ht="54" customHeight="1" x14ac:dyDescent="0.2">
      <c r="A37" s="160"/>
      <c r="B37" s="130" t="s">
        <v>16</v>
      </c>
      <c r="C37" s="131" t="s">
        <v>830</v>
      </c>
      <c r="D37" s="131" t="s">
        <v>688</v>
      </c>
      <c r="E37" s="131" t="s">
        <v>11</v>
      </c>
      <c r="F37" s="131" t="s">
        <v>21</v>
      </c>
      <c r="G37" s="145" t="s">
        <v>831</v>
      </c>
      <c r="H37" s="146">
        <v>45341</v>
      </c>
      <c r="I37" s="131" t="s">
        <v>93</v>
      </c>
      <c r="J37" s="131" t="s">
        <v>140</v>
      </c>
      <c r="K37" s="131">
        <v>0</v>
      </c>
      <c r="L37" s="131" t="s">
        <v>218</v>
      </c>
      <c r="M37" s="131" t="s">
        <v>219</v>
      </c>
      <c r="N37" s="131">
        <v>1</v>
      </c>
      <c r="O37" s="135">
        <v>3.4722222222222224E-4</v>
      </c>
    </row>
    <row r="38" spans="1:15" s="123" customFormat="1" ht="54" customHeight="1" x14ac:dyDescent="0.2">
      <c r="A38" s="160"/>
      <c r="B38" s="130" t="s">
        <v>16</v>
      </c>
      <c r="C38" s="131" t="s">
        <v>550</v>
      </c>
      <c r="D38" s="131" t="s">
        <v>551</v>
      </c>
      <c r="E38" s="131" t="s">
        <v>11</v>
      </c>
      <c r="F38" s="131" t="s">
        <v>21</v>
      </c>
      <c r="G38" s="131" t="s">
        <v>806</v>
      </c>
      <c r="H38" s="147">
        <v>45341</v>
      </c>
      <c r="I38" s="131" t="s">
        <v>139</v>
      </c>
      <c r="J38" s="131" t="s">
        <v>140</v>
      </c>
      <c r="K38" s="131">
        <v>0</v>
      </c>
      <c r="L38" s="131" t="s">
        <v>318</v>
      </c>
      <c r="M38" s="131" t="s">
        <v>209</v>
      </c>
      <c r="N38" s="131">
        <v>1</v>
      </c>
      <c r="O38" s="135">
        <v>6.9444444444444447E-4</v>
      </c>
    </row>
    <row r="39" spans="1:15" s="123" customFormat="1" ht="54" customHeight="1" thickBot="1" x14ac:dyDescent="0.25">
      <c r="A39" s="160"/>
      <c r="B39" s="139" t="s">
        <v>16</v>
      </c>
      <c r="C39" s="140" t="s">
        <v>552</v>
      </c>
      <c r="D39" s="140" t="s">
        <v>553</v>
      </c>
      <c r="E39" s="140" t="s">
        <v>11</v>
      </c>
      <c r="F39" s="140" t="s">
        <v>21</v>
      </c>
      <c r="G39" s="140" t="s">
        <v>806</v>
      </c>
      <c r="H39" s="162">
        <v>45341</v>
      </c>
      <c r="I39" s="140" t="s">
        <v>139</v>
      </c>
      <c r="J39" s="140" t="s">
        <v>140</v>
      </c>
      <c r="K39" s="140">
        <v>0</v>
      </c>
      <c r="L39" s="140" t="s">
        <v>318</v>
      </c>
      <c r="M39" s="140" t="s">
        <v>209</v>
      </c>
      <c r="N39" s="140">
        <v>1</v>
      </c>
      <c r="O39" s="144">
        <v>6.9444444444444447E-4</v>
      </c>
    </row>
    <row r="40" spans="1:15" s="123" customFormat="1" ht="54" customHeight="1" thickTop="1" thickBot="1" x14ac:dyDescent="0.25">
      <c r="A40" s="96"/>
      <c r="B40" s="104" t="s">
        <v>16</v>
      </c>
      <c r="C40" s="92" t="s">
        <v>554</v>
      </c>
      <c r="D40" s="92" t="s">
        <v>555</v>
      </c>
      <c r="E40" s="92" t="s">
        <v>11</v>
      </c>
      <c r="F40" s="92" t="s">
        <v>21</v>
      </c>
      <c r="G40" s="92" t="s">
        <v>230</v>
      </c>
      <c r="H40" s="105">
        <v>45979</v>
      </c>
      <c r="I40" s="92" t="s">
        <v>60</v>
      </c>
      <c r="J40" s="92" t="s">
        <v>61</v>
      </c>
      <c r="K40" s="92">
        <v>0</v>
      </c>
      <c r="L40" s="92" t="s">
        <v>556</v>
      </c>
      <c r="M40" s="92" t="s">
        <v>153</v>
      </c>
      <c r="N40" s="92">
        <v>2</v>
      </c>
      <c r="O40" s="93">
        <v>4.6296296296296293E-4</v>
      </c>
    </row>
    <row r="41" spans="1:15" s="123" customFormat="1" ht="54" customHeight="1" x14ac:dyDescent="0.2">
      <c r="A41" s="95"/>
      <c r="B41" s="69" t="s">
        <v>20</v>
      </c>
      <c r="C41" s="70" t="s">
        <v>557</v>
      </c>
      <c r="D41" s="70" t="s">
        <v>558</v>
      </c>
      <c r="E41" s="70" t="s">
        <v>11</v>
      </c>
      <c r="F41" s="86" t="s">
        <v>21</v>
      </c>
      <c r="G41" s="86" t="s">
        <v>832</v>
      </c>
      <c r="H41" s="87">
        <v>45978</v>
      </c>
      <c r="I41" s="70" t="s">
        <v>139</v>
      </c>
      <c r="J41" s="70" t="s">
        <v>140</v>
      </c>
      <c r="K41" s="70">
        <v>0</v>
      </c>
      <c r="L41" s="70" t="s">
        <v>356</v>
      </c>
      <c r="M41" s="70" t="s">
        <v>353</v>
      </c>
      <c r="N41" s="70">
        <v>2</v>
      </c>
      <c r="O41" s="73">
        <v>2.0833333333333333E-3</v>
      </c>
    </row>
    <row r="42" spans="1:15" s="123" customFormat="1" ht="54" customHeight="1" x14ac:dyDescent="0.2">
      <c r="A42" s="95"/>
      <c r="B42" s="69" t="s">
        <v>20</v>
      </c>
      <c r="C42" s="70" t="s">
        <v>833</v>
      </c>
      <c r="D42" s="70" t="s">
        <v>834</v>
      </c>
      <c r="E42" s="70" t="s">
        <v>11</v>
      </c>
      <c r="F42" s="86" t="s">
        <v>21</v>
      </c>
      <c r="G42" s="70" t="s">
        <v>835</v>
      </c>
      <c r="H42" s="80">
        <v>45979</v>
      </c>
      <c r="I42" s="70" t="s">
        <v>139</v>
      </c>
      <c r="J42" s="70" t="s">
        <v>140</v>
      </c>
      <c r="K42" s="70">
        <v>0</v>
      </c>
      <c r="L42" s="70" t="s">
        <v>348</v>
      </c>
      <c r="M42" s="70" t="s">
        <v>353</v>
      </c>
      <c r="N42" s="70">
        <v>4</v>
      </c>
      <c r="O42" s="73">
        <v>5.208333333333333E-3</v>
      </c>
    </row>
    <row r="43" spans="1:15" s="123" customFormat="1" ht="54" customHeight="1" x14ac:dyDescent="0.2">
      <c r="A43" s="95"/>
      <c r="B43" s="69" t="s">
        <v>20</v>
      </c>
      <c r="C43" s="70" t="s">
        <v>563</v>
      </c>
      <c r="D43" s="70" t="s">
        <v>564</v>
      </c>
      <c r="E43" s="70" t="s">
        <v>11</v>
      </c>
      <c r="F43" s="86" t="s">
        <v>21</v>
      </c>
      <c r="G43" s="86" t="s">
        <v>832</v>
      </c>
      <c r="H43" s="87">
        <v>45978</v>
      </c>
      <c r="I43" s="70" t="s">
        <v>139</v>
      </c>
      <c r="J43" s="70" t="s">
        <v>140</v>
      </c>
      <c r="K43" s="70">
        <v>0</v>
      </c>
      <c r="L43" s="70" t="s">
        <v>356</v>
      </c>
      <c r="M43" s="70" t="s">
        <v>353</v>
      </c>
      <c r="N43" s="70">
        <v>2</v>
      </c>
      <c r="O43" s="73">
        <v>2.0833333333333333E-3</v>
      </c>
    </row>
    <row r="44" spans="1:15" s="123" customFormat="1" ht="54" customHeight="1" x14ac:dyDescent="0.2">
      <c r="A44" s="95"/>
      <c r="B44" s="69" t="s">
        <v>20</v>
      </c>
      <c r="C44" s="70" t="s">
        <v>836</v>
      </c>
      <c r="D44" s="70" t="s">
        <v>837</v>
      </c>
      <c r="E44" s="70" t="s">
        <v>11</v>
      </c>
      <c r="F44" s="70" t="s">
        <v>21</v>
      </c>
      <c r="G44" s="70" t="s">
        <v>838</v>
      </c>
      <c r="H44" s="80">
        <v>45979</v>
      </c>
      <c r="I44" s="70" t="s">
        <v>139</v>
      </c>
      <c r="J44" s="70" t="s">
        <v>140</v>
      </c>
      <c r="K44" s="70">
        <v>0</v>
      </c>
      <c r="L44" s="70" t="s">
        <v>348</v>
      </c>
      <c r="M44" s="70" t="s">
        <v>353</v>
      </c>
      <c r="N44" s="70">
        <v>4</v>
      </c>
      <c r="O44" s="73">
        <v>5.208333333333333E-3</v>
      </c>
    </row>
    <row r="45" spans="1:15" s="123" customFormat="1" ht="54" customHeight="1" x14ac:dyDescent="0.2">
      <c r="A45" s="160"/>
      <c r="B45" s="130" t="s">
        <v>20</v>
      </c>
      <c r="C45" s="131" t="s">
        <v>568</v>
      </c>
      <c r="D45" s="131" t="s">
        <v>569</v>
      </c>
      <c r="E45" s="131" t="s">
        <v>21</v>
      </c>
      <c r="F45" s="131"/>
      <c r="G45" s="131"/>
      <c r="H45" s="147"/>
      <c r="I45" s="131" t="s">
        <v>139</v>
      </c>
      <c r="J45" s="131" t="s">
        <v>140</v>
      </c>
      <c r="K45" s="131">
        <v>0</v>
      </c>
      <c r="L45" s="131" t="s">
        <v>570</v>
      </c>
      <c r="M45" s="131" t="s">
        <v>209</v>
      </c>
      <c r="N45" s="131">
        <v>2</v>
      </c>
      <c r="O45" s="135">
        <v>2.0833333333333333E-3</v>
      </c>
    </row>
    <row r="46" spans="1:15" s="123" customFormat="1" ht="54" customHeight="1" x14ac:dyDescent="0.2">
      <c r="A46" s="160"/>
      <c r="B46" s="130" t="s">
        <v>20</v>
      </c>
      <c r="C46" s="131" t="s">
        <v>571</v>
      </c>
      <c r="D46" s="131" t="s">
        <v>374</v>
      </c>
      <c r="E46" s="131" t="s">
        <v>21</v>
      </c>
      <c r="F46" s="131"/>
      <c r="G46" s="131"/>
      <c r="H46" s="147"/>
      <c r="I46" s="131" t="s">
        <v>139</v>
      </c>
      <c r="J46" s="131" t="s">
        <v>140</v>
      </c>
      <c r="K46" s="131">
        <v>0</v>
      </c>
      <c r="L46" s="131" t="s">
        <v>375</v>
      </c>
      <c r="M46" s="131" t="s">
        <v>209</v>
      </c>
      <c r="N46" s="131">
        <v>2</v>
      </c>
      <c r="O46" s="135">
        <v>3.4722222222222224E-4</v>
      </c>
    </row>
    <row r="47" spans="1:15" s="123" customFormat="1" ht="54" customHeight="1" x14ac:dyDescent="0.2">
      <c r="A47" s="160"/>
      <c r="B47" s="130" t="s">
        <v>20</v>
      </c>
      <c r="C47" s="131" t="s">
        <v>572</v>
      </c>
      <c r="D47" s="131" t="s">
        <v>839</v>
      </c>
      <c r="E47" s="131" t="s">
        <v>21</v>
      </c>
      <c r="F47" s="131"/>
      <c r="G47" s="131"/>
      <c r="H47" s="147"/>
      <c r="I47" s="131" t="s">
        <v>60</v>
      </c>
      <c r="J47" s="131" t="s">
        <v>140</v>
      </c>
      <c r="K47" s="131">
        <v>0</v>
      </c>
      <c r="L47" s="131" t="s">
        <v>378</v>
      </c>
      <c r="M47" s="131" t="s">
        <v>169</v>
      </c>
      <c r="N47" s="131">
        <v>2</v>
      </c>
      <c r="O47" s="135">
        <v>4.6296296296296293E-4</v>
      </c>
    </row>
    <row r="48" spans="1:15" s="123" customFormat="1" ht="54" customHeight="1" x14ac:dyDescent="0.2">
      <c r="A48" s="160"/>
      <c r="B48" s="130" t="s">
        <v>20</v>
      </c>
      <c r="C48" s="131" t="s">
        <v>574</v>
      </c>
      <c r="D48" s="131" t="s">
        <v>575</v>
      </c>
      <c r="E48" s="131" t="s">
        <v>21</v>
      </c>
      <c r="F48" s="131"/>
      <c r="G48" s="131"/>
      <c r="H48" s="147"/>
      <c r="I48" s="131" t="s">
        <v>139</v>
      </c>
      <c r="J48" s="131" t="s">
        <v>140</v>
      </c>
      <c r="K48" s="131">
        <v>0</v>
      </c>
      <c r="L48" s="131" t="s">
        <v>576</v>
      </c>
      <c r="M48" s="131" t="s">
        <v>209</v>
      </c>
      <c r="N48" s="131">
        <v>1</v>
      </c>
      <c r="O48" s="135">
        <v>6.9444444444444447E-4</v>
      </c>
    </row>
    <row r="49" spans="1:16" s="123" customFormat="1" ht="54" customHeight="1" x14ac:dyDescent="0.2">
      <c r="A49" s="95"/>
      <c r="B49" s="69" t="s">
        <v>20</v>
      </c>
      <c r="C49" s="70" t="s">
        <v>577</v>
      </c>
      <c r="D49" s="70" t="s">
        <v>578</v>
      </c>
      <c r="E49" s="70" t="s">
        <v>11</v>
      </c>
      <c r="F49" s="70" t="s">
        <v>21</v>
      </c>
      <c r="G49" s="70" t="s">
        <v>257</v>
      </c>
      <c r="H49" s="80">
        <v>45977</v>
      </c>
      <c r="I49" s="70" t="s">
        <v>139</v>
      </c>
      <c r="J49" s="70" t="s">
        <v>140</v>
      </c>
      <c r="K49" s="70">
        <v>0</v>
      </c>
      <c r="L49" s="70" t="s">
        <v>579</v>
      </c>
      <c r="M49" s="70" t="s">
        <v>242</v>
      </c>
      <c r="N49" s="70">
        <v>1</v>
      </c>
      <c r="O49" s="73">
        <v>3.4722222222222224E-4</v>
      </c>
    </row>
    <row r="50" spans="1:16" s="123" customFormat="1" ht="54" customHeight="1" x14ac:dyDescent="0.2">
      <c r="A50" s="160"/>
      <c r="B50" s="130" t="s">
        <v>20</v>
      </c>
      <c r="C50" s="131" t="s">
        <v>580</v>
      </c>
      <c r="D50" s="131" t="s">
        <v>581</v>
      </c>
      <c r="E50" s="131" t="s">
        <v>11</v>
      </c>
      <c r="F50" s="131" t="s">
        <v>21</v>
      </c>
      <c r="G50" s="131" t="s">
        <v>831</v>
      </c>
      <c r="H50" s="147">
        <v>45341</v>
      </c>
      <c r="I50" s="131" t="s">
        <v>93</v>
      </c>
      <c r="J50" s="131" t="s">
        <v>140</v>
      </c>
      <c r="K50" s="131">
        <v>0</v>
      </c>
      <c r="L50" s="131" t="s">
        <v>511</v>
      </c>
      <c r="M50" s="131" t="s">
        <v>219</v>
      </c>
      <c r="N50" s="131">
        <v>1</v>
      </c>
      <c r="O50" s="135">
        <v>6.9444444444444447E-4</v>
      </c>
    </row>
    <row r="51" spans="1:16" s="123" customFormat="1" ht="54" customHeight="1" x14ac:dyDescent="0.2">
      <c r="A51" s="95"/>
      <c r="B51" s="69" t="s">
        <v>20</v>
      </c>
      <c r="C51" s="70" t="s">
        <v>840</v>
      </c>
      <c r="D51" s="70" t="s">
        <v>584</v>
      </c>
      <c r="E51" s="70" t="s">
        <v>11</v>
      </c>
      <c r="F51" s="70" t="s">
        <v>21</v>
      </c>
      <c r="G51" s="70" t="s">
        <v>230</v>
      </c>
      <c r="H51" s="80">
        <v>45979</v>
      </c>
      <c r="I51" s="70" t="s">
        <v>60</v>
      </c>
      <c r="J51" s="70" t="s">
        <v>61</v>
      </c>
      <c r="K51" s="70">
        <v>0</v>
      </c>
      <c r="L51" s="70" t="s">
        <v>585</v>
      </c>
      <c r="M51" s="70" t="s">
        <v>153</v>
      </c>
      <c r="N51" s="70">
        <v>2</v>
      </c>
      <c r="O51" s="73">
        <v>2.0833333333333333E-3</v>
      </c>
    </row>
    <row r="52" spans="1:16" s="123" customFormat="1" ht="54" customHeight="1" x14ac:dyDescent="0.2">
      <c r="A52" s="95"/>
      <c r="B52" s="69" t="s">
        <v>20</v>
      </c>
      <c r="C52" s="70" t="s">
        <v>586</v>
      </c>
      <c r="D52" s="70" t="s">
        <v>587</v>
      </c>
      <c r="E52" s="70" t="s">
        <v>11</v>
      </c>
      <c r="F52" s="70" t="s">
        <v>21</v>
      </c>
      <c r="G52" s="70" t="s">
        <v>230</v>
      </c>
      <c r="H52" s="80">
        <v>45979</v>
      </c>
      <c r="I52" s="70" t="s">
        <v>60</v>
      </c>
      <c r="J52" s="70" t="s">
        <v>61</v>
      </c>
      <c r="K52" s="70">
        <v>0</v>
      </c>
      <c r="L52" s="70" t="s">
        <v>588</v>
      </c>
      <c r="M52" s="70" t="s">
        <v>153</v>
      </c>
      <c r="N52" s="70">
        <v>2</v>
      </c>
      <c r="O52" s="73">
        <v>6.9444444444444447E-4</v>
      </c>
    </row>
    <row r="53" spans="1:16" s="123" customFormat="1" ht="54" customHeight="1" x14ac:dyDescent="0.2">
      <c r="A53" s="160"/>
      <c r="B53" s="130" t="s">
        <v>20</v>
      </c>
      <c r="C53" s="131" t="s">
        <v>841</v>
      </c>
      <c r="D53" s="131" t="s">
        <v>590</v>
      </c>
      <c r="E53" s="131" t="s">
        <v>21</v>
      </c>
      <c r="F53" s="131"/>
      <c r="G53" s="131"/>
      <c r="H53" s="147"/>
      <c r="I53" s="131" t="s">
        <v>60</v>
      </c>
      <c r="J53" s="131" t="s">
        <v>61</v>
      </c>
      <c r="K53" s="131">
        <v>0</v>
      </c>
      <c r="L53" s="131" t="s">
        <v>591</v>
      </c>
      <c r="M53" s="131" t="s">
        <v>63</v>
      </c>
      <c r="N53" s="131">
        <v>2</v>
      </c>
      <c r="O53" s="135">
        <v>6.9444444444444447E-4</v>
      </c>
    </row>
    <row r="54" spans="1:16" s="123" customFormat="1" ht="54" customHeight="1" x14ac:dyDescent="0.2">
      <c r="A54" s="95"/>
      <c r="B54" s="69" t="s">
        <v>20</v>
      </c>
      <c r="C54" s="70" t="s">
        <v>592</v>
      </c>
      <c r="D54" s="70" t="s">
        <v>593</v>
      </c>
      <c r="E54" s="70" t="s">
        <v>11</v>
      </c>
      <c r="F54" s="70" t="s">
        <v>21</v>
      </c>
      <c r="G54" s="70" t="s">
        <v>230</v>
      </c>
      <c r="H54" s="80">
        <v>45979</v>
      </c>
      <c r="I54" s="70" t="s">
        <v>60</v>
      </c>
      <c r="J54" s="70" t="s">
        <v>61</v>
      </c>
      <c r="K54" s="70">
        <v>0</v>
      </c>
      <c r="L54" s="70" t="s">
        <v>594</v>
      </c>
      <c r="M54" s="70" t="s">
        <v>153</v>
      </c>
      <c r="N54" s="70">
        <v>2</v>
      </c>
      <c r="O54" s="73">
        <v>6.9444444444444447E-4</v>
      </c>
    </row>
    <row r="55" spans="1:16" s="123" customFormat="1" ht="54" customHeight="1" x14ac:dyDescent="0.2">
      <c r="A55" s="160"/>
      <c r="B55" s="130" t="s">
        <v>20</v>
      </c>
      <c r="C55" s="131" t="s">
        <v>842</v>
      </c>
      <c r="D55" s="131" t="s">
        <v>416</v>
      </c>
      <c r="E55" s="131" t="s">
        <v>21</v>
      </c>
      <c r="F55" s="131"/>
      <c r="G55" s="131"/>
      <c r="H55" s="147"/>
      <c r="I55" s="131" t="s">
        <v>93</v>
      </c>
      <c r="J55" s="131" t="s">
        <v>61</v>
      </c>
      <c r="K55" s="131">
        <v>0</v>
      </c>
      <c r="L55" s="131" t="s">
        <v>417</v>
      </c>
      <c r="M55" s="131" t="s">
        <v>114</v>
      </c>
      <c r="N55" s="131">
        <v>4</v>
      </c>
      <c r="O55" s="135">
        <v>2.0833333333333333E-3</v>
      </c>
    </row>
    <row r="56" spans="1:16" s="123" customFormat="1" ht="54" customHeight="1" thickBot="1" x14ac:dyDescent="0.25">
      <c r="A56" s="148"/>
      <c r="B56" s="139" t="s">
        <v>20</v>
      </c>
      <c r="C56" s="140" t="s">
        <v>843</v>
      </c>
      <c r="D56" s="140" t="s">
        <v>428</v>
      </c>
      <c r="E56" s="140" t="s">
        <v>21</v>
      </c>
      <c r="F56" s="140"/>
      <c r="G56" s="140"/>
      <c r="H56" s="162"/>
      <c r="I56" s="140" t="s">
        <v>60</v>
      </c>
      <c r="J56" s="140" t="s">
        <v>61</v>
      </c>
      <c r="K56" s="140">
        <v>0</v>
      </c>
      <c r="L56" s="140" t="s">
        <v>429</v>
      </c>
      <c r="M56" s="140" t="s">
        <v>114</v>
      </c>
      <c r="N56" s="140">
        <v>2</v>
      </c>
      <c r="O56" s="144">
        <v>6.9444444444444447E-4</v>
      </c>
    </row>
    <row r="57" spans="1:16" s="123" customFormat="1" ht="54" customHeight="1" thickTop="1" x14ac:dyDescent="0.25">
      <c r="A57" s="160"/>
      <c r="B57" s="124" t="s">
        <v>24</v>
      </c>
      <c r="C57" s="125" t="s">
        <v>597</v>
      </c>
      <c r="D57" s="125" t="s">
        <v>437</v>
      </c>
      <c r="E57" s="125" t="s">
        <v>21</v>
      </c>
      <c r="F57" s="125"/>
      <c r="G57" s="125"/>
      <c r="H57" s="161"/>
      <c r="I57" s="125" t="s">
        <v>139</v>
      </c>
      <c r="J57" s="125" t="s">
        <v>61</v>
      </c>
      <c r="K57" s="125">
        <v>0</v>
      </c>
      <c r="L57" s="125" t="s">
        <v>438</v>
      </c>
      <c r="M57" s="125" t="s">
        <v>242</v>
      </c>
      <c r="N57" s="125">
        <v>1</v>
      </c>
      <c r="O57" s="129">
        <v>6.9444444444444447E-4</v>
      </c>
      <c r="P57" s="188"/>
    </row>
    <row r="58" spans="1:16" s="123" customFormat="1" ht="54" customHeight="1" x14ac:dyDescent="0.25">
      <c r="A58" s="160"/>
      <c r="B58" s="130" t="s">
        <v>24</v>
      </c>
      <c r="C58" s="131" t="s">
        <v>598</v>
      </c>
      <c r="D58" s="131" t="s">
        <v>844</v>
      </c>
      <c r="E58" s="131" t="s">
        <v>21</v>
      </c>
      <c r="F58" s="131"/>
      <c r="G58" s="131"/>
      <c r="H58" s="147"/>
      <c r="I58" s="131" t="s">
        <v>139</v>
      </c>
      <c r="J58" s="131" t="s">
        <v>61</v>
      </c>
      <c r="K58" s="131">
        <v>0</v>
      </c>
      <c r="L58" s="131" t="s">
        <v>426</v>
      </c>
      <c r="M58" s="131" t="s">
        <v>442</v>
      </c>
      <c r="N58" s="131">
        <v>1</v>
      </c>
      <c r="O58" s="135">
        <v>3.4722222222222224E-4</v>
      </c>
      <c r="P58" s="188"/>
    </row>
    <row r="59" spans="1:16" s="123" customFormat="1" ht="54" customHeight="1" thickBot="1" x14ac:dyDescent="0.3">
      <c r="A59" s="148"/>
      <c r="B59" s="130" t="s">
        <v>24</v>
      </c>
      <c r="C59" s="131" t="s">
        <v>600</v>
      </c>
      <c r="D59" s="131" t="s">
        <v>601</v>
      </c>
      <c r="E59" s="131" t="s">
        <v>21</v>
      </c>
      <c r="F59" s="131"/>
      <c r="G59" s="131"/>
      <c r="H59" s="147"/>
      <c r="I59" s="131" t="s">
        <v>60</v>
      </c>
      <c r="J59" s="131" t="s">
        <v>61</v>
      </c>
      <c r="K59" s="131">
        <v>0</v>
      </c>
      <c r="L59" s="131" t="s">
        <v>471</v>
      </c>
      <c r="M59" s="131" t="s">
        <v>114</v>
      </c>
      <c r="N59" s="131">
        <v>1</v>
      </c>
      <c r="O59" s="135">
        <v>1.0416666666666667E-3</v>
      </c>
      <c r="P59" s="188"/>
    </row>
    <row r="60" spans="1:16" s="123" customFormat="1" ht="54" customHeight="1" thickBot="1" x14ac:dyDescent="0.25">
      <c r="A60" s="68"/>
      <c r="B60" s="197" t="s">
        <v>602</v>
      </c>
      <c r="C60" s="198" t="s">
        <v>603</v>
      </c>
      <c r="D60" s="198" t="s">
        <v>604</v>
      </c>
      <c r="E60" s="113" t="s">
        <v>11</v>
      </c>
      <c r="F60" s="113" t="s">
        <v>21</v>
      </c>
      <c r="G60" s="113" t="s">
        <v>283</v>
      </c>
      <c r="H60" s="199">
        <v>45978</v>
      </c>
      <c r="I60" s="75" t="s">
        <v>60</v>
      </c>
      <c r="J60" s="75" t="s">
        <v>140</v>
      </c>
      <c r="K60" s="75">
        <v>0</v>
      </c>
      <c r="L60" s="75">
        <v>0</v>
      </c>
      <c r="M60" s="75" t="s">
        <v>114</v>
      </c>
      <c r="N60" s="200"/>
      <c r="O60" s="201"/>
    </row>
    <row r="61" spans="1:16" s="123" customFormat="1" ht="15.75" thickTop="1" x14ac:dyDescent="0.2">
      <c r="B61" s="159"/>
      <c r="C61" s="176"/>
      <c r="D61" s="176"/>
      <c r="E61" s="176"/>
      <c r="F61" s="176"/>
      <c r="G61" s="176"/>
      <c r="H61" s="176"/>
      <c r="I61" s="159"/>
      <c r="J61" s="159"/>
      <c r="K61" s="176"/>
      <c r="L61" s="176"/>
      <c r="M61" s="176"/>
      <c r="N61" s="176"/>
      <c r="O61" s="176"/>
    </row>
    <row r="62" spans="1:16" s="123" customFormat="1" x14ac:dyDescent="0.2">
      <c r="B62" s="159"/>
      <c r="C62" s="176"/>
      <c r="D62" s="176"/>
      <c r="E62" s="176"/>
      <c r="F62" s="176"/>
      <c r="G62" s="176"/>
      <c r="H62" s="176"/>
      <c r="I62" s="159"/>
      <c r="J62" s="159"/>
      <c r="K62" s="176"/>
      <c r="L62" s="176"/>
      <c r="M62" s="176"/>
      <c r="N62" s="176"/>
      <c r="O62" s="176"/>
    </row>
    <row r="63" spans="1:16" s="123" customFormat="1" x14ac:dyDescent="0.2">
      <c r="B63" s="159"/>
      <c r="C63" s="176"/>
      <c r="D63" s="176"/>
      <c r="E63" s="176"/>
      <c r="F63" s="176"/>
      <c r="G63" s="176"/>
      <c r="H63" s="176"/>
      <c r="I63" s="159"/>
      <c r="J63" s="159"/>
      <c r="K63" s="176"/>
      <c r="L63" s="176"/>
      <c r="M63" s="176"/>
      <c r="N63" s="176"/>
      <c r="O63" s="176"/>
    </row>
    <row r="64" spans="1:16" s="123" customFormat="1" x14ac:dyDescent="0.2">
      <c r="B64" s="159"/>
      <c r="C64" s="176"/>
      <c r="D64" s="176"/>
      <c r="E64" s="176"/>
      <c r="F64" s="176"/>
      <c r="G64" s="176"/>
      <c r="H64" s="176"/>
      <c r="I64" s="159"/>
      <c r="J64" s="159"/>
      <c r="K64" s="176"/>
      <c r="L64" s="176"/>
      <c r="M64" s="176"/>
      <c r="N64" s="176"/>
      <c r="O64" s="176"/>
    </row>
    <row r="65" spans="2:15" s="123" customFormat="1" x14ac:dyDescent="0.2">
      <c r="B65" s="159"/>
      <c r="C65" s="176"/>
      <c r="D65" s="176"/>
      <c r="E65" s="176"/>
      <c r="F65" s="176"/>
      <c r="G65" s="176"/>
      <c r="H65" s="176"/>
      <c r="I65" s="159"/>
      <c r="J65" s="159"/>
      <c r="K65" s="176"/>
      <c r="L65" s="176"/>
      <c r="M65" s="176"/>
      <c r="N65" s="176"/>
      <c r="O65" s="176"/>
    </row>
    <row r="66" spans="2:15" s="123" customFormat="1" x14ac:dyDescent="0.2">
      <c r="B66" s="159"/>
      <c r="C66" s="176"/>
      <c r="D66" s="176"/>
      <c r="E66" s="176"/>
      <c r="F66" s="176"/>
      <c r="G66" s="176"/>
      <c r="H66" s="176"/>
      <c r="I66" s="159"/>
      <c r="J66" s="159"/>
      <c r="K66" s="176"/>
      <c r="L66" s="176"/>
      <c r="M66" s="176"/>
      <c r="N66" s="176"/>
      <c r="O66" s="176"/>
    </row>
    <row r="67" spans="2:15" s="123" customFormat="1" x14ac:dyDescent="0.2">
      <c r="B67" s="159"/>
      <c r="C67" s="176"/>
      <c r="D67" s="176"/>
      <c r="E67" s="176"/>
      <c r="F67" s="176"/>
      <c r="G67" s="176"/>
      <c r="H67" s="176"/>
      <c r="I67" s="159"/>
      <c r="J67" s="159"/>
      <c r="K67" s="176"/>
      <c r="L67" s="176"/>
      <c r="M67" s="176"/>
      <c r="N67" s="176"/>
      <c r="O67" s="176"/>
    </row>
    <row r="68" spans="2:15" s="123" customFormat="1" x14ac:dyDescent="0.2">
      <c r="B68" s="159"/>
      <c r="C68" s="176"/>
      <c r="D68" s="176"/>
      <c r="E68" s="176"/>
      <c r="F68" s="176"/>
      <c r="G68" s="176"/>
      <c r="H68" s="176"/>
      <c r="I68" s="159"/>
      <c r="J68" s="159"/>
      <c r="K68" s="176"/>
      <c r="L68" s="176"/>
      <c r="M68" s="176"/>
      <c r="N68" s="176"/>
      <c r="O68" s="176"/>
    </row>
    <row r="69" spans="2:15" s="123" customFormat="1" x14ac:dyDescent="0.2">
      <c r="B69" s="159"/>
      <c r="C69" s="176"/>
      <c r="D69" s="176"/>
      <c r="E69" s="176"/>
      <c r="F69" s="176"/>
      <c r="G69" s="176"/>
      <c r="H69" s="176"/>
      <c r="I69" s="159"/>
      <c r="J69" s="159"/>
      <c r="K69" s="176"/>
      <c r="L69" s="176"/>
      <c r="M69" s="176"/>
      <c r="N69" s="176"/>
      <c r="O69" s="176"/>
    </row>
    <row r="70" spans="2:15" s="123" customFormat="1" x14ac:dyDescent="0.2">
      <c r="B70" s="159"/>
      <c r="C70" s="176"/>
      <c r="D70" s="176"/>
      <c r="E70" s="176"/>
      <c r="F70" s="176"/>
      <c r="G70" s="176"/>
      <c r="H70" s="176"/>
      <c r="I70" s="159"/>
      <c r="J70" s="159"/>
      <c r="K70" s="176"/>
      <c r="L70" s="176"/>
      <c r="M70" s="176"/>
      <c r="N70" s="176"/>
      <c r="O70" s="176"/>
    </row>
    <row r="71" spans="2:15" s="123" customFormat="1" x14ac:dyDescent="0.2">
      <c r="B71" s="159"/>
      <c r="C71" s="176"/>
      <c r="D71" s="176"/>
      <c r="E71" s="176"/>
      <c r="F71" s="176"/>
      <c r="G71" s="176"/>
      <c r="H71" s="176"/>
      <c r="I71" s="159"/>
      <c r="J71" s="159"/>
      <c r="K71" s="176"/>
      <c r="L71" s="176"/>
      <c r="M71" s="176"/>
      <c r="N71" s="176"/>
      <c r="O71" s="176"/>
    </row>
    <row r="72" spans="2:15" s="123" customFormat="1" x14ac:dyDescent="0.2">
      <c r="B72" s="159"/>
      <c r="C72" s="176"/>
      <c r="D72" s="176"/>
      <c r="E72" s="176"/>
      <c r="F72" s="176"/>
      <c r="G72" s="176"/>
      <c r="H72" s="176"/>
      <c r="I72" s="159"/>
      <c r="J72" s="159"/>
      <c r="K72" s="176"/>
      <c r="L72" s="176"/>
      <c r="M72" s="176"/>
      <c r="N72" s="176"/>
      <c r="O72" s="176"/>
    </row>
    <row r="73" spans="2:15" s="123" customFormat="1" x14ac:dyDescent="0.2">
      <c r="B73" s="159"/>
      <c r="C73" s="176"/>
      <c r="D73" s="176"/>
      <c r="E73" s="176"/>
      <c r="F73" s="176"/>
      <c r="G73" s="176"/>
      <c r="H73" s="176"/>
      <c r="I73" s="159"/>
      <c r="J73" s="159"/>
      <c r="K73" s="176"/>
      <c r="L73" s="176"/>
      <c r="M73" s="176"/>
      <c r="N73" s="176"/>
      <c r="O73" s="176"/>
    </row>
    <row r="74" spans="2:15" s="123" customFormat="1" x14ac:dyDescent="0.2">
      <c r="B74" s="159"/>
      <c r="C74" s="176"/>
      <c r="D74" s="176"/>
      <c r="E74" s="176"/>
      <c r="F74" s="176"/>
      <c r="G74" s="176"/>
      <c r="H74" s="176"/>
      <c r="I74" s="159"/>
      <c r="J74" s="159"/>
      <c r="K74" s="176"/>
      <c r="L74" s="176"/>
      <c r="M74" s="176"/>
      <c r="N74" s="176"/>
      <c r="O74" s="176"/>
    </row>
    <row r="75" spans="2:15" s="123" customFormat="1" x14ac:dyDescent="0.2">
      <c r="B75" s="159"/>
      <c r="C75" s="176"/>
      <c r="D75" s="176"/>
      <c r="E75" s="176"/>
      <c r="F75" s="176"/>
      <c r="G75" s="176"/>
      <c r="H75" s="176"/>
      <c r="I75" s="159"/>
      <c r="J75" s="159"/>
      <c r="K75" s="176"/>
      <c r="L75" s="176"/>
      <c r="M75" s="176"/>
      <c r="N75" s="176"/>
      <c r="O75" s="176"/>
    </row>
    <row r="76" spans="2:15" s="123" customFormat="1" x14ac:dyDescent="0.2">
      <c r="B76" s="159"/>
      <c r="C76" s="176"/>
      <c r="D76" s="176"/>
      <c r="E76" s="176"/>
      <c r="F76" s="176"/>
      <c r="G76" s="176"/>
      <c r="H76" s="176"/>
      <c r="I76" s="159"/>
      <c r="J76" s="159"/>
      <c r="K76" s="176"/>
      <c r="L76" s="176"/>
      <c r="M76" s="176"/>
      <c r="N76" s="176"/>
      <c r="O76" s="176"/>
    </row>
    <row r="77" spans="2:15" s="123" customFormat="1" x14ac:dyDescent="0.2">
      <c r="B77" s="159"/>
      <c r="C77" s="176"/>
      <c r="D77" s="176"/>
      <c r="E77" s="176"/>
      <c r="F77" s="176"/>
      <c r="G77" s="176"/>
      <c r="H77" s="176"/>
      <c r="I77" s="159"/>
      <c r="J77" s="159"/>
      <c r="K77" s="176"/>
      <c r="L77" s="176"/>
      <c r="M77" s="176"/>
      <c r="N77" s="176"/>
      <c r="O77" s="176"/>
    </row>
    <row r="78" spans="2:15" s="123" customFormat="1" x14ac:dyDescent="0.2">
      <c r="B78" s="159"/>
      <c r="C78" s="176"/>
      <c r="D78" s="176"/>
      <c r="E78" s="176"/>
      <c r="F78" s="176"/>
      <c r="G78" s="176"/>
      <c r="H78" s="176"/>
      <c r="I78" s="159"/>
      <c r="J78" s="159"/>
      <c r="K78" s="176"/>
      <c r="L78" s="176"/>
      <c r="M78" s="176"/>
      <c r="N78" s="176"/>
      <c r="O78" s="176"/>
    </row>
    <row r="79" spans="2:15" s="123" customFormat="1" x14ac:dyDescent="0.2">
      <c r="B79" s="159"/>
      <c r="C79" s="176"/>
      <c r="D79" s="176"/>
      <c r="E79" s="176"/>
      <c r="F79" s="176"/>
      <c r="G79" s="176"/>
      <c r="H79" s="176"/>
      <c r="I79" s="159"/>
      <c r="J79" s="159"/>
      <c r="K79" s="176"/>
      <c r="L79" s="176"/>
      <c r="M79" s="176"/>
      <c r="N79" s="176"/>
      <c r="O79" s="176"/>
    </row>
    <row r="80" spans="2:15" s="123" customFormat="1" x14ac:dyDescent="0.2">
      <c r="B80" s="159"/>
      <c r="C80" s="176"/>
      <c r="D80" s="176"/>
      <c r="E80" s="176"/>
      <c r="F80" s="176"/>
      <c r="G80" s="176"/>
      <c r="H80" s="176"/>
      <c r="I80" s="159"/>
      <c r="J80" s="159"/>
      <c r="K80" s="176"/>
      <c r="L80" s="176"/>
      <c r="M80" s="176"/>
      <c r="N80" s="176"/>
      <c r="O80" s="176"/>
    </row>
    <row r="81" spans="2:15" s="123" customFormat="1" x14ac:dyDescent="0.2">
      <c r="B81" s="159"/>
      <c r="C81" s="176"/>
      <c r="D81" s="176"/>
      <c r="E81" s="176"/>
      <c r="F81" s="176"/>
      <c r="G81" s="176"/>
      <c r="H81" s="176"/>
      <c r="I81" s="159"/>
      <c r="J81" s="159"/>
      <c r="K81" s="176"/>
      <c r="L81" s="176"/>
      <c r="M81" s="176"/>
      <c r="N81" s="176"/>
      <c r="O81" s="176"/>
    </row>
    <row r="82" spans="2:15" s="123" customFormat="1" x14ac:dyDescent="0.2">
      <c r="B82" s="159"/>
      <c r="C82" s="176"/>
      <c r="D82" s="176"/>
      <c r="E82" s="176"/>
      <c r="F82" s="176"/>
      <c r="G82" s="176"/>
      <c r="H82" s="176"/>
      <c r="I82" s="159"/>
      <c r="J82" s="159"/>
      <c r="K82" s="176"/>
      <c r="L82" s="176"/>
      <c r="M82" s="176"/>
      <c r="N82" s="176"/>
      <c r="O82" s="176"/>
    </row>
    <row r="83" spans="2:15" s="123" customFormat="1" x14ac:dyDescent="0.2">
      <c r="B83" s="159"/>
      <c r="C83" s="176"/>
      <c r="D83" s="176"/>
      <c r="E83" s="176"/>
      <c r="F83" s="176"/>
      <c r="G83" s="176"/>
      <c r="H83" s="176"/>
      <c r="I83" s="159"/>
      <c r="J83" s="159"/>
      <c r="K83" s="176"/>
      <c r="L83" s="176"/>
      <c r="M83" s="176"/>
      <c r="N83" s="176"/>
      <c r="O83" s="176"/>
    </row>
    <row r="84" spans="2:15" s="123" customFormat="1" x14ac:dyDescent="0.2">
      <c r="B84" s="159"/>
      <c r="C84" s="176"/>
      <c r="D84" s="176"/>
      <c r="E84" s="176"/>
      <c r="F84" s="176"/>
      <c r="G84" s="176"/>
      <c r="H84" s="176"/>
      <c r="I84" s="159"/>
      <c r="J84" s="159"/>
      <c r="K84" s="176"/>
      <c r="L84" s="176"/>
      <c r="M84" s="176"/>
      <c r="N84" s="176"/>
      <c r="O84" s="176"/>
    </row>
    <row r="85" spans="2:15" s="123" customFormat="1" x14ac:dyDescent="0.2">
      <c r="B85" s="159"/>
      <c r="C85" s="176"/>
      <c r="D85" s="176"/>
      <c r="E85" s="176"/>
      <c r="F85" s="176"/>
      <c r="G85" s="176"/>
      <c r="H85" s="176"/>
      <c r="I85" s="159"/>
      <c r="J85" s="159"/>
      <c r="K85" s="176"/>
      <c r="L85" s="176"/>
      <c r="M85" s="176"/>
      <c r="N85" s="176"/>
      <c r="O85" s="176"/>
    </row>
    <row r="86" spans="2:15" s="123" customFormat="1" x14ac:dyDescent="0.2">
      <c r="B86" s="159"/>
      <c r="C86" s="176"/>
      <c r="D86" s="176"/>
      <c r="E86" s="176"/>
      <c r="F86" s="176"/>
      <c r="G86" s="176"/>
      <c r="H86" s="176"/>
      <c r="I86" s="159"/>
      <c r="J86" s="159"/>
      <c r="K86" s="176"/>
      <c r="L86" s="176"/>
      <c r="M86" s="176"/>
      <c r="N86" s="176"/>
      <c r="O86" s="176"/>
    </row>
    <row r="87" spans="2:15" s="123" customFormat="1" x14ac:dyDescent="0.2">
      <c r="B87" s="159"/>
      <c r="C87" s="176"/>
      <c r="D87" s="176"/>
      <c r="E87" s="176"/>
      <c r="F87" s="176"/>
      <c r="G87" s="176"/>
      <c r="H87" s="176"/>
      <c r="I87" s="159"/>
      <c r="J87" s="159"/>
      <c r="K87" s="176"/>
      <c r="L87" s="176"/>
      <c r="M87" s="176"/>
      <c r="N87" s="176"/>
      <c r="O87" s="176"/>
    </row>
    <row r="88" spans="2:15" s="123" customFormat="1" ht="66" customHeight="1" x14ac:dyDescent="0.2">
      <c r="B88" s="159"/>
      <c r="C88" s="176"/>
      <c r="D88" s="176"/>
      <c r="E88" s="176"/>
      <c r="F88" s="176"/>
      <c r="G88" s="176"/>
      <c r="H88" s="176"/>
      <c r="I88" s="159"/>
      <c r="J88" s="159"/>
      <c r="K88" s="176"/>
      <c r="L88" s="176"/>
      <c r="M88" s="176"/>
      <c r="N88" s="176"/>
      <c r="O88" s="176"/>
    </row>
    <row r="89" spans="2:15" s="123" customFormat="1" x14ac:dyDescent="0.2">
      <c r="B89" s="159"/>
      <c r="C89" s="176"/>
      <c r="D89" s="176"/>
      <c r="E89" s="176"/>
      <c r="F89" s="176"/>
      <c r="G89" s="176"/>
      <c r="H89" s="176"/>
      <c r="I89" s="159"/>
      <c r="J89" s="159"/>
      <c r="K89" s="176"/>
      <c r="L89" s="176"/>
      <c r="M89" s="176"/>
      <c r="N89" s="176"/>
      <c r="O89" s="176"/>
    </row>
    <row r="90" spans="2:15" s="123" customFormat="1" x14ac:dyDescent="0.2">
      <c r="B90" s="159"/>
      <c r="C90" s="176"/>
      <c r="D90" s="176"/>
      <c r="E90" s="176"/>
      <c r="F90" s="176"/>
      <c r="G90" s="176"/>
      <c r="H90" s="176"/>
      <c r="I90" s="159"/>
      <c r="J90" s="159"/>
      <c r="K90" s="176"/>
      <c r="L90" s="176"/>
      <c r="M90" s="176"/>
      <c r="N90" s="176"/>
      <c r="O90" s="176"/>
    </row>
    <row r="91" spans="2:15" s="123" customFormat="1" x14ac:dyDescent="0.2">
      <c r="B91" s="159"/>
      <c r="C91" s="176"/>
      <c r="D91" s="176"/>
      <c r="E91" s="176"/>
      <c r="F91" s="176"/>
      <c r="G91" s="176"/>
      <c r="H91" s="176"/>
      <c r="I91" s="159"/>
      <c r="J91" s="159"/>
      <c r="K91" s="176"/>
      <c r="L91" s="176"/>
      <c r="M91" s="176"/>
      <c r="N91" s="176"/>
      <c r="O91" s="176"/>
    </row>
    <row r="92" spans="2:15" s="123" customFormat="1" x14ac:dyDescent="0.2">
      <c r="B92" s="159"/>
      <c r="C92" s="176"/>
      <c r="D92" s="176"/>
      <c r="E92" s="176"/>
      <c r="F92" s="176"/>
      <c r="G92" s="176"/>
      <c r="H92" s="176"/>
      <c r="I92" s="159"/>
      <c r="J92" s="159"/>
      <c r="K92" s="176"/>
      <c r="L92" s="176"/>
      <c r="M92" s="176"/>
      <c r="N92" s="176"/>
      <c r="O92" s="176"/>
    </row>
    <row r="93" spans="2:15" s="123" customFormat="1" x14ac:dyDescent="0.2">
      <c r="B93" s="159"/>
      <c r="C93" s="176"/>
      <c r="D93" s="176"/>
      <c r="E93" s="176"/>
      <c r="F93" s="176"/>
      <c r="G93" s="176"/>
      <c r="H93" s="176"/>
      <c r="I93" s="159"/>
      <c r="J93" s="159"/>
      <c r="K93" s="176"/>
      <c r="L93" s="176"/>
      <c r="M93" s="176"/>
      <c r="N93" s="176"/>
      <c r="O93" s="176"/>
    </row>
    <row r="94" spans="2:15" s="123" customFormat="1" x14ac:dyDescent="0.2">
      <c r="B94" s="159"/>
      <c r="C94" s="176"/>
      <c r="D94" s="176"/>
      <c r="E94" s="176"/>
      <c r="F94" s="176"/>
      <c r="G94" s="176"/>
      <c r="H94" s="176"/>
      <c r="I94" s="159"/>
      <c r="J94" s="159"/>
      <c r="K94" s="176"/>
      <c r="L94" s="176"/>
      <c r="M94" s="176"/>
      <c r="N94" s="176"/>
      <c r="O94" s="176"/>
    </row>
    <row r="95" spans="2:15" s="123" customFormat="1" x14ac:dyDescent="0.2">
      <c r="B95" s="159"/>
      <c r="C95" s="176"/>
      <c r="D95" s="176"/>
      <c r="E95" s="176"/>
      <c r="F95" s="176"/>
      <c r="G95" s="176"/>
      <c r="H95" s="176"/>
      <c r="I95" s="159"/>
      <c r="J95" s="159"/>
      <c r="K95" s="176"/>
      <c r="L95" s="176"/>
      <c r="M95" s="176"/>
      <c r="N95" s="176"/>
      <c r="O95" s="176"/>
    </row>
    <row r="96" spans="2:15" s="123" customFormat="1" x14ac:dyDescent="0.2">
      <c r="B96" s="159"/>
      <c r="C96" s="176"/>
      <c r="D96" s="176"/>
      <c r="E96" s="176"/>
      <c r="F96" s="176"/>
      <c r="G96" s="176"/>
      <c r="H96" s="176"/>
      <c r="I96" s="159"/>
      <c r="J96" s="159"/>
      <c r="K96" s="176"/>
      <c r="L96" s="176"/>
      <c r="M96" s="176"/>
      <c r="N96" s="176"/>
      <c r="O96" s="176"/>
    </row>
    <row r="97" spans="2:15" s="123" customFormat="1" x14ac:dyDescent="0.2">
      <c r="B97" s="159"/>
      <c r="C97" s="176"/>
      <c r="D97" s="176"/>
      <c r="E97" s="176"/>
      <c r="F97" s="176"/>
      <c r="G97" s="176"/>
      <c r="H97" s="176"/>
      <c r="I97" s="159"/>
      <c r="J97" s="159"/>
      <c r="K97" s="176"/>
      <c r="L97" s="176"/>
      <c r="M97" s="176"/>
      <c r="N97" s="176"/>
      <c r="O97" s="176"/>
    </row>
    <row r="98" spans="2:15" s="123" customFormat="1" x14ac:dyDescent="0.2">
      <c r="B98" s="159"/>
      <c r="C98" s="176"/>
      <c r="D98" s="176"/>
      <c r="E98" s="176"/>
      <c r="F98" s="176"/>
      <c r="G98" s="176"/>
      <c r="H98" s="176"/>
      <c r="I98" s="159"/>
      <c r="J98" s="159"/>
      <c r="K98" s="176"/>
      <c r="L98" s="176"/>
      <c r="M98" s="176"/>
      <c r="N98" s="176"/>
      <c r="O98" s="176"/>
    </row>
    <row r="99" spans="2:15" s="123" customFormat="1" x14ac:dyDescent="0.2">
      <c r="B99" s="159"/>
      <c r="C99" s="176"/>
      <c r="D99" s="176"/>
      <c r="E99" s="176"/>
      <c r="F99" s="176"/>
      <c r="G99" s="176"/>
      <c r="H99" s="176"/>
      <c r="I99" s="159"/>
      <c r="J99" s="159"/>
      <c r="K99" s="176"/>
      <c r="L99" s="176"/>
      <c r="M99" s="176"/>
      <c r="N99" s="176"/>
      <c r="O99" s="176"/>
    </row>
    <row r="100" spans="2:15" s="123" customFormat="1" x14ac:dyDescent="0.2">
      <c r="B100" s="159"/>
      <c r="C100" s="176"/>
      <c r="D100" s="176"/>
      <c r="E100" s="176"/>
      <c r="F100" s="176"/>
      <c r="G100" s="176"/>
      <c r="H100" s="176"/>
      <c r="I100" s="159"/>
      <c r="J100" s="159"/>
      <c r="K100" s="176"/>
      <c r="L100" s="176"/>
      <c r="M100" s="176"/>
      <c r="N100" s="176"/>
      <c r="O100" s="176"/>
    </row>
    <row r="101" spans="2:15" s="123" customFormat="1" x14ac:dyDescent="0.2">
      <c r="B101" s="159"/>
      <c r="C101" s="176"/>
      <c r="D101" s="176"/>
      <c r="E101" s="176"/>
      <c r="F101" s="176"/>
      <c r="G101" s="176"/>
      <c r="H101" s="176"/>
      <c r="I101" s="159"/>
      <c r="J101" s="159"/>
      <c r="K101" s="176"/>
      <c r="L101" s="176"/>
      <c r="M101" s="176"/>
      <c r="N101" s="176"/>
      <c r="O101" s="176"/>
    </row>
    <row r="102" spans="2:15" s="123" customFormat="1" x14ac:dyDescent="0.2">
      <c r="B102" s="159"/>
      <c r="C102" s="176"/>
      <c r="D102" s="176"/>
      <c r="E102" s="176"/>
      <c r="F102" s="176"/>
      <c r="G102" s="176"/>
      <c r="H102" s="176"/>
      <c r="I102" s="159"/>
      <c r="J102" s="159"/>
      <c r="K102" s="176"/>
      <c r="L102" s="176"/>
      <c r="M102" s="176"/>
      <c r="N102" s="176"/>
      <c r="O102" s="176"/>
    </row>
    <row r="103" spans="2:15" s="123" customFormat="1" x14ac:dyDescent="0.2">
      <c r="B103" s="159"/>
      <c r="C103" s="176"/>
      <c r="D103" s="176"/>
      <c r="E103" s="176"/>
      <c r="F103" s="176"/>
      <c r="G103" s="176"/>
      <c r="H103" s="176"/>
      <c r="I103" s="159"/>
      <c r="J103" s="159"/>
      <c r="K103" s="176"/>
      <c r="L103" s="176"/>
      <c r="M103" s="176"/>
      <c r="N103" s="176"/>
      <c r="O103" s="176"/>
    </row>
    <row r="104" spans="2:15" s="123" customFormat="1" x14ac:dyDescent="0.2">
      <c r="B104" s="159"/>
      <c r="C104" s="176"/>
      <c r="D104" s="176"/>
      <c r="E104" s="176"/>
      <c r="F104" s="176"/>
      <c r="G104" s="176"/>
      <c r="H104" s="176"/>
      <c r="I104" s="159"/>
      <c r="J104" s="159"/>
      <c r="K104" s="176"/>
      <c r="L104" s="176"/>
      <c r="M104" s="176"/>
      <c r="N104" s="176"/>
      <c r="O104" s="176"/>
    </row>
    <row r="105" spans="2:15" s="123" customFormat="1" x14ac:dyDescent="0.2">
      <c r="B105" s="159"/>
      <c r="C105" s="176"/>
      <c r="D105" s="176"/>
      <c r="E105" s="176"/>
      <c r="F105" s="176"/>
      <c r="G105" s="176"/>
      <c r="H105" s="176"/>
      <c r="I105" s="159"/>
      <c r="J105" s="159"/>
      <c r="K105" s="176"/>
      <c r="L105" s="176"/>
      <c r="M105" s="176"/>
      <c r="N105" s="176"/>
      <c r="O105" s="176"/>
    </row>
    <row r="106" spans="2:15" s="123" customFormat="1" x14ac:dyDescent="0.2">
      <c r="B106" s="159"/>
      <c r="C106" s="176"/>
      <c r="D106" s="176"/>
      <c r="E106" s="176"/>
      <c r="F106" s="176"/>
      <c r="G106" s="176"/>
      <c r="H106" s="176"/>
      <c r="I106" s="159"/>
      <c r="J106" s="159"/>
      <c r="K106" s="176"/>
      <c r="L106" s="176"/>
      <c r="M106" s="176"/>
      <c r="N106" s="176"/>
      <c r="O106" s="176"/>
    </row>
    <row r="107" spans="2:15" s="123" customFormat="1" x14ac:dyDescent="0.2">
      <c r="B107" s="159"/>
      <c r="C107" s="176"/>
      <c r="D107" s="176"/>
      <c r="E107" s="176"/>
      <c r="F107" s="176"/>
      <c r="G107" s="176"/>
      <c r="H107" s="176"/>
      <c r="I107" s="159"/>
      <c r="J107" s="159"/>
      <c r="K107" s="176"/>
      <c r="L107" s="176"/>
      <c r="M107" s="176"/>
      <c r="N107" s="176"/>
      <c r="O107" s="176"/>
    </row>
    <row r="108" spans="2:15" s="123" customFormat="1" x14ac:dyDescent="0.2">
      <c r="B108" s="159"/>
      <c r="C108" s="176"/>
      <c r="D108" s="176"/>
      <c r="E108" s="176"/>
      <c r="F108" s="176"/>
      <c r="G108" s="176"/>
      <c r="H108" s="176"/>
      <c r="I108" s="159"/>
      <c r="J108" s="159"/>
      <c r="K108" s="176"/>
      <c r="L108" s="176"/>
      <c r="M108" s="176"/>
      <c r="N108" s="176"/>
      <c r="O108" s="176"/>
    </row>
    <row r="109" spans="2:15" s="123" customFormat="1" x14ac:dyDescent="0.2">
      <c r="B109" s="159"/>
      <c r="C109" s="176"/>
      <c r="D109" s="176"/>
      <c r="E109" s="176"/>
      <c r="F109" s="176"/>
      <c r="G109" s="176"/>
      <c r="H109" s="176"/>
      <c r="I109" s="159"/>
      <c r="J109" s="159"/>
      <c r="K109" s="176"/>
      <c r="L109" s="176"/>
      <c r="M109" s="176"/>
      <c r="N109" s="176"/>
      <c r="O109" s="176"/>
    </row>
    <row r="110" spans="2:15" s="123" customFormat="1" x14ac:dyDescent="0.2">
      <c r="B110" s="159"/>
      <c r="C110" s="176"/>
      <c r="D110" s="176"/>
      <c r="E110" s="176"/>
      <c r="F110" s="176"/>
      <c r="G110" s="176"/>
      <c r="H110" s="176"/>
      <c r="I110" s="159"/>
      <c r="J110" s="159"/>
      <c r="K110" s="176"/>
      <c r="L110" s="176"/>
      <c r="M110" s="176"/>
      <c r="N110" s="176"/>
      <c r="O110" s="176"/>
    </row>
    <row r="111" spans="2:15" s="123" customFormat="1" x14ac:dyDescent="0.2">
      <c r="B111" s="159"/>
      <c r="C111" s="176"/>
      <c r="D111" s="176"/>
      <c r="E111" s="176"/>
      <c r="F111" s="176"/>
      <c r="G111" s="176"/>
      <c r="H111" s="176"/>
      <c r="I111" s="159"/>
      <c r="J111" s="159"/>
      <c r="K111" s="176"/>
      <c r="L111" s="176"/>
      <c r="M111" s="176"/>
      <c r="N111" s="176"/>
      <c r="O111" s="176"/>
    </row>
    <row r="112" spans="2:15" s="123" customFormat="1" x14ac:dyDescent="0.2">
      <c r="B112" s="159"/>
      <c r="C112" s="176"/>
      <c r="D112" s="176"/>
      <c r="E112" s="176"/>
      <c r="F112" s="176"/>
      <c r="G112" s="176"/>
      <c r="H112" s="176"/>
      <c r="I112" s="159"/>
      <c r="J112" s="159"/>
      <c r="K112" s="176"/>
      <c r="L112" s="176"/>
      <c r="M112" s="176"/>
      <c r="N112" s="176"/>
      <c r="O112" s="176"/>
    </row>
    <row r="113" spans="2:15" s="123" customFormat="1" x14ac:dyDescent="0.2">
      <c r="B113" s="159"/>
      <c r="C113" s="176"/>
      <c r="D113" s="176"/>
      <c r="E113" s="176"/>
      <c r="F113" s="176"/>
      <c r="G113" s="176"/>
      <c r="H113" s="176"/>
      <c r="I113" s="159"/>
      <c r="J113" s="159"/>
      <c r="K113" s="176"/>
      <c r="L113" s="176"/>
      <c r="M113" s="176"/>
      <c r="N113" s="176"/>
      <c r="O113" s="176"/>
    </row>
    <row r="114" spans="2:15" s="123" customFormat="1" x14ac:dyDescent="0.2">
      <c r="B114" s="159"/>
      <c r="C114" s="176"/>
      <c r="D114" s="176"/>
      <c r="E114" s="176"/>
      <c r="F114" s="176"/>
      <c r="G114" s="176"/>
      <c r="H114" s="176"/>
      <c r="I114" s="159"/>
      <c r="J114" s="159"/>
      <c r="K114" s="176"/>
      <c r="L114" s="176"/>
      <c r="M114" s="176"/>
      <c r="N114" s="176"/>
      <c r="O114" s="176"/>
    </row>
    <row r="115" spans="2:15" s="123" customFormat="1" x14ac:dyDescent="0.2">
      <c r="B115" s="159"/>
      <c r="C115" s="176"/>
      <c r="D115" s="176"/>
      <c r="E115" s="176"/>
      <c r="F115" s="176"/>
      <c r="G115" s="176"/>
      <c r="H115" s="176"/>
      <c r="I115" s="159"/>
      <c r="J115" s="159"/>
      <c r="K115" s="176"/>
      <c r="L115" s="176"/>
      <c r="M115" s="176"/>
      <c r="N115" s="176"/>
      <c r="O115" s="176"/>
    </row>
    <row r="116" spans="2:15" s="123" customFormat="1" x14ac:dyDescent="0.2">
      <c r="B116" s="159"/>
      <c r="C116" s="176"/>
      <c r="D116" s="176"/>
      <c r="E116" s="176"/>
      <c r="F116" s="176"/>
      <c r="G116" s="176"/>
      <c r="H116" s="176"/>
      <c r="I116" s="159"/>
      <c r="J116" s="159"/>
      <c r="K116" s="176"/>
      <c r="L116" s="176"/>
      <c r="M116" s="176"/>
      <c r="N116" s="176"/>
      <c r="O116" s="176"/>
    </row>
    <row r="117" spans="2:15" s="123" customFormat="1" x14ac:dyDescent="0.2">
      <c r="B117" s="159"/>
      <c r="C117" s="176"/>
      <c r="D117" s="176"/>
      <c r="E117" s="176"/>
      <c r="F117" s="176"/>
      <c r="G117" s="176"/>
      <c r="H117" s="176"/>
      <c r="I117" s="159"/>
      <c r="J117" s="159"/>
      <c r="K117" s="176"/>
      <c r="L117" s="176"/>
      <c r="M117" s="176"/>
      <c r="N117" s="176"/>
      <c r="O117" s="176"/>
    </row>
    <row r="118" spans="2:15" s="123" customFormat="1" x14ac:dyDescent="0.2">
      <c r="B118" s="159"/>
      <c r="C118" s="176"/>
      <c r="D118" s="176"/>
      <c r="E118" s="176"/>
      <c r="F118" s="176"/>
      <c r="G118" s="176"/>
      <c r="H118" s="176"/>
      <c r="I118" s="159"/>
      <c r="J118" s="159"/>
      <c r="K118" s="176"/>
      <c r="L118" s="176"/>
      <c r="M118" s="176"/>
      <c r="N118" s="176"/>
      <c r="O118" s="176"/>
    </row>
    <row r="119" spans="2:15" s="123" customFormat="1" x14ac:dyDescent="0.2">
      <c r="B119" s="159"/>
      <c r="C119" s="176"/>
      <c r="D119" s="176"/>
      <c r="E119" s="176"/>
      <c r="F119" s="176"/>
      <c r="G119" s="176"/>
      <c r="H119" s="176"/>
      <c r="I119" s="159"/>
      <c r="J119" s="159"/>
      <c r="K119" s="176"/>
      <c r="L119" s="176"/>
      <c r="M119" s="176"/>
      <c r="N119" s="176"/>
      <c r="O119" s="176"/>
    </row>
    <row r="120" spans="2:15" s="123" customFormat="1" x14ac:dyDescent="0.2">
      <c r="B120" s="159"/>
      <c r="C120" s="176"/>
      <c r="D120" s="176"/>
      <c r="E120" s="176"/>
      <c r="F120" s="176"/>
      <c r="G120" s="176"/>
      <c r="H120" s="176"/>
      <c r="I120" s="159"/>
      <c r="J120" s="159"/>
      <c r="K120" s="176"/>
      <c r="L120" s="176"/>
      <c r="M120" s="176"/>
      <c r="N120" s="176"/>
      <c r="O120" s="176"/>
    </row>
    <row r="121" spans="2:15" s="123" customFormat="1" x14ac:dyDescent="0.2">
      <c r="B121" s="159"/>
      <c r="C121" s="176"/>
      <c r="D121" s="176"/>
      <c r="E121" s="176"/>
      <c r="F121" s="176"/>
      <c r="G121" s="176"/>
      <c r="H121" s="176"/>
      <c r="I121" s="159"/>
      <c r="J121" s="159"/>
      <c r="K121" s="176"/>
      <c r="L121" s="176"/>
      <c r="M121" s="176"/>
      <c r="N121" s="176"/>
      <c r="O121" s="176"/>
    </row>
    <row r="122" spans="2:15" s="123" customFormat="1" x14ac:dyDescent="0.2">
      <c r="B122" s="159"/>
      <c r="C122" s="176"/>
      <c r="D122" s="176"/>
      <c r="E122" s="176"/>
      <c r="F122" s="176"/>
      <c r="G122" s="176"/>
      <c r="H122" s="176"/>
      <c r="I122" s="159"/>
      <c r="J122" s="159"/>
      <c r="K122" s="176"/>
      <c r="L122" s="176"/>
      <c r="M122" s="176"/>
      <c r="N122" s="176"/>
      <c r="O122" s="176"/>
    </row>
    <row r="123" spans="2:15" s="123" customFormat="1" x14ac:dyDescent="0.2">
      <c r="B123" s="159"/>
      <c r="C123" s="176"/>
      <c r="D123" s="176"/>
      <c r="E123" s="176"/>
      <c r="F123" s="176"/>
      <c r="G123" s="176"/>
      <c r="H123" s="176"/>
      <c r="I123" s="159"/>
      <c r="J123" s="159"/>
      <c r="K123" s="176"/>
      <c r="L123" s="176"/>
      <c r="M123" s="176"/>
      <c r="N123" s="176"/>
      <c r="O123" s="176"/>
    </row>
    <row r="124" spans="2:15" s="123" customFormat="1" x14ac:dyDescent="0.2">
      <c r="B124" s="159"/>
      <c r="C124" s="176"/>
      <c r="D124" s="176"/>
      <c r="E124" s="176"/>
      <c r="F124" s="176"/>
      <c r="G124" s="176"/>
      <c r="H124" s="176"/>
      <c r="I124" s="159"/>
      <c r="J124" s="159"/>
      <c r="K124" s="176"/>
      <c r="L124" s="176"/>
      <c r="M124" s="176"/>
      <c r="N124" s="176"/>
      <c r="O124" s="176"/>
    </row>
    <row r="125" spans="2:15" s="123" customFormat="1" x14ac:dyDescent="0.2">
      <c r="B125" s="159"/>
      <c r="C125" s="176"/>
      <c r="D125" s="176"/>
      <c r="E125" s="176"/>
      <c r="F125" s="176"/>
      <c r="G125" s="176"/>
      <c r="H125" s="176"/>
      <c r="I125" s="159"/>
      <c r="J125" s="159"/>
      <c r="K125" s="176"/>
      <c r="L125" s="176"/>
      <c r="M125" s="176"/>
      <c r="N125" s="176"/>
      <c r="O125" s="176"/>
    </row>
    <row r="126" spans="2:15" s="123" customFormat="1" x14ac:dyDescent="0.2">
      <c r="B126" s="159"/>
      <c r="C126" s="176"/>
      <c r="D126" s="176"/>
      <c r="E126" s="176"/>
      <c r="F126" s="176"/>
      <c r="G126" s="176"/>
      <c r="H126" s="176"/>
      <c r="I126" s="159"/>
      <c r="J126" s="159"/>
      <c r="K126" s="176"/>
      <c r="L126" s="176"/>
      <c r="M126" s="176"/>
      <c r="N126" s="176"/>
      <c r="O126" s="176"/>
    </row>
    <row r="127" spans="2:15" s="123" customFormat="1" x14ac:dyDescent="0.2">
      <c r="B127" s="159"/>
      <c r="C127" s="176"/>
      <c r="D127" s="176"/>
      <c r="E127" s="176"/>
      <c r="F127" s="176"/>
      <c r="G127" s="176"/>
      <c r="H127" s="176"/>
      <c r="I127" s="159"/>
      <c r="J127" s="159"/>
      <c r="K127" s="176"/>
      <c r="L127" s="176"/>
      <c r="M127" s="176"/>
      <c r="N127" s="176"/>
      <c r="O127" s="176"/>
    </row>
    <row r="128" spans="2:15" s="123" customFormat="1" ht="66" customHeight="1" x14ac:dyDescent="0.2">
      <c r="B128" s="159"/>
      <c r="C128" s="176"/>
      <c r="D128" s="176"/>
      <c r="E128" s="176"/>
      <c r="F128" s="176"/>
      <c r="G128" s="176"/>
      <c r="H128" s="176"/>
      <c r="I128" s="159"/>
      <c r="J128" s="159"/>
      <c r="K128" s="176"/>
      <c r="L128" s="176"/>
      <c r="M128" s="176"/>
      <c r="N128" s="176"/>
      <c r="O128" s="176"/>
    </row>
    <row r="129" spans="2:10" s="123" customFormat="1" x14ac:dyDescent="0.2">
      <c r="B129" s="156"/>
      <c r="I129" s="156"/>
      <c r="J129" s="156"/>
    </row>
    <row r="130" spans="2:10" s="123" customFormat="1" x14ac:dyDescent="0.2">
      <c r="B130" s="156"/>
      <c r="I130" s="156"/>
      <c r="J130" s="156"/>
    </row>
    <row r="131" spans="2:10" s="123" customFormat="1" x14ac:dyDescent="0.2">
      <c r="B131" s="156"/>
      <c r="I131" s="156"/>
      <c r="J131" s="156"/>
    </row>
    <row r="132" spans="2:10" s="123" customFormat="1" x14ac:dyDescent="0.2">
      <c r="B132" s="156"/>
      <c r="I132" s="156"/>
      <c r="J132" s="156"/>
    </row>
    <row r="133" spans="2:10" s="123" customFormat="1" x14ac:dyDescent="0.2">
      <c r="B133" s="156"/>
      <c r="I133" s="156"/>
      <c r="J133" s="156"/>
    </row>
    <row r="134" spans="2:10" s="123" customFormat="1" x14ac:dyDescent="0.2">
      <c r="B134" s="156"/>
      <c r="I134" s="156"/>
      <c r="J134" s="156"/>
    </row>
    <row r="135" spans="2:10" s="123" customFormat="1" x14ac:dyDescent="0.2">
      <c r="B135" s="156"/>
      <c r="I135" s="156"/>
      <c r="J135" s="156"/>
    </row>
    <row r="136" spans="2:10" s="123" customFormat="1" x14ac:dyDescent="0.2">
      <c r="B136" s="156"/>
      <c r="I136" s="156"/>
      <c r="J136" s="156"/>
    </row>
    <row r="137" spans="2:10" s="123" customFormat="1" x14ac:dyDescent="0.2">
      <c r="B137" s="156"/>
      <c r="I137" s="156"/>
      <c r="J137" s="156"/>
    </row>
    <row r="138" spans="2:10" s="123" customFormat="1" x14ac:dyDescent="0.2">
      <c r="B138" s="156"/>
      <c r="I138" s="156"/>
      <c r="J138" s="156"/>
    </row>
    <row r="139" spans="2:10" s="123" customFormat="1" x14ac:dyDescent="0.2">
      <c r="B139" s="156"/>
      <c r="I139" s="156"/>
      <c r="J139" s="156"/>
    </row>
    <row r="140" spans="2:10" s="123" customFormat="1" x14ac:dyDescent="0.2">
      <c r="B140" s="156"/>
      <c r="I140" s="156"/>
      <c r="J140" s="156"/>
    </row>
    <row r="141" spans="2:10" s="123" customFormat="1" x14ac:dyDescent="0.2">
      <c r="B141" s="156"/>
      <c r="I141" s="156"/>
      <c r="J141" s="156"/>
    </row>
    <row r="142" spans="2:10" s="123" customFormat="1" x14ac:dyDescent="0.2">
      <c r="B142" s="156"/>
      <c r="I142" s="156"/>
      <c r="J142" s="156"/>
    </row>
    <row r="143" spans="2:10" s="123" customFormat="1" x14ac:dyDescent="0.2">
      <c r="B143" s="156"/>
      <c r="I143" s="156"/>
      <c r="J143" s="156"/>
    </row>
    <row r="144" spans="2:10" s="123" customFormat="1" x14ac:dyDescent="0.2">
      <c r="B144" s="156"/>
      <c r="I144" s="156"/>
      <c r="J144" s="156"/>
    </row>
    <row r="145" spans="2:10" s="123" customFormat="1" x14ac:dyDescent="0.2">
      <c r="B145" s="156"/>
      <c r="I145" s="156"/>
      <c r="J145" s="156"/>
    </row>
    <row r="146" spans="2:10" s="123" customFormat="1" x14ac:dyDescent="0.2">
      <c r="B146" s="156"/>
      <c r="I146" s="156"/>
      <c r="J146" s="156"/>
    </row>
    <row r="147" spans="2:10" s="123" customFormat="1" x14ac:dyDescent="0.2">
      <c r="B147" s="156"/>
      <c r="I147" s="156"/>
      <c r="J147" s="156"/>
    </row>
    <row r="148" spans="2:10" s="123" customFormat="1" x14ac:dyDescent="0.2">
      <c r="B148" s="156"/>
      <c r="I148" s="156"/>
      <c r="J148" s="156"/>
    </row>
    <row r="149" spans="2:10" s="123" customFormat="1" x14ac:dyDescent="0.2">
      <c r="B149" s="156"/>
      <c r="I149" s="156"/>
      <c r="J149" s="156"/>
    </row>
    <row r="150" spans="2:10" s="123" customFormat="1" x14ac:dyDescent="0.2">
      <c r="B150" s="156"/>
      <c r="I150" s="156"/>
      <c r="J150" s="156"/>
    </row>
    <row r="151" spans="2:10" s="123" customFormat="1" x14ac:dyDescent="0.2">
      <c r="B151" s="156"/>
      <c r="I151" s="156"/>
      <c r="J151" s="156"/>
    </row>
    <row r="152" spans="2:10" s="123" customFormat="1" x14ac:dyDescent="0.2">
      <c r="B152" s="156"/>
      <c r="I152" s="156"/>
      <c r="J152" s="156"/>
    </row>
    <row r="153" spans="2:10" s="123" customFormat="1" x14ac:dyDescent="0.2">
      <c r="B153" s="156"/>
      <c r="I153" s="156"/>
      <c r="J153" s="156"/>
    </row>
    <row r="154" spans="2:10" s="123" customFormat="1" x14ac:dyDescent="0.2">
      <c r="B154" s="156"/>
      <c r="I154" s="156"/>
      <c r="J154" s="156"/>
    </row>
    <row r="155" spans="2:10" s="123" customFormat="1" x14ac:dyDescent="0.2">
      <c r="B155" s="156"/>
      <c r="I155" s="156"/>
      <c r="J155" s="156"/>
    </row>
    <row r="156" spans="2:10" s="123" customFormat="1" x14ac:dyDescent="0.2">
      <c r="B156" s="156"/>
      <c r="I156" s="156"/>
      <c r="J156" s="156"/>
    </row>
    <row r="157" spans="2:10" s="123" customFormat="1" x14ac:dyDescent="0.2">
      <c r="B157" s="156"/>
      <c r="I157" s="156"/>
      <c r="J157" s="156"/>
    </row>
    <row r="158" spans="2:10" s="123" customFormat="1" x14ac:dyDescent="0.2">
      <c r="B158" s="156"/>
      <c r="I158" s="156"/>
      <c r="J158" s="156"/>
    </row>
    <row r="159" spans="2:10" s="123" customFormat="1" x14ac:dyDescent="0.2">
      <c r="B159" s="156"/>
      <c r="I159" s="156"/>
      <c r="J159" s="156"/>
    </row>
    <row r="160" spans="2:10" s="123" customFormat="1" x14ac:dyDescent="0.2">
      <c r="B160" s="156"/>
      <c r="I160" s="156"/>
      <c r="J160" s="156"/>
    </row>
    <row r="161" spans="2:10" s="123" customFormat="1" x14ac:dyDescent="0.2">
      <c r="B161" s="156"/>
      <c r="I161" s="156"/>
      <c r="J161" s="156"/>
    </row>
    <row r="162" spans="2:10" s="123" customFormat="1" x14ac:dyDescent="0.2">
      <c r="B162" s="156"/>
      <c r="I162" s="156"/>
      <c r="J162" s="156"/>
    </row>
    <row r="163" spans="2:10" s="123" customFormat="1" x14ac:dyDescent="0.2">
      <c r="B163" s="156"/>
      <c r="I163" s="156"/>
      <c r="J163" s="156"/>
    </row>
    <row r="164" spans="2:10" s="123" customFormat="1" x14ac:dyDescent="0.2">
      <c r="B164" s="156"/>
      <c r="I164" s="156"/>
      <c r="J164" s="156"/>
    </row>
    <row r="165" spans="2:10" s="123" customFormat="1" x14ac:dyDescent="0.2">
      <c r="B165" s="156"/>
      <c r="I165" s="156"/>
      <c r="J165" s="156"/>
    </row>
    <row r="166" spans="2:10" s="123" customFormat="1" x14ac:dyDescent="0.2">
      <c r="B166" s="156"/>
      <c r="I166" s="156"/>
      <c r="J166" s="156"/>
    </row>
    <row r="167" spans="2:10" s="123" customFormat="1" x14ac:dyDescent="0.2">
      <c r="B167" s="156"/>
      <c r="I167" s="156"/>
      <c r="J167" s="156"/>
    </row>
    <row r="168" spans="2:10" s="123" customFormat="1" x14ac:dyDescent="0.2">
      <c r="B168" s="156"/>
      <c r="I168" s="156"/>
      <c r="J168" s="156"/>
    </row>
    <row r="169" spans="2:10" s="123" customFormat="1" x14ac:dyDescent="0.2">
      <c r="B169" s="156"/>
      <c r="I169" s="156"/>
      <c r="J169" s="156"/>
    </row>
    <row r="170" spans="2:10" s="123" customFormat="1" x14ac:dyDescent="0.2">
      <c r="B170" s="156"/>
      <c r="I170" s="156"/>
      <c r="J170" s="156"/>
    </row>
    <row r="171" spans="2:10" s="123" customFormat="1" x14ac:dyDescent="0.2">
      <c r="B171" s="156"/>
      <c r="I171" s="156"/>
      <c r="J171" s="156"/>
    </row>
    <row r="172" spans="2:10" s="123" customFormat="1" x14ac:dyDescent="0.2">
      <c r="B172" s="156"/>
      <c r="I172" s="156"/>
      <c r="J172" s="156"/>
    </row>
    <row r="173" spans="2:10" s="123" customFormat="1" x14ac:dyDescent="0.2">
      <c r="B173" s="156"/>
      <c r="I173" s="156"/>
      <c r="J173" s="156"/>
    </row>
    <row r="174" spans="2:10" s="123" customFormat="1" x14ac:dyDescent="0.2">
      <c r="B174" s="156"/>
      <c r="I174" s="156"/>
      <c r="J174" s="156"/>
    </row>
    <row r="175" spans="2:10" s="123" customFormat="1" x14ac:dyDescent="0.2">
      <c r="B175" s="156"/>
      <c r="I175" s="156"/>
      <c r="J175" s="156"/>
    </row>
    <row r="176" spans="2:10" s="123" customFormat="1" x14ac:dyDescent="0.2">
      <c r="B176" s="156"/>
      <c r="I176" s="156"/>
      <c r="J176" s="156"/>
    </row>
    <row r="177" spans="2:10" s="123" customFormat="1" x14ac:dyDescent="0.2">
      <c r="B177" s="156"/>
      <c r="I177" s="156"/>
      <c r="J177" s="156"/>
    </row>
    <row r="178" spans="2:10" s="123" customFormat="1" x14ac:dyDescent="0.2">
      <c r="B178" s="156"/>
      <c r="I178" s="156"/>
      <c r="J178" s="156"/>
    </row>
    <row r="179" spans="2:10" s="123" customFormat="1" x14ac:dyDescent="0.2">
      <c r="B179" s="156"/>
      <c r="I179" s="156"/>
      <c r="J179" s="156"/>
    </row>
    <row r="180" spans="2:10" s="123" customFormat="1" x14ac:dyDescent="0.2">
      <c r="B180" s="156"/>
      <c r="I180" s="156"/>
      <c r="J180" s="156"/>
    </row>
  </sheetData>
  <autoFilter ref="A2:J60" xr:uid="{85B947FD-98C2-42CC-BC6A-AE5670D4F10B}"/>
  <phoneticPr fontId="7" type="noConversion"/>
  <conditionalFormatting sqref="B14:D14 H14 B15:H16 B32:H36 B30:F31 B38:H40 B37:C37 B42 D42 B3:H13 E37:F37 B28:H29 B27:C27 E27:H27 B24:H26 B23:C23 E23:H23 B18:H22 B17:C17 E17:H17 B41:E41 B43:E43 B44:H59">
    <cfRule type="expression" dxfId="47" priority="15">
      <formula>AND(OR($F3="No",$F3=""), $E3= "Yes",$G3&lt;&gt;"",$H3&lt;&gt;"")</formula>
    </cfRule>
  </conditionalFormatting>
  <conditionalFormatting sqref="N3:O13 N59:O59 N15:O57">
    <cfRule type="expression" dxfId="46" priority="14">
      <formula>AND(OR($F3="No",$F3=""), $E3= "Yes",$G3&lt;&gt;"",$H3&lt;&gt;"")</formula>
    </cfRule>
  </conditionalFormatting>
  <conditionalFormatting sqref="N58:O58">
    <cfRule type="expression" dxfId="45" priority="13">
      <formula>AND(OR($E58="No",$E58=""), $D58= "Yes",$F58&lt;&gt;"",$G58&lt;&gt;"")</formula>
    </cfRule>
  </conditionalFormatting>
  <conditionalFormatting sqref="N14:O14">
    <cfRule type="expression" dxfId="44" priority="12">
      <formula>AND(OR($F14="No",$F14=""), $E14= "Yes",$G14&lt;&gt;"",$H14&lt;&gt;"")</formula>
    </cfRule>
  </conditionalFormatting>
  <conditionalFormatting sqref="G30:H31">
    <cfRule type="expression" dxfId="43" priority="10">
      <formula>AND(OR($F30="No",$F30=""), $E30= "Yes",$G30&lt;&gt;"",$H30&lt;&gt;"")</formula>
    </cfRule>
    <cfRule type="expression" dxfId="42" priority="11">
      <formula>AND(OR($E30="No",$E30=""), $F30= "Yes",$G30&lt;&gt;"",$H30&lt;&gt;"")</formula>
    </cfRule>
  </conditionalFormatting>
  <conditionalFormatting sqref="G37:H37">
    <cfRule type="expression" dxfId="41" priority="8">
      <formula>AND(OR($F37="No",$F37=""), $E37= "Yes",$G37&lt;&gt;"",$H37&lt;&gt;"")</formula>
    </cfRule>
    <cfRule type="expression" dxfId="40" priority="9">
      <formula>AND(OR($E37="No",$E37=""), $F37= "Yes",$G37&lt;&gt;"",$H37&lt;&gt;"")</formula>
    </cfRule>
  </conditionalFormatting>
  <conditionalFormatting sqref="C42">
    <cfRule type="expression" dxfId="39" priority="7">
      <formula>AND(OR($F42="No",$F42=""), $E42= "Yes",#REF!&lt;&gt;"",$H42&lt;&gt;"")</formula>
    </cfRule>
  </conditionalFormatting>
  <conditionalFormatting sqref="I3:M60">
    <cfRule type="expression" dxfId="38" priority="6">
      <formula>AND(OR($F3="No",$F3=""), $E3= "Yes",$G3&lt;&gt;"",$H3&lt;&gt;"")</formula>
    </cfRule>
  </conditionalFormatting>
  <conditionalFormatting sqref="D37">
    <cfRule type="expression" dxfId="37" priority="5">
      <formula>AND(OR($F37="No",$F37=""), $E37= "Yes",$G37&lt;&gt;"",$H37&lt;&gt;"")</formula>
    </cfRule>
  </conditionalFormatting>
  <conditionalFormatting sqref="D27">
    <cfRule type="expression" dxfId="36" priority="4">
      <formula>AND(OR($F27="No",$F27=""), $E27= "Yes",$G27&lt;&gt;"",$H27&lt;&gt;"")</formula>
    </cfRule>
  </conditionalFormatting>
  <conditionalFormatting sqref="D23">
    <cfRule type="expression" dxfId="35" priority="3">
      <formula>AND(OR($F23="No",$F23=""), $E23= "Yes",$G23&lt;&gt;"",$H23&lt;&gt;"")</formula>
    </cfRule>
  </conditionalFormatting>
  <conditionalFormatting sqref="D17">
    <cfRule type="expression" dxfId="34" priority="2">
      <formula>AND(OR($F17="No",$F17=""), $E17= "Yes",$G17&lt;&gt;"",$H17&lt;&gt;"")</formula>
    </cfRule>
  </conditionalFormatting>
  <conditionalFormatting sqref="G42:H42 E42">
    <cfRule type="expression" dxfId="33" priority="1">
      <formula>AND(OR($F42="No",$F42=""), $E42= "Yes",$G42&lt;&gt;"",$H42&lt;&gt;"")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K61:K1048576 E3:E13 K1:K2 E15:E59" xr:uid="{683EDFB9-D5FF-4226-A0F9-B0D32E5CEB84}">
      <formula1>"Yes, No"</formula1>
    </dataValidation>
  </dataValidations>
  <pageMargins left="0.7" right="0.7" top="0.75" bottom="0.75" header="0.3" footer="0.3"/>
  <pageSetup paperSize="8" scale="65"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80"/>
  <sheetViews>
    <sheetView topLeftCell="B1" zoomScale="60" zoomScaleNormal="60" workbookViewId="0">
      <pane ySplit="2" topLeftCell="A81" activePane="bottomLeft" state="frozen"/>
      <selection pane="bottomLeft" activeCell="E129" sqref="E129"/>
    </sheetView>
  </sheetViews>
  <sheetFormatPr defaultColWidth="8.88671875" defaultRowHeight="15" x14ac:dyDescent="0.2"/>
  <cols>
    <col min="1" max="1" width="13.77734375" style="2" hidden="1" customWidth="1"/>
    <col min="2" max="2" width="7.77734375" style="18" customWidth="1"/>
    <col min="3" max="3" width="60.77734375" style="2" customWidth="1"/>
    <col min="4" max="4" width="38.77734375" style="2" customWidth="1"/>
    <col min="5" max="5" width="9.5546875" style="2" bestFit="1" customWidth="1"/>
    <col min="6" max="6" width="12.109375" style="2" bestFit="1" customWidth="1"/>
    <col min="7" max="7" width="38.77734375" style="2" customWidth="1"/>
    <col min="8" max="8" width="14.77734375" style="2" customWidth="1"/>
    <col min="9" max="10" width="10.33203125" style="18" customWidth="1"/>
    <col min="11" max="11" width="9.33203125" style="2" hidden="1" customWidth="1"/>
    <col min="12" max="12" width="17.5546875" style="2" bestFit="1" customWidth="1"/>
    <col min="13" max="13" width="20.6640625" style="2" hidden="1" customWidth="1"/>
    <col min="14" max="14" width="9.33203125" style="2" hidden="1" customWidth="1"/>
    <col min="15" max="15" width="7.5546875" style="2" hidden="1" customWidth="1"/>
    <col min="16" max="16384" width="8.88671875" style="2"/>
  </cols>
  <sheetData>
    <row r="1" spans="1:15" ht="21" customHeight="1" thickBot="1" x14ac:dyDescent="0.3">
      <c r="A1" s="21"/>
      <c r="B1" s="83" t="s">
        <v>47</v>
      </c>
      <c r="C1" s="56" t="s">
        <v>845</v>
      </c>
      <c r="D1" s="5"/>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23" customFormat="1" ht="54" customHeight="1" thickTop="1" x14ac:dyDescent="0.2">
      <c r="A3" s="160"/>
      <c r="B3" s="124" t="s">
        <v>10</v>
      </c>
      <c r="C3" s="125" t="s">
        <v>56</v>
      </c>
      <c r="D3" s="125" t="s">
        <v>57</v>
      </c>
      <c r="E3" s="125" t="s">
        <v>11</v>
      </c>
      <c r="F3" s="125" t="s">
        <v>21</v>
      </c>
      <c r="G3" s="125" t="s">
        <v>300</v>
      </c>
      <c r="H3" s="161" t="s">
        <v>608</v>
      </c>
      <c r="I3" s="128" t="s">
        <v>60</v>
      </c>
      <c r="J3" s="128" t="s">
        <v>61</v>
      </c>
      <c r="K3" s="128">
        <v>0</v>
      </c>
      <c r="L3" s="128" t="s">
        <v>62</v>
      </c>
      <c r="M3" s="128" t="s">
        <v>63</v>
      </c>
      <c r="N3" s="125">
        <v>1</v>
      </c>
      <c r="O3" s="129">
        <v>5.2083333333333333E-4</v>
      </c>
    </row>
    <row r="4" spans="1:15" s="123" customFormat="1" ht="54" customHeight="1" x14ac:dyDescent="0.2">
      <c r="A4" s="160"/>
      <c r="B4" s="130" t="s">
        <v>10</v>
      </c>
      <c r="C4" s="131" t="s">
        <v>64</v>
      </c>
      <c r="D4" s="131" t="s">
        <v>65</v>
      </c>
      <c r="E4" s="131" t="s">
        <v>11</v>
      </c>
      <c r="F4" s="131" t="s">
        <v>21</v>
      </c>
      <c r="G4" s="131" t="s">
        <v>746</v>
      </c>
      <c r="H4" s="147" t="s">
        <v>608</v>
      </c>
      <c r="I4" s="134" t="s">
        <v>60</v>
      </c>
      <c r="J4" s="134" t="s">
        <v>61</v>
      </c>
      <c r="K4" s="134">
        <v>0</v>
      </c>
      <c r="L4" s="134" t="s">
        <v>67</v>
      </c>
      <c r="M4" s="134" t="s">
        <v>68</v>
      </c>
      <c r="N4" s="131">
        <v>1</v>
      </c>
      <c r="O4" s="135">
        <v>3.4722222222222224E-4</v>
      </c>
    </row>
    <row r="5" spans="1:15" s="123" customFormat="1" ht="54" customHeight="1" x14ac:dyDescent="0.2">
      <c r="A5" s="160"/>
      <c r="B5" s="130" t="s">
        <v>10</v>
      </c>
      <c r="C5" s="131" t="s">
        <v>69</v>
      </c>
      <c r="D5" s="131" t="s">
        <v>65</v>
      </c>
      <c r="E5" s="131" t="s">
        <v>11</v>
      </c>
      <c r="F5" s="131" t="s">
        <v>21</v>
      </c>
      <c r="G5" s="131" t="s">
        <v>746</v>
      </c>
      <c r="H5" s="147" t="s">
        <v>608</v>
      </c>
      <c r="I5" s="134" t="s">
        <v>60</v>
      </c>
      <c r="J5" s="134" t="s">
        <v>61</v>
      </c>
      <c r="K5" s="134">
        <v>0</v>
      </c>
      <c r="L5" s="134" t="s">
        <v>67</v>
      </c>
      <c r="M5" s="134" t="s">
        <v>68</v>
      </c>
      <c r="N5" s="131">
        <v>1</v>
      </c>
      <c r="O5" s="135">
        <v>3.4722222222222224E-4</v>
      </c>
    </row>
    <row r="6" spans="1:15" s="123" customFormat="1" ht="54" customHeight="1" x14ac:dyDescent="0.2">
      <c r="A6" s="160"/>
      <c r="B6" s="130" t="s">
        <v>10</v>
      </c>
      <c r="C6" s="131" t="s">
        <v>70</v>
      </c>
      <c r="D6" s="131" t="s">
        <v>71</v>
      </c>
      <c r="E6" s="131" t="s">
        <v>11</v>
      </c>
      <c r="F6" s="131" t="s">
        <v>21</v>
      </c>
      <c r="G6" s="131" t="s">
        <v>746</v>
      </c>
      <c r="H6" s="147" t="s">
        <v>608</v>
      </c>
      <c r="I6" s="134" t="s">
        <v>60</v>
      </c>
      <c r="J6" s="134" t="s">
        <v>61</v>
      </c>
      <c r="K6" s="134">
        <v>0</v>
      </c>
      <c r="L6" s="134" t="s">
        <v>67</v>
      </c>
      <c r="M6" s="134" t="s">
        <v>68</v>
      </c>
      <c r="N6" s="131">
        <v>1</v>
      </c>
      <c r="O6" s="135">
        <v>1.3888888888888889E-3</v>
      </c>
    </row>
    <row r="7" spans="1:15" s="123" customFormat="1" ht="54" customHeight="1" x14ac:dyDescent="0.2">
      <c r="A7" s="160"/>
      <c r="B7" s="130" t="s">
        <v>10</v>
      </c>
      <c r="C7" s="131" t="s">
        <v>72</v>
      </c>
      <c r="D7" s="131" t="s">
        <v>73</v>
      </c>
      <c r="E7" s="131" t="s">
        <v>11</v>
      </c>
      <c r="F7" s="131" t="s">
        <v>21</v>
      </c>
      <c r="G7" s="131" t="s">
        <v>613</v>
      </c>
      <c r="H7" s="147" t="s">
        <v>608</v>
      </c>
      <c r="I7" s="134" t="s">
        <v>60</v>
      </c>
      <c r="J7" s="134" t="s">
        <v>61</v>
      </c>
      <c r="K7" s="134">
        <v>0</v>
      </c>
      <c r="L7" s="134" t="s">
        <v>75</v>
      </c>
      <c r="M7" s="134" t="s">
        <v>76</v>
      </c>
      <c r="N7" s="131">
        <v>1</v>
      </c>
      <c r="O7" s="135">
        <v>1.2152777777777778E-3</v>
      </c>
    </row>
    <row r="8" spans="1:15" s="123" customFormat="1" ht="54" customHeight="1" x14ac:dyDescent="0.2">
      <c r="A8" s="160"/>
      <c r="B8" s="130" t="s">
        <v>10</v>
      </c>
      <c r="C8" s="131" t="s">
        <v>77</v>
      </c>
      <c r="D8" s="131" t="s">
        <v>78</v>
      </c>
      <c r="E8" s="131" t="s">
        <v>11</v>
      </c>
      <c r="F8" s="131" t="s">
        <v>21</v>
      </c>
      <c r="G8" s="131" t="s">
        <v>613</v>
      </c>
      <c r="H8" s="147" t="s">
        <v>608</v>
      </c>
      <c r="I8" s="134" t="s">
        <v>60</v>
      </c>
      <c r="J8" s="134" t="s">
        <v>61</v>
      </c>
      <c r="K8" s="134">
        <v>0</v>
      </c>
      <c r="L8" s="134" t="s">
        <v>75</v>
      </c>
      <c r="M8" s="134" t="s">
        <v>76</v>
      </c>
      <c r="N8" s="131">
        <v>1</v>
      </c>
      <c r="O8" s="135">
        <v>3.4722222222222224E-4</v>
      </c>
    </row>
    <row r="9" spans="1:15" s="123" customFormat="1" ht="54" customHeight="1" x14ac:dyDescent="0.2">
      <c r="A9" s="95"/>
      <c r="B9" s="69" t="s">
        <v>10</v>
      </c>
      <c r="C9" s="70" t="s">
        <v>80</v>
      </c>
      <c r="D9" s="70" t="s">
        <v>81</v>
      </c>
      <c r="E9" s="70" t="s">
        <v>11</v>
      </c>
      <c r="F9" s="70" t="s">
        <v>21</v>
      </c>
      <c r="G9" s="70" t="s">
        <v>846</v>
      </c>
      <c r="H9" s="80">
        <v>45342</v>
      </c>
      <c r="I9" s="71" t="s">
        <v>60</v>
      </c>
      <c r="J9" s="71" t="s">
        <v>61</v>
      </c>
      <c r="K9" s="71">
        <v>0</v>
      </c>
      <c r="L9" s="71" t="s">
        <v>83</v>
      </c>
      <c r="M9" s="71" t="s">
        <v>63</v>
      </c>
      <c r="N9" s="70">
        <v>2</v>
      </c>
      <c r="O9" s="73">
        <v>3.4722222222222224E-4</v>
      </c>
    </row>
    <row r="10" spans="1:15" s="123" customFormat="1" ht="54" customHeight="1" x14ac:dyDescent="0.2">
      <c r="A10" s="160"/>
      <c r="B10" s="130" t="s">
        <v>10</v>
      </c>
      <c r="C10" s="131" t="s">
        <v>84</v>
      </c>
      <c r="D10" s="131" t="s">
        <v>85</v>
      </c>
      <c r="E10" s="131" t="s">
        <v>11</v>
      </c>
      <c r="F10" s="131" t="s">
        <v>21</v>
      </c>
      <c r="G10" s="131" t="s">
        <v>335</v>
      </c>
      <c r="H10" s="147" t="s">
        <v>608</v>
      </c>
      <c r="I10" s="134" t="s">
        <v>60</v>
      </c>
      <c r="J10" s="134" t="s">
        <v>61</v>
      </c>
      <c r="K10" s="134">
        <v>0</v>
      </c>
      <c r="L10" s="134" t="s">
        <v>86</v>
      </c>
      <c r="M10" s="134" t="s">
        <v>63</v>
      </c>
      <c r="N10" s="131">
        <v>1</v>
      </c>
      <c r="O10" s="135">
        <v>1.3888888888888889E-3</v>
      </c>
    </row>
    <row r="11" spans="1:15" s="123" customFormat="1" ht="54" customHeight="1" x14ac:dyDescent="0.2">
      <c r="A11" s="160"/>
      <c r="B11" s="130" t="s">
        <v>10</v>
      </c>
      <c r="C11" s="131" t="s">
        <v>87</v>
      </c>
      <c r="D11" s="131" t="s">
        <v>88</v>
      </c>
      <c r="E11" s="131" t="s">
        <v>11</v>
      </c>
      <c r="F11" s="131" t="s">
        <v>21</v>
      </c>
      <c r="G11" s="131" t="s">
        <v>317</v>
      </c>
      <c r="H11" s="147" t="s">
        <v>608</v>
      </c>
      <c r="I11" s="134" t="s">
        <v>60</v>
      </c>
      <c r="J11" s="134" t="s">
        <v>61</v>
      </c>
      <c r="K11" s="134">
        <v>0</v>
      </c>
      <c r="L11" s="134" t="s">
        <v>89</v>
      </c>
      <c r="M11" s="134" t="s">
        <v>63</v>
      </c>
      <c r="N11" s="131">
        <v>1</v>
      </c>
      <c r="O11" s="135">
        <v>3.4722222222222224E-4</v>
      </c>
    </row>
    <row r="12" spans="1:15" s="123" customFormat="1" ht="54" customHeight="1" x14ac:dyDescent="0.2">
      <c r="A12" s="160"/>
      <c r="B12" s="130" t="s">
        <v>10</v>
      </c>
      <c r="C12" s="131" t="s">
        <v>90</v>
      </c>
      <c r="D12" s="131" t="s">
        <v>91</v>
      </c>
      <c r="E12" s="131" t="s">
        <v>11</v>
      </c>
      <c r="F12" s="131" t="s">
        <v>21</v>
      </c>
      <c r="G12" s="131" t="s">
        <v>92</v>
      </c>
      <c r="H12" s="147" t="s">
        <v>608</v>
      </c>
      <c r="I12" s="134" t="s">
        <v>93</v>
      </c>
      <c r="J12" s="134" t="s">
        <v>61</v>
      </c>
      <c r="K12" s="134">
        <v>0</v>
      </c>
      <c r="L12" s="134" t="s">
        <v>95</v>
      </c>
      <c r="M12" s="134" t="s">
        <v>96</v>
      </c>
      <c r="N12" s="131">
        <v>1</v>
      </c>
      <c r="O12" s="135">
        <v>3.4722222222222224E-4</v>
      </c>
    </row>
    <row r="13" spans="1:15" s="123" customFormat="1" ht="54" customHeight="1" x14ac:dyDescent="0.2">
      <c r="A13" s="160"/>
      <c r="B13" s="130" t="s">
        <v>10</v>
      </c>
      <c r="C13" s="131" t="s">
        <v>97</v>
      </c>
      <c r="D13" s="131" t="s">
        <v>98</v>
      </c>
      <c r="E13" s="131" t="s">
        <v>11</v>
      </c>
      <c r="F13" s="131" t="s">
        <v>21</v>
      </c>
      <c r="G13" s="131" t="s">
        <v>275</v>
      </c>
      <c r="H13" s="147" t="s">
        <v>608</v>
      </c>
      <c r="I13" s="134" t="s">
        <v>60</v>
      </c>
      <c r="J13" s="134" t="s">
        <v>61</v>
      </c>
      <c r="K13" s="134">
        <v>0</v>
      </c>
      <c r="L13" s="134" t="s">
        <v>100</v>
      </c>
      <c r="M13" s="134" t="s">
        <v>63</v>
      </c>
      <c r="N13" s="131">
        <v>1</v>
      </c>
      <c r="O13" s="135">
        <v>1.3888888888888889E-3</v>
      </c>
    </row>
    <row r="14" spans="1:15" s="123" customFormat="1" ht="54" customHeight="1" x14ac:dyDescent="0.2">
      <c r="A14" s="160"/>
      <c r="B14" s="130" t="s">
        <v>10</v>
      </c>
      <c r="C14" s="131" t="s">
        <v>101</v>
      </c>
      <c r="D14" s="131" t="s">
        <v>102</v>
      </c>
      <c r="E14" s="131" t="s">
        <v>11</v>
      </c>
      <c r="F14" s="131" t="s">
        <v>21</v>
      </c>
      <c r="G14" s="131" t="s">
        <v>245</v>
      </c>
      <c r="H14" s="147" t="s">
        <v>608</v>
      </c>
      <c r="I14" s="134" t="s">
        <v>60</v>
      </c>
      <c r="J14" s="134" t="s">
        <v>61</v>
      </c>
      <c r="K14" s="134">
        <v>0</v>
      </c>
      <c r="L14" s="134" t="s">
        <v>100</v>
      </c>
      <c r="M14" s="134" t="s">
        <v>63</v>
      </c>
      <c r="N14" s="131">
        <v>1</v>
      </c>
      <c r="O14" s="135">
        <v>1.3888888888888889E-3</v>
      </c>
    </row>
    <row r="15" spans="1:15" s="123" customFormat="1" ht="54" customHeight="1" x14ac:dyDescent="0.2">
      <c r="A15" s="160"/>
      <c r="B15" s="130" t="s">
        <v>10</v>
      </c>
      <c r="C15" s="131" t="s">
        <v>104</v>
      </c>
      <c r="D15" s="131" t="s">
        <v>105</v>
      </c>
      <c r="E15" s="131" t="s">
        <v>11</v>
      </c>
      <c r="F15" s="131" t="s">
        <v>21</v>
      </c>
      <c r="G15" s="131" t="s">
        <v>92</v>
      </c>
      <c r="H15" s="147" t="s">
        <v>608</v>
      </c>
      <c r="I15" s="134" t="s">
        <v>60</v>
      </c>
      <c r="J15" s="134" t="s">
        <v>61</v>
      </c>
      <c r="K15" s="134">
        <v>0</v>
      </c>
      <c r="L15" s="134" t="s">
        <v>106</v>
      </c>
      <c r="M15" s="134" t="s">
        <v>63</v>
      </c>
      <c r="N15" s="131">
        <v>1</v>
      </c>
      <c r="O15" s="135">
        <v>5.2083333333333333E-4</v>
      </c>
    </row>
    <row r="16" spans="1:15" s="123" customFormat="1" ht="54" customHeight="1" x14ac:dyDescent="0.2">
      <c r="A16" s="160"/>
      <c r="B16" s="130" t="s">
        <v>10</v>
      </c>
      <c r="C16" s="131" t="s">
        <v>107</v>
      </c>
      <c r="D16" s="131" t="s">
        <v>108</v>
      </c>
      <c r="E16" s="131" t="s">
        <v>11</v>
      </c>
      <c r="F16" s="131" t="s">
        <v>21</v>
      </c>
      <c r="G16" s="131" t="s">
        <v>58</v>
      </c>
      <c r="H16" s="147" t="s">
        <v>608</v>
      </c>
      <c r="I16" s="134" t="s">
        <v>60</v>
      </c>
      <c r="J16" s="134" t="s">
        <v>61</v>
      </c>
      <c r="K16" s="134">
        <v>0</v>
      </c>
      <c r="L16" s="134" t="s">
        <v>106</v>
      </c>
      <c r="M16" s="134" t="s">
        <v>63</v>
      </c>
      <c r="N16" s="131">
        <v>1</v>
      </c>
      <c r="O16" s="135">
        <v>5.2083333333333333E-4</v>
      </c>
    </row>
    <row r="17" spans="1:15" s="123" customFormat="1" ht="54" customHeight="1" x14ac:dyDescent="0.2">
      <c r="A17" s="160"/>
      <c r="B17" s="130" t="s">
        <v>10</v>
      </c>
      <c r="C17" s="131" t="s">
        <v>109</v>
      </c>
      <c r="D17" s="131" t="s">
        <v>110</v>
      </c>
      <c r="E17" s="131" t="s">
        <v>11</v>
      </c>
      <c r="F17" s="131" t="s">
        <v>21</v>
      </c>
      <c r="G17" s="131" t="s">
        <v>58</v>
      </c>
      <c r="H17" s="147" t="s">
        <v>608</v>
      </c>
      <c r="I17" s="134" t="s">
        <v>60</v>
      </c>
      <c r="J17" s="134" t="s">
        <v>61</v>
      </c>
      <c r="K17" s="134">
        <v>0</v>
      </c>
      <c r="L17" s="134" t="s">
        <v>106</v>
      </c>
      <c r="M17" s="134" t="s">
        <v>63</v>
      </c>
      <c r="N17" s="131">
        <v>1</v>
      </c>
      <c r="O17" s="135">
        <v>3.4722222222222224E-4</v>
      </c>
    </row>
    <row r="18" spans="1:15" s="123" customFormat="1" ht="54" customHeight="1" x14ac:dyDescent="0.2">
      <c r="A18" s="160"/>
      <c r="B18" s="130" t="s">
        <v>10</v>
      </c>
      <c r="C18" s="131" t="s">
        <v>111</v>
      </c>
      <c r="D18" s="131" t="s">
        <v>112</v>
      </c>
      <c r="E18" s="131" t="s">
        <v>11</v>
      </c>
      <c r="F18" s="131" t="s">
        <v>21</v>
      </c>
      <c r="G18" s="131" t="s">
        <v>92</v>
      </c>
      <c r="H18" s="147" t="s">
        <v>608</v>
      </c>
      <c r="I18" s="134" t="s">
        <v>93</v>
      </c>
      <c r="J18" s="134" t="s">
        <v>61</v>
      </c>
      <c r="K18" s="134">
        <v>0</v>
      </c>
      <c r="L18" s="134" t="s">
        <v>113</v>
      </c>
      <c r="M18" s="134" t="s">
        <v>114</v>
      </c>
      <c r="N18" s="131">
        <v>1</v>
      </c>
      <c r="O18" s="135">
        <v>6.9444444444444447E-4</v>
      </c>
    </row>
    <row r="19" spans="1:15" s="123" customFormat="1" ht="54" customHeight="1" x14ac:dyDescent="0.2">
      <c r="A19" s="160"/>
      <c r="B19" s="130" t="s">
        <v>10</v>
      </c>
      <c r="C19" s="131" t="s">
        <v>115</v>
      </c>
      <c r="D19" s="131" t="s">
        <v>116</v>
      </c>
      <c r="E19" s="131" t="s">
        <v>11</v>
      </c>
      <c r="F19" s="131" t="s">
        <v>21</v>
      </c>
      <c r="G19" s="131" t="s">
        <v>92</v>
      </c>
      <c r="H19" s="147" t="s">
        <v>608</v>
      </c>
      <c r="I19" s="134" t="s">
        <v>93</v>
      </c>
      <c r="J19" s="134" t="s">
        <v>61</v>
      </c>
      <c r="K19" s="134">
        <v>0</v>
      </c>
      <c r="L19" s="134" t="s">
        <v>117</v>
      </c>
      <c r="M19" s="134" t="s">
        <v>114</v>
      </c>
      <c r="N19" s="131">
        <v>1</v>
      </c>
      <c r="O19" s="135">
        <v>6.9444444444444447E-4</v>
      </c>
    </row>
    <row r="20" spans="1:15" s="123" customFormat="1" ht="54" customHeight="1" x14ac:dyDescent="0.2">
      <c r="A20" s="160"/>
      <c r="B20" s="130" t="s">
        <v>10</v>
      </c>
      <c r="C20" s="131" t="s">
        <v>118</v>
      </c>
      <c r="D20" s="131" t="s">
        <v>119</v>
      </c>
      <c r="E20" s="131" t="s">
        <v>11</v>
      </c>
      <c r="F20" s="131" t="s">
        <v>21</v>
      </c>
      <c r="G20" s="131" t="s">
        <v>92</v>
      </c>
      <c r="H20" s="147" t="s">
        <v>608</v>
      </c>
      <c r="I20" s="134" t="s">
        <v>60</v>
      </c>
      <c r="J20" s="134" t="s">
        <v>61</v>
      </c>
      <c r="K20" s="134">
        <v>0</v>
      </c>
      <c r="L20" s="134">
        <v>0</v>
      </c>
      <c r="M20" s="134" t="s">
        <v>63</v>
      </c>
      <c r="N20" s="131">
        <v>2</v>
      </c>
      <c r="O20" s="135">
        <v>5.2083333333333333E-4</v>
      </c>
    </row>
    <row r="21" spans="1:15" s="123" customFormat="1" ht="54" customHeight="1" x14ac:dyDescent="0.2">
      <c r="A21" s="160"/>
      <c r="B21" s="130" t="s">
        <v>10</v>
      </c>
      <c r="C21" s="131" t="s">
        <v>120</v>
      </c>
      <c r="D21" s="131" t="s">
        <v>121</v>
      </c>
      <c r="E21" s="131" t="s">
        <v>11</v>
      </c>
      <c r="F21" s="131" t="s">
        <v>21</v>
      </c>
      <c r="G21" s="131" t="s">
        <v>92</v>
      </c>
      <c r="H21" s="147" t="s">
        <v>608</v>
      </c>
      <c r="I21" s="134" t="s">
        <v>93</v>
      </c>
      <c r="J21" s="134" t="s">
        <v>61</v>
      </c>
      <c r="K21" s="134">
        <v>0</v>
      </c>
      <c r="L21" s="134" t="s">
        <v>122</v>
      </c>
      <c r="M21" s="134" t="s">
        <v>114</v>
      </c>
      <c r="N21" s="131">
        <v>2</v>
      </c>
      <c r="O21" s="135">
        <v>45.000520833333333</v>
      </c>
    </row>
    <row r="22" spans="1:15" s="123" customFormat="1" ht="54" customHeight="1" thickBot="1" x14ac:dyDescent="0.25">
      <c r="A22" s="148"/>
      <c r="B22" s="130" t="s">
        <v>10</v>
      </c>
      <c r="C22" s="131" t="s">
        <v>123</v>
      </c>
      <c r="D22" s="131" t="s">
        <v>124</v>
      </c>
      <c r="E22" s="131" t="s">
        <v>11</v>
      </c>
      <c r="F22" s="131" t="s">
        <v>21</v>
      </c>
      <c r="G22" s="131" t="s">
        <v>92</v>
      </c>
      <c r="H22" s="147" t="s">
        <v>608</v>
      </c>
      <c r="I22" s="134" t="s">
        <v>93</v>
      </c>
      <c r="J22" s="134" t="s">
        <v>61</v>
      </c>
      <c r="K22" s="134">
        <v>0</v>
      </c>
      <c r="L22" s="134" t="s">
        <v>125</v>
      </c>
      <c r="M22" s="134" t="s">
        <v>114</v>
      </c>
      <c r="N22" s="131">
        <v>2</v>
      </c>
      <c r="O22" s="135">
        <v>45.042187499999997</v>
      </c>
    </row>
    <row r="23" spans="1:15" s="123" customFormat="1" ht="54" customHeight="1" x14ac:dyDescent="0.2">
      <c r="A23" s="68"/>
      <c r="B23" s="69" t="s">
        <v>10</v>
      </c>
      <c r="C23" s="70" t="s">
        <v>126</v>
      </c>
      <c r="D23" s="70" t="s">
        <v>127</v>
      </c>
      <c r="E23" s="71" t="s">
        <v>11</v>
      </c>
      <c r="F23" s="71" t="s">
        <v>21</v>
      </c>
      <c r="G23" s="71" t="s">
        <v>128</v>
      </c>
      <c r="H23" s="72" t="s">
        <v>59</v>
      </c>
      <c r="I23" s="71" t="s">
        <v>93</v>
      </c>
      <c r="J23" s="71" t="s">
        <v>61</v>
      </c>
      <c r="K23" s="71">
        <v>0</v>
      </c>
      <c r="L23" s="71" t="s">
        <v>129</v>
      </c>
      <c r="M23" s="71" t="s">
        <v>130</v>
      </c>
      <c r="N23" s="70">
        <v>1</v>
      </c>
      <c r="O23" s="73">
        <v>5.2083333333333333E-4</v>
      </c>
    </row>
    <row r="24" spans="1:15" s="123" customFormat="1" ht="54" customHeight="1" x14ac:dyDescent="0.2">
      <c r="A24" s="68"/>
      <c r="B24" s="69" t="s">
        <v>10</v>
      </c>
      <c r="C24" s="70" t="s">
        <v>131</v>
      </c>
      <c r="D24" s="70" t="s">
        <v>132</v>
      </c>
      <c r="E24" s="71" t="s">
        <v>11</v>
      </c>
      <c r="F24" s="71" t="s">
        <v>21</v>
      </c>
      <c r="G24" s="71" t="s">
        <v>128</v>
      </c>
      <c r="H24" s="72" t="s">
        <v>59</v>
      </c>
      <c r="I24" s="71" t="s">
        <v>93</v>
      </c>
      <c r="J24" s="71" t="s">
        <v>61</v>
      </c>
      <c r="K24" s="71">
        <v>0</v>
      </c>
      <c r="L24" s="71" t="s">
        <v>133</v>
      </c>
      <c r="M24" s="71" t="s">
        <v>130</v>
      </c>
      <c r="N24" s="70">
        <v>2</v>
      </c>
      <c r="O24" s="73">
        <v>6.9444444444444447E-4</v>
      </c>
    </row>
    <row r="25" spans="1:15" s="123" customFormat="1" ht="54" customHeight="1" thickBot="1" x14ac:dyDescent="0.25">
      <c r="A25" s="68"/>
      <c r="B25" s="74" t="s">
        <v>10</v>
      </c>
      <c r="C25" s="75" t="s">
        <v>134</v>
      </c>
      <c r="D25" s="75" t="s">
        <v>135</v>
      </c>
      <c r="E25" s="76" t="s">
        <v>11</v>
      </c>
      <c r="F25" s="76" t="s">
        <v>21</v>
      </c>
      <c r="G25" s="76" t="s">
        <v>92</v>
      </c>
      <c r="H25" s="77" t="s">
        <v>59</v>
      </c>
      <c r="I25" s="113" t="s">
        <v>93</v>
      </c>
      <c r="J25" s="113" t="s">
        <v>61</v>
      </c>
      <c r="K25" s="113">
        <v>0</v>
      </c>
      <c r="L25" s="113">
        <v>0</v>
      </c>
      <c r="M25" s="113" t="s">
        <v>114</v>
      </c>
      <c r="N25" s="75"/>
      <c r="O25" s="78"/>
    </row>
    <row r="26" spans="1:15" s="123" customFormat="1" ht="54" customHeight="1" thickTop="1" x14ac:dyDescent="0.2">
      <c r="A26" s="95"/>
      <c r="B26" s="104" t="s">
        <v>13</v>
      </c>
      <c r="C26" s="92" t="s">
        <v>136</v>
      </c>
      <c r="D26" s="92" t="s">
        <v>137</v>
      </c>
      <c r="E26" s="92" t="s">
        <v>11</v>
      </c>
      <c r="F26" s="92" t="s">
        <v>21</v>
      </c>
      <c r="G26" s="92" t="s">
        <v>138</v>
      </c>
      <c r="H26" s="105">
        <v>45340</v>
      </c>
      <c r="I26" s="91" t="s">
        <v>139</v>
      </c>
      <c r="J26" s="91" t="s">
        <v>140</v>
      </c>
      <c r="K26" s="91">
        <v>0</v>
      </c>
      <c r="L26" s="91" t="s">
        <v>141</v>
      </c>
      <c r="M26" s="91" t="s">
        <v>114</v>
      </c>
      <c r="N26" s="92">
        <v>4</v>
      </c>
      <c r="O26" s="93">
        <v>1.736111111111111E-3</v>
      </c>
    </row>
    <row r="27" spans="1:15" s="123" customFormat="1" ht="54" customHeight="1" x14ac:dyDescent="0.2">
      <c r="A27" s="95"/>
      <c r="B27" s="69" t="s">
        <v>13</v>
      </c>
      <c r="C27" s="70" t="s">
        <v>142</v>
      </c>
      <c r="D27" s="70" t="s">
        <v>143</v>
      </c>
      <c r="E27" s="70" t="s">
        <v>11</v>
      </c>
      <c r="F27" s="70" t="s">
        <v>21</v>
      </c>
      <c r="G27" s="70" t="s">
        <v>847</v>
      </c>
      <c r="H27" s="80">
        <v>45342</v>
      </c>
      <c r="I27" s="71" t="s">
        <v>139</v>
      </c>
      <c r="J27" s="71" t="s">
        <v>140</v>
      </c>
      <c r="K27" s="71">
        <v>0</v>
      </c>
      <c r="L27" s="71" t="s">
        <v>141</v>
      </c>
      <c r="M27" s="71" t="s">
        <v>114</v>
      </c>
      <c r="N27" s="70">
        <v>4</v>
      </c>
      <c r="O27" s="73">
        <v>1.736111111111111E-3</v>
      </c>
    </row>
    <row r="28" spans="1:15" s="123" customFormat="1" ht="54" customHeight="1" x14ac:dyDescent="0.2">
      <c r="A28" s="95"/>
      <c r="B28" s="69" t="s">
        <v>13</v>
      </c>
      <c r="C28" s="70" t="s">
        <v>144</v>
      </c>
      <c r="D28" s="70" t="s">
        <v>145</v>
      </c>
      <c r="E28" s="70" t="s">
        <v>11</v>
      </c>
      <c r="F28" s="70" t="s">
        <v>21</v>
      </c>
      <c r="G28" s="70" t="s">
        <v>138</v>
      </c>
      <c r="H28" s="80">
        <v>45340</v>
      </c>
      <c r="I28" s="71" t="s">
        <v>139</v>
      </c>
      <c r="J28" s="71" t="s">
        <v>140</v>
      </c>
      <c r="K28" s="71">
        <v>0</v>
      </c>
      <c r="L28" s="71" t="s">
        <v>141</v>
      </c>
      <c r="M28" s="71" t="s">
        <v>114</v>
      </c>
      <c r="N28" s="70">
        <v>4</v>
      </c>
      <c r="O28" s="73">
        <v>1.736111111111111E-3</v>
      </c>
    </row>
    <row r="29" spans="1:15" s="123" customFormat="1" ht="54" customHeight="1" x14ac:dyDescent="0.2">
      <c r="A29" s="95"/>
      <c r="B29" s="69" t="s">
        <v>13</v>
      </c>
      <c r="C29" s="70" t="s">
        <v>146</v>
      </c>
      <c r="D29" s="70" t="s">
        <v>147</v>
      </c>
      <c r="E29" s="70" t="s">
        <v>11</v>
      </c>
      <c r="F29" s="70" t="s">
        <v>21</v>
      </c>
      <c r="G29" s="70" t="s">
        <v>848</v>
      </c>
      <c r="H29" s="80">
        <v>45344</v>
      </c>
      <c r="I29" s="71" t="s">
        <v>139</v>
      </c>
      <c r="J29" s="71" t="s">
        <v>140</v>
      </c>
      <c r="K29" s="71">
        <v>0</v>
      </c>
      <c r="L29" s="71" t="s">
        <v>141</v>
      </c>
      <c r="M29" s="71" t="s">
        <v>114</v>
      </c>
      <c r="N29" s="70">
        <v>4</v>
      </c>
      <c r="O29" s="73">
        <v>1.736111111111111E-3</v>
      </c>
    </row>
    <row r="30" spans="1:15" s="123" customFormat="1" ht="54" customHeight="1" x14ac:dyDescent="0.2">
      <c r="A30" s="95"/>
      <c r="B30" s="69" t="s">
        <v>13</v>
      </c>
      <c r="C30" s="70" t="s">
        <v>149</v>
      </c>
      <c r="D30" s="70" t="s">
        <v>150</v>
      </c>
      <c r="E30" s="70" t="s">
        <v>11</v>
      </c>
      <c r="F30" s="70" t="s">
        <v>21</v>
      </c>
      <c r="G30" s="70" t="s">
        <v>849</v>
      </c>
      <c r="H30" s="80">
        <v>45342</v>
      </c>
      <c r="I30" s="71" t="s">
        <v>139</v>
      </c>
      <c r="J30" s="71" t="s">
        <v>61</v>
      </c>
      <c r="K30" s="71">
        <v>0</v>
      </c>
      <c r="L30" s="71" t="s">
        <v>152</v>
      </c>
      <c r="M30" s="71" t="s">
        <v>153</v>
      </c>
      <c r="N30" s="70">
        <v>2</v>
      </c>
      <c r="O30" s="73">
        <v>5.2083333333333333E-4</v>
      </c>
    </row>
    <row r="31" spans="1:15" s="123" customFormat="1" ht="54" customHeight="1" x14ac:dyDescent="0.2">
      <c r="A31" s="95"/>
      <c r="B31" s="69" t="s">
        <v>13</v>
      </c>
      <c r="C31" s="70" t="s">
        <v>154</v>
      </c>
      <c r="D31" s="70" t="s">
        <v>150</v>
      </c>
      <c r="E31" s="70" t="s">
        <v>11</v>
      </c>
      <c r="F31" s="70" t="s">
        <v>21</v>
      </c>
      <c r="G31" s="70" t="s">
        <v>849</v>
      </c>
      <c r="H31" s="80">
        <v>45342</v>
      </c>
      <c r="I31" s="71" t="s">
        <v>139</v>
      </c>
      <c r="J31" s="71" t="s">
        <v>61</v>
      </c>
      <c r="K31" s="71">
        <v>0</v>
      </c>
      <c r="L31" s="71" t="s">
        <v>152</v>
      </c>
      <c r="M31" s="71" t="s">
        <v>153</v>
      </c>
      <c r="N31" s="70">
        <v>2</v>
      </c>
      <c r="O31" s="73">
        <v>5.2083333333333333E-4</v>
      </c>
    </row>
    <row r="32" spans="1:15" s="123" customFormat="1" ht="54" customHeight="1" x14ac:dyDescent="0.2">
      <c r="A32" s="95"/>
      <c r="B32" s="69" t="s">
        <v>13</v>
      </c>
      <c r="C32" s="70" t="s">
        <v>155</v>
      </c>
      <c r="D32" s="70" t="s">
        <v>156</v>
      </c>
      <c r="E32" s="70" t="s">
        <v>11</v>
      </c>
      <c r="F32" s="70" t="s">
        <v>21</v>
      </c>
      <c r="G32" s="70" t="s">
        <v>850</v>
      </c>
      <c r="H32" s="80">
        <v>45342</v>
      </c>
      <c r="I32" s="71" t="s">
        <v>139</v>
      </c>
      <c r="J32" s="71" t="s">
        <v>61</v>
      </c>
      <c r="K32" s="71">
        <v>0</v>
      </c>
      <c r="L32" s="71" t="s">
        <v>158</v>
      </c>
      <c r="M32" s="71" t="s">
        <v>153</v>
      </c>
      <c r="N32" s="70">
        <v>1</v>
      </c>
      <c r="O32" s="73">
        <v>2.3148148148148146E-4</v>
      </c>
    </row>
    <row r="33" spans="1:15" s="123" customFormat="1" ht="54" customHeight="1" x14ac:dyDescent="0.2">
      <c r="A33" s="95"/>
      <c r="B33" s="69" t="s">
        <v>13</v>
      </c>
      <c r="C33" s="70" t="s">
        <v>159</v>
      </c>
      <c r="D33" s="70" t="s">
        <v>160</v>
      </c>
      <c r="E33" s="70" t="s">
        <v>11</v>
      </c>
      <c r="F33" s="70" t="s">
        <v>21</v>
      </c>
      <c r="G33" s="70" t="s">
        <v>851</v>
      </c>
      <c r="H33" s="80">
        <v>45342</v>
      </c>
      <c r="I33" s="71" t="s">
        <v>139</v>
      </c>
      <c r="J33" s="71" t="s">
        <v>61</v>
      </c>
      <c r="K33" s="71">
        <v>0</v>
      </c>
      <c r="L33" s="71" t="s">
        <v>161</v>
      </c>
      <c r="M33" s="71" t="s">
        <v>153</v>
      </c>
      <c r="N33" s="70">
        <v>2</v>
      </c>
      <c r="O33" s="73">
        <v>2.3148148148148146E-4</v>
      </c>
    </row>
    <row r="34" spans="1:15" s="123" customFormat="1" ht="54" customHeight="1" x14ac:dyDescent="0.2">
      <c r="A34" s="95"/>
      <c r="B34" s="69" t="s">
        <v>13</v>
      </c>
      <c r="C34" s="70" t="s">
        <v>162</v>
      </c>
      <c r="D34" s="70" t="s">
        <v>163</v>
      </c>
      <c r="E34" s="70" t="s">
        <v>11</v>
      </c>
      <c r="F34" s="70" t="s">
        <v>21</v>
      </c>
      <c r="G34" s="70" t="s">
        <v>849</v>
      </c>
      <c r="H34" s="80">
        <v>45342</v>
      </c>
      <c r="I34" s="71" t="s">
        <v>139</v>
      </c>
      <c r="J34" s="71" t="s">
        <v>61</v>
      </c>
      <c r="K34" s="71">
        <v>0</v>
      </c>
      <c r="L34" s="71" t="s">
        <v>165</v>
      </c>
      <c r="M34" s="71" t="s">
        <v>153</v>
      </c>
      <c r="N34" s="70">
        <v>2</v>
      </c>
      <c r="O34" s="73">
        <v>3.4722222222222224E-4</v>
      </c>
    </row>
    <row r="35" spans="1:15" s="123" customFormat="1" ht="54" customHeight="1" x14ac:dyDescent="0.2">
      <c r="A35" s="95"/>
      <c r="B35" s="69" t="s">
        <v>13</v>
      </c>
      <c r="C35" s="70" t="s">
        <v>166</v>
      </c>
      <c r="D35" s="70" t="s">
        <v>167</v>
      </c>
      <c r="E35" s="70" t="s">
        <v>11</v>
      </c>
      <c r="F35" s="70" t="s">
        <v>21</v>
      </c>
      <c r="G35" s="70" t="s">
        <v>848</v>
      </c>
      <c r="H35" s="80">
        <v>45344</v>
      </c>
      <c r="I35" s="71" t="s">
        <v>60</v>
      </c>
      <c r="J35" s="71" t="s">
        <v>140</v>
      </c>
      <c r="K35" s="71">
        <v>0</v>
      </c>
      <c r="L35" s="71" t="s">
        <v>168</v>
      </c>
      <c r="M35" s="71" t="s">
        <v>169</v>
      </c>
      <c r="N35" s="70">
        <v>2</v>
      </c>
      <c r="O35" s="73">
        <v>4.6296296296296293E-4</v>
      </c>
    </row>
    <row r="36" spans="1:15" s="123" customFormat="1" ht="54" customHeight="1" x14ac:dyDescent="0.2">
      <c r="A36" s="95"/>
      <c r="B36" s="69" t="s">
        <v>13</v>
      </c>
      <c r="C36" s="70" t="s">
        <v>170</v>
      </c>
      <c r="D36" s="70" t="s">
        <v>171</v>
      </c>
      <c r="E36" s="70" t="s">
        <v>11</v>
      </c>
      <c r="F36" s="70" t="s">
        <v>21</v>
      </c>
      <c r="G36" s="70" t="s">
        <v>852</v>
      </c>
      <c r="H36" s="80">
        <v>45342</v>
      </c>
      <c r="I36" s="71" t="s">
        <v>60</v>
      </c>
      <c r="J36" s="71" t="s">
        <v>140</v>
      </c>
      <c r="K36" s="71">
        <v>0</v>
      </c>
      <c r="L36" s="71" t="s">
        <v>168</v>
      </c>
      <c r="M36" s="71" t="s">
        <v>169</v>
      </c>
      <c r="N36" s="70">
        <v>2</v>
      </c>
      <c r="O36" s="73">
        <v>4.6296296296296293E-4</v>
      </c>
    </row>
    <row r="37" spans="1:15" s="123" customFormat="1" ht="54" customHeight="1" x14ac:dyDescent="0.2">
      <c r="A37" s="95"/>
      <c r="B37" s="69" t="s">
        <v>13</v>
      </c>
      <c r="C37" s="70" t="s">
        <v>172</v>
      </c>
      <c r="D37" s="70" t="s">
        <v>173</v>
      </c>
      <c r="E37" s="70" t="s">
        <v>11</v>
      </c>
      <c r="F37" s="70" t="s">
        <v>21</v>
      </c>
      <c r="G37" s="70" t="s">
        <v>852</v>
      </c>
      <c r="H37" s="80">
        <v>45342</v>
      </c>
      <c r="I37" s="71" t="s">
        <v>60</v>
      </c>
      <c r="J37" s="71" t="s">
        <v>140</v>
      </c>
      <c r="K37" s="71">
        <v>0</v>
      </c>
      <c r="L37" s="71" t="s">
        <v>174</v>
      </c>
      <c r="M37" s="71" t="s">
        <v>169</v>
      </c>
      <c r="N37" s="70">
        <v>1</v>
      </c>
      <c r="O37" s="73">
        <v>4.6296296296296293E-4</v>
      </c>
    </row>
    <row r="38" spans="1:15" s="123" customFormat="1" ht="54" customHeight="1" x14ac:dyDescent="0.2">
      <c r="A38" s="95"/>
      <c r="B38" s="69" t="s">
        <v>13</v>
      </c>
      <c r="C38" s="70" t="s">
        <v>175</v>
      </c>
      <c r="D38" s="70" t="s">
        <v>176</v>
      </c>
      <c r="E38" s="70" t="s">
        <v>11</v>
      </c>
      <c r="F38" s="70" t="s">
        <v>21</v>
      </c>
      <c r="G38" s="70" t="s">
        <v>852</v>
      </c>
      <c r="H38" s="80">
        <v>45342</v>
      </c>
      <c r="I38" s="71" t="s">
        <v>60</v>
      </c>
      <c r="J38" s="71" t="s">
        <v>140</v>
      </c>
      <c r="K38" s="71">
        <v>0</v>
      </c>
      <c r="L38" s="71" t="s">
        <v>174</v>
      </c>
      <c r="M38" s="71" t="s">
        <v>169</v>
      </c>
      <c r="N38" s="70">
        <v>1</v>
      </c>
      <c r="O38" s="73">
        <v>4.6296296296296293E-4</v>
      </c>
    </row>
    <row r="39" spans="1:15" s="123" customFormat="1" ht="54" customHeight="1" x14ac:dyDescent="0.2">
      <c r="A39" s="95"/>
      <c r="B39" s="69" t="s">
        <v>13</v>
      </c>
      <c r="C39" s="70" t="s">
        <v>177</v>
      </c>
      <c r="D39" s="70" t="s">
        <v>178</v>
      </c>
      <c r="E39" s="70" t="s">
        <v>11</v>
      </c>
      <c r="F39" s="70" t="s">
        <v>21</v>
      </c>
      <c r="G39" s="70" t="s">
        <v>848</v>
      </c>
      <c r="H39" s="80">
        <v>45344</v>
      </c>
      <c r="I39" s="71" t="s">
        <v>60</v>
      </c>
      <c r="J39" s="71" t="s">
        <v>140</v>
      </c>
      <c r="K39" s="71">
        <v>0</v>
      </c>
      <c r="L39" s="71" t="s">
        <v>174</v>
      </c>
      <c r="M39" s="71" t="s">
        <v>169</v>
      </c>
      <c r="N39" s="70">
        <v>1</v>
      </c>
      <c r="O39" s="73">
        <v>4.6296296296296293E-4</v>
      </c>
    </row>
    <row r="40" spans="1:15" s="123" customFormat="1" ht="54" customHeight="1" x14ac:dyDescent="0.2">
      <c r="A40" s="95"/>
      <c r="B40" s="69" t="s">
        <v>13</v>
      </c>
      <c r="C40" s="70" t="s">
        <v>179</v>
      </c>
      <c r="D40" s="70" t="s">
        <v>167</v>
      </c>
      <c r="E40" s="70" t="s">
        <v>11</v>
      </c>
      <c r="F40" s="70" t="s">
        <v>21</v>
      </c>
      <c r="G40" s="70" t="s">
        <v>848</v>
      </c>
      <c r="H40" s="80">
        <v>45344</v>
      </c>
      <c r="I40" s="71" t="s">
        <v>60</v>
      </c>
      <c r="J40" s="71" t="s">
        <v>140</v>
      </c>
      <c r="K40" s="71">
        <v>0</v>
      </c>
      <c r="L40" s="71" t="s">
        <v>168</v>
      </c>
      <c r="M40" s="71" t="s">
        <v>169</v>
      </c>
      <c r="N40" s="70">
        <v>2</v>
      </c>
      <c r="O40" s="73">
        <v>4.6296296296296293E-4</v>
      </c>
    </row>
    <row r="41" spans="1:15" s="123" customFormat="1" ht="54" customHeight="1" x14ac:dyDescent="0.2">
      <c r="A41" s="95"/>
      <c r="B41" s="69" t="s">
        <v>13</v>
      </c>
      <c r="C41" s="70" t="s">
        <v>180</v>
      </c>
      <c r="D41" s="70" t="s">
        <v>171</v>
      </c>
      <c r="E41" s="70" t="s">
        <v>11</v>
      </c>
      <c r="F41" s="70" t="s">
        <v>21</v>
      </c>
      <c r="G41" s="70" t="s">
        <v>852</v>
      </c>
      <c r="H41" s="80">
        <v>45342</v>
      </c>
      <c r="I41" s="71" t="s">
        <v>60</v>
      </c>
      <c r="J41" s="71" t="s">
        <v>140</v>
      </c>
      <c r="K41" s="71">
        <v>0</v>
      </c>
      <c r="L41" s="71" t="s">
        <v>168</v>
      </c>
      <c r="M41" s="71" t="s">
        <v>169</v>
      </c>
      <c r="N41" s="70">
        <v>2</v>
      </c>
      <c r="O41" s="73">
        <v>4.6296296296296293E-4</v>
      </c>
    </row>
    <row r="42" spans="1:15" s="123" customFormat="1" ht="54" customHeight="1" x14ac:dyDescent="0.2">
      <c r="A42" s="95"/>
      <c r="B42" s="69" t="s">
        <v>13</v>
      </c>
      <c r="C42" s="70" t="s">
        <v>181</v>
      </c>
      <c r="D42" s="70" t="s">
        <v>182</v>
      </c>
      <c r="E42" s="86" t="s">
        <v>11</v>
      </c>
      <c r="F42" s="86" t="s">
        <v>21</v>
      </c>
      <c r="G42" s="86" t="s">
        <v>183</v>
      </c>
      <c r="H42" s="80">
        <v>45342</v>
      </c>
      <c r="I42" s="71" t="s">
        <v>93</v>
      </c>
      <c r="J42" s="71" t="s">
        <v>61</v>
      </c>
      <c r="K42" s="71">
        <v>0</v>
      </c>
      <c r="L42" s="71" t="s">
        <v>184</v>
      </c>
      <c r="M42" s="71" t="s">
        <v>114</v>
      </c>
      <c r="N42" s="70">
        <v>1</v>
      </c>
      <c r="O42" s="73">
        <v>6.9444444444444447E-4</v>
      </c>
    </row>
    <row r="43" spans="1:15" s="123" customFormat="1" ht="54" customHeight="1" thickBot="1" x14ac:dyDescent="0.25">
      <c r="A43" s="160"/>
      <c r="B43" s="139" t="s">
        <v>13</v>
      </c>
      <c r="C43" s="140" t="s">
        <v>185</v>
      </c>
      <c r="D43" s="140" t="s">
        <v>186</v>
      </c>
      <c r="E43" s="140" t="s">
        <v>21</v>
      </c>
      <c r="F43" s="140"/>
      <c r="G43" s="140"/>
      <c r="H43" s="162"/>
      <c r="I43" s="143" t="s">
        <v>60</v>
      </c>
      <c r="J43" s="143" t="s">
        <v>61</v>
      </c>
      <c r="K43" s="143">
        <v>0</v>
      </c>
      <c r="L43" s="143" t="s">
        <v>187</v>
      </c>
      <c r="M43" s="143" t="s">
        <v>153</v>
      </c>
      <c r="N43" s="140">
        <v>2</v>
      </c>
      <c r="O43" s="144">
        <v>6.9444444444444447E-4</v>
      </c>
    </row>
    <row r="44" spans="1:15" s="123" customFormat="1" ht="54" customHeight="1" thickTop="1" x14ac:dyDescent="0.2">
      <c r="A44" s="178"/>
      <c r="B44" s="124" t="s">
        <v>16</v>
      </c>
      <c r="C44" s="125" t="s">
        <v>188</v>
      </c>
      <c r="D44" s="125" t="s">
        <v>189</v>
      </c>
      <c r="E44" s="125" t="s">
        <v>11</v>
      </c>
      <c r="F44" s="125" t="s">
        <v>21</v>
      </c>
      <c r="G44" s="125" t="s">
        <v>853</v>
      </c>
      <c r="H44" s="161">
        <v>45341</v>
      </c>
      <c r="I44" s="128" t="s">
        <v>139</v>
      </c>
      <c r="J44" s="128" t="s">
        <v>61</v>
      </c>
      <c r="K44" s="128">
        <v>0</v>
      </c>
      <c r="L44" s="128" t="s">
        <v>191</v>
      </c>
      <c r="M44" s="128" t="s">
        <v>192</v>
      </c>
      <c r="N44" s="125">
        <v>2</v>
      </c>
      <c r="O44" s="129">
        <v>1.0416666666666667E-3</v>
      </c>
    </row>
    <row r="45" spans="1:15" s="123" customFormat="1" ht="54" customHeight="1" x14ac:dyDescent="0.2">
      <c r="A45" s="160"/>
      <c r="B45" s="130" t="s">
        <v>16</v>
      </c>
      <c r="C45" s="131" t="s">
        <v>193</v>
      </c>
      <c r="D45" s="131" t="s">
        <v>194</v>
      </c>
      <c r="E45" s="131" t="s">
        <v>11</v>
      </c>
      <c r="F45" s="131" t="s">
        <v>21</v>
      </c>
      <c r="G45" s="131" t="s">
        <v>499</v>
      </c>
      <c r="H45" s="147">
        <v>45342</v>
      </c>
      <c r="I45" s="134" t="s">
        <v>139</v>
      </c>
      <c r="J45" s="134" t="s">
        <v>61</v>
      </c>
      <c r="K45" s="134">
        <v>0</v>
      </c>
      <c r="L45" s="134" t="s">
        <v>195</v>
      </c>
      <c r="M45" s="134" t="s">
        <v>153</v>
      </c>
      <c r="N45" s="131">
        <v>2</v>
      </c>
      <c r="O45" s="135">
        <v>1.5624999999999999E-3</v>
      </c>
    </row>
    <row r="46" spans="1:15" s="123" customFormat="1" ht="54" customHeight="1" x14ac:dyDescent="0.2">
      <c r="A46" s="160"/>
      <c r="B46" s="130" t="s">
        <v>16</v>
      </c>
      <c r="C46" s="131" t="s">
        <v>196</v>
      </c>
      <c r="D46" s="131" t="s">
        <v>197</v>
      </c>
      <c r="E46" s="131" t="s">
        <v>11</v>
      </c>
      <c r="F46" s="131" t="s">
        <v>21</v>
      </c>
      <c r="G46" s="131" t="s">
        <v>854</v>
      </c>
      <c r="H46" s="147">
        <v>45342</v>
      </c>
      <c r="I46" s="134" t="s">
        <v>139</v>
      </c>
      <c r="J46" s="134" t="s">
        <v>61</v>
      </c>
      <c r="K46" s="134">
        <v>0</v>
      </c>
      <c r="L46" s="134" t="s">
        <v>198</v>
      </c>
      <c r="M46" s="134" t="s">
        <v>153</v>
      </c>
      <c r="N46" s="131">
        <v>2</v>
      </c>
      <c r="O46" s="135">
        <v>6.9444444444444447E-4</v>
      </c>
    </row>
    <row r="47" spans="1:15" s="123" customFormat="1" ht="54" customHeight="1" x14ac:dyDescent="0.2">
      <c r="A47" s="160"/>
      <c r="B47" s="130" t="s">
        <v>16</v>
      </c>
      <c r="C47" s="131" t="s">
        <v>199</v>
      </c>
      <c r="D47" s="131" t="s">
        <v>200</v>
      </c>
      <c r="E47" s="131" t="s">
        <v>11</v>
      </c>
      <c r="F47" s="131" t="s">
        <v>21</v>
      </c>
      <c r="G47" s="131" t="s">
        <v>854</v>
      </c>
      <c r="H47" s="147">
        <v>45342</v>
      </c>
      <c r="I47" s="134" t="s">
        <v>139</v>
      </c>
      <c r="J47" s="134" t="s">
        <v>61</v>
      </c>
      <c r="K47" s="134">
        <v>0</v>
      </c>
      <c r="L47" s="134" t="s">
        <v>201</v>
      </c>
      <c r="M47" s="134" t="s">
        <v>153</v>
      </c>
      <c r="N47" s="131">
        <v>2</v>
      </c>
      <c r="O47" s="135">
        <v>6.9444444444444447E-4</v>
      </c>
    </row>
    <row r="48" spans="1:15" s="123" customFormat="1" ht="54" customHeight="1" x14ac:dyDescent="0.2">
      <c r="A48" s="160"/>
      <c r="B48" s="130" t="s">
        <v>16</v>
      </c>
      <c r="C48" s="131" t="s">
        <v>202</v>
      </c>
      <c r="D48" s="131" t="s">
        <v>203</v>
      </c>
      <c r="E48" s="131" t="s">
        <v>11</v>
      </c>
      <c r="F48" s="131" t="s">
        <v>21</v>
      </c>
      <c r="G48" s="131" t="s">
        <v>855</v>
      </c>
      <c r="H48" s="147">
        <v>45345</v>
      </c>
      <c r="I48" s="134" t="s">
        <v>139</v>
      </c>
      <c r="J48" s="134" t="s">
        <v>140</v>
      </c>
      <c r="K48" s="134">
        <v>0</v>
      </c>
      <c r="L48" s="134" t="s">
        <v>204</v>
      </c>
      <c r="M48" s="134" t="s">
        <v>153</v>
      </c>
      <c r="N48" s="131">
        <v>2</v>
      </c>
      <c r="O48" s="135">
        <v>5.2083333333333333E-4</v>
      </c>
    </row>
    <row r="49" spans="1:15" s="123" customFormat="1" ht="54" customHeight="1" x14ac:dyDescent="0.2">
      <c r="A49" s="95"/>
      <c r="B49" s="69" t="s">
        <v>16</v>
      </c>
      <c r="C49" s="70" t="s">
        <v>205</v>
      </c>
      <c r="D49" s="70" t="s">
        <v>206</v>
      </c>
      <c r="E49" s="70" t="s">
        <v>11</v>
      </c>
      <c r="F49" s="70" t="s">
        <v>21</v>
      </c>
      <c r="G49" s="70" t="s">
        <v>207</v>
      </c>
      <c r="H49" s="80">
        <v>45978</v>
      </c>
      <c r="I49" s="71" t="s">
        <v>139</v>
      </c>
      <c r="J49" s="71" t="s">
        <v>61</v>
      </c>
      <c r="K49" s="71">
        <v>0</v>
      </c>
      <c r="L49" s="71" t="s">
        <v>208</v>
      </c>
      <c r="M49" s="71" t="s">
        <v>209</v>
      </c>
      <c r="N49" s="70">
        <v>2</v>
      </c>
      <c r="O49" s="73">
        <v>6.9444444444444447E-4</v>
      </c>
    </row>
    <row r="50" spans="1:15" s="123" customFormat="1" ht="54" customHeight="1" x14ac:dyDescent="0.2">
      <c r="A50" s="160"/>
      <c r="B50" s="130" t="s">
        <v>16</v>
      </c>
      <c r="C50" s="131" t="s">
        <v>210</v>
      </c>
      <c r="D50" s="131" t="s">
        <v>211</v>
      </c>
      <c r="E50" s="131" t="s">
        <v>11</v>
      </c>
      <c r="F50" s="131" t="s">
        <v>21</v>
      </c>
      <c r="G50" s="131" t="s">
        <v>212</v>
      </c>
      <c r="H50" s="147">
        <v>45341</v>
      </c>
      <c r="I50" s="134" t="s">
        <v>139</v>
      </c>
      <c r="J50" s="134" t="s">
        <v>140</v>
      </c>
      <c r="K50" s="134">
        <v>0</v>
      </c>
      <c r="L50" s="134" t="s">
        <v>213</v>
      </c>
      <c r="M50" s="134" t="s">
        <v>209</v>
      </c>
      <c r="N50" s="131">
        <v>1</v>
      </c>
      <c r="O50" s="135">
        <v>3.4722222222222224E-4</v>
      </c>
    </row>
    <row r="51" spans="1:15" s="123" customFormat="1" ht="54" customHeight="1" x14ac:dyDescent="0.2">
      <c r="A51" s="160"/>
      <c r="B51" s="130" t="s">
        <v>16</v>
      </c>
      <c r="C51" s="131" t="s">
        <v>214</v>
      </c>
      <c r="D51" s="131" t="s">
        <v>211</v>
      </c>
      <c r="E51" s="131" t="s">
        <v>11</v>
      </c>
      <c r="F51" s="131" t="s">
        <v>21</v>
      </c>
      <c r="G51" s="131" t="s">
        <v>212</v>
      </c>
      <c r="H51" s="147">
        <v>45341</v>
      </c>
      <c r="I51" s="134" t="s">
        <v>139</v>
      </c>
      <c r="J51" s="134" t="s">
        <v>140</v>
      </c>
      <c r="K51" s="134">
        <v>0</v>
      </c>
      <c r="L51" s="134" t="s">
        <v>213</v>
      </c>
      <c r="M51" s="134" t="s">
        <v>209</v>
      </c>
      <c r="N51" s="131">
        <v>1</v>
      </c>
      <c r="O51" s="135">
        <v>3.4722222222222224E-4</v>
      </c>
    </row>
    <row r="52" spans="1:15" s="123" customFormat="1" ht="54" customHeight="1" x14ac:dyDescent="0.2">
      <c r="A52" s="160"/>
      <c r="B52" s="130" t="s">
        <v>16</v>
      </c>
      <c r="C52" s="131" t="s">
        <v>215</v>
      </c>
      <c r="D52" s="131" t="s">
        <v>216</v>
      </c>
      <c r="E52" s="131" t="s">
        <v>11</v>
      </c>
      <c r="F52" s="131" t="s">
        <v>21</v>
      </c>
      <c r="G52" s="131" t="s">
        <v>217</v>
      </c>
      <c r="H52" s="147">
        <v>45341</v>
      </c>
      <c r="I52" s="134" t="s">
        <v>93</v>
      </c>
      <c r="J52" s="134" t="s">
        <v>140</v>
      </c>
      <c r="K52" s="134">
        <v>0</v>
      </c>
      <c r="L52" s="134" t="s">
        <v>218</v>
      </c>
      <c r="M52" s="134" t="s">
        <v>219</v>
      </c>
      <c r="N52" s="131">
        <v>1</v>
      </c>
      <c r="O52" s="135">
        <v>3.4722222222222224E-4</v>
      </c>
    </row>
    <row r="53" spans="1:15" s="123" customFormat="1" ht="54" customHeight="1" x14ac:dyDescent="0.2">
      <c r="A53" s="160"/>
      <c r="B53" s="130" t="s">
        <v>16</v>
      </c>
      <c r="C53" s="131" t="s">
        <v>220</v>
      </c>
      <c r="D53" s="131" t="s">
        <v>221</v>
      </c>
      <c r="E53" s="131" t="s">
        <v>11</v>
      </c>
      <c r="F53" s="131" t="s">
        <v>21</v>
      </c>
      <c r="G53" s="131" t="s">
        <v>222</v>
      </c>
      <c r="H53" s="147">
        <v>45341</v>
      </c>
      <c r="I53" s="134" t="s">
        <v>139</v>
      </c>
      <c r="J53" s="134" t="s">
        <v>140</v>
      </c>
      <c r="K53" s="134">
        <v>0</v>
      </c>
      <c r="L53" s="134" t="s">
        <v>223</v>
      </c>
      <c r="M53" s="134" t="s">
        <v>209</v>
      </c>
      <c r="N53" s="131">
        <v>1</v>
      </c>
      <c r="O53" s="135">
        <v>5.7870370370370378E-4</v>
      </c>
    </row>
    <row r="54" spans="1:15" s="123" customFormat="1" ht="54" customHeight="1" x14ac:dyDescent="0.2">
      <c r="A54" s="95"/>
      <c r="B54" s="69" t="s">
        <v>16</v>
      </c>
      <c r="C54" s="70" t="s">
        <v>224</v>
      </c>
      <c r="D54" s="70" t="s">
        <v>225</v>
      </c>
      <c r="E54" s="70" t="s">
        <v>11</v>
      </c>
      <c r="F54" s="70" t="s">
        <v>21</v>
      </c>
      <c r="G54" s="70" t="s">
        <v>279</v>
      </c>
      <c r="H54" s="80">
        <v>45979</v>
      </c>
      <c r="I54" s="71" t="s">
        <v>139</v>
      </c>
      <c r="J54" s="71" t="s">
        <v>140</v>
      </c>
      <c r="K54" s="71">
        <v>0</v>
      </c>
      <c r="L54" s="71" t="s">
        <v>227</v>
      </c>
      <c r="M54" s="71" t="s">
        <v>209</v>
      </c>
      <c r="N54" s="70">
        <v>2</v>
      </c>
      <c r="O54" s="73">
        <v>6.9444444444444447E-4</v>
      </c>
    </row>
    <row r="55" spans="1:15" s="123" customFormat="1" ht="54" customHeight="1" x14ac:dyDescent="0.2">
      <c r="A55" s="160"/>
      <c r="B55" s="130" t="s">
        <v>16</v>
      </c>
      <c r="C55" s="131" t="s">
        <v>228</v>
      </c>
      <c r="D55" s="131" t="s">
        <v>229</v>
      </c>
      <c r="E55" s="131" t="s">
        <v>11</v>
      </c>
      <c r="F55" s="131" t="s">
        <v>21</v>
      </c>
      <c r="G55" s="131" t="s">
        <v>230</v>
      </c>
      <c r="H55" s="147">
        <v>45340</v>
      </c>
      <c r="I55" s="134" t="s">
        <v>60</v>
      </c>
      <c r="J55" s="134" t="s">
        <v>140</v>
      </c>
      <c r="K55" s="134">
        <v>0</v>
      </c>
      <c r="L55" s="134" t="s">
        <v>231</v>
      </c>
      <c r="M55" s="134" t="s">
        <v>209</v>
      </c>
      <c r="N55" s="131">
        <v>1</v>
      </c>
      <c r="O55" s="135">
        <v>3.4722222222222224E-4</v>
      </c>
    </row>
    <row r="56" spans="1:15" s="123" customFormat="1" ht="54" customHeight="1" x14ac:dyDescent="0.2">
      <c r="A56" s="160"/>
      <c r="B56" s="130" t="s">
        <v>16</v>
      </c>
      <c r="C56" s="131" t="s">
        <v>232</v>
      </c>
      <c r="D56" s="131" t="s">
        <v>233</v>
      </c>
      <c r="E56" s="131" t="s">
        <v>11</v>
      </c>
      <c r="F56" s="131" t="s">
        <v>21</v>
      </c>
      <c r="G56" s="131" t="s">
        <v>222</v>
      </c>
      <c r="H56" s="147">
        <v>45341</v>
      </c>
      <c r="I56" s="134" t="s">
        <v>139</v>
      </c>
      <c r="J56" s="134" t="s">
        <v>61</v>
      </c>
      <c r="K56" s="134">
        <v>0</v>
      </c>
      <c r="L56" s="134" t="s">
        <v>223</v>
      </c>
      <c r="M56" s="134" t="s">
        <v>209</v>
      </c>
      <c r="N56" s="131">
        <v>1</v>
      </c>
      <c r="O56" s="135">
        <v>1.0416666666666667E-3</v>
      </c>
    </row>
    <row r="57" spans="1:15" s="123" customFormat="1" ht="54" customHeight="1" x14ac:dyDescent="0.2">
      <c r="A57" s="160"/>
      <c r="B57" s="130" t="s">
        <v>16</v>
      </c>
      <c r="C57" s="131" t="s">
        <v>234</v>
      </c>
      <c r="D57" s="131" t="s">
        <v>235</v>
      </c>
      <c r="E57" s="131" t="s">
        <v>11</v>
      </c>
      <c r="F57" s="131" t="s">
        <v>21</v>
      </c>
      <c r="G57" s="131" t="s">
        <v>757</v>
      </c>
      <c r="H57" s="147">
        <v>45341</v>
      </c>
      <c r="I57" s="134" t="s">
        <v>139</v>
      </c>
      <c r="J57" s="134" t="s">
        <v>140</v>
      </c>
      <c r="K57" s="134">
        <v>0</v>
      </c>
      <c r="L57" s="134" t="s">
        <v>237</v>
      </c>
      <c r="M57" s="134" t="s">
        <v>209</v>
      </c>
      <c r="N57" s="131">
        <v>1</v>
      </c>
      <c r="O57" s="135">
        <v>1.1574074074074073E-4</v>
      </c>
    </row>
    <row r="58" spans="1:15" s="123" customFormat="1" ht="54" customHeight="1" x14ac:dyDescent="0.2">
      <c r="A58" s="95"/>
      <c r="B58" s="69" t="s">
        <v>16</v>
      </c>
      <c r="C58" s="70" t="s">
        <v>238</v>
      </c>
      <c r="D58" s="70" t="s">
        <v>239</v>
      </c>
      <c r="E58" s="70" t="s">
        <v>11</v>
      </c>
      <c r="F58" s="70" t="s">
        <v>21</v>
      </c>
      <c r="G58" s="70" t="s">
        <v>240</v>
      </c>
      <c r="H58" s="80">
        <v>45978</v>
      </c>
      <c r="I58" s="71" t="s">
        <v>139</v>
      </c>
      <c r="J58" s="71" t="s">
        <v>140</v>
      </c>
      <c r="K58" s="71">
        <v>0</v>
      </c>
      <c r="L58" s="71" t="s">
        <v>241</v>
      </c>
      <c r="M58" s="71" t="s">
        <v>242</v>
      </c>
      <c r="N58" s="70">
        <v>2</v>
      </c>
      <c r="O58" s="73">
        <v>3.4722222222222224E-4</v>
      </c>
    </row>
    <row r="59" spans="1:15" s="123" customFormat="1" ht="54" customHeight="1" x14ac:dyDescent="0.2">
      <c r="A59" s="160"/>
      <c r="B59" s="130" t="s">
        <v>16</v>
      </c>
      <c r="C59" s="131" t="s">
        <v>243</v>
      </c>
      <c r="D59" s="131" t="s">
        <v>244</v>
      </c>
      <c r="E59" s="131" t="s">
        <v>11</v>
      </c>
      <c r="F59" s="131" t="s">
        <v>21</v>
      </c>
      <c r="G59" s="131" t="s">
        <v>245</v>
      </c>
      <c r="H59" s="147">
        <v>45341</v>
      </c>
      <c r="I59" s="134" t="s">
        <v>139</v>
      </c>
      <c r="J59" s="134" t="s">
        <v>140</v>
      </c>
      <c r="K59" s="134">
        <v>0</v>
      </c>
      <c r="L59" s="134" t="s">
        <v>246</v>
      </c>
      <c r="M59" s="134" t="s">
        <v>209</v>
      </c>
      <c r="N59" s="131">
        <v>2</v>
      </c>
      <c r="O59" s="135">
        <v>6.9444444444444447E-4</v>
      </c>
    </row>
    <row r="60" spans="1:15" s="123" customFormat="1" ht="54" customHeight="1" x14ac:dyDescent="0.2">
      <c r="A60" s="160"/>
      <c r="B60" s="130" t="s">
        <v>16</v>
      </c>
      <c r="C60" s="131" t="s">
        <v>247</v>
      </c>
      <c r="D60" s="131" t="s">
        <v>248</v>
      </c>
      <c r="E60" s="131" t="s">
        <v>11</v>
      </c>
      <c r="F60" s="131" t="s">
        <v>21</v>
      </c>
      <c r="G60" s="131" t="s">
        <v>249</v>
      </c>
      <c r="H60" s="147">
        <v>45341</v>
      </c>
      <c r="I60" s="134" t="s">
        <v>139</v>
      </c>
      <c r="J60" s="134" t="s">
        <v>140</v>
      </c>
      <c r="K60" s="134">
        <v>0</v>
      </c>
      <c r="L60" s="134" t="s">
        <v>250</v>
      </c>
      <c r="M60" s="134" t="s">
        <v>209</v>
      </c>
      <c r="N60" s="131">
        <v>1</v>
      </c>
      <c r="O60" s="135">
        <v>6.9444444444444447E-4</v>
      </c>
    </row>
    <row r="61" spans="1:15" s="123" customFormat="1" ht="54" customHeight="1" x14ac:dyDescent="0.2">
      <c r="A61" s="95"/>
      <c r="B61" s="69" t="s">
        <v>16</v>
      </c>
      <c r="C61" s="70" t="s">
        <v>251</v>
      </c>
      <c r="D61" s="70" t="s">
        <v>252</v>
      </c>
      <c r="E61" s="70" t="s">
        <v>11</v>
      </c>
      <c r="F61" s="70" t="s">
        <v>21</v>
      </c>
      <c r="G61" s="70" t="s">
        <v>253</v>
      </c>
      <c r="H61" s="80">
        <v>45979</v>
      </c>
      <c r="I61" s="71" t="s">
        <v>139</v>
      </c>
      <c r="J61" s="71" t="s">
        <v>140</v>
      </c>
      <c r="K61" s="71">
        <v>0</v>
      </c>
      <c r="L61" s="71" t="s">
        <v>254</v>
      </c>
      <c r="M61" s="71" t="s">
        <v>242</v>
      </c>
      <c r="N61" s="70">
        <v>1</v>
      </c>
      <c r="O61" s="73">
        <v>6.9444444444444447E-4</v>
      </c>
    </row>
    <row r="62" spans="1:15" s="123" customFormat="1" ht="54" customHeight="1" x14ac:dyDescent="0.2">
      <c r="A62" s="160"/>
      <c r="B62" s="130" t="s">
        <v>16</v>
      </c>
      <c r="C62" s="131" t="s">
        <v>255</v>
      </c>
      <c r="D62" s="131" t="s">
        <v>256</v>
      </c>
      <c r="E62" s="131" t="s">
        <v>11</v>
      </c>
      <c r="F62" s="131" t="s">
        <v>21</v>
      </c>
      <c r="G62" s="131" t="s">
        <v>582</v>
      </c>
      <c r="H62" s="147">
        <v>45341</v>
      </c>
      <c r="I62" s="134" t="s">
        <v>60</v>
      </c>
      <c r="J62" s="134" t="s">
        <v>140</v>
      </c>
      <c r="K62" s="134">
        <v>0</v>
      </c>
      <c r="L62" s="134" t="s">
        <v>258</v>
      </c>
      <c r="M62" s="134" t="s">
        <v>209</v>
      </c>
      <c r="N62" s="131">
        <v>1</v>
      </c>
      <c r="O62" s="135">
        <v>3.4722222222222224E-4</v>
      </c>
    </row>
    <row r="63" spans="1:15" s="123" customFormat="1" ht="54" customHeight="1" x14ac:dyDescent="0.2">
      <c r="A63" s="160"/>
      <c r="B63" s="130" t="s">
        <v>16</v>
      </c>
      <c r="C63" s="132" t="s">
        <v>259</v>
      </c>
      <c r="D63" s="132" t="s">
        <v>260</v>
      </c>
      <c r="E63" s="131" t="s">
        <v>11</v>
      </c>
      <c r="F63" s="131" t="s">
        <v>21</v>
      </c>
      <c r="G63" s="131" t="s">
        <v>856</v>
      </c>
      <c r="H63" s="147">
        <v>45341</v>
      </c>
      <c r="I63" s="134" t="s">
        <v>60</v>
      </c>
      <c r="J63" s="134" t="s">
        <v>140</v>
      </c>
      <c r="K63" s="134">
        <v>0</v>
      </c>
      <c r="L63" s="134" t="s">
        <v>262</v>
      </c>
      <c r="M63" s="134" t="s">
        <v>209</v>
      </c>
      <c r="N63" s="131">
        <v>2</v>
      </c>
      <c r="O63" s="135">
        <v>3.4722222222222224E-4</v>
      </c>
    </row>
    <row r="64" spans="1:15" s="123" customFormat="1" ht="54" customHeight="1" x14ac:dyDescent="0.2">
      <c r="A64" s="160"/>
      <c r="B64" s="130" t="s">
        <v>16</v>
      </c>
      <c r="C64" s="131" t="s">
        <v>263</v>
      </c>
      <c r="D64" s="131" t="s">
        <v>264</v>
      </c>
      <c r="E64" s="131" t="s">
        <v>11</v>
      </c>
      <c r="F64" s="131" t="s">
        <v>21</v>
      </c>
      <c r="G64" s="131" t="s">
        <v>230</v>
      </c>
      <c r="H64" s="147">
        <v>45340</v>
      </c>
      <c r="I64" s="134" t="s">
        <v>60</v>
      </c>
      <c r="J64" s="134" t="s">
        <v>140</v>
      </c>
      <c r="K64" s="134">
        <v>0</v>
      </c>
      <c r="L64" s="134" t="s">
        <v>265</v>
      </c>
      <c r="M64" s="134" t="s">
        <v>209</v>
      </c>
      <c r="N64" s="131">
        <v>1</v>
      </c>
      <c r="O64" s="135">
        <v>3.4722222222222224E-4</v>
      </c>
    </row>
    <row r="65" spans="1:15" s="123" customFormat="1" ht="54" customHeight="1" x14ac:dyDescent="0.2">
      <c r="A65" s="160"/>
      <c r="B65" s="130" t="s">
        <v>16</v>
      </c>
      <c r="C65" s="131" t="s">
        <v>266</v>
      </c>
      <c r="D65" s="131" t="s">
        <v>676</v>
      </c>
      <c r="E65" s="131" t="s">
        <v>11</v>
      </c>
      <c r="F65" s="131" t="s">
        <v>21</v>
      </c>
      <c r="G65" s="131" t="s">
        <v>268</v>
      </c>
      <c r="H65" s="147">
        <v>45340</v>
      </c>
      <c r="I65" s="134" t="s">
        <v>60</v>
      </c>
      <c r="J65" s="134" t="s">
        <v>140</v>
      </c>
      <c r="K65" s="134">
        <v>0</v>
      </c>
      <c r="L65" s="134" t="s">
        <v>269</v>
      </c>
      <c r="M65" s="134" t="s">
        <v>209</v>
      </c>
      <c r="N65" s="131">
        <v>1</v>
      </c>
      <c r="O65" s="135">
        <v>3.4722222222222224E-4</v>
      </c>
    </row>
    <row r="66" spans="1:15" s="123" customFormat="1" ht="54" customHeight="1" x14ac:dyDescent="0.2">
      <c r="A66" s="160"/>
      <c r="B66" s="130" t="s">
        <v>16</v>
      </c>
      <c r="C66" s="131" t="s">
        <v>270</v>
      </c>
      <c r="D66" s="131" t="s">
        <v>271</v>
      </c>
      <c r="E66" s="131" t="s">
        <v>11</v>
      </c>
      <c r="F66" s="131" t="s">
        <v>21</v>
      </c>
      <c r="G66" s="131" t="s">
        <v>268</v>
      </c>
      <c r="H66" s="147">
        <v>45340</v>
      </c>
      <c r="I66" s="134" t="s">
        <v>60</v>
      </c>
      <c r="J66" s="134" t="s">
        <v>140</v>
      </c>
      <c r="K66" s="134">
        <v>0</v>
      </c>
      <c r="L66" s="134" t="s">
        <v>272</v>
      </c>
      <c r="M66" s="134" t="s">
        <v>209</v>
      </c>
      <c r="N66" s="131">
        <v>1</v>
      </c>
      <c r="O66" s="135">
        <v>3.4722222222222224E-4</v>
      </c>
    </row>
    <row r="67" spans="1:15" s="123" customFormat="1" ht="54" customHeight="1" x14ac:dyDescent="0.2">
      <c r="A67" s="160"/>
      <c r="B67" s="130" t="s">
        <v>16</v>
      </c>
      <c r="C67" s="131" t="s">
        <v>273</v>
      </c>
      <c r="D67" s="131" t="s">
        <v>274</v>
      </c>
      <c r="E67" s="131" t="s">
        <v>11</v>
      </c>
      <c r="F67" s="131" t="s">
        <v>21</v>
      </c>
      <c r="G67" s="131" t="s">
        <v>249</v>
      </c>
      <c r="H67" s="147">
        <v>45340</v>
      </c>
      <c r="I67" s="134" t="s">
        <v>60</v>
      </c>
      <c r="J67" s="134" t="s">
        <v>140</v>
      </c>
      <c r="K67" s="134">
        <v>0</v>
      </c>
      <c r="L67" s="134" t="s">
        <v>276</v>
      </c>
      <c r="M67" s="134" t="s">
        <v>209</v>
      </c>
      <c r="N67" s="131">
        <v>1</v>
      </c>
      <c r="O67" s="135">
        <v>3.4722222222222224E-4</v>
      </c>
    </row>
    <row r="68" spans="1:15" s="123" customFormat="1" ht="54" customHeight="1" x14ac:dyDescent="0.2">
      <c r="A68" s="160"/>
      <c r="B68" s="130" t="s">
        <v>16</v>
      </c>
      <c r="C68" s="131" t="s">
        <v>277</v>
      </c>
      <c r="D68" s="131" t="s">
        <v>278</v>
      </c>
      <c r="E68" s="131" t="s">
        <v>11</v>
      </c>
      <c r="F68" s="131" t="s">
        <v>21</v>
      </c>
      <c r="G68" s="145" t="s">
        <v>279</v>
      </c>
      <c r="H68" s="146">
        <v>45341</v>
      </c>
      <c r="I68" s="134" t="s">
        <v>93</v>
      </c>
      <c r="J68" s="134" t="s">
        <v>140</v>
      </c>
      <c r="K68" s="134">
        <v>0</v>
      </c>
      <c r="L68" s="134" t="s">
        <v>280</v>
      </c>
      <c r="M68" s="134" t="s">
        <v>219</v>
      </c>
      <c r="N68" s="131">
        <v>1</v>
      </c>
      <c r="O68" s="135">
        <v>3.4722222222222224E-4</v>
      </c>
    </row>
    <row r="69" spans="1:15" s="123" customFormat="1" ht="54" customHeight="1" x14ac:dyDescent="0.2">
      <c r="A69" s="160"/>
      <c r="B69" s="130" t="s">
        <v>16</v>
      </c>
      <c r="C69" s="131" t="s">
        <v>281</v>
      </c>
      <c r="D69" s="131" t="s">
        <v>282</v>
      </c>
      <c r="E69" s="131" t="s">
        <v>11</v>
      </c>
      <c r="F69" s="131" t="s">
        <v>21</v>
      </c>
      <c r="G69" s="145" t="s">
        <v>283</v>
      </c>
      <c r="H69" s="146">
        <v>45341</v>
      </c>
      <c r="I69" s="134" t="s">
        <v>93</v>
      </c>
      <c r="J69" s="134" t="s">
        <v>140</v>
      </c>
      <c r="K69" s="134">
        <v>0</v>
      </c>
      <c r="L69" s="134" t="s">
        <v>284</v>
      </c>
      <c r="M69" s="134" t="s">
        <v>219</v>
      </c>
      <c r="N69" s="131">
        <v>1</v>
      </c>
      <c r="O69" s="135">
        <v>5.2083333333333333E-4</v>
      </c>
    </row>
    <row r="70" spans="1:15" s="123" customFormat="1" ht="54" customHeight="1" x14ac:dyDescent="0.2">
      <c r="A70" s="160"/>
      <c r="B70" s="130" t="s">
        <v>16</v>
      </c>
      <c r="C70" s="131" t="s">
        <v>285</v>
      </c>
      <c r="D70" s="131" t="s">
        <v>286</v>
      </c>
      <c r="E70" s="131" t="s">
        <v>11</v>
      </c>
      <c r="F70" s="131" t="s">
        <v>21</v>
      </c>
      <c r="G70" s="145" t="s">
        <v>283</v>
      </c>
      <c r="H70" s="146">
        <v>45341</v>
      </c>
      <c r="I70" s="134" t="s">
        <v>93</v>
      </c>
      <c r="J70" s="134" t="s">
        <v>140</v>
      </c>
      <c r="K70" s="134">
        <v>0</v>
      </c>
      <c r="L70" s="134" t="s">
        <v>287</v>
      </c>
      <c r="M70" s="134" t="s">
        <v>219</v>
      </c>
      <c r="N70" s="131">
        <v>1</v>
      </c>
      <c r="O70" s="135">
        <v>6.9444444444444447E-4</v>
      </c>
    </row>
    <row r="71" spans="1:15" s="123" customFormat="1" ht="54" customHeight="1" x14ac:dyDescent="0.2">
      <c r="A71" s="160"/>
      <c r="B71" s="130" t="s">
        <v>16</v>
      </c>
      <c r="C71" s="131" t="s">
        <v>288</v>
      </c>
      <c r="D71" s="131" t="s">
        <v>289</v>
      </c>
      <c r="E71" s="131" t="s">
        <v>11</v>
      </c>
      <c r="F71" s="131" t="s">
        <v>21</v>
      </c>
      <c r="G71" s="131" t="s">
        <v>290</v>
      </c>
      <c r="H71" s="147">
        <v>45341</v>
      </c>
      <c r="I71" s="134" t="s">
        <v>60</v>
      </c>
      <c r="J71" s="134" t="s">
        <v>140</v>
      </c>
      <c r="K71" s="134">
        <v>0</v>
      </c>
      <c r="L71" s="134" t="s">
        <v>291</v>
      </c>
      <c r="M71" s="134" t="s">
        <v>209</v>
      </c>
      <c r="N71" s="131">
        <v>1</v>
      </c>
      <c r="O71" s="135">
        <v>3.4722222222222224E-4</v>
      </c>
    </row>
    <row r="72" spans="1:15" s="123" customFormat="1" ht="54" customHeight="1" x14ac:dyDescent="0.2">
      <c r="A72" s="160"/>
      <c r="B72" s="130" t="s">
        <v>16</v>
      </c>
      <c r="C72" s="131" t="s">
        <v>292</v>
      </c>
      <c r="D72" s="131" t="s">
        <v>293</v>
      </c>
      <c r="E72" s="131" t="s">
        <v>11</v>
      </c>
      <c r="F72" s="131" t="s">
        <v>21</v>
      </c>
      <c r="G72" s="131" t="s">
        <v>245</v>
      </c>
      <c r="H72" s="147">
        <v>45341</v>
      </c>
      <c r="I72" s="134" t="s">
        <v>139</v>
      </c>
      <c r="J72" s="134" t="s">
        <v>140</v>
      </c>
      <c r="K72" s="134">
        <v>0</v>
      </c>
      <c r="L72" s="134" t="s">
        <v>294</v>
      </c>
      <c r="M72" s="134" t="s">
        <v>209</v>
      </c>
      <c r="N72" s="131">
        <v>1</v>
      </c>
      <c r="O72" s="135">
        <v>6.9444444444444447E-4</v>
      </c>
    </row>
    <row r="73" spans="1:15" s="123" customFormat="1" ht="54" customHeight="1" x14ac:dyDescent="0.2">
      <c r="A73" s="160"/>
      <c r="B73" s="130" t="s">
        <v>16</v>
      </c>
      <c r="C73" s="131" t="s">
        <v>295</v>
      </c>
      <c r="D73" s="131" t="s">
        <v>296</v>
      </c>
      <c r="E73" s="131" t="s">
        <v>11</v>
      </c>
      <c r="F73" s="131" t="s">
        <v>21</v>
      </c>
      <c r="G73" s="131" t="s">
        <v>275</v>
      </c>
      <c r="H73" s="147">
        <v>45340</v>
      </c>
      <c r="I73" s="134" t="s">
        <v>60</v>
      </c>
      <c r="J73" s="134" t="s">
        <v>140</v>
      </c>
      <c r="K73" s="134">
        <v>0</v>
      </c>
      <c r="L73" s="134" t="s">
        <v>297</v>
      </c>
      <c r="M73" s="134" t="s">
        <v>209</v>
      </c>
      <c r="N73" s="131">
        <v>1</v>
      </c>
      <c r="O73" s="135">
        <v>1.3888888888888889E-3</v>
      </c>
    </row>
    <row r="74" spans="1:15" s="123" customFormat="1" ht="54" customHeight="1" x14ac:dyDescent="0.2">
      <c r="A74" s="160"/>
      <c r="B74" s="130" t="s">
        <v>16</v>
      </c>
      <c r="C74" s="131" t="s">
        <v>298</v>
      </c>
      <c r="D74" s="131" t="s">
        <v>299</v>
      </c>
      <c r="E74" s="131" t="s">
        <v>11</v>
      </c>
      <c r="F74" s="131" t="s">
        <v>21</v>
      </c>
      <c r="G74" s="131" t="s">
        <v>300</v>
      </c>
      <c r="H74" s="147">
        <v>45340</v>
      </c>
      <c r="I74" s="134" t="s">
        <v>139</v>
      </c>
      <c r="J74" s="134" t="s">
        <v>140</v>
      </c>
      <c r="K74" s="134">
        <v>0</v>
      </c>
      <c r="L74" s="134" t="s">
        <v>301</v>
      </c>
      <c r="M74" s="134" t="s">
        <v>209</v>
      </c>
      <c r="N74" s="131">
        <v>1</v>
      </c>
      <c r="O74" s="135">
        <v>3.4722222222222224E-4</v>
      </c>
    </row>
    <row r="75" spans="1:15" s="123" customFormat="1" ht="54" customHeight="1" x14ac:dyDescent="0.2">
      <c r="A75" s="160"/>
      <c r="B75" s="130" t="s">
        <v>16</v>
      </c>
      <c r="C75" s="131" t="s">
        <v>302</v>
      </c>
      <c r="D75" s="131" t="s">
        <v>303</v>
      </c>
      <c r="E75" s="131" t="s">
        <v>11</v>
      </c>
      <c r="F75" s="131" t="s">
        <v>21</v>
      </c>
      <c r="G75" s="131" t="s">
        <v>300</v>
      </c>
      <c r="H75" s="147">
        <v>45340</v>
      </c>
      <c r="I75" s="134" t="s">
        <v>139</v>
      </c>
      <c r="J75" s="134" t="s">
        <v>140</v>
      </c>
      <c r="K75" s="134">
        <v>0</v>
      </c>
      <c r="L75" s="134" t="s">
        <v>301</v>
      </c>
      <c r="M75" s="134" t="s">
        <v>209</v>
      </c>
      <c r="N75" s="131">
        <v>1</v>
      </c>
      <c r="O75" s="135">
        <v>3.4722222222222224E-4</v>
      </c>
    </row>
    <row r="76" spans="1:15" s="123" customFormat="1" ht="54" customHeight="1" x14ac:dyDescent="0.2">
      <c r="A76" s="160"/>
      <c r="B76" s="130" t="s">
        <v>16</v>
      </c>
      <c r="C76" s="131" t="s">
        <v>304</v>
      </c>
      <c r="D76" s="131" t="s">
        <v>305</v>
      </c>
      <c r="E76" s="131" t="s">
        <v>11</v>
      </c>
      <c r="F76" s="131" t="s">
        <v>21</v>
      </c>
      <c r="G76" s="131" t="s">
        <v>300</v>
      </c>
      <c r="H76" s="147">
        <v>45340</v>
      </c>
      <c r="I76" s="134" t="s">
        <v>139</v>
      </c>
      <c r="J76" s="134" t="s">
        <v>140</v>
      </c>
      <c r="K76" s="134">
        <v>0</v>
      </c>
      <c r="L76" s="134" t="s">
        <v>301</v>
      </c>
      <c r="M76" s="134" t="s">
        <v>209</v>
      </c>
      <c r="N76" s="131">
        <v>1</v>
      </c>
      <c r="O76" s="135">
        <v>3.4722222222222224E-4</v>
      </c>
    </row>
    <row r="77" spans="1:15" s="123" customFormat="1" ht="54" customHeight="1" x14ac:dyDescent="0.2">
      <c r="A77" s="160"/>
      <c r="B77" s="130" t="s">
        <v>16</v>
      </c>
      <c r="C77" s="131" t="s">
        <v>306</v>
      </c>
      <c r="D77" s="131" t="s">
        <v>307</v>
      </c>
      <c r="E77" s="131" t="s">
        <v>11</v>
      </c>
      <c r="F77" s="131" t="s">
        <v>21</v>
      </c>
      <c r="G77" s="131" t="s">
        <v>857</v>
      </c>
      <c r="H77" s="147">
        <v>45341</v>
      </c>
      <c r="I77" s="134" t="s">
        <v>60</v>
      </c>
      <c r="J77" s="134" t="s">
        <v>140</v>
      </c>
      <c r="K77" s="134">
        <v>0</v>
      </c>
      <c r="L77" s="134" t="s">
        <v>308</v>
      </c>
      <c r="M77" s="134" t="s">
        <v>209</v>
      </c>
      <c r="N77" s="131">
        <v>1</v>
      </c>
      <c r="O77" s="135">
        <v>6.9444444444444447E-4</v>
      </c>
    </row>
    <row r="78" spans="1:15" s="123" customFormat="1" ht="54" customHeight="1" x14ac:dyDescent="0.2">
      <c r="A78" s="163"/>
      <c r="B78" s="130" t="s">
        <v>16</v>
      </c>
      <c r="C78" s="131" t="s">
        <v>309</v>
      </c>
      <c r="D78" s="131" t="s">
        <v>310</v>
      </c>
      <c r="E78" s="131" t="s">
        <v>11</v>
      </c>
      <c r="F78" s="131" t="s">
        <v>21</v>
      </c>
      <c r="G78" s="145" t="s">
        <v>217</v>
      </c>
      <c r="H78" s="146">
        <v>45341</v>
      </c>
      <c r="I78" s="134" t="s">
        <v>93</v>
      </c>
      <c r="J78" s="134" t="s">
        <v>140</v>
      </c>
      <c r="K78" s="134">
        <v>0</v>
      </c>
      <c r="L78" s="134" t="s">
        <v>218</v>
      </c>
      <c r="M78" s="134" t="s">
        <v>219</v>
      </c>
      <c r="N78" s="131">
        <v>1</v>
      </c>
      <c r="O78" s="135">
        <v>3.4722222222222224E-4</v>
      </c>
    </row>
    <row r="79" spans="1:15" s="123" customFormat="1" ht="54" customHeight="1" x14ac:dyDescent="0.2">
      <c r="A79" s="160"/>
      <c r="B79" s="130" t="s">
        <v>16</v>
      </c>
      <c r="C79" s="131" t="s">
        <v>311</v>
      </c>
      <c r="D79" s="131" t="s">
        <v>312</v>
      </c>
      <c r="E79" s="131" t="s">
        <v>11</v>
      </c>
      <c r="F79" s="131" t="s">
        <v>21</v>
      </c>
      <c r="G79" s="131" t="s">
        <v>582</v>
      </c>
      <c r="H79" s="147">
        <v>45341</v>
      </c>
      <c r="I79" s="134" t="s">
        <v>60</v>
      </c>
      <c r="J79" s="134" t="s">
        <v>140</v>
      </c>
      <c r="K79" s="134">
        <v>0</v>
      </c>
      <c r="L79" s="134" t="s">
        <v>314</v>
      </c>
      <c r="M79" s="134" t="s">
        <v>209</v>
      </c>
      <c r="N79" s="131">
        <v>1</v>
      </c>
      <c r="O79" s="135">
        <v>8.6805555555555551E-4</v>
      </c>
    </row>
    <row r="80" spans="1:15" s="123" customFormat="1" ht="54" customHeight="1" x14ac:dyDescent="0.2">
      <c r="A80" s="160"/>
      <c r="B80" s="130" t="s">
        <v>16</v>
      </c>
      <c r="C80" s="131" t="s">
        <v>315</v>
      </c>
      <c r="D80" s="131" t="s">
        <v>316</v>
      </c>
      <c r="E80" s="131" t="s">
        <v>11</v>
      </c>
      <c r="F80" s="131" t="s">
        <v>21</v>
      </c>
      <c r="G80" s="131" t="s">
        <v>317</v>
      </c>
      <c r="H80" s="147">
        <v>45341</v>
      </c>
      <c r="I80" s="134" t="s">
        <v>139</v>
      </c>
      <c r="J80" s="134" t="s">
        <v>140</v>
      </c>
      <c r="K80" s="134">
        <v>0</v>
      </c>
      <c r="L80" s="134" t="s">
        <v>318</v>
      </c>
      <c r="M80" s="134" t="s">
        <v>209</v>
      </c>
      <c r="N80" s="131">
        <v>1</v>
      </c>
      <c r="O80" s="135">
        <v>6.9444444444444447E-4</v>
      </c>
    </row>
    <row r="81" spans="1:15" s="123" customFormat="1" ht="54" customHeight="1" x14ac:dyDescent="0.2">
      <c r="A81" s="160"/>
      <c r="B81" s="130" t="s">
        <v>16</v>
      </c>
      <c r="C81" s="131" t="s">
        <v>319</v>
      </c>
      <c r="D81" s="131" t="s">
        <v>320</v>
      </c>
      <c r="E81" s="131" t="s">
        <v>11</v>
      </c>
      <c r="F81" s="131" t="s">
        <v>21</v>
      </c>
      <c r="G81" s="131" t="s">
        <v>858</v>
      </c>
      <c r="H81" s="147">
        <v>45342</v>
      </c>
      <c r="I81" s="134" t="s">
        <v>60</v>
      </c>
      <c r="J81" s="134" t="s">
        <v>140</v>
      </c>
      <c r="K81" s="134">
        <v>0</v>
      </c>
      <c r="L81" s="134" t="s">
        <v>321</v>
      </c>
      <c r="M81" s="134" t="s">
        <v>209</v>
      </c>
      <c r="N81" s="131">
        <v>1</v>
      </c>
      <c r="O81" s="135">
        <v>6.9444444444444447E-4</v>
      </c>
    </row>
    <row r="82" spans="1:15" s="123" customFormat="1" ht="54" customHeight="1" x14ac:dyDescent="0.2">
      <c r="A82" s="160"/>
      <c r="B82" s="130" t="s">
        <v>16</v>
      </c>
      <c r="C82" s="131" t="s">
        <v>322</v>
      </c>
      <c r="D82" s="131" t="s">
        <v>323</v>
      </c>
      <c r="E82" s="131" t="s">
        <v>11</v>
      </c>
      <c r="F82" s="131" t="s">
        <v>21</v>
      </c>
      <c r="G82" s="131" t="s">
        <v>317</v>
      </c>
      <c r="H82" s="147">
        <v>45341</v>
      </c>
      <c r="I82" s="134" t="s">
        <v>139</v>
      </c>
      <c r="J82" s="134" t="s">
        <v>140</v>
      </c>
      <c r="K82" s="134">
        <v>0</v>
      </c>
      <c r="L82" s="134" t="s">
        <v>318</v>
      </c>
      <c r="M82" s="134" t="s">
        <v>209</v>
      </c>
      <c r="N82" s="131">
        <v>1</v>
      </c>
      <c r="O82" s="135">
        <v>6.9444444444444447E-4</v>
      </c>
    </row>
    <row r="83" spans="1:15" s="123" customFormat="1" ht="54" customHeight="1" x14ac:dyDescent="0.2">
      <c r="A83" s="95"/>
      <c r="B83" s="69" t="s">
        <v>16</v>
      </c>
      <c r="C83" s="70" t="s">
        <v>324</v>
      </c>
      <c r="D83" s="70" t="s">
        <v>325</v>
      </c>
      <c r="E83" s="70" t="s">
        <v>11</v>
      </c>
      <c r="F83" s="70" t="s">
        <v>21</v>
      </c>
      <c r="G83" s="70" t="s">
        <v>698</v>
      </c>
      <c r="H83" s="80">
        <v>45978</v>
      </c>
      <c r="I83" s="71" t="s">
        <v>60</v>
      </c>
      <c r="J83" s="71" t="s">
        <v>61</v>
      </c>
      <c r="K83" s="71">
        <v>0</v>
      </c>
      <c r="L83" s="71" t="s">
        <v>327</v>
      </c>
      <c r="M83" s="71" t="s">
        <v>153</v>
      </c>
      <c r="N83" s="70">
        <v>1</v>
      </c>
      <c r="O83" s="73">
        <v>1.7361111111111112E-4</v>
      </c>
    </row>
    <row r="84" spans="1:15" s="123" customFormat="1" ht="54" customHeight="1" x14ac:dyDescent="0.2">
      <c r="A84" s="160"/>
      <c r="B84" s="130" t="s">
        <v>16</v>
      </c>
      <c r="C84" s="131" t="s">
        <v>328</v>
      </c>
      <c r="D84" s="131" t="s">
        <v>329</v>
      </c>
      <c r="E84" s="131" t="s">
        <v>21</v>
      </c>
      <c r="F84" s="131"/>
      <c r="G84" s="131"/>
      <c r="H84" s="147"/>
      <c r="I84" s="134" t="s">
        <v>60</v>
      </c>
      <c r="J84" s="134" t="s">
        <v>140</v>
      </c>
      <c r="K84" s="134">
        <v>0</v>
      </c>
      <c r="L84" s="134" t="s">
        <v>330</v>
      </c>
      <c r="M84" s="134" t="s">
        <v>242</v>
      </c>
      <c r="N84" s="131">
        <v>2</v>
      </c>
      <c r="O84" s="135">
        <v>5.2083333333333333E-4</v>
      </c>
    </row>
    <row r="85" spans="1:15" s="123" customFormat="1" ht="54" customHeight="1" x14ac:dyDescent="0.2">
      <c r="A85" s="95"/>
      <c r="B85" s="69" t="s">
        <v>16</v>
      </c>
      <c r="C85" s="70" t="s">
        <v>331</v>
      </c>
      <c r="D85" s="70" t="s">
        <v>332</v>
      </c>
      <c r="E85" s="70" t="s">
        <v>11</v>
      </c>
      <c r="F85" s="70" t="s">
        <v>21</v>
      </c>
      <c r="G85" s="70" t="s">
        <v>698</v>
      </c>
      <c r="H85" s="80">
        <v>45978</v>
      </c>
      <c r="I85" s="71" t="s">
        <v>60</v>
      </c>
      <c r="J85" s="71" t="s">
        <v>61</v>
      </c>
      <c r="K85" s="71">
        <v>0</v>
      </c>
      <c r="L85" s="71">
        <v>0</v>
      </c>
      <c r="M85" s="71" t="s">
        <v>153</v>
      </c>
      <c r="N85" s="70">
        <v>3</v>
      </c>
      <c r="O85" s="73">
        <v>5.2083333333333333E-4</v>
      </c>
    </row>
    <row r="86" spans="1:15" s="123" customFormat="1" ht="54" customHeight="1" x14ac:dyDescent="0.2">
      <c r="A86" s="95"/>
      <c r="B86" s="69" t="s">
        <v>16</v>
      </c>
      <c r="C86" s="70" t="s">
        <v>333</v>
      </c>
      <c r="D86" s="70" t="s">
        <v>334</v>
      </c>
      <c r="E86" s="70" t="s">
        <v>11</v>
      </c>
      <c r="F86" s="70" t="s">
        <v>21</v>
      </c>
      <c r="G86" s="70" t="s">
        <v>761</v>
      </c>
      <c r="H86" s="80">
        <v>45978</v>
      </c>
      <c r="I86" s="71" t="s">
        <v>60</v>
      </c>
      <c r="J86" s="71" t="s">
        <v>61</v>
      </c>
      <c r="K86" s="71">
        <v>0</v>
      </c>
      <c r="L86" s="71">
        <v>0</v>
      </c>
      <c r="M86" s="71" t="s">
        <v>153</v>
      </c>
      <c r="N86" s="70">
        <v>4</v>
      </c>
      <c r="O86" s="73">
        <v>5.2083333333333333E-4</v>
      </c>
    </row>
    <row r="87" spans="1:15" s="123" customFormat="1" ht="54" customHeight="1" thickBot="1" x14ac:dyDescent="0.25">
      <c r="A87" s="148"/>
      <c r="B87" s="139" t="s">
        <v>16</v>
      </c>
      <c r="C87" s="140" t="s">
        <v>336</v>
      </c>
      <c r="D87" s="140" t="s">
        <v>337</v>
      </c>
      <c r="E87" s="140" t="s">
        <v>11</v>
      </c>
      <c r="F87" s="140" t="s">
        <v>21</v>
      </c>
      <c r="G87" s="140" t="s">
        <v>856</v>
      </c>
      <c r="H87" s="162">
        <v>45341</v>
      </c>
      <c r="I87" s="143" t="s">
        <v>60</v>
      </c>
      <c r="J87" s="143" t="s">
        <v>140</v>
      </c>
      <c r="K87" s="143">
        <v>0</v>
      </c>
      <c r="L87" s="143" t="s">
        <v>262</v>
      </c>
      <c r="M87" s="143" t="s">
        <v>209</v>
      </c>
      <c r="N87" s="140">
        <v>2</v>
      </c>
      <c r="O87" s="144">
        <v>3.4722222222222224E-4</v>
      </c>
    </row>
    <row r="88" spans="1:15" s="123" customFormat="1" ht="66" customHeight="1" thickTop="1" x14ac:dyDescent="0.2">
      <c r="A88" s="95"/>
      <c r="B88" s="104" t="s">
        <v>20</v>
      </c>
      <c r="C88" s="92" t="s">
        <v>338</v>
      </c>
      <c r="D88" s="92" t="s">
        <v>339</v>
      </c>
      <c r="E88" s="92" t="s">
        <v>11</v>
      </c>
      <c r="F88" s="92" t="s">
        <v>21</v>
      </c>
      <c r="G88" s="92" t="s">
        <v>859</v>
      </c>
      <c r="H88" s="105">
        <v>45980</v>
      </c>
      <c r="I88" s="91" t="s">
        <v>139</v>
      </c>
      <c r="J88" s="91" t="s">
        <v>140</v>
      </c>
      <c r="K88" s="91">
        <v>0</v>
      </c>
      <c r="L88" s="91" t="s">
        <v>341</v>
      </c>
      <c r="M88" s="91" t="s">
        <v>342</v>
      </c>
      <c r="N88" s="92">
        <v>4</v>
      </c>
      <c r="O88" s="93" t="s">
        <v>343</v>
      </c>
    </row>
    <row r="89" spans="1:15" s="123" customFormat="1" ht="54" customHeight="1" x14ac:dyDescent="0.2">
      <c r="A89" s="95"/>
      <c r="B89" s="69" t="s">
        <v>20</v>
      </c>
      <c r="C89" s="70" t="s">
        <v>344</v>
      </c>
      <c r="D89" s="70" t="s">
        <v>345</v>
      </c>
      <c r="E89" s="70" t="s">
        <v>11</v>
      </c>
      <c r="F89" s="86" t="s">
        <v>21</v>
      </c>
      <c r="G89" s="70" t="s">
        <v>860</v>
      </c>
      <c r="H89" s="80">
        <v>45979</v>
      </c>
      <c r="I89" s="71" t="s">
        <v>139</v>
      </c>
      <c r="J89" s="71" t="s">
        <v>140</v>
      </c>
      <c r="K89" s="71">
        <v>0</v>
      </c>
      <c r="L89" s="71" t="s">
        <v>348</v>
      </c>
      <c r="M89" s="71" t="s">
        <v>342</v>
      </c>
      <c r="N89" s="70">
        <v>4</v>
      </c>
      <c r="O89" s="73">
        <v>1.3888888888888889E-3</v>
      </c>
    </row>
    <row r="90" spans="1:15" s="123" customFormat="1" ht="54" customHeight="1" x14ac:dyDescent="0.2">
      <c r="A90" s="95"/>
      <c r="B90" s="69" t="s">
        <v>20</v>
      </c>
      <c r="C90" s="70" t="s">
        <v>349</v>
      </c>
      <c r="D90" s="70" t="s">
        <v>350</v>
      </c>
      <c r="E90" s="70" t="s">
        <v>11</v>
      </c>
      <c r="F90" s="86" t="s">
        <v>21</v>
      </c>
      <c r="G90" s="86" t="s">
        <v>351</v>
      </c>
      <c r="H90" s="87">
        <v>45978</v>
      </c>
      <c r="I90" s="71" t="s">
        <v>139</v>
      </c>
      <c r="J90" s="71" t="s">
        <v>140</v>
      </c>
      <c r="K90" s="71">
        <v>0</v>
      </c>
      <c r="L90" s="71" t="s">
        <v>352</v>
      </c>
      <c r="M90" s="71" t="s">
        <v>353</v>
      </c>
      <c r="N90" s="70">
        <v>2</v>
      </c>
      <c r="O90" s="73">
        <v>2.0833333333333333E-3</v>
      </c>
    </row>
    <row r="91" spans="1:15" s="123" customFormat="1" ht="54" customHeight="1" x14ac:dyDescent="0.2">
      <c r="A91" s="95"/>
      <c r="B91" s="69" t="s">
        <v>20</v>
      </c>
      <c r="C91" s="70" t="s">
        <v>354</v>
      </c>
      <c r="D91" s="70" t="s">
        <v>355</v>
      </c>
      <c r="E91" s="70" t="s">
        <v>11</v>
      </c>
      <c r="F91" s="86" t="s">
        <v>21</v>
      </c>
      <c r="G91" s="86" t="s">
        <v>351</v>
      </c>
      <c r="H91" s="87">
        <v>45978</v>
      </c>
      <c r="I91" s="71" t="s">
        <v>139</v>
      </c>
      <c r="J91" s="71" t="s">
        <v>140</v>
      </c>
      <c r="K91" s="71">
        <v>0</v>
      </c>
      <c r="L91" s="71" t="s">
        <v>356</v>
      </c>
      <c r="M91" s="71" t="s">
        <v>353</v>
      </c>
      <c r="N91" s="70">
        <v>2</v>
      </c>
      <c r="O91" s="73">
        <v>2.0833333333333333E-3</v>
      </c>
    </row>
    <row r="92" spans="1:15" s="123" customFormat="1" ht="54" customHeight="1" x14ac:dyDescent="0.2">
      <c r="A92" s="95"/>
      <c r="B92" s="69" t="s">
        <v>20</v>
      </c>
      <c r="C92" s="70" t="s">
        <v>357</v>
      </c>
      <c r="D92" s="70" t="s">
        <v>358</v>
      </c>
      <c r="E92" s="70" t="s">
        <v>11</v>
      </c>
      <c r="F92" s="70" t="s">
        <v>21</v>
      </c>
      <c r="G92" s="70" t="s">
        <v>698</v>
      </c>
      <c r="H92" s="80">
        <v>45978</v>
      </c>
      <c r="I92" s="71" t="s">
        <v>60</v>
      </c>
      <c r="J92" s="71" t="s">
        <v>61</v>
      </c>
      <c r="K92" s="71">
        <v>0</v>
      </c>
      <c r="L92" s="71" t="s">
        <v>359</v>
      </c>
      <c r="M92" s="71" t="s">
        <v>153</v>
      </c>
      <c r="N92" s="70">
        <v>2</v>
      </c>
      <c r="O92" s="73">
        <v>6.9444444444444447E-4</v>
      </c>
    </row>
    <row r="93" spans="1:15" s="123" customFormat="1" ht="54" customHeight="1" x14ac:dyDescent="0.2">
      <c r="A93" s="95"/>
      <c r="B93" s="69" t="s">
        <v>20</v>
      </c>
      <c r="C93" s="70" t="s">
        <v>360</v>
      </c>
      <c r="D93" s="70" t="s">
        <v>361</v>
      </c>
      <c r="E93" s="70" t="s">
        <v>11</v>
      </c>
      <c r="F93" s="70" t="s">
        <v>21</v>
      </c>
      <c r="G93" s="70" t="s">
        <v>861</v>
      </c>
      <c r="H93" s="80">
        <v>45980</v>
      </c>
      <c r="I93" s="71" t="s">
        <v>139</v>
      </c>
      <c r="J93" s="71" t="s">
        <v>140</v>
      </c>
      <c r="K93" s="71">
        <v>0</v>
      </c>
      <c r="L93" s="71" t="s">
        <v>363</v>
      </c>
      <c r="M93" s="71" t="s">
        <v>364</v>
      </c>
      <c r="N93" s="70">
        <v>1</v>
      </c>
      <c r="O93" s="73">
        <v>1.2152777777777778E-3</v>
      </c>
    </row>
    <row r="94" spans="1:15" s="123" customFormat="1" ht="54" customHeight="1" x14ac:dyDescent="0.2">
      <c r="A94" s="95"/>
      <c r="B94" s="69" t="s">
        <v>20</v>
      </c>
      <c r="C94" s="70" t="s">
        <v>365</v>
      </c>
      <c r="D94" s="70" t="s">
        <v>366</v>
      </c>
      <c r="E94" s="70" t="s">
        <v>11</v>
      </c>
      <c r="F94" s="70" t="s">
        <v>21</v>
      </c>
      <c r="G94" s="70" t="s">
        <v>862</v>
      </c>
      <c r="H94" s="80">
        <v>45978</v>
      </c>
      <c r="I94" s="71" t="s">
        <v>139</v>
      </c>
      <c r="J94" s="71" t="s">
        <v>140</v>
      </c>
      <c r="K94" s="71">
        <v>0</v>
      </c>
      <c r="L94" s="71" t="s">
        <v>368</v>
      </c>
      <c r="M94" s="71" t="s">
        <v>364</v>
      </c>
      <c r="N94" s="70">
        <v>2</v>
      </c>
      <c r="O94" s="73">
        <v>2.7777777777777779E-3</v>
      </c>
    </row>
    <row r="95" spans="1:15" s="123" customFormat="1" ht="54" customHeight="1" x14ac:dyDescent="0.2">
      <c r="A95" s="95"/>
      <c r="B95" s="69" t="s">
        <v>20</v>
      </c>
      <c r="C95" s="70" t="s">
        <v>369</v>
      </c>
      <c r="D95" s="70" t="s">
        <v>370</v>
      </c>
      <c r="E95" s="70" t="s">
        <v>11</v>
      </c>
      <c r="F95" s="70" t="s">
        <v>21</v>
      </c>
      <c r="G95" s="70" t="s">
        <v>863</v>
      </c>
      <c r="H95" s="80">
        <v>45980</v>
      </c>
      <c r="I95" s="71" t="s">
        <v>139</v>
      </c>
      <c r="J95" s="71" t="s">
        <v>140</v>
      </c>
      <c r="K95" s="71">
        <v>0</v>
      </c>
      <c r="L95" s="71" t="s">
        <v>372</v>
      </c>
      <c r="M95" s="71" t="s">
        <v>364</v>
      </c>
      <c r="N95" s="70">
        <v>2</v>
      </c>
      <c r="O95" s="73">
        <v>6.9444444444444447E-4</v>
      </c>
    </row>
    <row r="96" spans="1:15" s="123" customFormat="1" ht="54" customHeight="1" x14ac:dyDescent="0.2">
      <c r="A96" s="160"/>
      <c r="B96" s="130" t="s">
        <v>20</v>
      </c>
      <c r="C96" s="131" t="s">
        <v>373</v>
      </c>
      <c r="D96" s="131" t="s">
        <v>374</v>
      </c>
      <c r="E96" s="131" t="s">
        <v>21</v>
      </c>
      <c r="F96" s="131"/>
      <c r="G96" s="131"/>
      <c r="H96" s="147"/>
      <c r="I96" s="134" t="s">
        <v>139</v>
      </c>
      <c r="J96" s="134" t="s">
        <v>140</v>
      </c>
      <c r="K96" s="134">
        <v>0</v>
      </c>
      <c r="L96" s="134" t="s">
        <v>375</v>
      </c>
      <c r="M96" s="134" t="s">
        <v>209</v>
      </c>
      <c r="N96" s="131">
        <v>2</v>
      </c>
      <c r="O96" s="135">
        <v>3.4722222222222224E-4</v>
      </c>
    </row>
    <row r="97" spans="1:15" s="123" customFormat="1" ht="54" customHeight="1" x14ac:dyDescent="0.2">
      <c r="A97" s="160"/>
      <c r="B97" s="130" t="s">
        <v>20</v>
      </c>
      <c r="C97" s="131" t="s">
        <v>376</v>
      </c>
      <c r="D97" s="131" t="s">
        <v>377</v>
      </c>
      <c r="E97" s="131" t="s">
        <v>21</v>
      </c>
      <c r="F97" s="131"/>
      <c r="G97" s="131"/>
      <c r="H97" s="147"/>
      <c r="I97" s="134" t="s">
        <v>139</v>
      </c>
      <c r="J97" s="134" t="s">
        <v>140</v>
      </c>
      <c r="K97" s="134">
        <v>0</v>
      </c>
      <c r="L97" s="134" t="s">
        <v>378</v>
      </c>
      <c r="M97" s="134" t="s">
        <v>169</v>
      </c>
      <c r="N97" s="131">
        <v>2</v>
      </c>
      <c r="O97" s="135">
        <v>5.2083333333333333E-4</v>
      </c>
    </row>
    <row r="98" spans="1:15" s="123" customFormat="1" ht="54" customHeight="1" x14ac:dyDescent="0.2">
      <c r="A98" s="160"/>
      <c r="B98" s="130" t="s">
        <v>20</v>
      </c>
      <c r="C98" s="131" t="s">
        <v>379</v>
      </c>
      <c r="D98" s="131" t="s">
        <v>380</v>
      </c>
      <c r="E98" s="131" t="s">
        <v>21</v>
      </c>
      <c r="F98" s="131"/>
      <c r="G98" s="131"/>
      <c r="H98" s="147"/>
      <c r="I98" s="134" t="s">
        <v>60</v>
      </c>
      <c r="J98" s="134" t="s">
        <v>140</v>
      </c>
      <c r="K98" s="134">
        <v>0</v>
      </c>
      <c r="L98" s="134" t="s">
        <v>381</v>
      </c>
      <c r="M98" s="134" t="s">
        <v>169</v>
      </c>
      <c r="N98" s="131">
        <v>1</v>
      </c>
      <c r="O98" s="135">
        <v>9.2592592592592585E-4</v>
      </c>
    </row>
    <row r="99" spans="1:15" s="123" customFormat="1" ht="54" customHeight="1" x14ac:dyDescent="0.2">
      <c r="A99" s="160"/>
      <c r="B99" s="130" t="s">
        <v>20</v>
      </c>
      <c r="C99" s="131" t="s">
        <v>382</v>
      </c>
      <c r="D99" s="131" t="s">
        <v>383</v>
      </c>
      <c r="E99" s="131" t="s">
        <v>21</v>
      </c>
      <c r="F99" s="131"/>
      <c r="G99" s="131"/>
      <c r="H99" s="147"/>
      <c r="I99" s="134" t="s">
        <v>60</v>
      </c>
      <c r="J99" s="134" t="s">
        <v>61</v>
      </c>
      <c r="K99" s="134">
        <v>0</v>
      </c>
      <c r="L99" s="134" t="s">
        <v>384</v>
      </c>
      <c r="M99" s="134" t="s">
        <v>364</v>
      </c>
      <c r="N99" s="131">
        <v>1</v>
      </c>
      <c r="O99" s="135">
        <v>1.1574074074074073E-4</v>
      </c>
    </row>
    <row r="100" spans="1:15" s="123" customFormat="1" ht="54" customHeight="1" x14ac:dyDescent="0.2">
      <c r="A100" s="160"/>
      <c r="B100" s="130" t="s">
        <v>20</v>
      </c>
      <c r="C100" s="131" t="s">
        <v>385</v>
      </c>
      <c r="D100" s="131" t="s">
        <v>386</v>
      </c>
      <c r="E100" s="131" t="s">
        <v>21</v>
      </c>
      <c r="F100" s="131"/>
      <c r="G100" s="131"/>
      <c r="H100" s="147"/>
      <c r="I100" s="134" t="s">
        <v>93</v>
      </c>
      <c r="J100" s="134" t="s">
        <v>61</v>
      </c>
      <c r="K100" s="134">
        <v>0</v>
      </c>
      <c r="L100" s="134" t="s">
        <v>387</v>
      </c>
      <c r="M100" s="134" t="s">
        <v>130</v>
      </c>
      <c r="N100" s="131">
        <v>1</v>
      </c>
      <c r="O100" s="135">
        <v>6.9444444444444447E-4</v>
      </c>
    </row>
    <row r="101" spans="1:15" s="123" customFormat="1" ht="54" customHeight="1" x14ac:dyDescent="0.2">
      <c r="A101" s="160"/>
      <c r="B101" s="130" t="s">
        <v>20</v>
      </c>
      <c r="C101" s="131" t="s">
        <v>388</v>
      </c>
      <c r="D101" s="131" t="s">
        <v>389</v>
      </c>
      <c r="E101" s="131" t="s">
        <v>21</v>
      </c>
      <c r="F101" s="131"/>
      <c r="G101" s="131"/>
      <c r="H101" s="147"/>
      <c r="I101" s="134" t="s">
        <v>60</v>
      </c>
      <c r="J101" s="134" t="s">
        <v>140</v>
      </c>
      <c r="K101" s="134">
        <v>0</v>
      </c>
      <c r="L101" s="134" t="s">
        <v>390</v>
      </c>
      <c r="M101" s="134" t="s">
        <v>114</v>
      </c>
      <c r="N101" s="131">
        <v>1</v>
      </c>
      <c r="O101" s="135">
        <v>6.9444444444444447E-4</v>
      </c>
    </row>
    <row r="102" spans="1:15" s="123" customFormat="1" ht="54" customHeight="1" x14ac:dyDescent="0.2">
      <c r="A102" s="160"/>
      <c r="B102" s="130" t="s">
        <v>20</v>
      </c>
      <c r="C102" s="131" t="s">
        <v>391</v>
      </c>
      <c r="D102" s="131" t="s">
        <v>392</v>
      </c>
      <c r="E102" s="131" t="s">
        <v>21</v>
      </c>
      <c r="F102" s="131"/>
      <c r="G102" s="131"/>
      <c r="H102" s="147"/>
      <c r="I102" s="134" t="s">
        <v>60</v>
      </c>
      <c r="J102" s="134" t="s">
        <v>140</v>
      </c>
      <c r="K102" s="134">
        <v>0</v>
      </c>
      <c r="L102" s="134" t="s">
        <v>393</v>
      </c>
      <c r="M102" s="134" t="s">
        <v>114</v>
      </c>
      <c r="N102" s="131">
        <v>1</v>
      </c>
      <c r="O102" s="135">
        <v>4.0509259259259258E-4</v>
      </c>
    </row>
    <row r="103" spans="1:15" s="123" customFormat="1" ht="54" customHeight="1" x14ac:dyDescent="0.2">
      <c r="A103" s="160"/>
      <c r="B103" s="130" t="s">
        <v>20</v>
      </c>
      <c r="C103" s="131" t="s">
        <v>394</v>
      </c>
      <c r="D103" s="131" t="s">
        <v>395</v>
      </c>
      <c r="E103" s="131" t="s">
        <v>21</v>
      </c>
      <c r="F103" s="131"/>
      <c r="G103" s="131"/>
      <c r="H103" s="147"/>
      <c r="I103" s="134" t="s">
        <v>139</v>
      </c>
      <c r="J103" s="134" t="s">
        <v>61</v>
      </c>
      <c r="K103" s="134">
        <v>0</v>
      </c>
      <c r="L103" s="134" t="s">
        <v>396</v>
      </c>
      <c r="M103" s="134" t="s">
        <v>153</v>
      </c>
      <c r="N103" s="131">
        <v>2</v>
      </c>
      <c r="O103" s="135">
        <v>1.3888888888888889E-3</v>
      </c>
    </row>
    <row r="104" spans="1:15" s="123" customFormat="1" ht="54" customHeight="1" x14ac:dyDescent="0.2">
      <c r="A104" s="95"/>
      <c r="B104" s="69" t="s">
        <v>20</v>
      </c>
      <c r="C104" s="70" t="s">
        <v>397</v>
      </c>
      <c r="D104" s="70" t="s">
        <v>398</v>
      </c>
      <c r="E104" s="70" t="s">
        <v>11</v>
      </c>
      <c r="F104" s="70" t="s">
        <v>21</v>
      </c>
      <c r="G104" s="70" t="s">
        <v>864</v>
      </c>
      <c r="H104" s="80">
        <v>45979</v>
      </c>
      <c r="I104" s="71" t="s">
        <v>139</v>
      </c>
      <c r="J104" s="71" t="s">
        <v>61</v>
      </c>
      <c r="K104" s="71">
        <v>0</v>
      </c>
      <c r="L104" s="71" t="s">
        <v>400</v>
      </c>
      <c r="M104" s="71" t="s">
        <v>401</v>
      </c>
      <c r="N104" s="70">
        <v>2</v>
      </c>
      <c r="O104" s="73">
        <v>1.736111111111111E-3</v>
      </c>
    </row>
    <row r="105" spans="1:15" s="123" customFormat="1" ht="54" customHeight="1" x14ac:dyDescent="0.2">
      <c r="A105" s="95"/>
      <c r="B105" s="69" t="s">
        <v>20</v>
      </c>
      <c r="C105" s="70" t="s">
        <v>402</v>
      </c>
      <c r="D105" s="70" t="s">
        <v>403</v>
      </c>
      <c r="E105" s="70" t="s">
        <v>11</v>
      </c>
      <c r="F105" s="70" t="s">
        <v>21</v>
      </c>
      <c r="G105" s="70" t="s">
        <v>761</v>
      </c>
      <c r="H105" s="80">
        <v>45978</v>
      </c>
      <c r="I105" s="71" t="s">
        <v>60</v>
      </c>
      <c r="J105" s="71" t="s">
        <v>61</v>
      </c>
      <c r="K105" s="71">
        <v>0</v>
      </c>
      <c r="L105" s="71" t="s">
        <v>404</v>
      </c>
      <c r="M105" s="71" t="s">
        <v>153</v>
      </c>
      <c r="N105" s="70">
        <v>1</v>
      </c>
      <c r="O105" s="73">
        <v>6.9444444444444447E-4</v>
      </c>
    </row>
    <row r="106" spans="1:15" s="123" customFormat="1" ht="54" customHeight="1" x14ac:dyDescent="0.2">
      <c r="A106" s="160"/>
      <c r="B106" s="130" t="s">
        <v>20</v>
      </c>
      <c r="C106" s="131" t="s">
        <v>405</v>
      </c>
      <c r="D106" s="131" t="s">
        <v>406</v>
      </c>
      <c r="E106" s="131" t="s">
        <v>21</v>
      </c>
      <c r="F106" s="131"/>
      <c r="G106" s="131"/>
      <c r="H106" s="147"/>
      <c r="I106" s="134" t="s">
        <v>60</v>
      </c>
      <c r="J106" s="134" t="s">
        <v>61</v>
      </c>
      <c r="K106" s="134">
        <v>0</v>
      </c>
      <c r="L106" s="134" t="s">
        <v>407</v>
      </c>
      <c r="M106" s="134" t="s">
        <v>153</v>
      </c>
      <c r="N106" s="131">
        <v>2</v>
      </c>
      <c r="O106" s="135">
        <v>3.4722222222222224E-4</v>
      </c>
    </row>
    <row r="107" spans="1:15" s="123" customFormat="1" ht="54" customHeight="1" x14ac:dyDescent="0.2">
      <c r="A107" s="160"/>
      <c r="B107" s="130" t="s">
        <v>20</v>
      </c>
      <c r="C107" s="131" t="s">
        <v>408</v>
      </c>
      <c r="D107" s="131" t="s">
        <v>409</v>
      </c>
      <c r="E107" s="131" t="s">
        <v>21</v>
      </c>
      <c r="F107" s="131"/>
      <c r="G107" s="131"/>
      <c r="H107" s="147"/>
      <c r="I107" s="134" t="s">
        <v>93</v>
      </c>
      <c r="J107" s="134" t="s">
        <v>61</v>
      </c>
      <c r="K107" s="134">
        <v>0</v>
      </c>
      <c r="L107" s="134" t="s">
        <v>410</v>
      </c>
      <c r="M107" s="134" t="s">
        <v>130</v>
      </c>
      <c r="N107" s="131">
        <v>2</v>
      </c>
      <c r="O107" s="135">
        <v>6.9444444444444447E-4</v>
      </c>
    </row>
    <row r="108" spans="1:15" s="123" customFormat="1" ht="54" customHeight="1" x14ac:dyDescent="0.2">
      <c r="A108" s="95"/>
      <c r="B108" s="69" t="s">
        <v>20</v>
      </c>
      <c r="C108" s="70" t="s">
        <v>411</v>
      </c>
      <c r="D108" s="70" t="s">
        <v>412</v>
      </c>
      <c r="E108" s="70" t="s">
        <v>11</v>
      </c>
      <c r="F108" s="70" t="s">
        <v>21</v>
      </c>
      <c r="G108" s="70" t="s">
        <v>865</v>
      </c>
      <c r="H108" s="80">
        <v>45978</v>
      </c>
      <c r="I108" s="71" t="s">
        <v>60</v>
      </c>
      <c r="J108" s="71" t="s">
        <v>61</v>
      </c>
      <c r="K108" s="71">
        <v>0</v>
      </c>
      <c r="L108" s="71" t="s">
        <v>414</v>
      </c>
      <c r="M108" s="71" t="s">
        <v>153</v>
      </c>
      <c r="N108" s="70">
        <v>2</v>
      </c>
      <c r="O108" s="73">
        <v>6.9444444444444447E-4</v>
      </c>
    </row>
    <row r="109" spans="1:15" s="123" customFormat="1" ht="54" customHeight="1" x14ac:dyDescent="0.2">
      <c r="A109" s="160"/>
      <c r="B109" s="130" t="s">
        <v>20</v>
      </c>
      <c r="C109" s="131" t="s">
        <v>415</v>
      </c>
      <c r="D109" s="131" t="s">
        <v>416</v>
      </c>
      <c r="E109" s="131" t="s">
        <v>21</v>
      </c>
      <c r="F109" s="131"/>
      <c r="G109" s="131"/>
      <c r="H109" s="147"/>
      <c r="I109" s="134" t="s">
        <v>93</v>
      </c>
      <c r="J109" s="134" t="s">
        <v>61</v>
      </c>
      <c r="K109" s="134">
        <v>0</v>
      </c>
      <c r="L109" s="134" t="s">
        <v>417</v>
      </c>
      <c r="M109" s="134" t="s">
        <v>114</v>
      </c>
      <c r="N109" s="131">
        <v>4</v>
      </c>
      <c r="O109" s="135">
        <v>2.0833333333333333E-3</v>
      </c>
    </row>
    <row r="110" spans="1:15" s="123" customFormat="1" ht="54" customHeight="1" x14ac:dyDescent="0.2">
      <c r="A110" s="160"/>
      <c r="B110" s="130" t="s">
        <v>20</v>
      </c>
      <c r="C110" s="131" t="s">
        <v>418</v>
      </c>
      <c r="D110" s="131" t="s">
        <v>419</v>
      </c>
      <c r="E110" s="131" t="s">
        <v>21</v>
      </c>
      <c r="F110" s="131"/>
      <c r="G110" s="131"/>
      <c r="H110" s="147"/>
      <c r="I110" s="134" t="s">
        <v>60</v>
      </c>
      <c r="J110" s="134" t="s">
        <v>61</v>
      </c>
      <c r="K110" s="134">
        <v>0</v>
      </c>
      <c r="L110" s="134" t="s">
        <v>420</v>
      </c>
      <c r="M110" s="134" t="s">
        <v>114</v>
      </c>
      <c r="N110" s="131">
        <v>2</v>
      </c>
      <c r="O110" s="135">
        <v>6.9444444444444447E-4</v>
      </c>
    </row>
    <row r="111" spans="1:15" s="123" customFormat="1" ht="54" customHeight="1" x14ac:dyDescent="0.2">
      <c r="A111" s="95"/>
      <c r="B111" s="69" t="s">
        <v>20</v>
      </c>
      <c r="C111" s="70" t="s">
        <v>421</v>
      </c>
      <c r="D111" s="70" t="s">
        <v>422</v>
      </c>
      <c r="E111" s="70" t="s">
        <v>11</v>
      </c>
      <c r="F111" s="70" t="s">
        <v>21</v>
      </c>
      <c r="G111" s="70" t="s">
        <v>865</v>
      </c>
      <c r="H111" s="80">
        <v>45978</v>
      </c>
      <c r="I111" s="71" t="s">
        <v>60</v>
      </c>
      <c r="J111" s="71" t="s">
        <v>61</v>
      </c>
      <c r="K111" s="71">
        <v>0</v>
      </c>
      <c r="L111" s="71" t="s">
        <v>423</v>
      </c>
      <c r="M111" s="71" t="s">
        <v>153</v>
      </c>
      <c r="N111" s="70">
        <v>2</v>
      </c>
      <c r="O111" s="73">
        <v>6.9444444444444447E-4</v>
      </c>
    </row>
    <row r="112" spans="1:15" s="123" customFormat="1" ht="54" customHeight="1" x14ac:dyDescent="0.2">
      <c r="A112" s="160"/>
      <c r="B112" s="130" t="s">
        <v>20</v>
      </c>
      <c r="C112" s="131" t="s">
        <v>424</v>
      </c>
      <c r="D112" s="131" t="s">
        <v>425</v>
      </c>
      <c r="E112" s="131" t="s">
        <v>21</v>
      </c>
      <c r="F112" s="131"/>
      <c r="G112" s="131"/>
      <c r="H112" s="147"/>
      <c r="I112" s="134" t="s">
        <v>93</v>
      </c>
      <c r="J112" s="134" t="s">
        <v>140</v>
      </c>
      <c r="K112" s="134">
        <v>0</v>
      </c>
      <c r="L112" s="134" t="s">
        <v>426</v>
      </c>
      <c r="M112" s="134" t="s">
        <v>114</v>
      </c>
      <c r="N112" s="131">
        <v>2</v>
      </c>
      <c r="O112" s="135">
        <v>1.3888888888888889E-3</v>
      </c>
    </row>
    <row r="113" spans="1:15" s="123" customFormat="1" ht="54" customHeight="1" thickBot="1" x14ac:dyDescent="0.25">
      <c r="A113" s="160"/>
      <c r="B113" s="139" t="s">
        <v>20</v>
      </c>
      <c r="C113" s="140" t="s">
        <v>427</v>
      </c>
      <c r="D113" s="140" t="s">
        <v>428</v>
      </c>
      <c r="E113" s="140" t="s">
        <v>21</v>
      </c>
      <c r="F113" s="140"/>
      <c r="G113" s="140"/>
      <c r="H113" s="162"/>
      <c r="I113" s="143" t="s">
        <v>93</v>
      </c>
      <c r="J113" s="143" t="s">
        <v>61</v>
      </c>
      <c r="K113" s="143">
        <v>0</v>
      </c>
      <c r="L113" s="143" t="s">
        <v>429</v>
      </c>
      <c r="M113" s="143" t="s">
        <v>114</v>
      </c>
      <c r="N113" s="140">
        <v>2</v>
      </c>
      <c r="O113" s="144">
        <v>6.9444444444444447E-4</v>
      </c>
    </row>
    <row r="114" spans="1:15" s="123" customFormat="1" ht="54" customHeight="1" thickTop="1" x14ac:dyDescent="0.2">
      <c r="A114" s="178"/>
      <c r="B114" s="124" t="s">
        <v>24</v>
      </c>
      <c r="C114" s="125" t="s">
        <v>430</v>
      </c>
      <c r="D114" s="125" t="s">
        <v>431</v>
      </c>
      <c r="E114" s="125" t="s">
        <v>21</v>
      </c>
      <c r="F114" s="125"/>
      <c r="G114" s="125"/>
      <c r="H114" s="161"/>
      <c r="I114" s="128" t="s">
        <v>139</v>
      </c>
      <c r="J114" s="128" t="s">
        <v>61</v>
      </c>
      <c r="K114" s="128">
        <v>0</v>
      </c>
      <c r="L114" s="128" t="s">
        <v>432</v>
      </c>
      <c r="M114" s="128" t="s">
        <v>114</v>
      </c>
      <c r="N114" s="125">
        <v>1</v>
      </c>
      <c r="O114" s="129">
        <v>6.9444444444444447E-4</v>
      </c>
    </row>
    <row r="115" spans="1:15" s="123" customFormat="1" ht="54" customHeight="1" x14ac:dyDescent="0.2">
      <c r="A115" s="160"/>
      <c r="B115" s="130" t="s">
        <v>24</v>
      </c>
      <c r="C115" s="131" t="s">
        <v>433</v>
      </c>
      <c r="D115" s="131" t="s">
        <v>434</v>
      </c>
      <c r="E115" s="131" t="s">
        <v>21</v>
      </c>
      <c r="F115" s="131"/>
      <c r="G115" s="131"/>
      <c r="H115" s="147"/>
      <c r="I115" s="134" t="s">
        <v>139</v>
      </c>
      <c r="J115" s="134" t="s">
        <v>61</v>
      </c>
      <c r="K115" s="134">
        <v>0</v>
      </c>
      <c r="L115" s="134" t="s">
        <v>435</v>
      </c>
      <c r="M115" s="134" t="s">
        <v>242</v>
      </c>
      <c r="N115" s="131">
        <v>1</v>
      </c>
      <c r="O115" s="135">
        <v>4.6296296296296293E-4</v>
      </c>
    </row>
    <row r="116" spans="1:15" s="123" customFormat="1" ht="54" customHeight="1" x14ac:dyDescent="0.2">
      <c r="A116" s="160"/>
      <c r="B116" s="130" t="s">
        <v>24</v>
      </c>
      <c r="C116" s="131" t="s">
        <v>436</v>
      </c>
      <c r="D116" s="131" t="s">
        <v>437</v>
      </c>
      <c r="E116" s="131" t="s">
        <v>21</v>
      </c>
      <c r="F116" s="131"/>
      <c r="G116" s="131"/>
      <c r="H116" s="147"/>
      <c r="I116" s="134" t="s">
        <v>139</v>
      </c>
      <c r="J116" s="134" t="s">
        <v>61</v>
      </c>
      <c r="K116" s="134">
        <v>0</v>
      </c>
      <c r="L116" s="134" t="s">
        <v>438</v>
      </c>
      <c r="M116" s="134" t="s">
        <v>242</v>
      </c>
      <c r="N116" s="131">
        <v>1</v>
      </c>
      <c r="O116" s="135">
        <v>6.9444444444444447E-4</v>
      </c>
    </row>
    <row r="117" spans="1:15" s="123" customFormat="1" ht="54" customHeight="1" x14ac:dyDescent="0.2">
      <c r="A117" s="160"/>
      <c r="B117" s="130" t="s">
        <v>24</v>
      </c>
      <c r="C117" s="131" t="s">
        <v>439</v>
      </c>
      <c r="D117" s="131" t="s">
        <v>440</v>
      </c>
      <c r="E117" s="131" t="s">
        <v>21</v>
      </c>
      <c r="F117" s="131"/>
      <c r="G117" s="131"/>
      <c r="H117" s="147"/>
      <c r="I117" s="134" t="s">
        <v>139</v>
      </c>
      <c r="J117" s="134" t="s">
        <v>61</v>
      </c>
      <c r="K117" s="134">
        <v>0</v>
      </c>
      <c r="L117" s="134" t="s">
        <v>441</v>
      </c>
      <c r="M117" s="134" t="s">
        <v>442</v>
      </c>
      <c r="N117" s="131">
        <v>1</v>
      </c>
      <c r="O117" s="135">
        <v>6.9444444444444447E-4</v>
      </c>
    </row>
    <row r="118" spans="1:15" s="123" customFormat="1" ht="54" customHeight="1" x14ac:dyDescent="0.2">
      <c r="A118" s="160"/>
      <c r="B118" s="130" t="s">
        <v>24</v>
      </c>
      <c r="C118" s="131" t="s">
        <v>443</v>
      </c>
      <c r="D118" s="131" t="s">
        <v>444</v>
      </c>
      <c r="E118" s="131" t="s">
        <v>21</v>
      </c>
      <c r="F118" s="131"/>
      <c r="G118" s="131"/>
      <c r="H118" s="147"/>
      <c r="I118" s="134" t="s">
        <v>139</v>
      </c>
      <c r="J118" s="134" t="s">
        <v>61</v>
      </c>
      <c r="K118" s="134">
        <v>0</v>
      </c>
      <c r="L118" s="134" t="s">
        <v>445</v>
      </c>
      <c r="M118" s="134" t="s">
        <v>442</v>
      </c>
      <c r="N118" s="131">
        <v>1</v>
      </c>
      <c r="O118" s="135">
        <v>6.9444444444444447E-4</v>
      </c>
    </row>
    <row r="119" spans="1:15" s="123" customFormat="1" ht="54" customHeight="1" x14ac:dyDescent="0.2">
      <c r="A119" s="160"/>
      <c r="B119" s="130" t="s">
        <v>24</v>
      </c>
      <c r="C119" s="131" t="s">
        <v>446</v>
      </c>
      <c r="D119" s="131" t="s">
        <v>447</v>
      </c>
      <c r="E119" s="131" t="s">
        <v>21</v>
      </c>
      <c r="F119" s="131"/>
      <c r="G119" s="131"/>
      <c r="H119" s="147"/>
      <c r="I119" s="134" t="s">
        <v>139</v>
      </c>
      <c r="J119" s="134" t="s">
        <v>61</v>
      </c>
      <c r="K119" s="134">
        <v>0</v>
      </c>
      <c r="L119" s="134" t="s">
        <v>448</v>
      </c>
      <c r="M119" s="134" t="s">
        <v>442</v>
      </c>
      <c r="N119" s="131">
        <v>1</v>
      </c>
      <c r="O119" s="135">
        <v>3.4722222222222224E-4</v>
      </c>
    </row>
    <row r="120" spans="1:15" s="123" customFormat="1" ht="54" customHeight="1" x14ac:dyDescent="0.2">
      <c r="A120" s="160"/>
      <c r="B120" s="130" t="s">
        <v>24</v>
      </c>
      <c r="C120" s="131" t="s">
        <v>449</v>
      </c>
      <c r="D120" s="131" t="s">
        <v>450</v>
      </c>
      <c r="E120" s="131" t="s">
        <v>21</v>
      </c>
      <c r="F120" s="131"/>
      <c r="G120" s="131"/>
      <c r="H120" s="147"/>
      <c r="I120" s="134" t="s">
        <v>139</v>
      </c>
      <c r="J120" s="134" t="s">
        <v>61</v>
      </c>
      <c r="K120" s="134">
        <v>0</v>
      </c>
      <c r="L120" s="134" t="s">
        <v>451</v>
      </c>
      <c r="M120" s="134" t="s">
        <v>242</v>
      </c>
      <c r="N120" s="131">
        <v>1</v>
      </c>
      <c r="O120" s="135">
        <v>6.9444444444444447E-4</v>
      </c>
    </row>
    <row r="121" spans="1:15" s="123" customFormat="1" ht="54" customHeight="1" x14ac:dyDescent="0.2">
      <c r="A121" s="160"/>
      <c r="B121" s="130" t="s">
        <v>24</v>
      </c>
      <c r="C121" s="131" t="s">
        <v>452</v>
      </c>
      <c r="D121" s="131" t="s">
        <v>453</v>
      </c>
      <c r="E121" s="131" t="s">
        <v>21</v>
      </c>
      <c r="F121" s="131"/>
      <c r="G121" s="131"/>
      <c r="H121" s="147"/>
      <c r="I121" s="134" t="s">
        <v>139</v>
      </c>
      <c r="J121" s="134" t="s">
        <v>61</v>
      </c>
      <c r="K121" s="134">
        <v>0</v>
      </c>
      <c r="L121" s="134" t="s">
        <v>454</v>
      </c>
      <c r="M121" s="134" t="s">
        <v>242</v>
      </c>
      <c r="N121" s="131">
        <v>2</v>
      </c>
      <c r="O121" s="135">
        <v>1.0416666666666667E-3</v>
      </c>
    </row>
    <row r="122" spans="1:15" s="123" customFormat="1" ht="54" customHeight="1" x14ac:dyDescent="0.2">
      <c r="A122" s="160"/>
      <c r="B122" s="130" t="s">
        <v>24</v>
      </c>
      <c r="C122" s="131" t="s">
        <v>455</v>
      </c>
      <c r="D122" s="131" t="s">
        <v>456</v>
      </c>
      <c r="E122" s="131" t="s">
        <v>21</v>
      </c>
      <c r="F122" s="131"/>
      <c r="G122" s="131"/>
      <c r="H122" s="147"/>
      <c r="I122" s="134" t="s">
        <v>139</v>
      </c>
      <c r="J122" s="134" t="s">
        <v>61</v>
      </c>
      <c r="K122" s="134">
        <v>0</v>
      </c>
      <c r="L122" s="134" t="s">
        <v>457</v>
      </c>
      <c r="M122" s="134" t="s">
        <v>242</v>
      </c>
      <c r="N122" s="131">
        <v>1</v>
      </c>
      <c r="O122" s="135">
        <v>1.0416666666666667E-3</v>
      </c>
    </row>
    <row r="123" spans="1:15" s="123" customFormat="1" ht="54" customHeight="1" x14ac:dyDescent="0.2">
      <c r="A123" s="160"/>
      <c r="B123" s="130" t="s">
        <v>24</v>
      </c>
      <c r="C123" s="131" t="s">
        <v>458</v>
      </c>
      <c r="D123" s="131" t="s">
        <v>459</v>
      </c>
      <c r="E123" s="131" t="s">
        <v>21</v>
      </c>
      <c r="F123" s="131"/>
      <c r="G123" s="131"/>
      <c r="H123" s="147"/>
      <c r="I123" s="134" t="s">
        <v>139</v>
      </c>
      <c r="J123" s="134" t="s">
        <v>61</v>
      </c>
      <c r="K123" s="134">
        <v>0</v>
      </c>
      <c r="L123" s="134" t="s">
        <v>460</v>
      </c>
      <c r="M123" s="134" t="s">
        <v>153</v>
      </c>
      <c r="N123" s="131">
        <v>1</v>
      </c>
      <c r="O123" s="135">
        <v>1.0416666666666667E-3</v>
      </c>
    </row>
    <row r="124" spans="1:15" s="123" customFormat="1" ht="54" customHeight="1" x14ac:dyDescent="0.2">
      <c r="A124" s="160"/>
      <c r="B124" s="130" t="s">
        <v>24</v>
      </c>
      <c r="C124" s="131" t="s">
        <v>461</v>
      </c>
      <c r="D124" s="131" t="s">
        <v>462</v>
      </c>
      <c r="E124" s="131" t="s">
        <v>21</v>
      </c>
      <c r="F124" s="131"/>
      <c r="G124" s="131"/>
      <c r="H124" s="147"/>
      <c r="I124" s="134" t="s">
        <v>93</v>
      </c>
      <c r="J124" s="134" t="s">
        <v>61</v>
      </c>
      <c r="K124" s="134">
        <v>0</v>
      </c>
      <c r="L124" s="134" t="s">
        <v>463</v>
      </c>
      <c r="M124" s="134" t="s">
        <v>464</v>
      </c>
      <c r="N124" s="131">
        <v>2</v>
      </c>
      <c r="O124" s="135">
        <v>6.9444444444444447E-4</v>
      </c>
    </row>
    <row r="125" spans="1:15" s="123" customFormat="1" ht="54" customHeight="1" x14ac:dyDescent="0.2">
      <c r="A125" s="160"/>
      <c r="B125" s="130" t="s">
        <v>24</v>
      </c>
      <c r="C125" s="131" t="s">
        <v>465</v>
      </c>
      <c r="D125" s="131" t="s">
        <v>466</v>
      </c>
      <c r="E125" s="131" t="s">
        <v>21</v>
      </c>
      <c r="F125" s="131"/>
      <c r="G125" s="131"/>
      <c r="H125" s="147"/>
      <c r="I125" s="134" t="s">
        <v>93</v>
      </c>
      <c r="J125" s="134" t="s">
        <v>140</v>
      </c>
      <c r="K125" s="134">
        <v>0</v>
      </c>
      <c r="L125" s="134" t="s">
        <v>393</v>
      </c>
      <c r="M125" s="134" t="s">
        <v>114</v>
      </c>
      <c r="N125" s="131">
        <v>3</v>
      </c>
      <c r="O125" s="135">
        <v>1.736111111111111E-3</v>
      </c>
    </row>
    <row r="126" spans="1:15" s="123" customFormat="1" ht="54" customHeight="1" x14ac:dyDescent="0.2">
      <c r="A126" s="160"/>
      <c r="B126" s="164" t="s">
        <v>24</v>
      </c>
      <c r="C126" s="165" t="s">
        <v>467</v>
      </c>
      <c r="D126" s="165" t="s">
        <v>468</v>
      </c>
      <c r="E126" s="131" t="s">
        <v>21</v>
      </c>
      <c r="F126" s="131"/>
      <c r="G126" s="131"/>
      <c r="H126" s="147"/>
      <c r="I126" s="134" t="s">
        <v>60</v>
      </c>
      <c r="J126" s="134" t="s">
        <v>61</v>
      </c>
      <c r="K126" s="134">
        <v>0</v>
      </c>
      <c r="L126" s="134">
        <v>0</v>
      </c>
      <c r="M126" s="134" t="s">
        <v>153</v>
      </c>
      <c r="N126" s="131">
        <v>2</v>
      </c>
      <c r="O126" s="135">
        <v>6.9444444444444447E-4</v>
      </c>
    </row>
    <row r="127" spans="1:15" s="123" customFormat="1" ht="54" customHeight="1" thickBot="1" x14ac:dyDescent="0.25">
      <c r="A127" s="148"/>
      <c r="B127" s="195" t="s">
        <v>24</v>
      </c>
      <c r="C127" s="196" t="s">
        <v>469</v>
      </c>
      <c r="D127" s="196" t="s">
        <v>470</v>
      </c>
      <c r="E127" s="140" t="s">
        <v>21</v>
      </c>
      <c r="F127" s="140"/>
      <c r="G127" s="140"/>
      <c r="H127" s="162"/>
      <c r="I127" s="143" t="s">
        <v>60</v>
      </c>
      <c r="J127" s="143" t="s">
        <v>61</v>
      </c>
      <c r="K127" s="143">
        <v>0</v>
      </c>
      <c r="L127" s="143" t="s">
        <v>471</v>
      </c>
      <c r="M127" s="143" t="s">
        <v>472</v>
      </c>
      <c r="N127" s="140">
        <v>2</v>
      </c>
      <c r="O127" s="144">
        <v>6.9444444444444447E-4</v>
      </c>
    </row>
    <row r="128" spans="1:15" s="123" customFormat="1" ht="66" customHeight="1" thickTop="1" thickBot="1" x14ac:dyDescent="0.25">
      <c r="A128" s="149"/>
      <c r="B128" s="150" t="s">
        <v>473</v>
      </c>
      <c r="C128" s="151" t="s">
        <v>474</v>
      </c>
      <c r="D128" s="151" t="s">
        <v>475</v>
      </c>
      <c r="E128" s="154" t="s">
        <v>21</v>
      </c>
      <c r="F128" s="154"/>
      <c r="G128" s="154"/>
      <c r="H128" s="180"/>
      <c r="I128" s="151" t="s">
        <v>93</v>
      </c>
      <c r="J128" s="151" t="s">
        <v>140</v>
      </c>
      <c r="K128" s="151">
        <v>0</v>
      </c>
      <c r="L128" s="151" t="s">
        <v>476</v>
      </c>
      <c r="M128" s="151" t="s">
        <v>477</v>
      </c>
      <c r="N128" s="154">
        <v>2</v>
      </c>
      <c r="O128" s="181">
        <v>2.0013888888888891</v>
      </c>
    </row>
    <row r="129" spans="2:10" s="123" customFormat="1" x14ac:dyDescent="0.2">
      <c r="B129" s="156"/>
      <c r="I129" s="156"/>
      <c r="J129" s="156"/>
    </row>
    <row r="130" spans="2:10" s="123" customFormat="1" x14ac:dyDescent="0.2">
      <c r="B130" s="156"/>
      <c r="I130" s="156"/>
      <c r="J130" s="156"/>
    </row>
    <row r="131" spans="2:10" s="123" customFormat="1" x14ac:dyDescent="0.2">
      <c r="B131" s="156"/>
      <c r="I131" s="156"/>
      <c r="J131" s="156"/>
    </row>
    <row r="132" spans="2:10" s="123" customFormat="1" x14ac:dyDescent="0.2">
      <c r="B132" s="156"/>
      <c r="I132" s="156"/>
      <c r="J132" s="156"/>
    </row>
    <row r="133" spans="2:10" s="123" customFormat="1" x14ac:dyDescent="0.2">
      <c r="B133" s="156"/>
      <c r="I133" s="156"/>
      <c r="J133" s="156"/>
    </row>
    <row r="134" spans="2:10" s="123" customFormat="1" x14ac:dyDescent="0.2">
      <c r="B134" s="156"/>
      <c r="I134" s="156"/>
      <c r="J134" s="156"/>
    </row>
    <row r="135" spans="2:10" s="123" customFormat="1" x14ac:dyDescent="0.2">
      <c r="B135" s="156"/>
      <c r="I135" s="156"/>
      <c r="J135" s="156"/>
    </row>
    <row r="136" spans="2:10" s="123" customFormat="1" x14ac:dyDescent="0.2">
      <c r="B136" s="156"/>
      <c r="I136" s="156"/>
      <c r="J136" s="156"/>
    </row>
    <row r="137" spans="2:10" s="123" customFormat="1" x14ac:dyDescent="0.2">
      <c r="B137" s="156"/>
      <c r="I137" s="156"/>
      <c r="J137" s="156"/>
    </row>
    <row r="138" spans="2:10" s="123" customFormat="1" x14ac:dyDescent="0.2">
      <c r="B138" s="156"/>
      <c r="I138" s="156"/>
      <c r="J138" s="156"/>
    </row>
    <row r="139" spans="2:10" s="123" customFormat="1" x14ac:dyDescent="0.2">
      <c r="B139" s="156"/>
      <c r="I139" s="156"/>
      <c r="J139" s="156"/>
    </row>
    <row r="140" spans="2:10" s="123" customFormat="1" x14ac:dyDescent="0.2">
      <c r="B140" s="156"/>
      <c r="I140" s="156"/>
      <c r="J140" s="156"/>
    </row>
    <row r="141" spans="2:10" s="123" customFormat="1" x14ac:dyDescent="0.2">
      <c r="B141" s="156"/>
      <c r="I141" s="156"/>
      <c r="J141" s="156"/>
    </row>
    <row r="142" spans="2:10" s="123" customFormat="1" x14ac:dyDescent="0.2">
      <c r="B142" s="156"/>
      <c r="I142" s="156"/>
      <c r="J142" s="156"/>
    </row>
    <row r="143" spans="2:10" s="123" customFormat="1" x14ac:dyDescent="0.2">
      <c r="B143" s="156"/>
      <c r="I143" s="156"/>
      <c r="J143" s="156"/>
    </row>
    <row r="144" spans="2:10" s="123" customFormat="1" x14ac:dyDescent="0.2">
      <c r="B144" s="156"/>
      <c r="I144" s="156"/>
      <c r="J144" s="156"/>
    </row>
    <row r="145" spans="2:10" s="123" customFormat="1" x14ac:dyDescent="0.2">
      <c r="B145" s="156"/>
      <c r="I145" s="156"/>
      <c r="J145" s="156"/>
    </row>
    <row r="146" spans="2:10" s="123" customFormat="1" x14ac:dyDescent="0.2">
      <c r="B146" s="156"/>
      <c r="I146" s="156"/>
      <c r="J146" s="156"/>
    </row>
    <row r="147" spans="2:10" s="123" customFormat="1" x14ac:dyDescent="0.2">
      <c r="B147" s="156"/>
      <c r="I147" s="156"/>
      <c r="J147" s="156"/>
    </row>
    <row r="148" spans="2:10" s="123" customFormat="1" x14ac:dyDescent="0.2">
      <c r="B148" s="156"/>
      <c r="I148" s="156"/>
      <c r="J148" s="156"/>
    </row>
    <row r="149" spans="2:10" s="123" customFormat="1" x14ac:dyDescent="0.2">
      <c r="B149" s="156"/>
      <c r="I149" s="156"/>
      <c r="J149" s="156"/>
    </row>
    <row r="150" spans="2:10" s="123" customFormat="1" x14ac:dyDescent="0.2">
      <c r="B150" s="156"/>
      <c r="I150" s="156"/>
      <c r="J150" s="156"/>
    </row>
    <row r="151" spans="2:10" s="123" customFormat="1" x14ac:dyDescent="0.2">
      <c r="B151" s="156"/>
      <c r="I151" s="156"/>
      <c r="J151" s="156"/>
    </row>
    <row r="152" spans="2:10" s="123" customFormat="1" x14ac:dyDescent="0.2">
      <c r="B152" s="156"/>
      <c r="I152" s="156"/>
      <c r="J152" s="156"/>
    </row>
    <row r="153" spans="2:10" s="123" customFormat="1" x14ac:dyDescent="0.2">
      <c r="B153" s="156"/>
      <c r="I153" s="156"/>
      <c r="J153" s="156"/>
    </row>
    <row r="154" spans="2:10" s="123" customFormat="1" x14ac:dyDescent="0.2">
      <c r="B154" s="156"/>
      <c r="I154" s="156"/>
      <c r="J154" s="156"/>
    </row>
    <row r="155" spans="2:10" s="123" customFormat="1" x14ac:dyDescent="0.2">
      <c r="B155" s="156"/>
      <c r="I155" s="156"/>
      <c r="J155" s="156"/>
    </row>
    <row r="156" spans="2:10" s="123" customFormat="1" x14ac:dyDescent="0.2">
      <c r="B156" s="156"/>
      <c r="I156" s="156"/>
      <c r="J156" s="156"/>
    </row>
    <row r="157" spans="2:10" s="123" customFormat="1" x14ac:dyDescent="0.2">
      <c r="B157" s="156"/>
      <c r="I157" s="156"/>
      <c r="J157" s="156"/>
    </row>
    <row r="158" spans="2:10" s="123" customFormat="1" x14ac:dyDescent="0.2">
      <c r="B158" s="156"/>
      <c r="I158" s="156"/>
      <c r="J158" s="156"/>
    </row>
    <row r="159" spans="2:10" s="123" customFormat="1" x14ac:dyDescent="0.2">
      <c r="B159" s="156"/>
      <c r="I159" s="156"/>
      <c r="J159" s="156"/>
    </row>
    <row r="160" spans="2:10" s="123" customFormat="1" x14ac:dyDescent="0.2">
      <c r="B160" s="156"/>
      <c r="I160" s="156"/>
      <c r="J160" s="156"/>
    </row>
    <row r="161" spans="2:10" s="123" customFormat="1" x14ac:dyDescent="0.2">
      <c r="B161" s="156"/>
      <c r="I161" s="156"/>
      <c r="J161" s="156"/>
    </row>
    <row r="162" spans="2:10" s="123" customFormat="1" x14ac:dyDescent="0.2">
      <c r="B162" s="156"/>
      <c r="I162" s="156"/>
      <c r="J162" s="156"/>
    </row>
    <row r="163" spans="2:10" s="123" customFormat="1" x14ac:dyDescent="0.2">
      <c r="B163" s="156"/>
      <c r="I163" s="156"/>
      <c r="J163" s="156"/>
    </row>
    <row r="164" spans="2:10" s="123" customFormat="1" x14ac:dyDescent="0.2">
      <c r="B164" s="156"/>
      <c r="I164" s="156"/>
      <c r="J164" s="156"/>
    </row>
    <row r="165" spans="2:10" s="123" customFormat="1" x14ac:dyDescent="0.2">
      <c r="B165" s="156"/>
      <c r="I165" s="156"/>
      <c r="J165" s="156"/>
    </row>
    <row r="166" spans="2:10" s="123" customFormat="1" x14ac:dyDescent="0.2">
      <c r="B166" s="156"/>
      <c r="I166" s="156"/>
      <c r="J166" s="156"/>
    </row>
    <row r="167" spans="2:10" s="123" customFormat="1" x14ac:dyDescent="0.2">
      <c r="B167" s="156"/>
      <c r="I167" s="156"/>
      <c r="J167" s="156"/>
    </row>
    <row r="168" spans="2:10" s="123" customFormat="1" x14ac:dyDescent="0.2">
      <c r="B168" s="156"/>
      <c r="I168" s="156"/>
      <c r="J168" s="156"/>
    </row>
    <row r="169" spans="2:10" s="123" customFormat="1" x14ac:dyDescent="0.2">
      <c r="B169" s="156"/>
      <c r="I169" s="156"/>
      <c r="J169" s="156"/>
    </row>
    <row r="170" spans="2:10" s="123" customFormat="1" x14ac:dyDescent="0.2">
      <c r="B170" s="156"/>
      <c r="I170" s="156"/>
      <c r="J170" s="156"/>
    </row>
    <row r="171" spans="2:10" s="123" customFormat="1" x14ac:dyDescent="0.2">
      <c r="B171" s="156"/>
      <c r="I171" s="156"/>
      <c r="J171" s="156"/>
    </row>
    <row r="172" spans="2:10" s="123" customFormat="1" x14ac:dyDescent="0.2">
      <c r="B172" s="156"/>
      <c r="I172" s="156"/>
      <c r="J172" s="156"/>
    </row>
    <row r="173" spans="2:10" s="123" customFormat="1" x14ac:dyDescent="0.2">
      <c r="B173" s="156"/>
      <c r="I173" s="156"/>
      <c r="J173" s="156"/>
    </row>
    <row r="174" spans="2:10" s="123" customFormat="1" x14ac:dyDescent="0.2">
      <c r="B174" s="156"/>
      <c r="I174" s="156"/>
      <c r="J174" s="156"/>
    </row>
    <row r="175" spans="2:10" s="123" customFormat="1" x14ac:dyDescent="0.2">
      <c r="B175" s="156"/>
      <c r="I175" s="156"/>
      <c r="J175" s="156"/>
    </row>
    <row r="176" spans="2:10" s="123" customFormat="1" x14ac:dyDescent="0.2">
      <c r="B176" s="156"/>
      <c r="I176" s="156"/>
      <c r="J176" s="156"/>
    </row>
    <row r="177" spans="2:10" s="123" customFormat="1" x14ac:dyDescent="0.2">
      <c r="B177" s="156"/>
      <c r="I177" s="156"/>
      <c r="J177" s="156"/>
    </row>
    <row r="178" spans="2:10" s="123" customFormat="1" x14ac:dyDescent="0.2">
      <c r="B178" s="156"/>
      <c r="I178" s="156"/>
      <c r="J178" s="156"/>
    </row>
    <row r="179" spans="2:10" s="123" customFormat="1" x14ac:dyDescent="0.2">
      <c r="B179" s="156"/>
      <c r="I179" s="156"/>
      <c r="J179" s="156"/>
    </row>
    <row r="180" spans="2:10" s="123" customFormat="1" x14ac:dyDescent="0.2">
      <c r="B180" s="156"/>
      <c r="I180" s="156"/>
      <c r="J180" s="156"/>
    </row>
  </sheetData>
  <autoFilter ref="A2:J128" xr:uid="{BDC873B6-BD87-42BF-A896-28F9972148AE}"/>
  <phoneticPr fontId="7" type="noConversion"/>
  <conditionalFormatting sqref="C3:H22 C26:D51 N26:O128 E26:H41 H42 C64:D77 E43:H67 E71:H77 E68:F70 E80:H88 E78:F78 C53:D62 C52 C79:D88 C78 C90:D105 C107:D125 C106 G89:H89 E89:E91 E92:H128">
    <cfRule type="expression" dxfId="32" priority="28">
      <formula>AND(OR($F3="No",$F3=""), $E3= "Yes",$G3&lt;&gt;"",$H3&lt;&gt;"")</formula>
    </cfRule>
  </conditionalFormatting>
  <conditionalFormatting sqref="N3:O22">
    <cfRule type="expression" dxfId="31" priority="16">
      <formula>AND(OR($F3="No",$F3=""), $E3= "Yes",$G3&lt;&gt;"",$H3&lt;&gt;"")</formula>
    </cfRule>
  </conditionalFormatting>
  <conditionalFormatting sqref="N23:O25 C23:H24">
    <cfRule type="expression" dxfId="30" priority="13">
      <formula>AND(OR($E23="No",$E23=""), $D23= "Yes",$F23&lt;&gt;"",$G23&lt;&gt;"")</formula>
    </cfRule>
  </conditionalFormatting>
  <conditionalFormatting sqref="C25:D25">
    <cfRule type="expression" dxfId="29" priority="12">
      <formula>AND(OR($E25="No",$E25=""), $D25= "Yes",$F25&lt;&gt;"",$G25&lt;&gt;"")</formula>
    </cfRule>
  </conditionalFormatting>
  <conditionalFormatting sqref="G68:H70">
    <cfRule type="expression" dxfId="28" priority="10">
      <formula>AND(OR($E68="No",$E68=""), $F68= "Yes",$G68&lt;&gt;"",$H68&lt;&gt;"")</formula>
    </cfRule>
    <cfRule type="expression" dxfId="27" priority="11">
      <formula>AND(OR($F68="No",$F68=""), $E68= "Yes",$G68&lt;&gt;"",$H68&lt;&gt;"")</formula>
    </cfRule>
  </conditionalFormatting>
  <conditionalFormatting sqref="G78:H78">
    <cfRule type="expression" dxfId="26" priority="8">
      <formula>AND(OR($E78="No",$E78=""), $F78= "Yes",$G78&lt;&gt;"",$H78&lt;&gt;"")</formula>
    </cfRule>
    <cfRule type="expression" dxfId="25" priority="9">
      <formula>AND(OR($F78="No",$F78=""), $E78= "Yes",$G78&lt;&gt;"",$H78&lt;&gt;"")</formula>
    </cfRule>
  </conditionalFormatting>
  <conditionalFormatting sqref="E79:H79">
    <cfRule type="expression" dxfId="24" priority="7">
      <formula>AND(OR($F79="No",$F79=""), $E79= "Yes",$G79&lt;&gt;"",$H79&lt;&gt;"")</formula>
    </cfRule>
  </conditionalFormatting>
  <conditionalFormatting sqref="I3:M128">
    <cfRule type="expression" dxfId="23" priority="6">
      <formula>AND(OR($E3="No",$E3=""), $D3= "Yes",$F3&lt;&gt;"",$G3&lt;&gt;"")</formula>
    </cfRule>
  </conditionalFormatting>
  <conditionalFormatting sqref="D52">
    <cfRule type="expression" dxfId="22" priority="5">
      <formula>AND(OR($F52="No",$F52=""), $E52= "Yes",$G52&lt;&gt;"",$H52&lt;&gt;"")</formula>
    </cfRule>
  </conditionalFormatting>
  <conditionalFormatting sqref="D78">
    <cfRule type="expression" dxfId="21" priority="4">
      <formula>AND(OR($F78="No",$F78=""), $E78= "Yes",$G78&lt;&gt;"",$H78&lt;&gt;"")</formula>
    </cfRule>
  </conditionalFormatting>
  <conditionalFormatting sqref="C89:D89">
    <cfRule type="expression" dxfId="20" priority="2">
      <formula>AND(OR($E89="No",$E89=""), $F89= "Yes",$G89&lt;&gt;"",$H89&lt;&gt;"")</formula>
    </cfRule>
    <cfRule type="expression" dxfId="19" priority="3">
      <formula>AND(OR($F89="No",$F89=""), $E89= "Yes",$G89&lt;&gt;"",$H89&lt;&gt;"")</formula>
    </cfRule>
  </conditionalFormatting>
  <conditionalFormatting sqref="D106">
    <cfRule type="expression" dxfId="18" priority="1">
      <formula>AND(OR($F106="No",$F106=""), $E106= "Yes",$G106&lt;&gt;"",$H106&lt;&gt;"")</formula>
    </cfRule>
  </conditionalFormatting>
  <dataValidations count="1">
    <dataValidation type="list" allowBlank="1" showInputMessage="1" showErrorMessage="1" sqref="E3:E22 E26:E41 E23:F24 K129:K1048576 K1:K2 E43:E128" xr:uid="{6C641669-B91B-4649-92B5-E637A1260F09}">
      <formula1>"Yes, No"</formula1>
    </dataValidation>
  </dataValidations>
  <pageMargins left="0.7" right="0.7" top="0.75" bottom="0.75" header="0.3" footer="0.3"/>
  <pageSetup paperSize="8" scale="6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866</v>
      </c>
      <c r="D1" s="5"/>
      <c r="E1" s="5"/>
      <c r="F1" s="5"/>
      <c r="G1" s="5"/>
      <c r="H1" s="5"/>
      <c r="I1" s="5"/>
    </row>
    <row r="2" spans="1:9" s="6" customFormat="1" ht="78.75" customHeight="1" thickBot="1" x14ac:dyDescent="0.25">
      <c r="A2" s="50" t="s">
        <v>41</v>
      </c>
      <c r="B2" s="50" t="s">
        <v>42</v>
      </c>
      <c r="C2" s="51" t="s">
        <v>43</v>
      </c>
      <c r="D2" s="52" t="s">
        <v>44</v>
      </c>
      <c r="E2" s="53" t="s">
        <v>23</v>
      </c>
      <c r="F2" s="53" t="s">
        <v>19</v>
      </c>
      <c r="G2" s="54" t="s">
        <v>45</v>
      </c>
      <c r="H2" s="55" t="s">
        <v>46</v>
      </c>
      <c r="I2" s="5"/>
    </row>
    <row r="3" spans="1:9" s="2" customFormat="1" ht="15.75" x14ac:dyDescent="0.25">
      <c r="A3" s="107">
        <v>6770</v>
      </c>
      <c r="B3" s="107" t="s">
        <v>13</v>
      </c>
      <c r="C3" s="108" t="s">
        <v>867</v>
      </c>
      <c r="D3" s="109" t="s">
        <v>867</v>
      </c>
      <c r="H3" s="17"/>
    </row>
    <row r="4" spans="1:9" s="2" customFormat="1" ht="15.75" x14ac:dyDescent="0.25">
      <c r="A4" s="107">
        <v>6800</v>
      </c>
      <c r="B4" s="107" t="s">
        <v>13</v>
      </c>
      <c r="C4" s="106" t="s">
        <v>868</v>
      </c>
      <c r="D4" s="110" t="s">
        <v>868</v>
      </c>
    </row>
    <row r="5" spans="1:9" s="2" customFormat="1" ht="15.75" x14ac:dyDescent="0.25">
      <c r="A5" s="107">
        <v>6790</v>
      </c>
      <c r="B5" s="107"/>
      <c r="C5" s="108" t="s">
        <v>869</v>
      </c>
      <c r="D5" s="109" t="s">
        <v>869</v>
      </c>
    </row>
    <row r="6" spans="1:9" s="2" customFormat="1" ht="15.75" x14ac:dyDescent="0.25">
      <c r="A6" s="107">
        <v>6820</v>
      </c>
      <c r="B6" s="107"/>
      <c r="C6" s="106" t="s">
        <v>870</v>
      </c>
      <c r="D6" s="110" t="s">
        <v>870</v>
      </c>
    </row>
    <row r="7" spans="1:9" s="2" customFormat="1" ht="15.75" x14ac:dyDescent="0.25">
      <c r="A7" s="107">
        <v>6830</v>
      </c>
      <c r="B7" s="107"/>
      <c r="C7" s="106" t="s">
        <v>871</v>
      </c>
      <c r="D7" s="110" t="s">
        <v>871</v>
      </c>
    </row>
    <row r="8" spans="1:9" s="2" customFormat="1" ht="15.75" x14ac:dyDescent="0.25">
      <c r="A8" s="107">
        <v>6850</v>
      </c>
      <c r="B8" s="107"/>
      <c r="C8" s="106" t="s">
        <v>872</v>
      </c>
      <c r="D8" s="110" t="s">
        <v>872</v>
      </c>
    </row>
    <row r="9" spans="1:9" x14ac:dyDescent="0.2">
      <c r="B9" s="111"/>
    </row>
    <row r="10" spans="1:9" x14ac:dyDescent="0.2">
      <c r="B10" s="111"/>
    </row>
    <row r="11" spans="1:9" x14ac:dyDescent="0.2">
      <c r="B11" s="111"/>
    </row>
    <row r="12" spans="1:9" x14ac:dyDescent="0.2">
      <c r="B12" s="112"/>
    </row>
    <row r="13" spans="1:9" x14ac:dyDescent="0.2">
      <c r="B13" s="112"/>
    </row>
    <row r="14" spans="1:9" x14ac:dyDescent="0.2">
      <c r="B14" s="111"/>
    </row>
    <row r="15" spans="1:9" x14ac:dyDescent="0.2">
      <c r="B15" s="111"/>
    </row>
    <row r="16" spans="1:9" x14ac:dyDescent="0.2">
      <c r="B16" s="112"/>
    </row>
    <row r="17" spans="2:2" x14ac:dyDescent="0.2">
      <c r="B17" s="111"/>
    </row>
    <row r="18" spans="2:2" x14ac:dyDescent="0.2">
      <c r="B18" s="111"/>
    </row>
    <row r="19" spans="2:2" x14ac:dyDescent="0.2">
      <c r="B19" s="111"/>
    </row>
    <row r="20" spans="2:2" x14ac:dyDescent="0.2">
      <c r="B20" s="111"/>
    </row>
    <row r="21" spans="2:2" x14ac:dyDescent="0.2">
      <c r="B21" s="111"/>
    </row>
    <row r="22" spans="2:2" x14ac:dyDescent="0.2">
      <c r="B22" s="111"/>
    </row>
    <row r="23" spans="2:2" x14ac:dyDescent="0.2">
      <c r="B23" s="111"/>
    </row>
    <row r="24" spans="2:2" x14ac:dyDescent="0.2">
      <c r="B24" s="111"/>
    </row>
    <row r="25" spans="2:2" x14ac:dyDescent="0.2">
      <c r="B25" s="111"/>
    </row>
    <row r="26" spans="2:2" x14ac:dyDescent="0.2">
      <c r="B26" s="111"/>
    </row>
    <row r="27" spans="2:2" x14ac:dyDescent="0.2">
      <c r="B27" s="111"/>
    </row>
    <row r="28" spans="2:2" x14ac:dyDescent="0.2">
      <c r="B28" s="111"/>
    </row>
    <row r="29" spans="2:2" x14ac:dyDescent="0.2">
      <c r="B29" s="111"/>
    </row>
    <row r="30" spans="2:2" x14ac:dyDescent="0.2">
      <c r="B30" s="112"/>
    </row>
    <row r="31" spans="2:2" x14ac:dyDescent="0.2">
      <c r="B31" s="112"/>
    </row>
    <row r="32" spans="2:2" x14ac:dyDescent="0.2">
      <c r="B32" s="112"/>
    </row>
    <row r="33" spans="2:2" x14ac:dyDescent="0.2">
      <c r="B33" s="111"/>
    </row>
    <row r="34" spans="2:2" x14ac:dyDescent="0.2">
      <c r="B34" s="111"/>
    </row>
    <row r="35" spans="2:2" x14ac:dyDescent="0.2">
      <c r="B35" s="111"/>
    </row>
    <row r="36" spans="2:2" x14ac:dyDescent="0.2">
      <c r="B36" s="111"/>
    </row>
    <row r="37" spans="2:2" x14ac:dyDescent="0.2">
      <c r="B37" s="111"/>
    </row>
    <row r="38" spans="2:2" x14ac:dyDescent="0.2">
      <c r="B38" s="111"/>
    </row>
    <row r="39" spans="2:2" x14ac:dyDescent="0.2">
      <c r="B39" s="111"/>
    </row>
    <row r="40" spans="2:2" x14ac:dyDescent="0.2">
      <c r="B40" s="111"/>
    </row>
    <row r="41" spans="2:2" x14ac:dyDescent="0.2">
      <c r="B41" s="111"/>
    </row>
    <row r="42" spans="2:2" x14ac:dyDescent="0.2">
      <c r="B42" s="111"/>
    </row>
    <row r="43" spans="2:2" x14ac:dyDescent="0.2">
      <c r="B43" s="111"/>
    </row>
    <row r="44" spans="2:2" x14ac:dyDescent="0.2">
      <c r="B44" s="112"/>
    </row>
    <row r="45" spans="2:2" x14ac:dyDescent="0.2">
      <c r="B45" s="111"/>
    </row>
    <row r="46" spans="2:2" x14ac:dyDescent="0.2">
      <c r="B46" s="111"/>
    </row>
    <row r="47" spans="2:2" x14ac:dyDescent="0.2">
      <c r="B47" s="111"/>
    </row>
    <row r="48" spans="2:2" x14ac:dyDescent="0.2">
      <c r="B48" s="112"/>
    </row>
    <row r="49" spans="2:2" x14ac:dyDescent="0.2">
      <c r="B49" s="112"/>
    </row>
    <row r="50" spans="2:2" x14ac:dyDescent="0.2">
      <c r="B50" s="112"/>
    </row>
    <row r="51" spans="2:2" x14ac:dyDescent="0.2">
      <c r="B51" s="112"/>
    </row>
    <row r="52" spans="2:2" x14ac:dyDescent="0.2">
      <c r="B52" s="112"/>
    </row>
    <row r="53" spans="2:2" x14ac:dyDescent="0.2">
      <c r="B53" s="112"/>
    </row>
    <row r="54" spans="2:2" x14ac:dyDescent="0.2">
      <c r="B54" s="112"/>
    </row>
    <row r="55" spans="2:2" x14ac:dyDescent="0.2">
      <c r="B55" s="112"/>
    </row>
    <row r="56" spans="2:2" x14ac:dyDescent="0.2">
      <c r="B56" s="112"/>
    </row>
    <row r="57" spans="2:2" x14ac:dyDescent="0.2">
      <c r="B57" s="112"/>
    </row>
    <row r="58" spans="2:2" x14ac:dyDescent="0.2">
      <c r="B58" s="112"/>
    </row>
    <row r="59" spans="2:2" x14ac:dyDescent="0.2">
      <c r="B59" s="112"/>
    </row>
    <row r="60" spans="2:2" x14ac:dyDescent="0.2">
      <c r="B60" s="112"/>
    </row>
    <row r="61" spans="2:2" x14ac:dyDescent="0.2">
      <c r="B61" s="112"/>
    </row>
    <row r="62" spans="2:2" x14ac:dyDescent="0.2">
      <c r="B62" s="112"/>
    </row>
    <row r="63" spans="2:2" x14ac:dyDescent="0.2">
      <c r="B63" s="112"/>
    </row>
    <row r="64" spans="2:2" x14ac:dyDescent="0.2">
      <c r="B64" s="112"/>
    </row>
    <row r="65" spans="2:2" x14ac:dyDescent="0.2">
      <c r="B65" s="112"/>
    </row>
    <row r="66" spans="2:2" x14ac:dyDescent="0.2">
      <c r="B66" s="112"/>
    </row>
    <row r="67" spans="2:2" x14ac:dyDescent="0.2">
      <c r="B67" s="112"/>
    </row>
    <row r="68" spans="2:2" x14ac:dyDescent="0.2">
      <c r="B68" s="112"/>
    </row>
    <row r="69" spans="2:2" x14ac:dyDescent="0.2">
      <c r="B69" s="112"/>
    </row>
    <row r="70" spans="2:2" x14ac:dyDescent="0.2">
      <c r="B70" s="111"/>
    </row>
    <row r="71" spans="2:2" x14ac:dyDescent="0.2">
      <c r="B71" s="111"/>
    </row>
    <row r="72" spans="2:2" x14ac:dyDescent="0.2">
      <c r="B72" s="111"/>
    </row>
    <row r="73" spans="2:2" x14ac:dyDescent="0.2">
      <c r="B73" s="111"/>
    </row>
    <row r="74" spans="2:2" x14ac:dyDescent="0.2">
      <c r="B74" s="111"/>
    </row>
    <row r="75" spans="2:2" x14ac:dyDescent="0.2">
      <c r="B75" s="111"/>
    </row>
    <row r="76" spans="2:2" x14ac:dyDescent="0.2">
      <c r="B76" s="111"/>
    </row>
    <row r="77" spans="2:2" x14ac:dyDescent="0.2">
      <c r="B77" s="111"/>
    </row>
    <row r="78" spans="2:2" x14ac:dyDescent="0.2">
      <c r="B78" s="111"/>
    </row>
    <row r="79" spans="2:2" x14ac:dyDescent="0.2">
      <c r="B79" s="111"/>
    </row>
    <row r="80" spans="2:2" x14ac:dyDescent="0.2">
      <c r="B80" s="111"/>
    </row>
    <row r="81" spans="2:2" x14ac:dyDescent="0.2">
      <c r="B81" s="111"/>
    </row>
    <row r="82" spans="2:2" x14ac:dyDescent="0.2">
      <c r="B82" s="111"/>
    </row>
    <row r="83" spans="2:2" x14ac:dyDescent="0.2">
      <c r="B83" s="111"/>
    </row>
    <row r="84" spans="2:2" x14ac:dyDescent="0.2">
      <c r="B84" s="111"/>
    </row>
    <row r="85" spans="2:2" x14ac:dyDescent="0.2">
      <c r="B85" s="111"/>
    </row>
    <row r="86" spans="2:2" x14ac:dyDescent="0.2">
      <c r="B86" s="111"/>
    </row>
    <row r="87" spans="2:2" x14ac:dyDescent="0.2">
      <c r="B87" s="111"/>
    </row>
    <row r="88" spans="2:2" x14ac:dyDescent="0.2">
      <c r="B88" s="111"/>
    </row>
    <row r="89" spans="2:2" x14ac:dyDescent="0.2">
      <c r="B89" s="111"/>
    </row>
    <row r="90" spans="2:2" x14ac:dyDescent="0.2">
      <c r="B90" s="111"/>
    </row>
    <row r="91" spans="2:2" x14ac:dyDescent="0.2">
      <c r="B91" s="111"/>
    </row>
    <row r="92" spans="2:2" x14ac:dyDescent="0.2">
      <c r="B92" s="111"/>
    </row>
    <row r="93" spans="2:2" x14ac:dyDescent="0.2">
      <c r="B93" s="111"/>
    </row>
    <row r="94" spans="2:2" x14ac:dyDescent="0.2">
      <c r="B94" s="111"/>
    </row>
  </sheetData>
  <autoFilter ref="A2:G2" xr:uid="{F2235893-BC3A-4B55-9412-E1C6071DB78D}"/>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3.xml><?xml version="1.0" encoding="utf-8"?>
<ds:datastoreItem xmlns:ds="http://schemas.openxmlformats.org/officeDocument/2006/customXml" ds:itemID="{F270890B-8AB7-4E04-A6EE-F77CD441719E}">
  <ds:schemaRefs>
    <ds:schemaRef ds:uri="http://purl.org/dc/elements/1.1/"/>
    <ds:schemaRef ds:uri="aa12a5a9-6d4c-4ce8-9ebd-fc4098eff306"/>
    <ds:schemaRef ds:uri="98fadb18-abe0-4def-b0b0-9b672b1d5a2b"/>
    <ds:schemaRef ds:uri="http://schemas.microsoft.com/office/2006/documentManagement/types"/>
    <ds:schemaRef ds:uri="http://schemas.openxmlformats.org/package/2006/metadata/core-properties"/>
    <ds:schemaRef ds:uri="http://purl.org/dc/dcmitype/"/>
    <ds:schemaRef ds:uri="http://schemas.microsoft.com/office/infopath/2007/PartnerControls"/>
    <ds:schemaRef ds:uri="http://schemas.microsoft.com/office/2006/metadata/properties"/>
    <ds:schemaRef ds:uri="801ea4e6-356c-4d90-aef9-664fc2866395"/>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DM 3 Car</vt:lpstr>
      <vt:lpstr>Trailer 3 Car</vt:lpstr>
      <vt:lpstr>UNDM 3 Car</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2025-11-27T10:48:23Z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