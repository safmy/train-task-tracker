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comments3.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23"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3 - T32 - T62 - Program Lift (P1, P2, P3, P3.1, P3.2 P3.3 &amp; Catch Back))/T32 - (Units 96123 and 96004)/05 Work To Sheets TFOS/"/>
    </mc:Choice>
  </mc:AlternateContent>
  <xr:revisionPtr revIDLastSave="2443" documentId="13_ncr:1_{9664C371-C6A0-4A19-B497-09D2638843BD}" xr6:coauthVersionLast="47" xr6:coauthVersionMax="47" xr10:uidLastSave="{2D138BA9-3038-488D-ABE3-7D875D3339F7}"/>
  <bookViews>
    <workbookView xWindow="-120" yWindow="-120" windowWidth="29040" windowHeight="15840" firstSheet="7" activeTab="2" xr2:uid="{2DAC63F3-FB17-4143-A7E7-F1A7BBA96BF5}"/>
  </bookViews>
  <sheets>
    <sheet name="Summary" sheetId="1" r:id="rId1"/>
    <sheet name="TaskPrint" sheetId="115" r:id="rId2"/>
    <sheet name="DM 3 Car" sheetId="2" r:id="rId3"/>
    <sheet name="Trailer 3 Car" sheetId="3" r:id="rId4"/>
    <sheet name="UNDM 3 Car" sheetId="4" r:id="rId5"/>
    <sheet name="UNDM 4 Car" sheetId="8" r:id="rId6"/>
    <sheet name="Special Trailer 4 Car" sheetId="7" r:id="rId7"/>
    <sheet name="Trailer 4 Car" sheetId="6" r:id="rId8"/>
    <sheet name="DM 4 Car" sheetId="5" r:id="rId9"/>
    <sheet name="Train Tests" sheetId="9" r:id="rId10"/>
  </sheets>
  <definedNames>
    <definedName name="_xlnm._FilterDatabase" localSheetId="2" hidden="1">'DM 3 Car'!$A$2:$O$128</definedName>
    <definedName name="_xlnm._FilterDatabase" localSheetId="8" hidden="1">'DM 4 Car'!$A$2:$O$128</definedName>
    <definedName name="_xlnm._FilterDatabase" localSheetId="6" hidden="1">'Special Trailer 4 Car'!$A$2:$J$42</definedName>
    <definedName name="_xlnm._FilterDatabase" localSheetId="3" hidden="1">'Trailer 3 Car'!$A$2:$L$59</definedName>
    <definedName name="_xlnm._FilterDatabase" localSheetId="7" hidden="1">'Trailer 4 Car'!$A$2:$P$60</definedName>
    <definedName name="_xlnm._FilterDatabase" localSheetId="9" hidden="1">'Train Tests'!$A$2:$G$2</definedName>
    <definedName name="_xlnm._FilterDatabase" localSheetId="4" hidden="1">'UNDM 3 Car'!$A$2:$J$88</definedName>
    <definedName name="_xlnm._FilterDatabase" localSheetId="5" hidden="1">'UNDM 4 Car'!$A$2:$J$88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6" l="1"/>
  <c r="G42" i="6"/>
  <c r="H42" i="6"/>
  <c r="H34" i="7"/>
  <c r="F35" i="7"/>
  <c r="G35" i="7"/>
  <c r="H35" i="7"/>
  <c r="F41" i="3"/>
  <c r="G41" i="3"/>
  <c r="H41" i="3"/>
  <c r="F43" i="3"/>
  <c r="G43" i="3"/>
  <c r="H43" i="3"/>
  <c r="H23" i="1"/>
  <c r="H24" i="1"/>
  <c r="K24" i="1"/>
  <c r="K23" i="1"/>
  <c r="K22" i="1" a="1"/>
  <c r="K22" i="1" s="1"/>
  <c r="J24" i="1"/>
  <c r="J23" i="1"/>
  <c r="J22" i="1" a="1"/>
  <c r="J22" i="1" s="1"/>
  <c r="I24" i="1"/>
  <c r="I23" i="1"/>
  <c r="I22" i="1" a="1"/>
  <c r="I22" i="1" s="1"/>
  <c r="G24" i="1"/>
  <c r="G23" i="1"/>
  <c r="G22" i="1" a="1"/>
  <c r="G22" i="1" s="1"/>
  <c r="F24" i="1"/>
  <c r="F23" i="1"/>
  <c r="F22" i="1" a="1"/>
  <c r="F22" i="1" s="1"/>
  <c r="E24" i="1"/>
  <c r="E22" i="1" a="1"/>
  <c r="E22" i="1" s="1"/>
  <c r="E23" i="1"/>
  <c r="H22" i="1" l="1" a="1"/>
  <c r="H22" i="1" s="1"/>
  <c r="I21" i="1"/>
  <c r="D24" i="1"/>
  <c r="D23" i="1"/>
  <c r="D22" i="1" a="1"/>
  <c r="D22" i="1" s="1"/>
  <c r="C24" i="1"/>
  <c r="C23" i="1"/>
  <c r="C22" i="1" a="1"/>
  <c r="C22" i="1" s="1"/>
  <c r="B24" i="1"/>
  <c r="B23" i="1"/>
  <c r="B22" i="1" a="1"/>
  <c r="B22" i="1" s="1"/>
  <c r="K21" i="1"/>
  <c r="J21" i="1"/>
  <c r="H21" i="1"/>
  <c r="G21" i="1"/>
  <c r="F21" i="1"/>
  <c r="E21" i="1"/>
  <c r="D21" i="1"/>
  <c r="C21" i="1"/>
  <c r="B21" i="1"/>
  <c r="F5" i="1"/>
  <c r="F6" i="1"/>
  <c r="F7" i="1"/>
  <c r="F8" i="1"/>
  <c r="F9" i="1"/>
  <c r="L21" i="1"/>
  <c r="G9" i="1"/>
  <c r="G8" i="1"/>
  <c r="G7" i="1"/>
  <c r="G6" i="1"/>
  <c r="H6" i="1" s="1"/>
  <c r="G5" i="1"/>
  <c r="H5" i="1" s="1"/>
  <c r="B25" i="1" l="1"/>
  <c r="H7" i="1"/>
  <c r="H8" i="1"/>
  <c r="H9" i="1"/>
  <c r="K25" i="1" l="1"/>
  <c r="F25" i="1"/>
  <c r="C25" i="1"/>
  <c r="I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tc={92EE1AE6-0EF1-4FAE-9EE3-99F65CE85D75}</author>
  </authors>
  <commentList>
    <comment ref="C41" authorId="0" shapeId="0" xr:uid="{92EE1AE6-0EF1-4FAE-9EE3-99F65CE85D75}">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Deghyes Taha</author>
    <author>Mohammedmokeem Akhtar</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 ref="E65" authorId="1" shapeId="0" xr:uid="{4F4671AD-4DA5-4326-889B-22C50CC046EA}">
      <text>
        <r>
          <rPr>
            <sz val="12"/>
            <color theme="1"/>
            <rFont val="Arial"/>
            <family val="2"/>
          </rPr>
          <t>Mohammedmokeem Akhtar:
REMOVED AND REFITTED (NOT OVERHAULED) FOR NDT ON CAR BODY &amp; TO REMOVE AND REPLACE ANTI-CLIMB BUFFER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Mohammedmokeem Akhtar</author>
  </authors>
  <commentList>
    <comment ref="E65" authorId="0" shapeId="0" xr:uid="{5A64BACA-632B-400A-86FF-608867B38A58}">
      <text>
        <r>
          <rPr>
            <sz val="12"/>
            <color theme="1"/>
            <rFont val="Arial"/>
            <family val="2"/>
          </rPr>
          <t>Mohammedmokeem Akhtar:
REMOVED AND REFITTED (NOT OVERHAULED) FOR NDT ON CAR BODY &amp; TO REMOVE AND REPLACE ANTI-CLIMB BUFFER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<sst xmlns="http://schemas.openxmlformats.org/spreadsheetml/2006/main" count="5640" uniqueCount="864">
  <si>
    <t>Overhaul Train</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</si>
  <si>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</si>
  <si>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</si>
  <si>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</si>
  <si>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</si>
  <si>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</si>
  <si>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</si>
  <si>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</si>
  <si>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</si>
  <si>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</si>
  <si>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</si>
  <si>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</si>
  <si>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</si>
  <si>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</si>
  <si>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</si>
  <si>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</si>
  <si>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</si>
  <si>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</si>
  <si>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</si>
  <si>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</si>
  <si>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</si>
  <si>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</si>
  <si>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</si>
  <si>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</si>
  <si>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</si>
  <si>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</si>
  <si>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Does unit have De-Icer</t>
  </si>
  <si>
    <t>DM 3 Car</t>
  </si>
  <si>
    <t>Trailer 3 Car</t>
  </si>
  <si>
    <t>UNDM 3 Car</t>
  </si>
  <si>
    <t>DM 4 Car</t>
  </si>
  <si>
    <t>Trailer 4 Car</t>
  </si>
  <si>
    <t>Special Trailer 4 Car</t>
  </si>
  <si>
    <t>UNDM 4 Car</t>
  </si>
  <si>
    <t>De-Icer DM</t>
  </si>
  <si>
    <t>De-Icer Trailer</t>
  </si>
  <si>
    <t>De-Icer UNDM</t>
  </si>
  <si>
    <t>Final Tests</t>
  </si>
  <si>
    <t>Total</t>
  </si>
  <si>
    <t>Outstanding</t>
  </si>
  <si>
    <t>Unit No: 96</t>
  </si>
  <si>
    <t>Job Task - Task #</t>
  </si>
  <si>
    <t>Phase</t>
  </si>
  <si>
    <t>Task</t>
  </si>
  <si>
    <t>Description</t>
  </si>
  <si>
    <t>Completed By</t>
  </si>
  <si>
    <t>Date</t>
  </si>
  <si>
    <t>unit</t>
  </si>
  <si>
    <t>Unit No: 96004</t>
  </si>
  <si>
    <t>Overhaul/IROC</t>
  </si>
  <si>
    <t>Position</t>
  </si>
  <si>
    <t>Scope Delayed</t>
  </si>
  <si>
    <t>WI Reference</t>
  </si>
  <si>
    <t>Comments</t>
  </si>
  <si>
    <t>Number Of People</t>
  </si>
  <si>
    <t>Total Hours</t>
  </si>
  <si>
    <t>DM UNDERFRAME REMOVE/REFIT MORS SMITT RELAYS</t>
  </si>
  <si>
    <t>REPLACE 26 RELAYS</t>
  </si>
  <si>
    <t>TFOS</t>
  </si>
  <si>
    <t>Pull Forward</t>
  </si>
  <si>
    <t>REPLACE</t>
  </si>
  <si>
    <t>ATM</t>
  </si>
  <si>
    <t>JHOPL-WI-17-184
JHOPL-WI-17-135</t>
  </si>
  <si>
    <t>MORS SMITT</t>
  </si>
  <si>
    <t>DM CAB DRIVERS SIDE REMOVE/REFIT EMERGENCY LIGHT INVERTER</t>
  </si>
  <si>
    <t>REPLACE 1 EMERGENCY LIGHT INVERTER</t>
  </si>
  <si>
    <t>JHOPL-WI-17-057</t>
  </si>
  <si>
    <t>LPA</t>
  </si>
  <si>
    <t>DM CAB NON DRIVERS SIDE REMOVE/REFIT EMERGENCY LIGHT INVERTER</t>
  </si>
  <si>
    <t>DM  SALOON REMOVE/REFIT EMERGENCY LIGHT INVERTERS</t>
  </si>
  <si>
    <t>REPLACE 5 EMERGENCY LIGHT INVERTERS</t>
  </si>
  <si>
    <t>DM CAB NON DRIVERS SIDE REMOVE/REFIT SIEMENS RELAYS</t>
  </si>
  <si>
    <t>REPLACE 8 RELAYS</t>
  </si>
  <si>
    <t>JHOPL-WI-17-185</t>
  </si>
  <si>
    <t>SIEMENS</t>
  </si>
  <si>
    <t>DM CAB DRIVERS SIDE REMOVE/REFIT SIEMENS RELAYS</t>
  </si>
  <si>
    <t>REPLACE 2  RELAYS</t>
  </si>
  <si>
    <t>DM CAR REMOVE/REFIT 4 POLE CIRCUIT BREAKER</t>
  </si>
  <si>
    <t>REPLACE 4 POLE CIRCUIT BREAKER</t>
  </si>
  <si>
    <t>JHOPL-WI-17-059</t>
  </si>
  <si>
    <t>DM CAB DRIVERS SIDE REMOVE/REFIT ROTARY SWITCHES</t>
  </si>
  <si>
    <t>REPLACE 8 ROTARY SWITCHES</t>
  </si>
  <si>
    <t>JHOPL-WI-17-156</t>
  </si>
  <si>
    <t>DM CAB NON DRIVERS SIDE REMOVE/REFIT ROTARY SWITCHES</t>
  </si>
  <si>
    <t>REPLACE 2 ROTARY SWITCH</t>
  </si>
  <si>
    <t>JHOPL-WI-17-066</t>
  </si>
  <si>
    <t>DM CAR REMOVE/REFIT AUXILIARY SUPPLY BREAKER (ASB)</t>
  </si>
  <si>
    <t>IROC - AUXILIARY SUPPLY BREAKER</t>
  </si>
  <si>
    <t>IROC</t>
  </si>
  <si>
    <t>Y</t>
  </si>
  <si>
    <t>JHOPL-WI-17-070</t>
  </si>
  <si>
    <t>JHOPL - MORS SMITT</t>
  </si>
  <si>
    <t>DM CAB NON DRIVERS SIDE REMOVE/REFIT MCBS</t>
  </si>
  <si>
    <t>REPLACE 30 MCBS</t>
  </si>
  <si>
    <t>JHOPL-WI-17-074</t>
  </si>
  <si>
    <t>DM  SALOON REMOVE/REFIT MCBS</t>
  </si>
  <si>
    <t>REPLACE 24 MCBS</t>
  </si>
  <si>
    <t>DM CAB DRIVERS SIDE REMOVE/REFIT MORS SMITT RELAY</t>
  </si>
  <si>
    <t>REPLACE 4 RELAYS</t>
  </si>
  <si>
    <t>JHOPL-WI-17-135</t>
  </si>
  <si>
    <t>DM CAB NON DRIVERS SIDE REMOVE/REFIT MORS SMITT RELAYS</t>
  </si>
  <si>
    <t>REPLACE 6 RELAYS</t>
  </si>
  <si>
    <t>DM  SALOON REMOVE/REFIT MORS SMITT RELAYS</t>
  </si>
  <si>
    <t>REPLACE 3 RELAYS</t>
  </si>
  <si>
    <t>DM - TRACTION CUT-OUT SWITCH</t>
  </si>
  <si>
    <t>IROC - TRACTION CUT-OUT SWITCH</t>
  </si>
  <si>
    <t>JHOPL-WI-11-018</t>
  </si>
  <si>
    <t>JHOPL</t>
  </si>
  <si>
    <t>DM - SHED SUPPLY SWITCH AND RECEPTACLE ASSEMBLY</t>
  </si>
  <si>
    <t xml:space="preserve">IROC -  SHED RECEPTACLE AND SWITCH </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</si>
  <si>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</si>
  <si>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</si>
  <si>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</si>
  <si>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</si>
  <si>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</si>
  <si>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</si>
  <si>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</si>
  <si>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</si>
  <si>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JHOPL-WI-17-069</t>
  </si>
  <si>
    <t>DM - CAR REMOVE/REFIT LINE FILTER INDUCTOR</t>
  </si>
  <si>
    <t>IROC - LINE FILTER INDUCTOR</t>
  </si>
  <si>
    <t>AOO, CP</t>
  </si>
  <si>
    <t>JHOPL-WI-11-024</t>
  </si>
  <si>
    <t>JHOPL - ALSTOM</t>
  </si>
  <si>
    <t>DM - CONTROL SUPPLY RESISTOR (CSZ)</t>
  </si>
  <si>
    <t>IROC - CONTROL SUPPLY RESISTOR (CSZ)</t>
  </si>
  <si>
    <t>JHOPL-WI-17-071</t>
  </si>
  <si>
    <t>DM - AUXILIARY STEP-DOWN CHOPPER SNUBBER RESISTOR</t>
  </si>
  <si>
    <t>IROC - STEP-DOWN CHOPPER SNUBBER RESISITOR</t>
  </si>
  <si>
    <t>DM CAR REMOVE BOGIE A</t>
  </si>
  <si>
    <t>REMOVE BOGIE A (TYPE A)</t>
  </si>
  <si>
    <t>White Team</t>
  </si>
  <si>
    <t>OH</t>
  </si>
  <si>
    <t>TM</t>
  </si>
  <si>
    <t>JHOPL-WI-14-188</t>
  </si>
  <si>
    <t>DM CAR REFIT BOGIE A</t>
  </si>
  <si>
    <t>REFIT BOGIE A (TYPE A)</t>
  </si>
  <si>
    <t>Blue Team</t>
  </si>
  <si>
    <t>DM CAR REMOVE BOGIE D</t>
  </si>
  <si>
    <t>REMOVE BOGIE D (TYPE A)</t>
  </si>
  <si>
    <t>DM CAR REFIT BOGIE D</t>
  </si>
  <si>
    <t>REFIT BOGIE D (TYPE A)</t>
  </si>
  <si>
    <t xml:space="preserve">Red Team </t>
  </si>
  <si>
    <t>DM UNDERFRAME REMOVE/REFIT LINE BREAKER CONTACTOR 1 AND 3</t>
  </si>
  <si>
    <t>REPLACE CONTACTOR</t>
  </si>
  <si>
    <t>Roland (BAU), RN, AR</t>
  </si>
  <si>
    <t>JHOPL-WI-11-129</t>
  </si>
  <si>
    <t>ALSTOM</t>
  </si>
  <si>
    <t>DM UNDERFRAME REMOVE/REFIT LINE BREAKER CONTACTOR 2 AND 4</t>
  </si>
  <si>
    <t>DM CAR REMOVE/REFIT FILTER HARD CROWBAR THYRISTOR ASSEMBLY</t>
  </si>
  <si>
    <t>REPLACE FILTER HARD CROWBAR THYRISTOR ASSEMBLY</t>
  </si>
  <si>
    <t>DH VN</t>
  </si>
  <si>
    <t>JHOPL-WI-11-006</t>
  </si>
  <si>
    <t>DM CAR REMOVE/REFIT POWER SUPPLY UNIT</t>
  </si>
  <si>
    <t>REPLACE POWER SUPPLY MODULE</t>
  </si>
  <si>
    <t>CB JJT, RN, AR</t>
  </si>
  <si>
    <t>JHOPL-WI-11-008</t>
  </si>
  <si>
    <t>DM UNDERFRAME LOCATION 412 REMOVE/REFIT AUXILIARY CONVERTER ELECTRONIC MODULE</t>
  </si>
  <si>
    <t>REPLACE AUXILIARY CONVERTER ELECTRONIC MODULE</t>
  </si>
  <si>
    <t>CB JJT, LN, JL</t>
  </si>
  <si>
    <t>JHOPL-WI-17-150</t>
  </si>
  <si>
    <t>DM CAR REMOVE/REFIT SERVICE BRAKE DROP HOSE A</t>
  </si>
  <si>
    <t>REPLACE 2 SERVICE BRAKE DROP HOSES</t>
  </si>
  <si>
    <t>JHOPL-WI-19-162</t>
  </si>
  <si>
    <t>TIDYCO</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</si>
  <si>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</si>
  <si>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</si>
  <si>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</si>
  <si>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</si>
  <si>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</si>
  <si>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</si>
  <si>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</si>
  <si>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</si>
  <si>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</si>
  <si>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</si>
  <si>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</si>
  <si>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</si>
  <si>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</si>
  <si>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</si>
  <si>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JHOPL-WI-11-002</t>
  </si>
  <si>
    <t>DM -  REMOVE/REFIT LINE CONTACTOR AIR SUPPLY</t>
  </si>
  <si>
    <t>REPLACE LINE CONTACTOR AIR SUPPLY</t>
  </si>
  <si>
    <t>JHOPL-WI-11-191</t>
  </si>
  <si>
    <t>DM CAR REMOVE/REFIT UNCOUPLER SWITCH DM</t>
  </si>
  <si>
    <t>REPLACE UNCOUPLER SWITCH</t>
  </si>
  <si>
    <t>DH, VN, RB, AR</t>
  </si>
  <si>
    <t>JHOPL-WI-15-147</t>
  </si>
  <si>
    <t>WABTEC</t>
  </si>
  <si>
    <t xml:space="preserve">DM CAR REMOVE/REFIT PROPULSION INVERTER MODULE </t>
  </si>
  <si>
    <t>REPLACE 3 PROPULSION INVERTER MODULES</t>
  </si>
  <si>
    <t>JTT, CB, RN, AR, RB</t>
  </si>
  <si>
    <t>JHOPL-WI-11-132</t>
  </si>
  <si>
    <t>DM CAR REMOVE/REFIT LINE FILTER CAPACITOR TRAY 10 CAP</t>
  </si>
  <si>
    <t>REPLACE LINE FILTER CAPACITOR TRAY10 CAP</t>
  </si>
  <si>
    <t>JHOPL-WI-11-010</t>
  </si>
  <si>
    <t xml:space="preserve">DM CAR REMOVE/REFIT LINE FILTER CAPACITOR TRAY 7 CAP - ALFK </t>
  </si>
  <si>
    <t>REPLACE LINE FILTER CAPACITOR TRAY 7 CAP ALFK</t>
  </si>
  <si>
    <t>JHOPL-WI-11-011</t>
  </si>
  <si>
    <t>DM CAR REMOVE/REFIT AUXILIARY INVERTER AND RHEOSTATIC BRAKE MODULE</t>
  </si>
  <si>
    <t>REPLACE AUXILIARY INVERTER AND RHEOSTATIC BRAKE MODULE</t>
  </si>
  <si>
    <t>JHOPL-WI-17-149</t>
  </si>
  <si>
    <t>DM CAB REMOVE/REFIT TRACTION BRAKE CONTROLLER</t>
  </si>
  <si>
    <t>REPLACE TRACTION BRAKE CONTROLLER</t>
  </si>
  <si>
    <t>JM, AO, JJ</t>
  </si>
  <si>
    <t>JHOPL-WI-11-136</t>
  </si>
  <si>
    <t>KBRS</t>
  </si>
  <si>
    <t>DM SALOON REMOVE/REFIT BRAKE CYLINDER PRESSURE SWITCH 1 (FOR ALL CARS)</t>
  </si>
  <si>
    <t>REPLACE BRAKE CYLINDER PRESSURE SWITCH</t>
  </si>
  <si>
    <t>KA, JD</t>
  </si>
  <si>
    <t>JHOPL-WI-10-122</t>
  </si>
  <si>
    <t>DM CAR REMOVE/REFIT BRAKE CYLINDER PRESSURE SWITCH 2 (FOR DM/UNDM)</t>
  </si>
  <si>
    <t>DM CAR REMOVE/REFIT ½" VENTED BALL VALVE (VLCV / SYSTEM DRAIN / AUTO DRAIN / WHISLTE)</t>
  </si>
  <si>
    <t>IROC 1/2" VENTED BALL VALVE - EXTERNAL</t>
  </si>
  <si>
    <t>AS</t>
  </si>
  <si>
    <t>JHOPL-WI-19-080
JHOPL-WI-19-102
JHOPL-WI-19-105</t>
  </si>
  <si>
    <t>JHOPL - KBRS</t>
  </si>
  <si>
    <t>DM UNDERFRAME REMOVE/REFIT VARIABLE LOAD VALVE - DM/UNDM CAR</t>
  </si>
  <si>
    <t>REPLACE VARIABLE  LOAD VALVE</t>
  </si>
  <si>
    <t>CM, TL</t>
  </si>
  <si>
    <t>JHOPL-WI-10-126</t>
  </si>
  <si>
    <t>DM UNDERFRAME CAR REMOVE/REFIT BRAKE RELEASE VALVE</t>
  </si>
  <si>
    <t>REPLACE BRAKE RELEASE VALVE</t>
  </si>
  <si>
    <t>JN, PS</t>
  </si>
  <si>
    <t>JHOPL-WI-10-124</t>
  </si>
  <si>
    <t>DM SALOON REMOVE/REFIT BRAKE CYLINDER SALOON GAUGES</t>
  </si>
  <si>
    <t>REPLACE BRAKE SALOON GAUGE</t>
  </si>
  <si>
    <t>OM</t>
  </si>
  <si>
    <t>JHOPL-WI-10-001</t>
  </si>
  <si>
    <t>DM CAR REMOVE/REFIT CLOSED LOOP ANALOGUE UNIT (CLAU) - DM/UNDM CAR</t>
  </si>
  <si>
    <t>REPLACE CLAU</t>
  </si>
  <si>
    <t>JN, CM, TL</t>
  </si>
  <si>
    <t>DM CAR REMOVE/REFIT PNEUMATIC BRAKE DRIVER</t>
  </si>
  <si>
    <t>REPLACE PNEUMATIC BRAKE DRIVER</t>
  </si>
  <si>
    <t>OM, CM, TL</t>
  </si>
  <si>
    <t>JHOPL-WI-10-125</t>
  </si>
  <si>
    <t>DM CAR REMOVE/REFIT ¾" GANGED VENTED COCKS (BCIC/PBIC)</t>
  </si>
  <si>
    <t>REPLACE 3/4" GANGED VENTED COCKS</t>
  </si>
  <si>
    <t>UQ</t>
  </si>
  <si>
    <t>JHOPL-WI-19-082</t>
  </si>
  <si>
    <t>REW</t>
  </si>
  <si>
    <t>DM CAR REMOVE/REFIT ENCODER UNIT</t>
  </si>
  <si>
    <t>REPLACE ENCODER UNIT</t>
  </si>
  <si>
    <t>OM, CM</t>
  </si>
  <si>
    <t>JHOPL-WI-10-128</t>
  </si>
  <si>
    <t xml:space="preserve">DM UNDERFRAME REMOVE/REFIT WSP DUMP VALVE </t>
  </si>
  <si>
    <t>REPLACE 4 WSP DUMP VALVES</t>
  </si>
  <si>
    <t>AL, LN, MR, KA</t>
  </si>
  <si>
    <t>JHOPL-WI-19-163</t>
  </si>
  <si>
    <t>DM CAR REMOVE/REFIT WHISTLE - TYPE 3C (ENHANCED)</t>
  </si>
  <si>
    <t>REPLACE WHISTLE (TYPE 3C)</t>
  </si>
  <si>
    <t>MD EC</t>
  </si>
  <si>
    <t>JHOPL-WI-19-118</t>
  </si>
  <si>
    <t>DM CAR REMOVE/REFIT 5/3 WHISTLE SPOOL VALVE DM</t>
  </si>
  <si>
    <t>REPLACE 5/3 WHISTLE SPOOL VALVE</t>
  </si>
  <si>
    <t>JT</t>
  </si>
  <si>
    <t>JHOPL-WI-19-083</t>
  </si>
  <si>
    <t>DM CAR REMOVE/REFIT WHISTLE CONTROL LEVER VALVE (DM DRIVER'S SIDE)</t>
  </si>
  <si>
    <t>REPLACE WHISTLE CONTROL LEVER VALVE (DRIVER SIDE)</t>
  </si>
  <si>
    <t>JTT, CB</t>
  </si>
  <si>
    <t>JHOPL-WI-19-084</t>
  </si>
  <si>
    <t>DM CAR REMOVE/REFIT WHISTLE-OPERATED PRESSURE SWITCH DM</t>
  </si>
  <si>
    <t>REPLACE WHISTLE  OPERATED PRESSURE SWITCH</t>
  </si>
  <si>
    <t>JHOPL-WI-19-164</t>
  </si>
  <si>
    <t>DM CAR REMOVE/REFIT TRACTION SUPPLY PRESSURE REGULATOR</t>
  </si>
  <si>
    <t>REPLACE TRACTION SUPPLY PRESSURE REGULATOR</t>
  </si>
  <si>
    <t>JN</t>
  </si>
  <si>
    <t>JHOPL-WI-19-167</t>
  </si>
  <si>
    <t>DM CAR REMOVE/REFIT DOOR AIR SUPPLY PRESSURE REGULATOR (SUPPLIED WITH O-RINGS)</t>
  </si>
  <si>
    <t>REPLACE DOOR AIR SUPPLY PRESSURE REGULATOR</t>
  </si>
  <si>
    <t>JHOPL-WI-19-116</t>
  </si>
  <si>
    <t>DM CAR REMOVE/REFIT LOW MAIN LINE PRESSURE SWITCH</t>
  </si>
  <si>
    <t>REPLACE 2 LOW MAIN LINE PRESSURE SWITCHES</t>
  </si>
  <si>
    <t>LVN</t>
  </si>
  <si>
    <t>JHOPL-WI-19-172</t>
  </si>
  <si>
    <t>DM CAR REMOVE/REFIT COUPLING-TEST POINT-QUICK RELEASE</t>
  </si>
  <si>
    <t>IROC - 3 COUPLING-TEST POINT-QUICK RELEASE</t>
  </si>
  <si>
    <t>JHOPL-WI-19-094</t>
  </si>
  <si>
    <t>DM CAR REMOVE/REFIT MAINLINE CAB GAUGE</t>
  </si>
  <si>
    <t>IROC - MAINLINE CAB GAUGE</t>
  </si>
  <si>
    <t>PS</t>
  </si>
  <si>
    <t>JHOPL-WI-19-095</t>
  </si>
  <si>
    <t>DM CAR REMOVE/REFIT PRESSURE GAUGE (DOOR/TRACTION SUPP)</t>
  </si>
  <si>
    <t>IROC 2 PRESSURE GAUGES (DOOR/TRACTION SUPPLY)</t>
  </si>
  <si>
    <t>JD</t>
  </si>
  <si>
    <t>JHOPL-WI-19-120
JHOPL-WI-19-121</t>
  </si>
  <si>
    <t>DM CAR REMOVE/REFIT AIR FILTER WITH AUTOMATIC DRAIN</t>
  </si>
  <si>
    <t>REPLACE AIR FILTER WITH AUTOMATIC DRAIN</t>
  </si>
  <si>
    <t>KA</t>
  </si>
  <si>
    <t>JHOPL-WI-19-117</t>
  </si>
  <si>
    <t>DM CAR REMOVE/REFIT BSR CHECK VALVE (SUPPLIED WITH O-RINGS)</t>
  </si>
  <si>
    <t>REPLACE BSR CHECK VALVE</t>
  </si>
  <si>
    <t>MR, CP</t>
  </si>
  <si>
    <t>JHOPL-WI-19-097</t>
  </si>
  <si>
    <t>DM CAR REMOVE/REFIT MAINLINE PRESSURE SWITCH EP TEST VALVE</t>
  </si>
  <si>
    <t>REPLACE 2 MAINLINE PRESSURE SWITCH EP TEST VALVE</t>
  </si>
  <si>
    <t>JHOPL-WI-19-098</t>
  </si>
  <si>
    <t>DM CAR REMOVE/REFIT ½" CHECK VALVE (SHOEGEAR AND LINEBREAKER AUX), SUPPLIED WITH O-RINGS</t>
  </si>
  <si>
    <t>REPLACE 1/2" CHECK VALVE (SHOEGEAR AND LINEBREAKER AUX)</t>
  </si>
  <si>
    <t>JHOPL-WI-19-099</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</si>
  <si>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</si>
  <si>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</si>
  <si>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</si>
  <si>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</si>
  <si>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</si>
  <si>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</si>
  <si>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JHOPL-WI-19-100</t>
  </si>
  <si>
    <t>DM CAR REMOVE/REFIT ½" VENTED BALL VALVE (VLCV / SYSTEM DRAIN / WHISTLE)</t>
  </si>
  <si>
    <t>IROC 1/2 VENTED BALL VALVE - INTERNAL</t>
  </si>
  <si>
    <t>DM CAR REMOVE/REFIT ½" VENTED BALL VALVE (FLANGE MOUNTED)</t>
  </si>
  <si>
    <t>REPLACE 6 FLANGE MOUNTED VENTED BALL VALVES</t>
  </si>
  <si>
    <t>JD AS PS</t>
  </si>
  <si>
    <t>JHOPL-WI-19-103</t>
  </si>
  <si>
    <t>DM CAR REMOVE/REFIT AIR FLOW CUT-OFF VALVE BOGIE A</t>
  </si>
  <si>
    <t>REPLACE AIR FLOW CUT-OFF VALVE BOGIE A</t>
  </si>
  <si>
    <t>OM, LVN JAD</t>
  </si>
  <si>
    <t>JHOPL-WI-19-106</t>
  </si>
  <si>
    <t>DM CAR REMOVE/REFIT SLEET BRUSH CONTROL VALVE</t>
  </si>
  <si>
    <t>REPLACE SLEET BRUSH CONTROL VALVE</t>
  </si>
  <si>
    <t>JHOPL-WI-19-107</t>
  </si>
  <si>
    <t>DM CAR REMOVE/REFIT AIR FLOW CUT-OFF VALVE BOGIE D</t>
  </si>
  <si>
    <t>REPLACE AIR FLOW CUT-OFF VALVE BOGIE D</t>
  </si>
  <si>
    <t>DM CAR REMOVE/REFIT CURRENT BALANCE DETECTOR RELAY (CBR)</t>
  </si>
  <si>
    <t>REPLACE - CURRENT BALANCE DETECTOR RELAY</t>
  </si>
  <si>
    <t>LN,NA</t>
  </si>
  <si>
    <t>JHOPL-WI-11-131</t>
  </si>
  <si>
    <t>DM - CAR REMOVE/REFIT RHEOSTATIC BRAKE RESISTOR FAN ASSEMBLY</t>
  </si>
  <si>
    <t>REPLACE RHEOSTATIC BRAKE RESISTOR FAN ASSEMBLY</t>
  </si>
  <si>
    <t>JHOPL-WI-11-140</t>
  </si>
  <si>
    <t>DM - CAR REMOVE/REFIT REVERSE VOLTAGE RELAY FUSE</t>
  </si>
  <si>
    <t>REPLACE -  REVERSE VOLTAGE RELAY FUSE</t>
  </si>
  <si>
    <t>LN</t>
  </si>
  <si>
    <t>DM - CAR REMOVE/REFIT SHOE VOLTAGE RELAY FUSE 1 &amp; 2 (SVRF 1 &amp; 2)</t>
  </si>
  <si>
    <t>REPLACE SHOE VOLTAGE RELAY FUSE 1 &amp; 2</t>
  </si>
  <si>
    <t xml:space="preserve">LN </t>
  </si>
  <si>
    <t>DM CAR REMOVE/REFIT 5/3 WHISTLE CONTROL LEVER VALVE DM NON DRIVER'S SIDE</t>
  </si>
  <si>
    <t>REPLACE WHISTLE CONTROL LEVER VALVE</t>
  </si>
  <si>
    <t>DM CAR REMOVE/REFIT AUTOCOUPLER, DRAWGEAR, RADIAL SUPPORT BAR, LEFT AND RIGHT HAND CONTACT BOXES</t>
  </si>
  <si>
    <t>REPLACE AUTOCOUPLER AND DRAWGEAR</t>
  </si>
  <si>
    <t>SA, MJ. GD, AL, GT, SV</t>
  </si>
  <si>
    <t>JHOPL-WI-15-037
JHOPL-WI-16-046</t>
  </si>
  <si>
    <t>WILLIAM COOK</t>
  </si>
  <si>
    <t>00:06:00</t>
  </si>
  <si>
    <t>DM CAR REMOVE/REFIT SEMI PERMANENT COUPLER BAR AND DRAWGEAR INTERMEDIATE D</t>
  </si>
  <si>
    <t>REPLACE SEMI PERMANENT COUPLER &amp; DRAWGEAR INTERMEDIATE D</t>
  </si>
  <si>
    <t>JH RB, GT AL JN</t>
  </si>
  <si>
    <t>JHOPL-WI-15-039</t>
  </si>
  <si>
    <t>DM CAR REMOVE/REFIT ANTI-CLIMB BUFFER ASSEMBLY</t>
  </si>
  <si>
    <t>REPLACE ANTI-CLIMB BUFFER ASSEMBLY</t>
  </si>
  <si>
    <t>AS, KA, SA, PS, LN, UQ</t>
  </si>
  <si>
    <t>JHOPL-WI-16-043</t>
  </si>
  <si>
    <t>VOITH</t>
  </si>
  <si>
    <t>DM CAR REMOVE/REFIT ANTI-CLIMB BUFFER ASSEMBLY INTERMEDIATE</t>
  </si>
  <si>
    <t>REPLACE ANTI-CLIMB BUFFER ASSEMBLY INTERMEDIATE</t>
  </si>
  <si>
    <t>AS, KA, SA. MR, SS, JM, AD</t>
  </si>
  <si>
    <t>JHOPL-WI-16-044</t>
  </si>
  <si>
    <t>DM CAR REMOVE/REFIT LINE CURRENT MONITORING DEVICE</t>
  </si>
  <si>
    <t>REPLACE LINE CURRENT MONITORING DEVICE</t>
  </si>
  <si>
    <t>JHOPL-WI-11-133</t>
  </si>
  <si>
    <t>DM CAB REMOVE/REFIT CAB DESK HEATER</t>
  </si>
  <si>
    <t>REPLACE CAB DESK HEATER</t>
  </si>
  <si>
    <t xml:space="preserve">Yes </t>
  </si>
  <si>
    <t>JH,HI,BV</t>
  </si>
  <si>
    <t>JHOPL-WI-18-159</t>
  </si>
  <si>
    <t>LH GROUP</t>
  </si>
  <si>
    <t>DM CAB REMOVE/REFIT CAB REFRIGERATION UNIT (CHILLER MODULE)</t>
  </si>
  <si>
    <t>REPLACE CAB REFRIGERATION UNIT</t>
  </si>
  <si>
    <t>AS,ASS,MAA</t>
  </si>
  <si>
    <t>JHOPL-WI-18-077</t>
  </si>
  <si>
    <t>DM CAB REMOVE/REFIT CAB AIR HANDLING UNIT (AHU)</t>
  </si>
  <si>
    <t>REPLACE CAB AHU</t>
  </si>
  <si>
    <t xml:space="preserve">JH,BV,HI </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</si>
  <si>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</si>
  <si>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</si>
  <si>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</si>
  <si>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</si>
  <si>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</si>
  <si>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</si>
  <si>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</si>
  <si>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</si>
  <si>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</si>
  <si>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</si>
  <si>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</si>
  <si>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</si>
  <si>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</si>
  <si>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</si>
  <si>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</si>
  <si>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</si>
  <si>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</si>
  <si>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</si>
  <si>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</si>
  <si>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</si>
  <si>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</si>
  <si>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</si>
  <si>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</si>
  <si>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</si>
  <si>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</si>
  <si>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</si>
  <si>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</si>
  <si>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LN,NA,RN</t>
  </si>
  <si>
    <t>JHOPL-WI-17-158</t>
  </si>
  <si>
    <t>R. BAKER</t>
  </si>
  <si>
    <t>DM - CAR REMOVE/REFIT FILTER VOLTAGE MONITORING DEVICES VMD1, FVMD2, FVMD1, ALVMD.</t>
  </si>
  <si>
    <t xml:space="preserve">REPLACE FILTER VOLTAGE MONITORING DEVICE FVMD1, FVMD 2, VMD1. ALVMD, </t>
  </si>
  <si>
    <t>JHOPL-WI-11-016</t>
  </si>
  <si>
    <t>DM - CAR REMOVE/REFIT CAPACITOR PANEL ASSEMBLY</t>
  </si>
  <si>
    <t>REPLACE -  DM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</si>
  <si>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</si>
  <si>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</si>
  <si>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</si>
  <si>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</si>
  <si>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</si>
  <si>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</si>
  <si>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</si>
  <si>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</si>
  <si>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</si>
  <si>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</si>
  <si>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</si>
  <si>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</si>
  <si>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</si>
  <si>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</si>
  <si>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</si>
  <si>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</si>
  <si>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</si>
  <si>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</si>
  <si>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Missing WI</t>
  </si>
  <si>
    <t>DM  - REMOVE/REFIT SALOON MODULAR SEATING - SEAT LOCK SPRING AND PIN SPRINGS</t>
  </si>
  <si>
    <t>REPLACE - SALOON MODULAR SEATING</t>
  </si>
  <si>
    <t>JHOPL-WI-13-028
JHOPL-WI-13-032</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</si>
  <si>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</si>
  <si>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</si>
  <si>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</si>
  <si>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</si>
  <si>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</si>
  <si>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</si>
  <si>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</si>
  <si>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</si>
  <si>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</si>
  <si>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</si>
  <si>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</si>
  <si>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</si>
  <si>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JHOPL - TBC</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</si>
  <si>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</si>
  <si>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</si>
  <si>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</si>
  <si>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</si>
  <si>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</si>
  <si>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</si>
  <si>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</si>
  <si>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</si>
  <si>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</si>
  <si>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</si>
  <si>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</si>
  <si>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</si>
  <si>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</si>
  <si>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</si>
  <si>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</si>
  <si>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DM - CAR REMOVE/REFIT MASTER CONTROL SWITCH (MCS)</t>
  </si>
  <si>
    <t>REPLACE MCS</t>
  </si>
  <si>
    <t>Missing - JHOPL-WI-17-065</t>
  </si>
  <si>
    <t>DM - CAR REMOVE/REFIT OUTPUT FILTER PANELS</t>
  </si>
  <si>
    <t>IROC - 6 X OUTPUT FILTER PANELS</t>
  </si>
  <si>
    <t>JHOPL-WI-11-022</t>
  </si>
  <si>
    <t>JHOPL - REW</t>
  </si>
  <si>
    <t>DM - REMOVE/REFITCAR SCREEN WASH TANK &amp; PUMP</t>
  </si>
  <si>
    <t>REPLACE SCREEN WASH TANK</t>
  </si>
  <si>
    <t>DM - ASK CAPAICTOR REPLACE</t>
  </si>
  <si>
    <t>REPLACED - ASK CAPAICTOR (NON ELECTROLYTIC CAPACITOR)</t>
  </si>
  <si>
    <t>DM - CAR REMOVE/REFIT AUXLIARY SUPPLY CONTACTOR (ASC)</t>
  </si>
  <si>
    <t>REPLACE ASC</t>
  </si>
  <si>
    <t>JHOPL-WI-17-157</t>
  </si>
  <si>
    <t>ABB</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</si>
  <si>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</si>
  <si>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</si>
  <si>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</si>
  <si>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JHOPL-WI-19-172
JHOPL-WI-19-098
JHOPL-WI-19-100
JHOPL-WI-19-084</t>
  </si>
  <si>
    <t>JHOPL - Norgren</t>
  </si>
  <si>
    <t>Unit No: 96204</t>
  </si>
  <si>
    <t>TRIALER  UNDERFRAME REMOVE/REFIT CONTACTORS SA80</t>
  </si>
  <si>
    <t>REPLACE 5 CONTACTORS</t>
  </si>
  <si>
    <t>JHOPL-WI-17-058</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</si>
  <si>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</si>
  <si>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</si>
  <si>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</si>
  <si>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</si>
  <si>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</si>
  <si>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</si>
  <si>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</si>
  <si>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</si>
  <si>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TRAILER CAR REFIT BOGIE A</t>
  </si>
  <si>
    <t>REFIT BOGIE A (TYPE E)</t>
  </si>
  <si>
    <t>TRAILER CAR REMOVE BOGIE D</t>
  </si>
  <si>
    <t>REMOVE BOGIE D (TYPE E)</t>
  </si>
  <si>
    <t>TRAILER CAR REFIT BOGIE D</t>
  </si>
  <si>
    <t>REFIT BOGIE D (TYPE E)</t>
  </si>
  <si>
    <t>TRAILER CAR REMOVE/REFIT WSP CONTROL UNIT</t>
  </si>
  <si>
    <t>REPLACE WSP CONTROL UNIT</t>
  </si>
  <si>
    <t>JHOPL-WI-19-161</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</si>
  <si>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</si>
  <si>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</si>
  <si>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</si>
  <si>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</si>
  <si>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</si>
  <si>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</si>
  <si>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JHOPL-WI-11-003</t>
  </si>
  <si>
    <t>TRAILER CAR REMOVE/REFIT BRAKE CYLINDER PRESSURE SWITCH 1 (ALL CARS)</t>
  </si>
  <si>
    <t>KA,AS</t>
  </si>
  <si>
    <t>TRAILER CAR REMOVE/REFIT BRAKE CYLINDER PRESSURE SWITCH 2 (FOR TR CARS)</t>
  </si>
  <si>
    <t>TRAILER CAR REMOVE/REFIT ½" VENTED BALL VALVE (VLCV / SYSTEM DRAIN / AUTO DRAIN / WHISTLE)</t>
  </si>
  <si>
    <t>JHOPL-WI-19-104</t>
  </si>
  <si>
    <t>TRAILER CAR REMOVE/REFIT VARIABLE LOAD VALVE - T/DIT CAR</t>
  </si>
  <si>
    <t>TRAILER CAR REMOVE/REFIT BRAKE RELEASE VALVE</t>
  </si>
  <si>
    <t>JN,PS</t>
  </si>
  <si>
    <t>TRAILER CAR REMOVE/REFIT BRAKE CYLINDER SALOON GAUGES</t>
  </si>
  <si>
    <t>TRAILER CAR REMOVE/REFIT CLOSED LOOP ANALOGUE UNIT (CLAU) - T/ DIT CAR</t>
  </si>
  <si>
    <t>TRAILER CAR REMOVE/REFIT PNEUMATIC BRAKE DRIVER</t>
  </si>
  <si>
    <t>TRAILER CAR REMOVE/REFIT ¾" VENTED BALL VALVE (BCIC)</t>
  </si>
  <si>
    <t>IROC 3/4" VENTED BALL VALVE</t>
  </si>
  <si>
    <t>JHOPL-WI-19-081</t>
  </si>
  <si>
    <t>TRAILER CAR REMOVE/REFIT WSP DUMP VALVE - TRAILER</t>
  </si>
  <si>
    <t>AL, LVN, MR, KA</t>
  </si>
  <si>
    <t>TRAILER CAR REMOVE/REFIT DOOR AIR SUPPLY PRESSURE REGULATOR (SUPPLIED WITH O-RINGS)</t>
  </si>
  <si>
    <t>TRAILER CAR REMOVE/REFIT COMPRESSOR DELIVERY HOSE</t>
  </si>
  <si>
    <t>REPLACE COMPRESSOR DELIVERY HOSE</t>
  </si>
  <si>
    <t>AL</t>
  </si>
  <si>
    <t>JHOPL-WI-19-091</t>
  </si>
  <si>
    <t>TRAILER CAR REMOVE/REFIT 1/2" SILENCER (EXHAUST)</t>
  </si>
  <si>
    <t>IROC 1/2" SILENCER</t>
  </si>
  <si>
    <t>JHOPL-WI-19-170</t>
  </si>
  <si>
    <t>TRAILER CAR REMOVE/REFIT LOW COMPRESSOR DELIVERY PRESSURE SWITCH</t>
  </si>
  <si>
    <t>REPLACE LOW COMPRESSOR DELIVERY PRESSURE SWITCH</t>
  </si>
  <si>
    <t>JHOPL-WI-19-092</t>
  </si>
  <si>
    <t>TRAILER CAR REMOVE/REFIT COMPRESSOR GOVERNOR</t>
  </si>
  <si>
    <t>REPLACE COMPRESSOR GOVERNOR</t>
  </si>
  <si>
    <t>NA</t>
  </si>
  <si>
    <t>JHOPL-WI-19-171</t>
  </si>
  <si>
    <t>TRAILER CAR REMOVE/REFIT COUPLING-TEST POINT-QUICK RELEASE</t>
  </si>
  <si>
    <t>IROC - 2 COUPLING-TEST POINT-QUICK RELEASE</t>
  </si>
  <si>
    <t>TRAILER CAR REMOVE/REFIT PRESSURE GAUGE (DOOR/TRACTION SUPP)</t>
  </si>
  <si>
    <t>IROC PRESSURE GAUGE (DOOR/TRACTION SUPPLY)</t>
  </si>
  <si>
    <t xml:space="preserve">JD  </t>
  </si>
  <si>
    <t>TRAILER CAR REMOVE/REFIT AIR FILTER WITH AUTOMATIC DRAIN</t>
  </si>
  <si>
    <t>TRAILER CAR REMOVE/REFIT MAINLINE RESERVOIR SAFETY VALVE</t>
  </si>
  <si>
    <t>REPLACE MAINLINE RESERVOIR SAFETY VAVLE</t>
  </si>
  <si>
    <t>JHOPL-WI-19-096</t>
  </si>
  <si>
    <t>TRAILER CAR REMOVE/REFIT COMPRESSOR NON-RETURN VALVE</t>
  </si>
  <si>
    <t>REPLACE COMPRESSOR NON-RETURN VALVE</t>
  </si>
  <si>
    <t>JHOPL-WI-19-173</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</si>
  <si>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</si>
  <si>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</si>
  <si>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</si>
  <si>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</si>
  <si>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</si>
  <si>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OM, LVN PS</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</si>
  <si>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</si>
  <si>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</si>
  <si>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</si>
  <si>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</si>
  <si>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JHOPL-WI-21-111</t>
  </si>
  <si>
    <t>TRAILER CAR REMOVE/REFIT ANTI-CLIMB BUFFER ASSEMBLY INTERMEDIATE A END</t>
  </si>
  <si>
    <t>REPLACE ANTI-CLIMB BUFFER ASSEMBLY INTERMEDIATE A END</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</si>
  <si>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</si>
  <si>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t>REPLACE DRAWGEAR INTERMEDIATE A END WITH COUPLER BAR</t>
  </si>
  <si>
    <t>TRAILER CAR REMOVE/REFIT ANTI-CLIMB BUFFER ASSEMBLY INTERMEDIATE D END</t>
  </si>
  <si>
    <t>REPLACE ANTI-CLIMB BUFFER ASSEMBLY INTERMEDIATE D END</t>
  </si>
  <si>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</si>
  <si>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t>REPLACE DRAWGEARINTERMEDIATE D END &amp; COUPLER BAR</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</si>
  <si>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</si>
  <si>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</si>
  <si>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</si>
  <si>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</si>
  <si>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</si>
  <si>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</si>
  <si>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</si>
  <si>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</si>
  <si>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</si>
  <si>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</si>
  <si>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</si>
  <si>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JHOPL-WI-19-101</t>
  </si>
  <si>
    <t>TRAILER CAR REMOVE/REFIT ½" VENTED BALL VALVE (MAIN RESERVOIR MANUAL DRAIN VALVE)</t>
  </si>
  <si>
    <t>IROC 2 1/2" VENTED BALL VALVE (MAIN RESERVOIR MANUAL DRAIN VALVE)</t>
  </si>
  <si>
    <t>TRAILER REMOVE/REFIT BATTERY SUPPLY CAPACITORS (BSK 1, 2, 3)  NON ELECTROLYTIC CAPACITOR</t>
  </si>
  <si>
    <t>REPLACE 3 BATTERY SUPPLY CAPACITORS (BSK 1, 2, 3) NON ELECTROLYTIC CAPACITOR</t>
  </si>
  <si>
    <t>JHOPL-WI-17-062</t>
  </si>
  <si>
    <t>TRAILER CAR REMOVE/REFIT BATTERY RECTIFIER CAPACITOR (BRK)  NON ELECTROLYTIC CAPACITOR</t>
  </si>
  <si>
    <t>REPLACE BATTERY RECTIFIER CAPACITOR (BRK)  NON ELECTROLYTIC CAPACITOR</t>
  </si>
  <si>
    <t>JHOPL-WI-17-061</t>
  </si>
  <si>
    <t>TRAILER - CAR - REMOVE/REFIT BATTERY ISOLATION CONTACTORS N(C-BIC1 AND C-BIC 2)</t>
  </si>
  <si>
    <t>REPLACE BATTERY ISOLATION CONTACTORS (C-BIC1 AND C-BIC 2)</t>
  </si>
  <si>
    <t>JHOPL-WI-17-049</t>
  </si>
  <si>
    <t xml:space="preserve">TRAILER -  REMOVE/REFIT BATTERY CURRENT MONITORING DEVICE </t>
  </si>
  <si>
    <t>REPLACE BCMD (L14 AND L19 TYPES)</t>
  </si>
  <si>
    <t>JHOPL-WI-17-060</t>
  </si>
  <si>
    <t xml:space="preserve">TRAILER -REMOVE/REFIT SALOON MODULAR SEATING - CATCH PLATE, GAS STRUT, SEAL, PINS, SPACE COVER AND INSULATION BLANKET </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</si>
  <si>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</si>
  <si>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</si>
  <si>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</si>
  <si>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</si>
  <si>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</si>
  <si>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</si>
  <si>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Catch Back</t>
  </si>
  <si>
    <t xml:space="preserve">TRAILER - WSP SPEED PROBE ASSEMBLY REPLACEMEND FOR NEW MODIFIED DESIGN BRACKET. </t>
  </si>
  <si>
    <t xml:space="preserve">REPLACE 4 X WSP SPEED PROBE BRACKETS. </t>
  </si>
  <si>
    <t>JT RB</t>
  </si>
  <si>
    <t>Unit No: 96404</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</si>
  <si>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</si>
  <si>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</si>
  <si>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</si>
  <si>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</si>
  <si>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</si>
  <si>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</si>
  <si>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</si>
  <si>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</si>
  <si>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</si>
  <si>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</si>
  <si>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</si>
  <si>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</si>
  <si>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</si>
  <si>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</si>
  <si>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</si>
  <si>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</si>
  <si>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</si>
  <si>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</si>
  <si>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UNDM CAR REFIT BOGIE A</t>
  </si>
  <si>
    <t>REFIT BOGIE A (TYPE D)</t>
  </si>
  <si>
    <t>UNDM CAR REMOVE BOGIE D</t>
  </si>
  <si>
    <t>REMOVE BOGIE D (TYPE D)</t>
  </si>
  <si>
    <t>UNDM CAR REFIT BOGIE D</t>
  </si>
  <si>
    <t>REFIT BOGIE D (TYPE D)</t>
  </si>
  <si>
    <t>UNDM CAR REMOVE/REFIT LINE BREAKER CONTACTOR 1 AND 3</t>
  </si>
  <si>
    <t>UNDM CAR REMOVE/REFIT LINE BREAKER CONTACTOR 2 AND 4</t>
  </si>
  <si>
    <t>UNDM CAR REMOVE/REFIT FILTER HARD CROWBAR THYRISTOR ASSEMBLY</t>
  </si>
  <si>
    <t>DH VN NA</t>
  </si>
  <si>
    <t>UNDM CAR REMOVE/REFIT POWER SUPPLY UNIT</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</si>
  <si>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</si>
  <si>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</si>
  <si>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</si>
  <si>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</si>
  <si>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</si>
  <si>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</si>
  <si>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</si>
  <si>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JHOPL-WI-15-148</t>
  </si>
  <si>
    <t>UNDM - WHEEL SPEED PROBE - MOTOR</t>
  </si>
  <si>
    <t>UNDM CAR REMOVE/REFIT UNCOUPLER SWITCH UNDM</t>
  </si>
  <si>
    <t>JHOPL-WI-11-134</t>
  </si>
  <si>
    <t>UNDM CAR REMOVE/REFIT PROPULSION INVERTER MODULE</t>
  </si>
  <si>
    <t>JJT, CB, AR, RN, RB</t>
  </si>
  <si>
    <t>JHOPL-WI-11-009</t>
  </si>
  <si>
    <t>UNDM CAR REMOVE/REFIT RHEOSTATIC BRAKE MODULE</t>
  </si>
  <si>
    <t>REPLACE RHEOSTATIC BRAKE MODULE</t>
  </si>
  <si>
    <t>UNDM CAR REMOVE/REFIT LINE FILTER CAPACITOR TRAY 6 CAP - KF</t>
  </si>
  <si>
    <t>REPLACE LINE FILTER CAPACITOR TRAY 6 CAP KF</t>
  </si>
  <si>
    <t>UNDM CAR REMOVE/REFIT LINE FILTER CAPACITOR TRAY 10 CAP</t>
  </si>
  <si>
    <t>REPLACE LINE FILTER CAPACITOR TRAY 10 CAP</t>
  </si>
  <si>
    <t>UNDM CAR REMOVE/REFIT BRAKE CYLINDER PRESSURE SWITCH 1 (FOR ALL CARS)</t>
  </si>
  <si>
    <t>KA, AL, LN</t>
  </si>
  <si>
    <t>UNDM CAR REMOVE/REFIT BRAKE CYLINDER PRESSURE SWITCH 2 (FOR DM/UNDM)</t>
  </si>
  <si>
    <t>UNDM CAR REMOVE/REFIT ½" VENTED BALL VALVE (VLCV / SYSTEM DRAIN / WHISTLE)</t>
  </si>
  <si>
    <t>UNDM CAR REMOVE/REFIT VARIABLE LOAD VALVE - UNDM CAR</t>
  </si>
  <si>
    <t>UNDM CAR REMOVE/REFIT BRAKE RELEASE VALVE</t>
  </si>
  <si>
    <t>UNDM CAR REMOVE/REFIT BRAKE CYLINDER SALOON GAUGES</t>
  </si>
  <si>
    <t>UNDM CAR REMOVE/REFIT CLOSED LOOP ANALOGUE UNIT (CLAU) - UNDM CAR</t>
  </si>
  <si>
    <t>UNDM CAR REMOVE/REFIT PNEUMATIC BRAKE DRIVER</t>
  </si>
  <si>
    <t>OM,PS</t>
  </si>
  <si>
    <t>UNDM CAR REMOVE/REFIT ¾" GANGED VENTED COCKS (BCIC/PBIC)</t>
  </si>
  <si>
    <t>UNDM CAR REMOVE/REFIT WSP DUMP VALVE - MOTOR</t>
  </si>
  <si>
    <t>JHOPL-WI-19-085</t>
  </si>
  <si>
    <t>UNDM CAR REMOVE/REFIT WHISTLE - TYPE 3C (ENHANCED)</t>
  </si>
  <si>
    <t>REPLACE WHISTLE</t>
  </si>
  <si>
    <t>MD, EC</t>
  </si>
  <si>
    <t>UNDM CAR REMOVE/REFIT WHISTLE CONTROL VALVE &amp; BUTTON ASSY UNDM</t>
  </si>
  <si>
    <t>JT,JD</t>
  </si>
  <si>
    <t>UNDM CAR REMOVE/REFIT TRACTION SUPPLY PRESSURE REGULATOR</t>
  </si>
  <si>
    <t>REPLACE TRACTION  SUPPLY PRESSURE REGULATOR</t>
  </si>
  <si>
    <t>UNDM CAR REMOVE/REFIT DOOR AIR SUPPLY PRESSURE REGULATOR (SUPPLIED WITH O-RINGS)</t>
  </si>
  <si>
    <t>UNDM CAR REMOVE/REFIT LOW MAIN LINE PRESSURE SWITCH</t>
  </si>
  <si>
    <t>REPLACE LOW MAIN LINE PRESSURE SWITCH</t>
  </si>
  <si>
    <t>UNDM CAR REMOVE/REFIT COUPLING-TEST POINT-QUICK RELEASE</t>
  </si>
  <si>
    <t>UNDM CAR REMOVE/REFIT MAINLINE CAB GAUGE</t>
  </si>
  <si>
    <t xml:space="preserve">JD   </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</si>
  <si>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</si>
  <si>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</si>
  <si>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</si>
  <si>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</si>
  <si>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</si>
  <si>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</si>
  <si>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IROC 1/2" VENTED BALL VALVE - INTERNAL</t>
  </si>
  <si>
    <t>UNDM CAR REMOVE/REFIT ½" VENTED BALL VALVE (FLANGE MOUNTED)</t>
  </si>
  <si>
    <t>REPLACE 5 FLANGE MOUNTED VENTED BALL VALVES</t>
  </si>
  <si>
    <t>JHOPL-WI-11-005</t>
  </si>
  <si>
    <t>UNDM CAR REMOVE/REFIT AIR FLOW CUT-OFF VALVE BOGIE A</t>
  </si>
  <si>
    <t>OM, LVN AS</t>
  </si>
  <si>
    <t>UNDM CAR REMOVE/REFIT AIR FLOW CUT-OFF VALVE BOGIE D</t>
  </si>
  <si>
    <t>JHOPL-WI-17-073</t>
  </si>
  <si>
    <t>UNDM CAR REMOVE/REFIT RELAY PANEL 3</t>
  </si>
  <si>
    <t>IROC - RELAY PANEL 3 (RP3)</t>
  </si>
  <si>
    <t>UNDM CAR REMOVE/REFIT CURRENT BALANCE DETECTOR RELAY (CBR)</t>
  </si>
  <si>
    <t xml:space="preserve">No </t>
  </si>
  <si>
    <t>AM</t>
  </si>
  <si>
    <t>UNDM -CAR REMOVE/REFIT RHEOSTATIC BRAKE RESISTOR FAN ASSEMBLY</t>
  </si>
  <si>
    <t>UNDM -  CAR REMOVE/REFIT REVERSE VOLTAGE RELAY FUSE</t>
  </si>
  <si>
    <t>REPLACE  REVERSE VOLTAGE RELAY FUSE</t>
  </si>
  <si>
    <t>UNDM -  CAR REMOVE/REFIT SHOE VOLTAGE RELAY FUSE 1 &amp; 2 (SVRF 1 &amp; 2)</t>
  </si>
  <si>
    <t>JHOPL-WI-15-038
JHOPL-WI-16-046</t>
  </si>
  <si>
    <t>UNDM CAR REMOVE/REFIT AUTOCOUPLER UNDM RH 3-CAR, DRAWGEAR, RADIAL SUPPORT BAR, CONTACT BOX ASSY L/H &amp; CONTACT BOX ASSY R/H</t>
  </si>
  <si>
    <t>REPLACE AUTOCOUPLER UNDM RH 3-CAR, DRAWGEAR &amp; CONTACT BOX L &amp; R HAND</t>
  </si>
  <si>
    <t>TL MJ, RB SV OM</t>
  </si>
  <si>
    <t>UNDM CAR REMOVE/REFIT SEMI PERMANENT COUPLER BAR &amp; DRAWGEAR INTERMEDIATE A</t>
  </si>
  <si>
    <t>REPLACE INTERMEDIATE A DRAWGEAR AND SEMI PERMANENT COUPLER BAR</t>
  </si>
  <si>
    <t>HI, GT AL JN</t>
  </si>
  <si>
    <t>JHOPL-WI-16-045</t>
  </si>
  <si>
    <t>UNDM CAR REMOVE/REFIT ANTI-CLIMB BUFFER ASSEMBLY UNDM</t>
  </si>
  <si>
    <t>KA,AS. MR,SS,JM,AD</t>
  </si>
  <si>
    <t>UNDM CAR REMOVE/REFIT ANTI-CLIMB BUFFER ASSEMBLY INTERMEDIATE</t>
  </si>
  <si>
    <t>UNDM CAR REMOVE/REFIT LINE CURRENT MONITORING DEVICE</t>
  </si>
  <si>
    <t>LN NA</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</si>
  <si>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</si>
  <si>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</si>
  <si>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</si>
  <si>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</si>
  <si>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</si>
  <si>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</si>
  <si>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</si>
  <si>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</si>
  <si>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REPLACE -  UNDM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</si>
  <si>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</si>
  <si>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</si>
  <si>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</si>
  <si>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</si>
  <si>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</si>
  <si>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JHOPL-WI-17-050</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</si>
  <si>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</si>
  <si>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</si>
  <si>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</si>
  <si>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</si>
  <si>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</si>
  <si>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</si>
  <si>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</si>
  <si>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</si>
  <si>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</si>
  <si>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</si>
  <si>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</si>
  <si>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</si>
  <si>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</si>
  <si>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JHOPL-WI-19-085
JHOPL-WI-19-098</t>
  </si>
  <si>
    <t>Unit No: 96523</t>
  </si>
  <si>
    <t>Roland (BAU), LN,JL,KM</t>
  </si>
  <si>
    <t>DH VN, LN, Jl,KM</t>
  </si>
  <si>
    <t>CB JJT,LN,JL,KM</t>
  </si>
  <si>
    <t>DH, VN, RN, AR, RB</t>
  </si>
  <si>
    <t>JTT, CB, AR, RB, RN</t>
  </si>
  <si>
    <t>DH VN, LN,JL,KM</t>
  </si>
  <si>
    <t>DH VN,LN,JL,KM</t>
  </si>
  <si>
    <t>KA, AL. JT</t>
  </si>
  <si>
    <t xml:space="preserve">DH   </t>
  </si>
  <si>
    <t>JN,AS</t>
  </si>
  <si>
    <t>JN, DH</t>
  </si>
  <si>
    <t>OM,AS</t>
  </si>
  <si>
    <t>AL, LN, JD,AS,PS</t>
  </si>
  <si>
    <t>MD, JD</t>
  </si>
  <si>
    <t>JHOPL-WI-19-119</t>
  </si>
  <si>
    <t>JT PS</t>
  </si>
  <si>
    <t>IROC 1/2" VENTED BALL VALVE -INTERNAL</t>
  </si>
  <si>
    <t>IROC - CURRENT BALANCE RELAY PANEL</t>
  </si>
  <si>
    <t>CB</t>
  </si>
  <si>
    <t>CB, AOO</t>
  </si>
  <si>
    <t>UNDM CAR REMOVE/REFIT AUTOCOUPLER UNDM RH 4-CAR, DRAWGEAR, RADIAL SUPPORT BAR, CONTACT BOX ASSY L/H &amp; CONTACT BOX ASSY R/H</t>
  </si>
  <si>
    <t>REPLACE AUTOCOUPLER UNDM RH 4-CAR, DRAWGEAR &amp; CONTACT BOX L &amp; R HAND</t>
  </si>
  <si>
    <t>TG PS JS SA. GT, SV, AL, GD</t>
  </si>
  <si>
    <t>KA,AS,MD. MR,SS,JM,AD</t>
  </si>
  <si>
    <t>AOO</t>
  </si>
  <si>
    <t>Unit No: 96723</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</si>
  <si>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</si>
  <si>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</si>
  <si>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</si>
  <si>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</si>
  <si>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</si>
  <si>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</si>
  <si>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</si>
  <si>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</si>
  <si>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SPECIAL TRAILER CAR REMOVE BOGIE D</t>
  </si>
  <si>
    <t>REMOVE BOGIE D (TYPE G)</t>
  </si>
  <si>
    <t>SPECIAL TRAILER CAR REFIT BOGIE D</t>
  </si>
  <si>
    <t>REFIT BOGIE D (TYPE G)</t>
  </si>
  <si>
    <t>SPECIAL TRAILER CAR REMOVE/REFIT WSP CONTROL UNIT</t>
  </si>
  <si>
    <t>CB JJT, LN,JL,KM</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</si>
  <si>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</si>
  <si>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</si>
  <si>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</si>
  <si>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</si>
  <si>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KA,PS</t>
  </si>
  <si>
    <t>SPECIAL TRAILER CAR REMOVE/REFIT BRAKE CYLINDER PRESSURE SWITCH 2 (FOR TR CARS)</t>
  </si>
  <si>
    <t>SPECIAL TRAILER CAR REMOVE/REFIT ½" VENTED BALL VALVE (VLCV / SYSTEM DRAIN / WHISTLE)</t>
  </si>
  <si>
    <t xml:space="preserve">IROC 1/2" VENTED BALL VALVE </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</si>
  <si>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</si>
  <si>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</si>
  <si>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</si>
  <si>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</si>
  <si>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</si>
  <si>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SPECIAL TRAILER CAR REMOVE/REFIT ¾" VENTED BALL VALVE (BCIC)</t>
  </si>
  <si>
    <t>SPECIAL TRAILER CAR REMOVE/REFIT WSP DUMP VALVE - TRAILER</t>
  </si>
  <si>
    <t>AL, LN,JD,AS,PS</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</si>
  <si>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</si>
  <si>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</si>
  <si>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</si>
  <si>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</si>
  <si>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</si>
  <si>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</si>
  <si>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</si>
  <si>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</si>
  <si>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</si>
  <si>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</si>
  <si>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</si>
  <si>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</si>
  <si>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</si>
  <si>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</si>
  <si>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t>REPLACE DRAWGEAR INTERMEDIATE D END WITH COUPLER BAR</t>
  </si>
  <si>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</si>
  <si>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</si>
  <si>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</si>
  <si>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</si>
  <si>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</si>
  <si>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</si>
  <si>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</si>
  <si>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</si>
  <si>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</si>
  <si>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96323</t>
  </si>
  <si>
    <t>TRAILER CAR REMOVE/REFIT BRAKE CYLINDER PRESSURE SWITCH 1 (FOR ALL CARS)</t>
  </si>
  <si>
    <t>KA, AL. JT, LVN</t>
  </si>
  <si>
    <t>TRAILER CAR REMOVE/REFIT ½" VENTED BALL VALVE (VLCV / SYSTEM DRAIN / WHISTLE)</t>
  </si>
  <si>
    <t>OM,JD</t>
  </si>
  <si>
    <t>RN</t>
  </si>
  <si>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</si>
  <si>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REPLACE DRAWGEAR INTERMEDIATE A END</t>
  </si>
  <si>
    <t>TRAILER CAR REMOVE/REFIT DRAWGEAR INTERMEDIATE D END &amp; SEMI-PERMANENT COUPLER BAR</t>
  </si>
  <si>
    <t>REPLACE DRAWGEAR INTERMEDIATE D END</t>
  </si>
  <si>
    <t>AD, BV,KA,AS,ASS,MAA</t>
  </si>
  <si>
    <t>REPLACE 2 UNDM &amp; STC CARS COUPLER HOSE/SEMI-PERM COUPLER HOSE</t>
  </si>
  <si>
    <t>TRAILER CAR REMOVE/REFIT BATTERY SUPPLY CAPACITORS (BSK 1, 2, 3)  NON ELECTROLYTIC CAPACITOR</t>
  </si>
  <si>
    <t>TRAILER - REMOVE/REFIT BATTERY ISOLATION CONTACTORS N(C-BIC1 AND C-BIC 2)</t>
  </si>
  <si>
    <t>NA,LN</t>
  </si>
  <si>
    <t xml:space="preserve">TRAILER - REMOVE/REFIT SALOON MODULAR SEATING - CATCH PLATE, GAS STRUT, SEAL, PINS, SPACE COVER AND INSULATION BLANKET </t>
  </si>
  <si>
    <t>TRAILER -  REMOVE/REFIT SALOON MODULAR SEATING - SEAT LOCK SPRING AND PIN SPRINGS</t>
  </si>
  <si>
    <t>REPLACE 5 X TMRT's</t>
  </si>
  <si>
    <t>Unit No: 96123</t>
  </si>
  <si>
    <t>DH VN RB AR</t>
  </si>
  <si>
    <t>RB, AO, JJ</t>
  </si>
  <si>
    <t xml:space="preserve">DH  </t>
  </si>
  <si>
    <t>MR</t>
  </si>
  <si>
    <t>JJT, CB</t>
  </si>
  <si>
    <t>SC</t>
  </si>
  <si>
    <t>OM, LVN, JAD</t>
  </si>
  <si>
    <t>JS, TG, PS, MJ NP JS</t>
  </si>
  <si>
    <t>MR SS, RB SV OM</t>
  </si>
  <si>
    <t>KA,AS,MD, JS, MJ</t>
  </si>
  <si>
    <t>MR, SS,BV,HI</t>
  </si>
  <si>
    <t>AS,ASS,KA</t>
  </si>
  <si>
    <t>AOO, CB</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</si>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</sst>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17">
    <font>
      <sz val="12"/>
      <color theme="1"/>
      <name val="Arial"/>
      <family val="2"/>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2"/>
      <color theme="1"/>
      <name val="Calibri"/>
      <family val="2"/>
    </font>
    <font>
      <sz val="12"/>
      <color theme="1"/>
      <name val="Calibri"/>
      <family val="2"/>
      <scheme val="minor"/>
    </font>
    <font>
      <sz val="11"/>
      <color rgb="FF000000"/>
      <name val="Calibri"/>
      <family val="2"/>
    </font>
    <font>
      <sz val="12"/>
      <color rgb="FFA6A6A6"/>
      <name val="Arial"/>
      <family val="2"/>
    </font>
    <font>
      <b/>
      <sz val="11"/>
      <color rgb="FFFF0000"/>
      <name val="Calibri"/>
      <family val="2"/>
      <scheme val="minor"/>
    </font>
  </fonts>
  <fills count="15">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FF0000"/>
        <bgColor indexed="64"/>
      </patternFill>
    </fill>
    <fill>
      <patternFill patternType="solid">
        <fgColor rgb="FFA9D08E"/>
        <bgColor indexed="64"/>
      </patternFill>
    </fill>
    <fill>
      <patternFill patternType="solid">
        <fgColor rgb="FFFFC000"/>
        <bgColor indexed="64"/>
      </patternFill>
    </fill>
    <fill>
      <patternFill patternType="solid">
        <fgColor theme="7" tint="0.39997558519241921"/>
        <bgColor indexed="64"/>
      </patternFill>
    </fill>
    <fill>
      <patternFill patternType="solid">
        <fgColor theme="9" tint="0.39997558519241921"/>
        <bgColor indexed="64"/>
      </patternFill>
    </fill>
  </fills>
  <borders count="37">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rgb="FF000000"/>
      </top>
      <bottom/>
      <diagonal/>
    </border>
    <border>
      <left style="thin">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thick">
        <color indexed="8"/>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
      <left style="medium">
        <color indexed="64"/>
      </left>
      <right/>
      <top/>
      <bottom/>
      <diagonal/>
    </border>
  </borders>
  <cellStyleXfs count="2">
    <xf numFmtId="0" fontId="0" fillId="0" borderId="0"/>
    <xf numFmtId="9" fontId="5" fillId="0" borderId="0" applyFont="0" applyFill="0" applyBorder="0" applyAlignment="0" applyProtection="0"/>
  </cellStyleXfs>
  <cellXfs count="205">
    <xf numFmtId="0" fontId="0" fillId="0" borderId="0" xfId="0"/>
    <xf numFmtId="0" fontId="0" fillId="0" borderId="0" xfId="0" applyAlignment="1">
      <alignment vertical="top" wrapText="1"/>
    </xf>
    <xf numFmtId="0" fontId="0" fillId="0" borderId="0" xfId="0" applyAlignment="1">
      <alignment wrapText="1"/>
    </xf>
    <xf numFmtId="0" fontId="0" fillId="2" borderId="0" xfId="0" applyFill="1"/>
    <xf numFmtId="0" fontId="3"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1" applyFont="1" applyFill="1" applyBorder="1"/>
    <xf numFmtId="9" fontId="6" fillId="0" borderId="6" xfId="1" applyFont="1" applyFill="1" applyBorder="1"/>
    <xf numFmtId="0" fontId="0" fillId="0" borderId="14" xfId="0" applyBorder="1"/>
    <xf numFmtId="0" fontId="0" fillId="0" borderId="6" xfId="0" applyBorder="1"/>
    <xf numFmtId="0" fontId="6" fillId="6" borderId="0" xfId="0" applyFont="1" applyFill="1" applyAlignment="1">
      <alignment vertical="top" wrapText="1"/>
    </xf>
    <xf numFmtId="0" fontId="6" fillId="5" borderId="2" xfId="0" applyFont="1" applyFill="1"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6" fillId="0" borderId="15" xfId="0" applyFont="1" applyBorder="1"/>
    <xf numFmtId="0" fontId="6" fillId="0" borderId="16" xfId="0" applyFont="1" applyBorder="1"/>
    <xf numFmtId="0" fontId="0" fillId="0" borderId="13" xfId="0" applyBorder="1"/>
    <xf numFmtId="0" fontId="6" fillId="9" borderId="0" xfId="0" applyFont="1" applyFill="1" applyAlignment="1">
      <alignment vertical="top" wrapText="1"/>
    </xf>
    <xf numFmtId="0" fontId="8" fillId="5" borderId="6"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textRotation="90" wrapText="1"/>
    </xf>
    <xf numFmtId="0" fontId="8" fillId="5" borderId="5" xfId="0" applyFont="1" applyFill="1" applyBorder="1" applyAlignment="1">
      <alignment horizontal="center" vertical="center" textRotation="90" wrapText="1"/>
    </xf>
    <xf numFmtId="0" fontId="8" fillId="5" borderId="5" xfId="0" applyFont="1" applyFill="1" applyBorder="1" applyAlignment="1">
      <alignment horizontal="center" vertical="center" wrapText="1"/>
    </xf>
    <xf numFmtId="0" fontId="9" fillId="3" borderId="0" xfId="0" applyFont="1" applyFill="1" applyAlignment="1">
      <alignment wrapText="1"/>
    </xf>
    <xf numFmtId="0" fontId="9" fillId="3" borderId="0" xfId="0" applyFont="1" applyFill="1" applyAlignment="1">
      <alignment vertical="center" wrapText="1"/>
    </xf>
    <xf numFmtId="0" fontId="9" fillId="3" borderId="0" xfId="0" applyFont="1" applyFill="1" applyAlignment="1">
      <alignment horizontal="center" vertical="center" wrapText="1"/>
    </xf>
    <xf numFmtId="0" fontId="0" fillId="0" borderId="2" xfId="0" applyBorder="1"/>
    <xf numFmtId="0" fontId="0" fillId="0" borderId="10" xfId="0" applyBorder="1"/>
    <xf numFmtId="0" fontId="8" fillId="5" borderId="9" xfId="0" applyFont="1" applyFill="1" applyBorder="1" applyAlignment="1">
      <alignment horizontal="center" vertical="center" wrapText="1"/>
    </xf>
    <xf numFmtId="0" fontId="8" fillId="5" borderId="12" xfId="0" applyFont="1" applyFill="1" applyBorder="1" applyAlignment="1">
      <alignment horizontal="center" vertical="center" wrapText="1"/>
    </xf>
    <xf numFmtId="14" fontId="0" fillId="4" borderId="0" xfId="0" applyNumberFormat="1" applyFill="1" applyAlignment="1">
      <alignment wrapText="1"/>
    </xf>
    <xf numFmtId="14" fontId="8" fillId="5" borderId="5" xfId="0" applyNumberFormat="1" applyFont="1" applyFill="1" applyBorder="1" applyAlignment="1">
      <alignment horizontal="center" vertical="center" textRotation="90" wrapText="1"/>
    </xf>
    <xf numFmtId="164" fontId="0" fillId="0" borderId="0" xfId="0" applyNumberFormat="1" applyAlignment="1">
      <alignment wrapText="1"/>
    </xf>
    <xf numFmtId="164" fontId="8" fillId="5" borderId="5" xfId="0" applyNumberFormat="1" applyFont="1" applyFill="1" applyBorder="1" applyAlignment="1">
      <alignment horizontal="center" vertical="center" wrapText="1"/>
    </xf>
    <xf numFmtId="0" fontId="8" fillId="5" borderId="23" xfId="0" applyFont="1" applyFill="1" applyBorder="1" applyAlignment="1">
      <alignment horizontal="center" vertical="center" wrapText="1"/>
    </xf>
    <xf numFmtId="0" fontId="0" fillId="10" borderId="0" xfId="0" applyFill="1"/>
    <xf numFmtId="0" fontId="15" fillId="7" borderId="0" xfId="0" applyFont="1" applyFill="1" applyAlignment="1">
      <alignment horizontal="center" vertical="center" wrapText="1"/>
    </xf>
    <xf numFmtId="0" fontId="14" fillId="11" borderId="24" xfId="0" applyFont="1" applyFill="1" applyBorder="1" applyAlignment="1">
      <alignment horizontal="center" vertical="center" wrapText="1"/>
    </xf>
    <xf numFmtId="14" fontId="14" fillId="11" borderId="24" xfId="0" applyNumberFormat="1" applyFont="1" applyFill="1" applyBorder="1" applyAlignment="1">
      <alignment horizontal="center" vertical="center" wrapText="1"/>
    </xf>
    <xf numFmtId="0" fontId="0" fillId="11" borderId="24" xfId="0" applyFill="1" applyBorder="1" applyAlignment="1">
      <alignment horizontal="center" vertical="center" wrapText="1"/>
    </xf>
    <xf numFmtId="0" fontId="1" fillId="11" borderId="24" xfId="0" applyFont="1" applyFill="1" applyBorder="1" applyAlignment="1">
      <alignment horizontal="center" vertical="center" wrapText="1"/>
    </xf>
    <xf numFmtId="0" fontId="12" fillId="11" borderId="24" xfId="0" applyFont="1" applyFill="1" applyBorder="1" applyAlignment="1">
      <alignment horizontal="center" vertical="center" wrapText="1"/>
    </xf>
    <xf numFmtId="0" fontId="14" fillId="11" borderId="26" xfId="0" applyFont="1" applyFill="1" applyBorder="1" applyAlignment="1">
      <alignment horizontal="center" vertical="center" wrapText="1"/>
    </xf>
    <xf numFmtId="14" fontId="14" fillId="11" borderId="26" xfId="0" applyNumberFormat="1" applyFont="1" applyFill="1" applyBorder="1" applyAlignment="1">
      <alignment horizontal="center" vertical="center" wrapText="1"/>
    </xf>
    <xf numFmtId="0" fontId="0" fillId="11" borderId="26" xfId="0" applyFill="1" applyBorder="1" applyAlignment="1">
      <alignment horizontal="center" vertical="center" wrapText="1"/>
    </xf>
    <xf numFmtId="0" fontId="1" fillId="11" borderId="26" xfId="0" applyFont="1" applyFill="1" applyBorder="1" applyAlignment="1">
      <alignment horizontal="center" vertical="center" wrapText="1"/>
    </xf>
    <xf numFmtId="164" fontId="1" fillId="11" borderId="27" xfId="0" applyNumberFormat="1" applyFont="1" applyFill="1" applyBorder="1" applyAlignment="1">
      <alignment horizontal="center" vertical="center" wrapText="1"/>
    </xf>
    <xf numFmtId="164" fontId="1" fillId="11" borderId="29" xfId="0" applyNumberFormat="1" applyFont="1" applyFill="1" applyBorder="1" applyAlignment="1">
      <alignment horizontal="center" vertical="center" wrapText="1"/>
    </xf>
    <xf numFmtId="164" fontId="2" fillId="11" borderId="29" xfId="0" applyNumberFormat="1" applyFont="1" applyFill="1" applyBorder="1" applyAlignment="1">
      <alignment horizontal="center" vertical="center" wrapText="1"/>
    </xf>
    <xf numFmtId="0" fontId="14" fillId="11" borderId="31" xfId="0" applyFont="1" applyFill="1" applyBorder="1" applyAlignment="1">
      <alignment horizontal="center" vertical="center" wrapText="1"/>
    </xf>
    <xf numFmtId="14" fontId="14" fillId="11" borderId="31" xfId="0" applyNumberFormat="1" applyFont="1" applyFill="1" applyBorder="1" applyAlignment="1">
      <alignment horizontal="center" vertical="center" wrapText="1"/>
    </xf>
    <xf numFmtId="0" fontId="1" fillId="11" borderId="31" xfId="0" applyFont="1" applyFill="1" applyBorder="1" applyAlignment="1">
      <alignment horizontal="center" vertical="center" wrapText="1"/>
    </xf>
    <xf numFmtId="164" fontId="1" fillId="11" borderId="32" xfId="0" applyNumberFormat="1" applyFont="1" applyFill="1" applyBorder="1" applyAlignment="1">
      <alignment horizontal="center" vertical="center" wrapText="1"/>
    </xf>
    <xf numFmtId="14" fontId="1" fillId="11" borderId="24" xfId="0" applyNumberFormat="1" applyFont="1" applyFill="1" applyBorder="1" applyAlignment="1">
      <alignment horizontal="center" vertical="center" wrapText="1"/>
    </xf>
    <xf numFmtId="14" fontId="1" fillId="11" borderId="26" xfId="0" applyNumberFormat="1" applyFont="1" applyFill="1" applyBorder="1" applyAlignment="1">
      <alignment horizontal="center" vertical="center" wrapText="1"/>
    </xf>
    <xf numFmtId="14" fontId="1" fillId="11" borderId="31" xfId="0" applyNumberFormat="1" applyFont="1" applyFill="1" applyBorder="1" applyAlignment="1">
      <alignment horizontal="center" vertical="center" wrapText="1"/>
    </xf>
    <xf numFmtId="0" fontId="1" fillId="11" borderId="28" xfId="0" applyFont="1" applyFill="1" applyBorder="1" applyAlignment="1">
      <alignment horizontal="center" vertical="center" wrapText="1"/>
    </xf>
    <xf numFmtId="14" fontId="0" fillId="11" borderId="24" xfId="0" applyNumberFormat="1" applyFill="1" applyBorder="1" applyAlignment="1">
      <alignment horizontal="center" vertical="center" wrapText="1"/>
    </xf>
    <xf numFmtId="0" fontId="1" fillId="11" borderId="30" xfId="0" applyFont="1" applyFill="1" applyBorder="1" applyAlignment="1">
      <alignment horizontal="center" vertical="center" wrapText="1"/>
    </xf>
    <xf numFmtId="0" fontId="1" fillId="11" borderId="25" xfId="0" applyFont="1" applyFill="1" applyBorder="1" applyAlignment="1">
      <alignment horizontal="center" vertical="center" wrapText="1"/>
    </xf>
    <xf numFmtId="0" fontId="1" fillId="0" borderId="1" xfId="0" applyFont="1" applyBorder="1" applyAlignment="1">
      <alignment wrapText="1"/>
    </xf>
    <xf numFmtId="0" fontId="1" fillId="0" borderId="1" xfId="0" applyFont="1" applyBorder="1" applyAlignment="1">
      <alignment horizontal="center" vertical="top" wrapText="1"/>
    </xf>
    <xf numFmtId="49" fontId="1" fillId="0" borderId="1" xfId="0" applyNumberFormat="1" applyFont="1" applyBorder="1" applyAlignment="1">
      <alignment horizontal="left" wrapText="1"/>
    </xf>
    <xf numFmtId="49" fontId="1" fillId="0" borderId="1" xfId="0" applyNumberFormat="1" applyFont="1" applyBorder="1" applyAlignment="1">
      <alignment horizontal="center" wrapText="1"/>
    </xf>
    <xf numFmtId="0" fontId="1" fillId="0" borderId="1" xfId="0" applyFont="1" applyBorder="1" applyAlignment="1">
      <alignment horizontal="center" wrapText="1"/>
    </xf>
    <xf numFmtId="0" fontId="1" fillId="0" borderId="1" xfId="0" applyFont="1" applyBorder="1" applyAlignment="1">
      <alignment horizontal="center" vertical="top"/>
    </xf>
    <xf numFmtId="0" fontId="1" fillId="2" borderId="1" xfId="0" applyFont="1" applyFill="1" applyBorder="1" applyAlignment="1">
      <alignment horizontal="center" vertical="top"/>
    </xf>
    <xf numFmtId="0" fontId="1" fillId="0" borderId="24" xfId="0" applyFont="1" applyBorder="1" applyAlignment="1">
      <alignment horizontal="center" vertical="center" wrapText="1"/>
    </xf>
    <xf numFmtId="0" fontId="1" fillId="0" borderId="25" xfId="0" applyFont="1" applyBorder="1" applyAlignment="1">
      <alignment horizontal="center" vertical="center" wrapText="1"/>
    </xf>
    <xf numFmtId="0" fontId="1" fillId="0" borderId="26" xfId="0" applyFont="1" applyBorder="1" applyAlignment="1">
      <alignment horizontal="center" vertical="center" wrapText="1"/>
    </xf>
    <xf numFmtId="0" fontId="14" fillId="0" borderId="26" xfId="0" applyFont="1" applyBorder="1" applyAlignment="1">
      <alignment horizontal="center" vertical="center" wrapText="1"/>
    </xf>
    <xf numFmtId="14" fontId="14" fillId="0" borderId="26" xfId="0" applyNumberFormat="1" applyFont="1" applyBorder="1" applyAlignment="1">
      <alignment horizontal="center" vertical="center" wrapText="1"/>
    </xf>
    <xf numFmtId="164" fontId="1" fillId="0" borderId="27" xfId="0" applyNumberFormat="1" applyFont="1" applyBorder="1" applyAlignment="1">
      <alignment horizontal="center" vertical="center" wrapText="1"/>
    </xf>
    <xf numFmtId="0" fontId="1" fillId="0" borderId="28" xfId="0" applyFont="1" applyBorder="1" applyAlignment="1">
      <alignment horizontal="center" vertical="center" wrapText="1"/>
    </xf>
    <xf numFmtId="0" fontId="14" fillId="0" borderId="24" xfId="0" applyFont="1" applyBorder="1" applyAlignment="1">
      <alignment horizontal="center" vertical="center" wrapText="1"/>
    </xf>
    <xf numFmtId="14" fontId="14" fillId="0" borderId="24" xfId="0" applyNumberFormat="1" applyFont="1" applyBorder="1" applyAlignment="1">
      <alignment horizontal="center" vertical="center" wrapText="1"/>
    </xf>
    <xf numFmtId="164" fontId="1" fillId="0" borderId="29" xfId="0" applyNumberFormat="1" applyFont="1" applyBorder="1" applyAlignment="1">
      <alignment horizontal="center" vertical="center" wrapText="1"/>
    </xf>
    <xf numFmtId="0" fontId="0" fillId="0" borderId="12" xfId="0" applyBorder="1" applyAlignment="1">
      <alignment wrapText="1"/>
    </xf>
    <xf numFmtId="0" fontId="1" fillId="0" borderId="30" xfId="0" applyFont="1" applyBorder="1" applyAlignment="1">
      <alignment horizontal="center" vertical="center" wrapText="1"/>
    </xf>
    <xf numFmtId="0" fontId="1" fillId="0" borderId="31" xfId="0" applyFont="1" applyBorder="1" applyAlignment="1">
      <alignment horizontal="center" vertical="center" wrapText="1"/>
    </xf>
    <xf numFmtId="0" fontId="14" fillId="0" borderId="31" xfId="0" applyFont="1" applyBorder="1" applyAlignment="1">
      <alignment horizontal="center" vertical="center" wrapText="1"/>
    </xf>
    <xf numFmtId="14" fontId="14" fillId="0" borderId="31" xfId="0" applyNumberFormat="1" applyFont="1" applyBorder="1" applyAlignment="1">
      <alignment horizontal="center" vertical="center" wrapText="1"/>
    </xf>
    <xf numFmtId="0" fontId="0" fillId="0" borderId="31" xfId="0" applyBorder="1" applyAlignment="1">
      <alignment horizontal="center" vertical="center" wrapText="1"/>
    </xf>
    <xf numFmtId="164" fontId="1" fillId="0" borderId="32" xfId="0" applyNumberFormat="1" applyFont="1" applyBorder="1" applyAlignment="1">
      <alignment horizontal="center" vertical="center" wrapText="1"/>
    </xf>
    <xf numFmtId="0" fontId="0" fillId="0" borderId="6" xfId="0" applyBorder="1" applyAlignment="1">
      <alignment wrapText="1"/>
    </xf>
    <xf numFmtId="0" fontId="0" fillId="0" borderId="2" xfId="0" applyBorder="1" applyAlignment="1">
      <alignment wrapText="1"/>
    </xf>
    <xf numFmtId="0" fontId="0" fillId="0" borderId="33" xfId="0" applyBorder="1" applyAlignment="1">
      <alignment horizontal="center" vertical="center" wrapText="1"/>
    </xf>
    <xf numFmtId="0" fontId="0" fillId="0" borderId="34" xfId="0" applyBorder="1" applyAlignment="1">
      <alignment horizontal="center" vertical="center" wrapText="1"/>
    </xf>
    <xf numFmtId="0" fontId="14" fillId="0" borderId="34" xfId="0" applyFont="1" applyBorder="1" applyAlignment="1">
      <alignment horizontal="center" vertical="center" wrapText="1"/>
    </xf>
    <xf numFmtId="14" fontId="14" fillId="0" borderId="34" xfId="0" applyNumberFormat="1" applyFont="1" applyBorder="1" applyAlignment="1">
      <alignment horizontal="center" vertical="center" wrapText="1"/>
    </xf>
    <xf numFmtId="0" fontId="1" fillId="0" borderId="34" xfId="0" applyFont="1" applyBorder="1" applyAlignment="1">
      <alignment horizontal="center" vertical="center" wrapText="1"/>
    </xf>
    <xf numFmtId="164" fontId="1" fillId="0" borderId="35" xfId="0" applyNumberFormat="1" applyFont="1" applyBorder="1" applyAlignment="1">
      <alignment wrapText="1"/>
    </xf>
    <xf numFmtId="0" fontId="0" fillId="0" borderId="34" xfId="0" applyBorder="1" applyAlignment="1">
      <alignment wrapText="1"/>
    </xf>
    <xf numFmtId="14" fontId="0" fillId="0" borderId="34" xfId="0" applyNumberFormat="1" applyBorder="1" applyAlignment="1">
      <alignment wrapText="1"/>
    </xf>
    <xf numFmtId="164" fontId="0" fillId="0" borderId="35" xfId="0" applyNumberFormat="1" applyBorder="1" applyAlignment="1">
      <alignment wrapText="1"/>
    </xf>
    <xf numFmtId="0" fontId="0" fillId="0" borderId="14" xfId="0" applyBorder="1" applyAlignment="1">
      <alignment wrapText="1"/>
    </xf>
    <xf numFmtId="14" fontId="1" fillId="0" borderId="26" xfId="0" applyNumberFormat="1" applyFont="1" applyBorder="1" applyAlignment="1">
      <alignment horizontal="center" vertical="center" wrapText="1"/>
    </xf>
    <xf numFmtId="14" fontId="1" fillId="0" borderId="24" xfId="0" applyNumberFormat="1" applyFont="1" applyBorder="1" applyAlignment="1">
      <alignment horizontal="center" vertical="center" wrapText="1"/>
    </xf>
    <xf numFmtId="14" fontId="1" fillId="0" borderId="31" xfId="0" applyNumberFormat="1" applyFont="1" applyBorder="1" applyAlignment="1">
      <alignment horizontal="center" vertical="center" wrapText="1"/>
    </xf>
    <xf numFmtId="0" fontId="0" fillId="0" borderId="24" xfId="0" applyBorder="1" applyAlignment="1">
      <alignment wrapText="1"/>
    </xf>
    <xf numFmtId="0" fontId="0" fillId="0" borderId="29" xfId="0" applyBorder="1" applyAlignment="1">
      <alignment wrapText="1"/>
    </xf>
    <xf numFmtId="0" fontId="0" fillId="0" borderId="30" xfId="0" applyBorder="1" applyAlignment="1">
      <alignment horizontal="center" vertical="center" wrapText="1"/>
    </xf>
    <xf numFmtId="0" fontId="0" fillId="0" borderId="31" xfId="0" applyBorder="1" applyAlignment="1">
      <alignment vertical="center" wrapText="1"/>
    </xf>
    <xf numFmtId="0" fontId="0" fillId="0" borderId="31" xfId="0" applyBorder="1" applyAlignment="1">
      <alignment wrapText="1"/>
    </xf>
    <xf numFmtId="0" fontId="0" fillId="0" borderId="32" xfId="0" applyBorder="1" applyAlignment="1">
      <alignment wrapText="1"/>
    </xf>
    <xf numFmtId="0" fontId="0" fillId="11" borderId="24" xfId="0" applyFill="1" applyBorder="1" applyAlignment="1">
      <alignment horizontal="center" vertical="center"/>
    </xf>
    <xf numFmtId="14" fontId="0" fillId="11" borderId="24" xfId="0" applyNumberFormat="1" applyFill="1" applyBorder="1" applyAlignment="1">
      <alignment horizontal="center" vertical="center"/>
    </xf>
    <xf numFmtId="0" fontId="1" fillId="0" borderId="21" xfId="0" applyFont="1" applyBorder="1" applyAlignment="1">
      <alignment horizontal="center" vertical="center" wrapText="1"/>
    </xf>
    <xf numFmtId="0" fontId="0" fillId="0" borderId="13" xfId="0" applyBorder="1" applyAlignment="1">
      <alignment wrapText="1"/>
    </xf>
    <xf numFmtId="0" fontId="14" fillId="0" borderId="30" xfId="0" applyFont="1" applyBorder="1" applyAlignment="1">
      <alignment horizontal="center" vertical="center" wrapText="1"/>
    </xf>
    <xf numFmtId="14" fontId="1" fillId="0" borderId="34" xfId="0" applyNumberFormat="1" applyFont="1" applyBorder="1" applyAlignment="1">
      <alignment horizontal="center" vertical="center" wrapText="1"/>
    </xf>
    <xf numFmtId="164" fontId="1" fillId="0" borderId="35" xfId="0" applyNumberFormat="1" applyFont="1" applyBorder="1" applyAlignment="1">
      <alignment horizontal="center" vertical="center" wrapText="1"/>
    </xf>
    <xf numFmtId="0" fontId="1" fillId="0" borderId="21" xfId="0" applyFont="1" applyBorder="1" applyAlignment="1">
      <alignment wrapText="1"/>
    </xf>
    <xf numFmtId="0" fontId="0" fillId="0" borderId="22" xfId="0" applyBorder="1" applyAlignment="1">
      <alignment wrapText="1"/>
    </xf>
    <xf numFmtId="0" fontId="13" fillId="0" borderId="28" xfId="0" applyFont="1" applyBorder="1" applyAlignment="1">
      <alignment horizontal="center" vertical="center" wrapText="1"/>
    </xf>
    <xf numFmtId="0" fontId="13" fillId="0" borderId="24" xfId="0" applyFont="1" applyBorder="1" applyAlignment="1">
      <alignment horizontal="center" vertical="center" wrapText="1"/>
    </xf>
    <xf numFmtId="0" fontId="13" fillId="0" borderId="30" xfId="0" applyFont="1" applyBorder="1" applyAlignment="1">
      <alignment horizontal="center" vertical="center" wrapText="1"/>
    </xf>
    <xf numFmtId="0" fontId="13" fillId="0" borderId="31" xfId="0" applyFont="1" applyBorder="1" applyAlignment="1">
      <alignment horizontal="center" vertical="center" wrapText="1"/>
    </xf>
    <xf numFmtId="0" fontId="0" fillId="0" borderId="35" xfId="0" applyBorder="1" applyAlignment="1">
      <alignment wrapText="1"/>
    </xf>
    <xf numFmtId="0" fontId="1" fillId="12" borderId="24" xfId="0" applyFont="1" applyFill="1" applyBorder="1" applyAlignment="1">
      <alignment horizontal="center" vertical="center" wrapText="1"/>
    </xf>
    <xf numFmtId="0" fontId="1" fillId="13" borderId="28" xfId="0" applyFont="1" applyFill="1" applyBorder="1" applyAlignment="1">
      <alignment horizontal="center" vertical="center" wrapText="1"/>
    </xf>
    <xf numFmtId="0" fontId="1" fillId="13" borderId="24" xfId="0" applyFont="1" applyFill="1" applyBorder="1" applyAlignment="1">
      <alignment horizontal="center" vertical="center" wrapText="1"/>
    </xf>
    <xf numFmtId="14" fontId="1" fillId="13" borderId="24" xfId="0" applyNumberFormat="1" applyFont="1" applyFill="1" applyBorder="1" applyAlignment="1">
      <alignment horizontal="center" vertical="center" wrapText="1"/>
    </xf>
    <xf numFmtId="0" fontId="1" fillId="14" borderId="28" xfId="0" applyFont="1" applyFill="1" applyBorder="1" applyAlignment="1">
      <alignment horizontal="center" vertical="center" wrapText="1"/>
    </xf>
    <xf numFmtId="0" fontId="1" fillId="14" borderId="24" xfId="0" applyFont="1" applyFill="1" applyBorder="1" applyAlignment="1">
      <alignment horizontal="center" vertical="center" wrapText="1"/>
    </xf>
    <xf numFmtId="0" fontId="14" fillId="14" borderId="24" xfId="0" applyFont="1" applyFill="1" applyBorder="1" applyAlignment="1">
      <alignment horizontal="center" vertical="center" wrapText="1"/>
    </xf>
    <xf numFmtId="14" fontId="14" fillId="14" borderId="24" xfId="0" applyNumberFormat="1" applyFont="1" applyFill="1" applyBorder="1" applyAlignment="1">
      <alignment horizontal="center" vertical="center" wrapText="1"/>
    </xf>
    <xf numFmtId="164" fontId="1" fillId="14" borderId="29" xfId="0" applyNumberFormat="1" applyFont="1" applyFill="1" applyBorder="1" applyAlignment="1">
      <alignment horizontal="center" vertical="center" wrapText="1"/>
    </xf>
    <xf numFmtId="0" fontId="0" fillId="13" borderId="26" xfId="0" applyFill="1" applyBorder="1" applyAlignment="1">
      <alignment horizontal="center" vertical="center" wrapText="1"/>
    </xf>
    <xf numFmtId="164" fontId="1" fillId="13" borderId="29" xfId="0" applyNumberFormat="1" applyFont="1" applyFill="1" applyBorder="1" applyAlignment="1">
      <alignment horizontal="center" vertical="center" wrapText="1"/>
    </xf>
    <xf numFmtId="0" fontId="1" fillId="13" borderId="25" xfId="0" applyFont="1" applyFill="1" applyBorder="1" applyAlignment="1">
      <alignment horizontal="center" vertical="center" wrapText="1"/>
    </xf>
    <xf numFmtId="0" fontId="1" fillId="13" borderId="26" xfId="0" applyFont="1" applyFill="1" applyBorder="1" applyAlignment="1">
      <alignment horizontal="center" vertical="center" wrapText="1"/>
    </xf>
    <xf numFmtId="164" fontId="1" fillId="13" borderId="27" xfId="0" applyNumberFormat="1" applyFont="1" applyFill="1" applyBorder="1" applyAlignment="1">
      <alignment horizontal="center" vertical="center" wrapText="1"/>
    </xf>
    <xf numFmtId="14" fontId="1" fillId="13" borderId="26" xfId="0" applyNumberFormat="1" applyFont="1" applyFill="1" applyBorder="1" applyAlignment="1">
      <alignment horizontal="center" vertical="center" wrapText="1"/>
    </xf>
    <xf numFmtId="0" fontId="1" fillId="2" borderId="24" xfId="0" applyFont="1" applyFill="1" applyBorder="1" applyAlignment="1">
      <alignment horizontal="center" vertical="center" wrapText="1"/>
    </xf>
    <xf numFmtId="164" fontId="1" fillId="2" borderId="29" xfId="0" applyNumberFormat="1" applyFont="1" applyFill="1" applyBorder="1" applyAlignment="1">
      <alignment horizontal="center" vertical="center" wrapText="1"/>
    </xf>
    <xf numFmtId="0" fontId="1" fillId="14" borderId="26" xfId="0" applyFont="1" applyFill="1" applyBorder="1" applyAlignment="1">
      <alignment horizontal="center" vertical="center" wrapText="1"/>
    </xf>
    <xf numFmtId="0" fontId="1" fillId="14" borderId="30" xfId="0" applyFont="1" applyFill="1" applyBorder="1" applyAlignment="1">
      <alignment horizontal="center" vertical="center" wrapText="1"/>
    </xf>
    <xf numFmtId="14" fontId="1" fillId="14" borderId="24" xfId="0" applyNumberFormat="1" applyFont="1" applyFill="1" applyBorder="1" applyAlignment="1">
      <alignment horizontal="center" vertical="center" wrapText="1"/>
    </xf>
    <xf numFmtId="0" fontId="0" fillId="14" borderId="26" xfId="0" applyFill="1" applyBorder="1" applyAlignment="1">
      <alignment horizontal="center" vertical="center" wrapText="1"/>
    </xf>
    <xf numFmtId="0" fontId="1" fillId="14" borderId="25" xfId="0" applyFont="1" applyFill="1" applyBorder="1" applyAlignment="1">
      <alignment horizontal="center" vertical="center" wrapText="1"/>
    </xf>
    <xf numFmtId="0" fontId="1" fillId="14" borderId="31" xfId="0" applyFont="1" applyFill="1" applyBorder="1" applyAlignment="1">
      <alignment horizontal="center" vertical="center" wrapText="1"/>
    </xf>
    <xf numFmtId="164" fontId="1" fillId="14" borderId="32" xfId="0" applyNumberFormat="1" applyFont="1" applyFill="1" applyBorder="1" applyAlignment="1">
      <alignment horizontal="center" vertical="center" wrapText="1"/>
    </xf>
    <xf numFmtId="0" fontId="0" fillId="14" borderId="0" xfId="0" applyFill="1" applyAlignment="1">
      <alignment wrapText="1"/>
    </xf>
    <xf numFmtId="14" fontId="1" fillId="12" borderId="24" xfId="0" applyNumberFormat="1" applyFont="1" applyFill="1" applyBorder="1" applyAlignment="1">
      <alignment horizontal="center" vertical="center" wrapText="1"/>
    </xf>
    <xf numFmtId="164" fontId="1" fillId="12" borderId="29" xfId="0" applyNumberFormat="1" applyFont="1" applyFill="1" applyBorder="1" applyAlignment="1">
      <alignment horizontal="center" vertical="center" wrapText="1"/>
    </xf>
    <xf numFmtId="0" fontId="0" fillId="13" borderId="0" xfId="0" applyFill="1" applyAlignment="1">
      <alignment wrapText="1"/>
    </xf>
    <xf numFmtId="0" fontId="0" fillId="2" borderId="6" xfId="0" applyFill="1" applyBorder="1" applyAlignment="1">
      <alignment wrapText="1"/>
    </xf>
    <xf numFmtId="0" fontId="0" fillId="2" borderId="14" xfId="0" applyFill="1" applyBorder="1" applyAlignment="1">
      <alignment wrapText="1"/>
    </xf>
    <xf numFmtId="0" fontId="0" fillId="2" borderId="13" xfId="0" applyFill="1" applyBorder="1" applyAlignment="1">
      <alignment wrapText="1"/>
    </xf>
    <xf numFmtId="0" fontId="0" fillId="2" borderId="36" xfId="0" applyFill="1" applyBorder="1" applyAlignment="1">
      <alignment wrapText="1"/>
    </xf>
    <xf numFmtId="0" fontId="14" fillId="14" borderId="26" xfId="0" applyFont="1" applyFill="1" applyBorder="1" applyAlignment="1">
      <alignment horizontal="center" vertical="center" wrapText="1"/>
    </xf>
    <xf numFmtId="14" fontId="14" fillId="14" borderId="26" xfId="0" applyNumberFormat="1" applyFont="1" applyFill="1" applyBorder="1" applyAlignment="1">
      <alignment horizontal="center" vertical="center" wrapText="1"/>
    </xf>
    <xf numFmtId="164" fontId="1" fillId="14" borderId="27" xfId="0" applyNumberFormat="1" applyFont="1" applyFill="1" applyBorder="1" applyAlignment="1">
      <alignment horizontal="center" vertical="center" wrapText="1"/>
    </xf>
    <xf numFmtId="0" fontId="0" fillId="2" borderId="11" xfId="0" applyFill="1" applyBorder="1" applyAlignment="1">
      <alignment wrapText="1"/>
    </xf>
    <xf numFmtId="0" fontId="0" fillId="2" borderId="12" xfId="0" applyFill="1" applyBorder="1" applyAlignment="1">
      <alignment wrapText="1"/>
    </xf>
    <xf numFmtId="0" fontId="1" fillId="2" borderId="21" xfId="0" applyFont="1" applyFill="1" applyBorder="1" applyAlignment="1">
      <alignment horizontal="center" vertical="center" wrapText="1"/>
    </xf>
    <xf numFmtId="0" fontId="0" fillId="2" borderId="22" xfId="0" applyFill="1" applyBorder="1" applyAlignment="1">
      <alignment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13" fillId="14" borderId="28" xfId="0" applyFont="1" applyFill="1" applyBorder="1" applyAlignment="1">
      <alignment horizontal="center" vertical="center" wrapText="1"/>
    </xf>
    <xf numFmtId="0" fontId="13" fillId="14" borderId="24" xfId="0" applyFont="1" applyFill="1" applyBorder="1" applyAlignment="1">
      <alignment horizontal="center" vertical="center" wrapText="1"/>
    </xf>
    <xf numFmtId="0" fontId="0" fillId="14" borderId="24" xfId="0" applyFill="1" applyBorder="1" applyAlignment="1">
      <alignment horizontal="center" wrapText="1"/>
    </xf>
    <xf numFmtId="0" fontId="13" fillId="14" borderId="30" xfId="0" applyFont="1" applyFill="1" applyBorder="1" applyAlignment="1">
      <alignment horizontal="center" vertical="center" wrapText="1"/>
    </xf>
    <xf numFmtId="0" fontId="13" fillId="14" borderId="31" xfId="0" applyFont="1" applyFill="1" applyBorder="1" applyAlignment="1">
      <alignment horizontal="center" vertical="center" wrapText="1"/>
    </xf>
  </cellXfs>
  <cellStyles count="2">
    <cellStyle name="Normal" xfId="0" builtinId="0"/>
    <cellStyle name="Per cent" xfId="1" builtinId="5"/>
  </cellStyles>
  <dxfs count="175">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ont>
        <color theme="1"/>
      </font>
      <fill>
        <patternFill patternType="solid">
          <bgColor theme="9" tint="0.39997558519241921"/>
        </patternFill>
      </fill>
    </dxf>
    <dxf>
      <font>
        <color theme="1"/>
      </font>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114300</xdr:colOff>
          <xdr:row>14</xdr:row>
          <xdr:rowOff>104775</xdr:rowOff>
        </xdr:from>
        <xdr:to>
          <xdr:col>12</xdr:col>
          <xdr:colOff>361950</xdr:colOff>
          <xdr:row>16</xdr:row>
          <xdr:rowOff>285750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6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4B226FC8-8A7B-4677-9827-A3C3A9250DD4}" userId="S::TahaDeghyes@tfl.gov.uk::da7eecb3-e0fa-4d68-908c-844844052a96"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4B226FC8-8A7B-4677-9827-A3C3A9250DD4}" id="{92EE1AE6-0EF1-4FAE-9EE3-99F65CE85D75}">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zoomScale="90" zoomScaleNormal="90" workbookViewId="0">
      <selection activeCell="G13" sqref="G13"/>
    </sheetView>
  </sheetViews>
  <sheetFormatPr defaultRowHeight="15"/>
  <cols>
    <col min="1" max="1" width="18" style="15"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c r="A1" s="14"/>
      <c r="B1" s="7"/>
      <c r="C1" s="7"/>
      <c r="D1" s="7"/>
      <c r="E1" s="7"/>
      <c r="F1" s="7"/>
      <c r="G1" s="7"/>
      <c r="H1" s="7"/>
      <c r="I1" s="3"/>
      <c r="J1" s="3"/>
      <c r="K1" s="3"/>
      <c r="L1" s="3"/>
      <c r="M1" s="3"/>
      <c r="N1" s="3"/>
      <c r="O1" s="3"/>
      <c r="P1" s="7"/>
      <c r="Q1" s="7"/>
      <c r="R1" s="7"/>
      <c r="S1" s="7"/>
      <c r="T1" s="7"/>
      <c r="U1" s="7"/>
      <c r="V1" s="7"/>
      <c r="W1" s="7"/>
      <c r="X1" s="7"/>
      <c r="Y1" s="7"/>
      <c r="Z1" s="7"/>
      <c r="AA1" s="7"/>
      <c r="AB1" s="7"/>
      <c r="AC1" s="7"/>
      <c r="AD1" s="7"/>
      <c r="AE1" s="7"/>
      <c r="AF1" s="7"/>
      <c r="AG1" s="7"/>
      <c r="AH1" s="7"/>
      <c r="AI1" s="7"/>
      <c r="AJ1" s="7"/>
      <c r="AK1" s="7"/>
    </row>
    <row r="2" spans="1:37" ht="30.75" thickBot="1">
      <c r="A2" s="30" t="s">
        <v>0</v>
      </c>
      <c r="B2" s="43">
        <v>32</v>
      </c>
      <c r="C2" s="7"/>
      <c r="D2" s="7"/>
      <c r="E2" s="7"/>
      <c r="F2" s="7"/>
      <c r="G2" s="7"/>
      <c r="H2" s="7"/>
      <c r="I2" s="12" t="s">
        <v>1</v>
      </c>
      <c r="J2" s="16"/>
      <c r="K2" s="13" t="s">
        <v>2</v>
      </c>
      <c r="L2" s="9"/>
      <c r="M2" s="10"/>
      <c r="N2" s="11"/>
      <c r="O2" s="3"/>
      <c r="P2" s="7"/>
      <c r="Q2" s="7"/>
      <c r="R2" s="7"/>
      <c r="S2" s="7"/>
      <c r="T2" s="7"/>
      <c r="U2" s="7"/>
      <c r="V2" s="7"/>
      <c r="W2" s="7"/>
      <c r="X2" s="7"/>
      <c r="Y2" s="7"/>
      <c r="Z2" s="7"/>
      <c r="AA2" s="7"/>
      <c r="AB2" s="7"/>
      <c r="AC2" s="7"/>
      <c r="AD2" s="7"/>
      <c r="AE2" s="7"/>
      <c r="AF2" s="7"/>
      <c r="AG2" s="7"/>
      <c r="AH2" s="7"/>
      <c r="AI2" s="7"/>
      <c r="AJ2" s="7"/>
      <c r="AK2" s="7"/>
    </row>
    <row r="3" spans="1:37" ht="15.75" thickBot="1">
      <c r="A3" s="14"/>
      <c r="B3" s="7"/>
      <c r="C3" s="7"/>
      <c r="D3" s="7"/>
      <c r="E3" s="7"/>
      <c r="F3" s="7"/>
      <c r="G3" s="7"/>
      <c r="H3" s="7"/>
      <c r="I3" s="3"/>
      <c r="J3" s="3"/>
      <c r="K3" s="3"/>
      <c r="L3" s="3"/>
      <c r="M3" s="3"/>
      <c r="N3" s="3"/>
      <c r="O3" s="3"/>
      <c r="P3" s="7"/>
      <c r="Q3" s="7"/>
      <c r="R3" s="7"/>
      <c r="S3" s="7"/>
      <c r="T3" s="7"/>
      <c r="U3" s="7"/>
      <c r="V3" s="7"/>
      <c r="W3" s="7"/>
      <c r="X3" s="7"/>
      <c r="Y3" s="7"/>
      <c r="Z3" s="7"/>
      <c r="AA3" s="7"/>
      <c r="AB3" s="7"/>
      <c r="AC3" s="7"/>
      <c r="AD3" s="7"/>
      <c r="AE3" s="7"/>
      <c r="AF3" s="7"/>
      <c r="AG3" s="7"/>
      <c r="AH3" s="7"/>
      <c r="AI3" s="7"/>
      <c r="AJ3" s="7"/>
      <c r="AK3" s="7"/>
    </row>
    <row r="4" spans="1:37" ht="48" thickBot="1">
      <c r="A4" s="36"/>
      <c r="B4" s="31" t="s">
        <v>3</v>
      </c>
      <c r="C4" s="40" t="s">
        <v>4</v>
      </c>
      <c r="D4" s="39"/>
      <c r="E4" s="32" t="s">
        <v>5</v>
      </c>
      <c r="F4" s="33" t="s">
        <v>6</v>
      </c>
      <c r="G4" s="34" t="s">
        <v>7</v>
      </c>
      <c r="H4" s="33" t="s">
        <v>8</v>
      </c>
      <c r="I4" s="7"/>
      <c r="J4" s="3"/>
      <c r="K4" s="3"/>
      <c r="L4" s="3"/>
      <c r="M4" s="3"/>
      <c r="N4" s="7"/>
      <c r="O4" s="7"/>
      <c r="P4" s="7"/>
      <c r="Q4" s="7"/>
      <c r="R4" s="7"/>
      <c r="S4" s="7"/>
      <c r="T4" s="7"/>
      <c r="U4" s="7"/>
      <c r="V4" s="7"/>
      <c r="W4" s="7"/>
      <c r="X4" s="7"/>
      <c r="Y4" s="7"/>
      <c r="Z4" s="7"/>
      <c r="AA4" s="7"/>
      <c r="AB4" s="7"/>
      <c r="AC4" s="7"/>
      <c r="AD4" s="7"/>
      <c r="AE4" s="7"/>
      <c r="AF4" s="7"/>
      <c r="AG4" s="7"/>
      <c r="AH4" s="7"/>
      <c r="AI4" s="7"/>
      <c r="AJ4" s="7"/>
      <c r="AK4" s="7"/>
    </row>
    <row r="5" spans="1:37" ht="16.5" thickBot="1">
      <c r="A5" s="37" t="s">
        <v>9</v>
      </c>
      <c r="B5" s="41">
        <v>96004</v>
      </c>
      <c r="C5" s="42">
        <v>96123</v>
      </c>
      <c r="D5" s="46" t="s">
        <v>10</v>
      </c>
      <c r="E5" s="23" t="s">
        <v>11</v>
      </c>
      <c r="F5" s="48">
        <f>IF($B$17="No",SUM(COUNTIFS('DM 3 Car'!$B:$B,Summary!D5),COUNTIFS('Trailer 3 Car'!$B:$B,Summary!D5),COUNTIFS('UNDM 3 Car'!$B:$B,Summary!D5),COUNTIFS('DM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27">
        <f>IF($B$17="No",SUM(COUNTIFS('DM 3 Car'!$E:$E,"Yes",'DM 3 Car'!$B:$B,Summary!D5),COUNTIFS('Trailer 3 Car'!$E:$E,"Yes",'Trailer 3 Car'!$B:$B,Summary!D5),COUNTIFS('UNDM 3 Car'!$E:$E,"Yes",'UNDM 3 Car'!$B:$B,Summary!D5),COUNTIFS('DM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5">
        <f t="shared" ref="H5:H6" si="0">IFERROR(G5/F5,0)</f>
        <v>1</v>
      </c>
      <c r="I5" s="7"/>
      <c r="J5" s="3"/>
      <c r="K5" s="3"/>
      <c r="L5" s="3"/>
      <c r="M5" s="3"/>
      <c r="N5" s="7"/>
      <c r="O5" s="7"/>
      <c r="P5" s="7"/>
      <c r="Q5" s="7"/>
      <c r="R5" s="7"/>
      <c r="S5" s="7"/>
      <c r="T5" s="7"/>
      <c r="U5" s="7"/>
      <c r="V5" s="7"/>
      <c r="W5" s="7"/>
      <c r="X5" s="7"/>
      <c r="Y5" s="7"/>
      <c r="Z5" s="7"/>
      <c r="AA5" s="7"/>
      <c r="AB5" s="7"/>
      <c r="AC5" s="7"/>
      <c r="AD5" s="7"/>
      <c r="AE5" s="7"/>
      <c r="AF5" s="7"/>
      <c r="AG5" s="7"/>
      <c r="AH5" s="7"/>
      <c r="AI5" s="7"/>
      <c r="AJ5" s="7"/>
      <c r="AK5" s="7"/>
    </row>
    <row r="6" spans="1:37" ht="32.25" thickBot="1">
      <c r="A6" s="37" t="s">
        <v>12</v>
      </c>
      <c r="B6" s="23" cm="1">
        <f t="array" ref="B6">_xlfn.IFS($B$17="No",SUMPRODUCT(B21:D21),$B$17="Yes",SUMPRODUCT(I21:K21))</f>
        <v>184</v>
      </c>
      <c r="C6">
        <f>SUMPRODUCT(E21:H21)</f>
        <v>214</v>
      </c>
      <c r="D6" s="46" t="s">
        <v>13</v>
      </c>
      <c r="E6" s="23" t="s">
        <v>11</v>
      </c>
      <c r="F6" s="27">
        <f>IF($B$17="No",SUM(COUNTIFS('DM 3 Car'!$B:$B,Summary!D6),COUNTIFS('Trailer 3 Car'!$B:$B,Summary!D6),COUNTIFS('UNDM 3 Car'!$B:$B,Summary!D6),COUNTIFS('DM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27">
        <f>IF($B$17="No",SUM(COUNTIFS('DM 3 Car'!$E:$E,"Yes",'DM 3 Car'!$B:$B,Summary!D6),COUNTIFS('Trailer 3 Car'!$E:$E,"Yes",'Trailer 3 Car'!$B:$B,Summary!D6),COUNTIFS('UNDM 3 Car'!$E:$E,"Yes",'UNDM 3 Car'!$B:$B,Summary!D6),COUNTIFS('DM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84</v>
      </c>
      <c r="H6" s="25">
        <f t="shared" si="0"/>
        <v>0.95454545454545459</v>
      </c>
      <c r="I6" s="7"/>
      <c r="J6" s="3"/>
      <c r="K6" s="3"/>
      <c r="L6" s="3"/>
      <c r="M6" s="3"/>
      <c r="N6" s="7"/>
      <c r="O6" s="7"/>
      <c r="P6" s="191" t="s">
        <v>14</v>
      </c>
      <c r="Q6" s="192"/>
      <c r="R6" s="193"/>
      <c r="S6" s="7"/>
      <c r="T6" s="7"/>
      <c r="U6" s="7"/>
      <c r="V6" s="7"/>
      <c r="W6" s="7"/>
      <c r="X6" s="7"/>
      <c r="Y6" s="7"/>
      <c r="Z6" s="7"/>
      <c r="AA6" s="7"/>
      <c r="AB6" s="7"/>
      <c r="AC6" s="7"/>
      <c r="AD6" s="7"/>
      <c r="AE6" s="7"/>
      <c r="AF6" s="7"/>
      <c r="AG6" s="7"/>
      <c r="AH6" s="7"/>
      <c r="AI6" s="7"/>
      <c r="AJ6" s="7"/>
      <c r="AK6" s="7"/>
    </row>
    <row r="7" spans="1:37" ht="16.5" thickBot="1">
      <c r="A7" s="37" t="s">
        <v>15</v>
      </c>
      <c r="B7" s="23" cm="1">
        <f t="array" ref="B7">_xlfn.IFS($B$17="No",SUMPRODUCT(B22:D22),$B$17="Yes",SUMPRODUCT(I22:K22))</f>
        <v>6</v>
      </c>
      <c r="C7">
        <f t="shared" ref="C7:C8" si="1">SUMPRODUCT(E22:H22)</f>
        <v>5</v>
      </c>
      <c r="D7" s="46" t="s">
        <v>16</v>
      </c>
      <c r="E7" s="23" t="s">
        <v>11</v>
      </c>
      <c r="F7" s="27">
        <f>IF($B$17="No",SUM(COUNTIFS('DM 3 Car'!$B:$B,Summary!D7),COUNTIFS('Trailer 3 Car'!$B:$B,Summary!D7),COUNTIFS('UNDM 3 Car'!$B:$B,Summary!D7),COUNTIFS('DM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27">
        <f>IF($B$17="No",SUM(COUNTIFS('DM 3 Car'!$E:$E,"Yes",'DM 3 Car'!$B:$B,Summary!D7),COUNTIFS('Trailer 3 Car'!$E:$E,"Yes",'Trailer 3 Car'!$B:$B,Summary!D7),COUNTIFS('UNDM 3 Car'!$E:$E,"Yes",'UNDM 3 Car'!$B:$B,Summary!D7),COUNTIFS('DM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219</v>
      </c>
      <c r="H7" s="25">
        <f>IFERROR(G7/F7,0)</f>
        <v>0.95633187772925765</v>
      </c>
      <c r="I7" s="7"/>
      <c r="J7" s="3"/>
      <c r="K7" s="3"/>
      <c r="L7" s="3"/>
      <c r="M7" s="3"/>
      <c r="N7" s="7"/>
      <c r="O7" s="7"/>
      <c r="P7" s="194" t="s">
        <v>17</v>
      </c>
      <c r="Q7" s="195"/>
      <c r="R7" s="59" t="s">
        <v>18</v>
      </c>
      <c r="S7" s="7"/>
      <c r="T7" s="7"/>
      <c r="U7" s="7"/>
      <c r="V7" s="7"/>
      <c r="W7" s="7"/>
      <c r="X7" s="7"/>
      <c r="Y7" s="7"/>
      <c r="Z7" s="7"/>
      <c r="AA7" s="7"/>
      <c r="AB7" s="7"/>
      <c r="AC7" s="7"/>
      <c r="AD7" s="7"/>
      <c r="AE7" s="7"/>
      <c r="AF7" s="7"/>
      <c r="AG7" s="7"/>
      <c r="AH7" s="7"/>
      <c r="AI7" s="7"/>
      <c r="AJ7" s="7"/>
      <c r="AK7" s="7"/>
    </row>
    <row r="8" spans="1:37" ht="15.75">
      <c r="A8" s="37" t="s">
        <v>19</v>
      </c>
      <c r="B8" s="23" cm="1">
        <f t="array" ref="B8">_xlfn.IFS($B$17="No",SUMPRODUCT(B23:D23),$B$17="Yes",SUMPRODUCT(I23:K23))</f>
        <v>0</v>
      </c>
      <c r="C8">
        <f t="shared" si="1"/>
        <v>0</v>
      </c>
      <c r="D8" s="46" t="s">
        <v>20</v>
      </c>
      <c r="E8" s="23" t="s">
        <v>21</v>
      </c>
      <c r="F8" s="27">
        <f>IF($B$17="No",SUM(COUNTIFS('DM 3 Car'!$B:$B,Summary!D8),COUNTIFS('Trailer 3 Car'!$B:$B,Summary!D8),COUNTIFS('UNDM 3 Car'!$B:$B,Summary!D8),COUNTIFS('DM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124</v>
      </c>
      <c r="G8" s="27">
        <f>IF($B$17="No",SUM(COUNTIFS('DM 3 Car'!$E:$E,"Yes",'DM 3 Car'!$B:$B,Summary!D8),COUNTIFS('Trailer 3 Car'!$E:$E,"Yes",'Trailer 3 Car'!$B:$B,Summary!D8),COUNTIFS('UNDM 3 Car'!$E:$E,"Yes",'UNDM 3 Car'!$B:$B,Summary!D8),COUNTIFS('DM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49</v>
      </c>
      <c r="H8" s="25">
        <f t="shared" ref="H8:H9" si="2">IFERROR(G8/F8,0)</f>
        <v>0.39516129032258063</v>
      </c>
      <c r="I8" s="7"/>
      <c r="J8" s="3"/>
      <c r="K8" s="3"/>
      <c r="L8" s="3"/>
      <c r="M8" s="3"/>
      <c r="N8" s="7"/>
      <c r="O8" s="7"/>
      <c r="P8" s="196" t="s">
        <v>22</v>
      </c>
      <c r="Q8" s="197"/>
      <c r="R8" s="60" t="s">
        <v>11</v>
      </c>
      <c r="S8" s="7"/>
      <c r="T8" s="7"/>
      <c r="U8" s="7"/>
      <c r="V8" s="7"/>
      <c r="W8" s="7"/>
      <c r="X8" s="7"/>
      <c r="Y8" s="7"/>
      <c r="Z8" s="7"/>
      <c r="AA8" s="7"/>
      <c r="AB8" s="7"/>
      <c r="AC8" s="7"/>
      <c r="AD8" s="7"/>
      <c r="AE8" s="7"/>
      <c r="AF8" s="7"/>
      <c r="AG8" s="7"/>
      <c r="AH8" s="7"/>
      <c r="AI8" s="7"/>
      <c r="AJ8" s="7"/>
      <c r="AK8" s="7"/>
    </row>
    <row r="9" spans="1:37" ht="16.5" thickBot="1">
      <c r="A9" s="38" t="s">
        <v>23</v>
      </c>
      <c r="B9" s="24" cm="1">
        <f t="array" ref="B9">_xlfn.IFS($B$17="No",SUMPRODUCT(B24:D24),$B$17="Yes",SUMPRODUCT(I24:K24))</f>
        <v>175</v>
      </c>
      <c r="C9" s="24">
        <f>SUMPRODUCT(E24:H24)</f>
        <v>209</v>
      </c>
      <c r="D9" s="47" t="s">
        <v>24</v>
      </c>
      <c r="E9" s="24" t="s">
        <v>21</v>
      </c>
      <c r="F9" s="28">
        <f>IF($B$17="No",SUM(COUNTIFS('DM 3 Car'!$B:$B,Summary!D9),COUNTIFS('Trailer 3 Car'!$B:$B,Summary!D9),COUNTIFS('UNDM 3 Car'!$B:$B,Summary!D9),COUNTIFS('DM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28">
        <f>IF($B$17="No",SUM(COUNTIFS('DM 3 Car'!$E:$E,"Yes",'DM 3 Car'!$B:$B,Summary!D9),COUNTIFS('Trailer 3 Car'!$E:$E,"Yes",'Trailer 3 Car'!$B:$B,Summary!D9),COUNTIFS('UNDM 3 Car'!$E:$E,"Yes",'UNDM 3 Car'!$B:$B,Summary!D9),COUNTIFS('DM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6">
        <f t="shared" si="2"/>
        <v>0</v>
      </c>
      <c r="I9" s="7"/>
      <c r="J9" s="3"/>
      <c r="K9" s="3"/>
      <c r="L9" s="3"/>
      <c r="M9" s="3"/>
      <c r="N9" s="7"/>
      <c r="O9" s="7"/>
      <c r="P9" s="198" t="s">
        <v>25</v>
      </c>
      <c r="Q9" s="199"/>
      <c r="R9" s="24" t="s">
        <v>11</v>
      </c>
      <c r="S9" s="7"/>
      <c r="T9" s="7"/>
      <c r="U9" s="7"/>
      <c r="V9" s="7"/>
      <c r="W9" s="7"/>
      <c r="X9" s="7"/>
      <c r="Y9" s="7"/>
      <c r="Z9" s="7"/>
      <c r="AA9" s="7"/>
      <c r="AB9" s="7"/>
      <c r="AC9" s="7"/>
      <c r="AD9" s="7"/>
      <c r="AE9" s="7"/>
      <c r="AF9" s="7"/>
      <c r="AG9" s="7"/>
      <c r="AH9" s="7"/>
      <c r="AI9" s="7"/>
      <c r="AJ9" s="7"/>
      <c r="AK9" s="7"/>
    </row>
    <row r="10" spans="1:37">
      <c r="A10" s="7"/>
      <c r="B10" s="7"/>
      <c r="C10" s="7"/>
      <c r="D10" s="7"/>
      <c r="E10" s="7"/>
      <c r="F10" s="7"/>
      <c r="G10" s="7"/>
      <c r="H10" s="7"/>
      <c r="I10" s="7"/>
      <c r="J10" s="3"/>
      <c r="K10" s="3"/>
      <c r="L10" s="3"/>
      <c r="M10" s="3"/>
      <c r="N10" s="7"/>
      <c r="O10" s="7"/>
      <c r="P10" s="8"/>
      <c r="Q10" s="8"/>
      <c r="R10" s="8"/>
      <c r="S10" s="7"/>
      <c r="T10" s="7"/>
      <c r="U10" s="7"/>
      <c r="V10" s="7"/>
      <c r="W10" s="7"/>
      <c r="X10" s="7"/>
      <c r="Y10" s="7"/>
      <c r="Z10" s="7"/>
      <c r="AA10" s="7"/>
      <c r="AB10" s="7"/>
      <c r="AC10" s="7"/>
      <c r="AD10" s="7"/>
      <c r="AE10" s="7"/>
      <c r="AF10" s="7"/>
      <c r="AG10" s="7"/>
      <c r="AH10" s="7"/>
      <c r="AI10" s="7"/>
      <c r="AJ10" s="7"/>
      <c r="AK10" s="7"/>
    </row>
    <row r="11" spans="1:37">
      <c r="A11" s="7"/>
      <c r="B11" s="7"/>
      <c r="C11" s="7"/>
      <c r="D11" s="7"/>
      <c r="E11" s="7"/>
      <c r="F11" s="7"/>
      <c r="G11" s="7"/>
      <c r="H11" s="7"/>
      <c r="I11" s="7"/>
      <c r="J11" s="3"/>
      <c r="K11" s="3"/>
      <c r="L11" s="3"/>
      <c r="M11" s="3"/>
      <c r="N11" s="7"/>
      <c r="O11" s="7"/>
      <c r="P11" s="8"/>
      <c r="Q11" s="8"/>
      <c r="R11" s="8"/>
      <c r="S11" s="7"/>
      <c r="T11" s="7"/>
      <c r="U11" s="7"/>
      <c r="V11" s="7"/>
      <c r="W11" s="7"/>
      <c r="X11" s="7"/>
      <c r="Y11" s="7"/>
      <c r="Z11" s="7"/>
      <c r="AA11" s="7"/>
      <c r="AB11" s="7"/>
      <c r="AC11" s="7"/>
      <c r="AD11" s="7"/>
      <c r="AE11" s="7"/>
      <c r="AF11" s="7"/>
      <c r="AG11" s="7"/>
      <c r="AH11" s="7"/>
      <c r="AI11" s="7"/>
      <c r="AJ11" s="7"/>
      <c r="AK11" s="7"/>
    </row>
    <row r="12" spans="1:37">
      <c r="A12" s="7"/>
      <c r="B12" s="7"/>
      <c r="C12" s="7"/>
      <c r="D12" s="7"/>
      <c r="E12" s="7"/>
      <c r="F12" s="7"/>
      <c r="G12" s="7"/>
      <c r="H12" s="7"/>
      <c r="I12" s="7"/>
      <c r="J12" s="3"/>
      <c r="K12" s="3"/>
      <c r="L12" s="3"/>
      <c r="M12" s="3"/>
      <c r="N12" s="7"/>
      <c r="O12" s="7"/>
      <c r="P12" s="8"/>
      <c r="Q12" s="8"/>
      <c r="R12" s="8"/>
      <c r="S12" s="7"/>
      <c r="T12" s="7"/>
      <c r="U12" s="7"/>
      <c r="V12" s="7"/>
      <c r="W12" s="7"/>
      <c r="X12" s="7"/>
      <c r="Y12" s="7"/>
      <c r="Z12" s="7"/>
      <c r="AA12" s="7"/>
      <c r="AB12" s="7"/>
      <c r="AC12" s="7"/>
      <c r="AD12" s="7"/>
      <c r="AE12" s="7"/>
      <c r="AF12" s="7"/>
      <c r="AG12" s="7"/>
      <c r="AH12" s="7"/>
      <c r="AI12" s="7"/>
      <c r="AJ12" s="7"/>
      <c r="AK12" s="7"/>
    </row>
    <row r="13" spans="1:37">
      <c r="A13" s="7"/>
      <c r="B13" s="7"/>
      <c r="C13" s="7"/>
      <c r="D13" s="7"/>
      <c r="E13" s="7"/>
      <c r="F13" s="7"/>
      <c r="G13" s="7"/>
      <c r="H13" s="7"/>
      <c r="I13" s="7"/>
      <c r="J13" s="3"/>
      <c r="K13" s="3"/>
      <c r="L13" s="3"/>
      <c r="M13" s="3"/>
      <c r="N13" s="7"/>
      <c r="O13" s="7"/>
      <c r="P13" s="8"/>
      <c r="Q13" s="8"/>
      <c r="R13" s="8"/>
      <c r="S13" s="7"/>
      <c r="T13" s="7"/>
      <c r="U13" s="7"/>
      <c r="V13" s="7"/>
      <c r="W13" s="7"/>
      <c r="X13" s="7"/>
      <c r="Y13" s="7"/>
      <c r="Z13" s="7"/>
      <c r="AA13" s="7"/>
      <c r="AB13" s="7"/>
      <c r="AC13" s="7"/>
      <c r="AD13" s="7"/>
      <c r="AE13" s="7"/>
      <c r="AF13" s="7"/>
      <c r="AG13" s="7"/>
      <c r="AH13" s="7"/>
      <c r="AI13" s="7"/>
      <c r="AJ13" s="7"/>
      <c r="AK13" s="7"/>
    </row>
    <row r="14" spans="1:37">
      <c r="A14" s="7"/>
      <c r="B14" s="7"/>
      <c r="C14" s="7"/>
      <c r="D14" s="7"/>
      <c r="E14" s="7"/>
      <c r="F14" s="7"/>
      <c r="G14" s="7"/>
      <c r="H14" s="7"/>
      <c r="I14" s="7"/>
      <c r="J14" s="3"/>
      <c r="K14" s="3"/>
      <c r="L14" s="3"/>
      <c r="M14" s="3"/>
      <c r="N14" s="7"/>
      <c r="O14" s="7"/>
      <c r="P14" s="7"/>
      <c r="Q14" s="7"/>
      <c r="R14" s="7"/>
      <c r="S14" s="7"/>
      <c r="T14" s="7"/>
      <c r="U14" s="7"/>
      <c r="V14" s="7"/>
      <c r="W14" s="7"/>
      <c r="X14" s="7"/>
      <c r="Y14" s="7"/>
      <c r="Z14" s="7"/>
      <c r="AA14" s="7"/>
      <c r="AB14" s="7"/>
      <c r="AC14" s="7"/>
      <c r="AD14" s="7"/>
      <c r="AE14" s="7"/>
      <c r="AF14" s="7"/>
      <c r="AG14" s="7"/>
      <c r="AH14" s="7"/>
      <c r="AI14" s="7"/>
      <c r="AJ14" s="7"/>
      <c r="AK14" s="7"/>
    </row>
    <row r="15" spans="1:37">
      <c r="A15" s="14"/>
      <c r="B15" s="7"/>
      <c r="C15" s="7"/>
      <c r="D15" s="7"/>
      <c r="E15" s="7"/>
      <c r="F15" s="7"/>
      <c r="G15" s="7"/>
      <c r="H15" s="7"/>
      <c r="I15" s="7"/>
      <c r="J15" s="68"/>
      <c r="K15" s="68"/>
      <c r="L15" s="68"/>
      <c r="M15" s="68"/>
      <c r="N15" s="7"/>
      <c r="O15" s="7"/>
      <c r="P15" s="7"/>
      <c r="Q15" s="7"/>
      <c r="R15" s="7"/>
      <c r="S15" s="7"/>
      <c r="T15" s="7"/>
      <c r="U15" s="7"/>
      <c r="V15" s="7"/>
      <c r="W15" s="7"/>
      <c r="X15" s="7"/>
      <c r="Y15" s="7"/>
      <c r="Z15" s="7"/>
      <c r="AA15" s="7"/>
      <c r="AB15" s="7"/>
      <c r="AC15" s="7"/>
      <c r="AD15" s="7"/>
      <c r="AE15" s="7"/>
      <c r="AF15" s="7"/>
      <c r="AG15" s="7"/>
      <c r="AH15" s="7"/>
      <c r="AI15" s="7"/>
      <c r="AJ15" s="7"/>
      <c r="AK15" s="7"/>
    </row>
    <row r="16" spans="1:37">
      <c r="A16" s="14"/>
      <c r="B16" s="7"/>
      <c r="C16" s="7"/>
      <c r="D16" s="7"/>
      <c r="E16" s="7"/>
      <c r="F16" s="7"/>
      <c r="G16" s="7"/>
      <c r="H16" s="7"/>
      <c r="I16" s="7"/>
      <c r="J16" s="68"/>
      <c r="K16" s="68"/>
      <c r="L16" s="68"/>
      <c r="M16" s="68"/>
      <c r="N16" s="7"/>
      <c r="O16" s="7"/>
      <c r="P16" s="7"/>
      <c r="Q16" s="7"/>
      <c r="R16" s="7"/>
      <c r="S16" s="7"/>
      <c r="T16" s="7"/>
      <c r="U16" s="7"/>
      <c r="V16" s="7"/>
      <c r="W16" s="7"/>
      <c r="X16" s="7"/>
      <c r="Y16" s="7"/>
      <c r="Z16" s="7"/>
      <c r="AA16" s="7"/>
      <c r="AB16" s="7"/>
      <c r="AC16" s="7"/>
      <c r="AD16" s="7"/>
      <c r="AE16" s="7"/>
      <c r="AF16" s="7"/>
      <c r="AG16" s="7"/>
      <c r="AH16" s="7"/>
      <c r="AI16" s="7"/>
      <c r="AJ16" s="7"/>
      <c r="AK16" s="7"/>
    </row>
    <row r="17" spans="1:37" ht="31.5">
      <c r="A17" s="35" t="s">
        <v>26</v>
      </c>
      <c r="B17" s="42" t="s">
        <v>21</v>
      </c>
      <c r="C17" s="7"/>
      <c r="D17" s="7"/>
      <c r="E17" s="7"/>
      <c r="F17" s="7"/>
      <c r="G17" s="7"/>
      <c r="H17" s="7"/>
      <c r="I17" s="7"/>
      <c r="J17" s="68"/>
      <c r="K17" s="68"/>
      <c r="L17" s="68"/>
      <c r="M17" s="68"/>
      <c r="N17" s="7"/>
      <c r="O17" s="7"/>
      <c r="P17" s="7"/>
      <c r="Q17" s="7"/>
      <c r="R17" s="7"/>
      <c r="S17" s="7"/>
      <c r="T17" s="7"/>
      <c r="U17" s="7"/>
      <c r="V17" s="7"/>
      <c r="W17" s="7"/>
      <c r="X17" s="7"/>
      <c r="Y17" s="7"/>
      <c r="Z17" s="7"/>
      <c r="AA17" s="7"/>
      <c r="AB17" s="7"/>
      <c r="AC17" s="7"/>
      <c r="AD17" s="7"/>
      <c r="AE17" s="7"/>
      <c r="AF17" s="7"/>
      <c r="AG17" s="7"/>
      <c r="AH17" s="7"/>
      <c r="AI17" s="7"/>
      <c r="AJ17" s="7"/>
      <c r="AK17" s="7"/>
    </row>
    <row r="18" spans="1:37">
      <c r="A18" s="7"/>
      <c r="B18" s="7"/>
      <c r="C18" s="7"/>
      <c r="D18" s="7"/>
      <c r="E18" s="7"/>
      <c r="F18" s="7"/>
      <c r="G18" s="7"/>
      <c r="H18" s="7"/>
      <c r="I18" s="7"/>
      <c r="J18" s="7"/>
      <c r="K18" s="7"/>
      <c r="L18" s="7"/>
      <c r="M18" s="7"/>
      <c r="N18" s="7"/>
      <c r="O18" s="7"/>
      <c r="P18" s="7"/>
      <c r="Q18" s="7"/>
      <c r="R18" s="7"/>
      <c r="S18" s="7"/>
      <c r="T18" s="7"/>
      <c r="U18" s="7"/>
      <c r="V18" s="7"/>
      <c r="W18" s="7"/>
      <c r="X18" s="7"/>
      <c r="Y18" s="7"/>
      <c r="Z18" s="7"/>
      <c r="AA18" s="7"/>
      <c r="AB18" s="7"/>
      <c r="AC18" s="7"/>
      <c r="AD18" s="7"/>
      <c r="AE18" s="7"/>
      <c r="AF18" s="7"/>
      <c r="AG18" s="7"/>
      <c r="AH18" s="7"/>
      <c r="AI18" s="7"/>
      <c r="AJ18" s="7"/>
      <c r="AK18" s="7"/>
    </row>
    <row r="19" spans="1:37" s="1" customFormat="1" ht="15.75">
      <c r="A19" s="7"/>
      <c r="B19" t="s">
        <v>27</v>
      </c>
      <c r="C19" t="s">
        <v>28</v>
      </c>
      <c r="D19" t="s">
        <v>29</v>
      </c>
      <c r="E19" t="s">
        <v>30</v>
      </c>
      <c r="F19" t="s">
        <v>31</v>
      </c>
      <c r="G19" t="s">
        <v>32</v>
      </c>
      <c r="H19" t="s">
        <v>33</v>
      </c>
      <c r="I19" t="s">
        <v>34</v>
      </c>
      <c r="J19" t="s">
        <v>35</v>
      </c>
      <c r="K19" t="s">
        <v>36</v>
      </c>
      <c r="L19" t="s">
        <v>37</v>
      </c>
      <c r="M19" s="29"/>
      <c r="N19" s="8"/>
      <c r="O19" s="8"/>
      <c r="P19" s="8"/>
      <c r="Q19" s="8"/>
      <c r="R19" s="8"/>
      <c r="S19" s="8"/>
      <c r="T19" s="8"/>
      <c r="U19" s="8"/>
      <c r="V19" s="8"/>
      <c r="W19" s="8"/>
      <c r="X19" s="8"/>
      <c r="Y19" s="8"/>
      <c r="Z19" s="8"/>
      <c r="AA19" s="8"/>
      <c r="AB19" s="8"/>
      <c r="AC19" s="8"/>
      <c r="AD19" s="8"/>
      <c r="AE19" s="8"/>
      <c r="AF19" s="8"/>
      <c r="AG19" s="8"/>
      <c r="AH19" s="8"/>
      <c r="AI19" s="8"/>
      <c r="AJ19" s="8"/>
      <c r="AK19" s="8"/>
    </row>
    <row r="20" spans="1:37">
      <c r="A20" s="14"/>
      <c r="B20" s="7"/>
      <c r="C20" s="7"/>
      <c r="D20" s="7"/>
      <c r="E20" s="7"/>
      <c r="F20" s="7"/>
      <c r="G20" s="7"/>
      <c r="H20" s="7"/>
      <c r="I20" s="7"/>
      <c r="J20" s="7"/>
      <c r="K20" s="7"/>
      <c r="L20" s="7"/>
      <c r="M20" s="8"/>
      <c r="N20" s="8"/>
      <c r="O20" s="7"/>
      <c r="P20" s="7"/>
      <c r="Q20" s="7"/>
      <c r="R20" s="7"/>
      <c r="S20" s="7"/>
      <c r="T20" s="7"/>
      <c r="U20" s="7"/>
      <c r="V20" s="7"/>
      <c r="W20" s="7"/>
      <c r="X20" s="7"/>
      <c r="Y20" s="7"/>
      <c r="Z20" s="7"/>
      <c r="AA20" s="7"/>
      <c r="AB20" s="7"/>
      <c r="AC20" s="7"/>
      <c r="AD20" s="7"/>
      <c r="AE20" s="7"/>
      <c r="AF20" s="7"/>
      <c r="AG20" s="7"/>
      <c r="AH20" s="7"/>
      <c r="AI20" s="7"/>
      <c r="AJ20" s="7"/>
      <c r="AK20" s="7"/>
    </row>
    <row r="21" spans="1:37" ht="15.75">
      <c r="A21" s="35" t="s">
        <v>38</v>
      </c>
      <c r="B21">
        <f>IF(B17="No",SUM(IF(E5="Yes",COUNTIF('DM 3 Car'!$B:$B,Summary!D5)),IF(Summary!E6="Yes",COUNTIF('DM 3 Car'!$B:$B,Summary!D6)),IF(Summary!E7="Yes",COUNTIF('DM 3 Car'!$B:$B,Summary!D7)),IF(Summary!E8="Yes",COUNTIF('DM 3 Car'!$B:$B,Summary!D8)),IF(Summary!E9="Yes",COUNTIF('DM 3 Car'!$B:$B,Summary!D9))),"N/A")</f>
        <v>85</v>
      </c>
      <c r="C21">
        <f>IF(B17="No",SUM(IF(E5="Yes",COUNTIF('Trailer 3 Car'!$B:$B,Summary!D5)),IF(Summary!E6="Yes",COUNTIF('Trailer 3 Car'!$B:$B,Summary!D6)),IF(Summary!E7="Yes",COUNTIF('Trailer 3 Car'!$B:$B,Summary!D7)),IF(Summary!E8="Yes",COUNTIF('Trailer 3 Car'!$B:$B,Summary!D8)),,IF(Summary!E9="Yes",COUNTIF('Trailer 3 Car'!$B:$B,Summary!D9))),"N/A")</f>
        <v>37</v>
      </c>
      <c r="D21">
        <f>IF(B17="No",SUM(IF(E5="Yes",COUNTIF('UNDM 3 Car'!B:B,Summary!D5)),IF(Summary!E6="Yes",COUNTIF('UNDM 3 Car'!B:B,Summary!D6)),IF(Summary!E7="Yes",COUNTIF('UNDM 3 Car'!B:B,Summary!D7)),IF(Summary!E8="Yes",COUNTIF('UNDM 3 Car'!B:B,Summary!D8)),IF(Summary!E9="Yes",COUNTIF('UNDM 3 Car'!B:B,Summary!D9))),"N/A")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t="str">
        <f>IF(B17="Yes",SUM(IF(E5="Yes",COUNTIF(#REF!,Summary!D5)),IF(Summary!E6="Yes",COUNTIF(#REF!,Summary!D6)),IF(Summary!E7="Yes",COUNTIF(#REF!,Summary!D7)),IF(Summary!E8="Yes",COUNTIF(#REF!,Summary!D8)),IF(Summary!E9="Yes",COUNTIF(#REF!,Summary!D9))),"N/A")</f>
        <v>N/A</v>
      </c>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8"/>
      <c r="N21" s="8"/>
      <c r="O21" s="7"/>
      <c r="P21" s="7"/>
      <c r="Q21" s="7"/>
      <c r="R21" s="7"/>
      <c r="S21" s="7"/>
      <c r="T21" s="7"/>
      <c r="U21" s="7"/>
      <c r="V21" s="7"/>
      <c r="W21" s="7"/>
      <c r="X21" s="7"/>
      <c r="Y21" s="7"/>
      <c r="Z21" s="7"/>
      <c r="AA21" s="7"/>
      <c r="AB21" s="7"/>
      <c r="AC21" s="7"/>
      <c r="AD21" s="7"/>
      <c r="AE21" s="7"/>
      <c r="AF21" s="7"/>
      <c r="AG21" s="7"/>
      <c r="AH21" s="7"/>
      <c r="AI21" s="7"/>
      <c r="AJ21" s="7"/>
      <c r="AK21" s="7"/>
    </row>
    <row r="22" spans="1:37" ht="15.75">
      <c r="A22" s="35" t="s">
        <v>15</v>
      </c>
      <c r="B22" cm="1">
        <f t="array" ref="B22">IF(B17="No",SUM(IF(E5="Yes",SUM(COUNTIFS('DM 3 Car'!$E:$E,{"No",""},'DM 3 Car'!$F:$F,{"No",""},'DM 3 Car'!$G:$G,"",'DM 3 Car'!B:B,Summary!D5))),IF(Summary!E6="Yes",SUM(COUNTIFS('DM 3 Car'!$E:$E,{"No",""},'DM 3 Car'!$F:$F,{"No",""},'DM 3 Car'!$G:$G,"",'DM 3 Car'!B:B,Summary!D6))),IF(Summary!E7="Yes",SUM(COUNTIFS('DM 3 Car'!$E:$E,{"No",""},'DM 3 Car'!$F:$F,{"No",""},'DM 3 Car'!$G:$G,"",'DM 3 Car'!B:B,Summary!D7))),IF(Summary!E8="Yes",SUM(COUNTIFS('DM 3 Car'!$E:$E,{"No",""},'DM 3 Car'!$F:$F,{"No",""},'DM 3 Car'!$G:$G,"",'DM 3 Car'!B:B,Summary!D8))),IF(Summary!E9="Yes",SUM(COUNTIFS('DM 3 Car'!$E:$E,{"No",""},'DM 3 Car'!$F:$F,{"No",""},'DM 3 Car'!$G:$G,"",'DM 3 Car'!B:B,Summary!D9)))),"N/A")</f>
        <v>2</v>
      </c>
      <c r="C22" cm="1">
        <f t="array" ref="C22">IF(B17="No",SUM(IF(E5="Yes",SUM(COUNTIFS('Trailer 3 Car'!$E:$E,{"No",""},'Trailer 3 Car'!$F:$F,{"No",""},'Trailer 3 Car'!$G:$G,"",'Trailer 3 Car'!B:B,Summary!D5))),IF(Summary!E6="Yes",SUM(COUNTIFS('Trailer 3 Car'!$E:$E,{"No",""},'Trailer 3 Car'!$F:$F,{"No",""},'Trailer 3 Car'!$G:$G,"",'Trailer 3 Car'!B:B,Summary!D6))),IF(Summary!E7="Yes",SUM(COUNTIFS('Trailer 3 Car'!$E:$E,{"No",""},'Trailer 3 Car'!$F:$F,{"No",""},'Trailer 3 Car'!$G:$G,"",'Trailer 3 Car'!B:B,Summary!D7))),IF(Summary!E8="Yes",SUM(COUNTIFS('Trailer 3 Car'!$E:$E,{"No",""},'Trailer 3 Car'!$F:$F,{"No",""},'Trailer 3 Car'!$G:$G,"",'Trailer 3 Car'!B:B,Summary!D8))),IF(Summary!E9="Yes",SUM(COUNTIFS('Trailer 3 Car'!$E:$E,{"No",""},'Trailer 3 Car'!$F:$F,{"No",""},'Trailer 3 Car'!$G:$G,"",'Trailer 3 Car'!B:B,Summary!D9)))),"N/A")</f>
        <v>1</v>
      </c>
      <c r="D22" cm="1">
        <f t="array" ref="D22">IF(B17="No",SUM(IF(E5="Yes",SUM(COUNTIFS('UNDM 3 Car'!$E:$E,{"No",""},'UNDM 3 Car'!$F:$F,{"No",""},'UNDM 3 Car'!$G:$G,"",'UNDM 3 Car'!B:B,Summary!D5))),IF(Summary!E6="Yes",SUM(COUNTIFS('UNDM 3 Car'!$E:$E,{"No",""},'UNDM 3 Car'!$F:$F,{"No",""},'UNDM 3 Car'!$G:$G,"",'UNDM 3 Car'!B:B,Summary!D6))),IF(Summary!E7="Yes",SUM(COUNTIFS('UNDM 3 Car'!$E:$E,{"No",""},'UNDM 3 Car'!$F:$F,{"No",""},'UNDM 3 Car'!$G:$G,"",'UNDM 3 Car'!B:B,Summary!D7))),IF(Summary!E8="Yes",SUM(COUNTIFS('UNDM 3 Car'!$E:$E,{"No",""},'UNDM 3 Car'!$F:$F,{"No",""},'UNDM 3 Car'!$G:$G,"",'UNDM 3 Car'!B:B,Summary!D8))),IF(Summary!E9="Yes",SUM(COUNTIFS('UNDM 3 Car'!$E:$E,{"No",""},'UNDM 3 Car'!$F:$F,{"No",""},'UNDM 3 Car'!$G:$G,"",'UNDM 3 Car'!B:B,Summary!D9)))),"N/A")</f>
        <v>3</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2</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1</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2</v>
      </c>
      <c r="I22" t="str" cm="1">
        <f t="array" ref="I22">IF(B17="Yes",SUM(IF(E5="Yes",SUM(COUNTIFS(#REF!,{"No",""},#REF!,{"No",""},#REF!,"",#REF!,Summary!D5))),IF(Summary!E6="Yes",SUM(COUNTIFS(#REF!,{"No",""},#REF!,{"No",""},#REF!,"",#REF!,Summary!D6))),IF(Summary!E7="Yes",SUM(COUNTIFS(#REF!,{"No",""},#REF!,{"No",""},#REF!,"",#REF!,Summary!D7))),IF(Summary!E8="Yes",SUM(COUNTIFS(#REF!,{"No",""},#REF!,{"No",""},#REF!,"",#REF!,Summary!D8))),IF(Summary!E9="Yes",SUM(COUNTIFS(#REF!,{"No",""},#REF!,{"No",""},#REF!,"",#REF!,Summary!D9)))),"N/A")</f>
        <v>N/A</v>
      </c>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8"/>
      <c r="N22" s="8"/>
      <c r="O22" s="7"/>
      <c r="P22" s="7"/>
      <c r="Q22" s="7"/>
      <c r="R22" s="7"/>
      <c r="S22" s="7"/>
      <c r="T22" s="7"/>
      <c r="U22" s="7"/>
      <c r="V22" s="7"/>
      <c r="W22" s="7"/>
      <c r="X22" s="7"/>
      <c r="Y22" s="7"/>
      <c r="Z22" s="7"/>
      <c r="AA22" s="7"/>
      <c r="AB22" s="7"/>
      <c r="AC22" s="7"/>
      <c r="AD22" s="7"/>
      <c r="AE22" s="7"/>
      <c r="AF22" s="7"/>
      <c r="AG22" s="7"/>
      <c r="AH22" s="7"/>
      <c r="AI22" s="7"/>
      <c r="AJ22" s="7"/>
      <c r="AK22" s="7"/>
    </row>
    <row r="23" spans="1:37" ht="15.75">
      <c r="A23" s="35" t="s">
        <v>19</v>
      </c>
      <c r="B23">
        <f>IF(B17="No",SUM(IF(E5="Yes",COUNTIFS('DM 3 Car'!$F:$F,"Yes",'DM 3 Car'!B:B,Summary!D5)),IF(Summary!E6="Yes",COUNTIFS('DM 3 Car'!$F:$F,"Yes",'DM 3 Car'!B:B,Summary!D6)),IF(Summary!E7="Yes",COUNTIFS('DM 3 Car'!$F:$F,"Yes",'DM 3 Car'!B:B,Summary!D7)),IF(Summary!E8="Yes",COUNTIFS('DM 3 Car'!$F:$F,"Yes",'DM 3 Car'!B:B,Summary!D8)),IF(Summary!E9="Yes",COUNTIFS('DM 3 Car'!$F:$F,"Yes",'DM 3 Car'!B:B,Summary!D9))),"N/A")</f>
        <v>0</v>
      </c>
      <c r="C23">
        <f>IF(B17="No",SUM(IF(E5="Yes",COUNTIFS('Trailer 3 Car'!$F:$F,"Yes",'Trailer 3 Car'!B:B,Summary!D5)),IF(Summary!E6="Yes",COUNTIFS('Trailer 3 Car'!$F:$F,"Yes",'Trailer 3 Car'!B:B,Summary!D6)),IF(Summary!E7="Yes",COUNTIFS('Trailer 3 Car'!$F:$F,"Yes",'Trailer 3 Car'!B:B,Summary!D7)),IF(Summary!E8="Yes",COUNTIFS('Trailer 3 Car'!$F:$F,"Yes",'Trailer 3 Car'!B:B,Summary!D8)),IF(Summary!E9="Yes",COUNTIFS('Trailer 3 Car'!$F:$F,"Yes",'Trailer 3 Car'!B:B,Summary!D9))),"N/A")</f>
        <v>0</v>
      </c>
      <c r="D23">
        <f>IF(B17="No",SUM(IF(E5="Yes",COUNTIFS('UNDM 3 Car'!$F:$F,"Yes",'UNDM 3 Car'!B:B,Summary!D5)),IF(Summary!E6="Yes",COUNTIFS('UNDM 3 Car'!$F:$F,"Yes",'UNDM 3 Car'!B:B,Summary!D6)),IF(Summary!E7="Yes",COUNTIFS('UNDM 3 Car'!$F:$F,"Yes",'UNDM 3 Car'!B:B,Summary!D7)),IF(Summary!E8="Yes",COUNTIFS('UNDM 3 Car'!$F:$F,"Yes",'UNDM 3 Car'!B:B,Summary!D8)),IF(Summary!E9="Yes",COUNTIFS('UNDM 3 Car'!$F:$F,"Yes",'UNDM 3 Car'!B:B,Summary!D9))),"N/A")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t="str">
        <f>IF(B17="Yes",SUM(IF(E5="Yes",COUNTIFS(#REF!,"Yes",#REF!,Summary!D5)),IF(Summary!E6="Yes",COUNTIFS(#REF!,"Yes",#REF!,Summary!D6)),IF(Summary!E7="Yes",COUNTIFS(#REF!,"Yes",#REF!,Summary!D7)),IF(Summary!E8="Yes",COUNTIFS(#REF!,"Yes",#REF!,Summary!D8)),IF(Summary!E9="Yes",COUNTIFS(#REF!,"Yes",#REF!,Summary!D9))),"N/A")</f>
        <v>N/A</v>
      </c>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8"/>
      <c r="N23" s="8"/>
      <c r="O23" s="7"/>
      <c r="P23" s="7"/>
      <c r="Q23" s="7"/>
      <c r="R23" s="7"/>
      <c r="S23" s="7"/>
      <c r="T23" s="7"/>
      <c r="U23" s="7"/>
      <c r="V23" s="7"/>
      <c r="W23" s="7"/>
      <c r="X23" s="7"/>
      <c r="Y23" s="7"/>
      <c r="Z23" s="7"/>
      <c r="AA23" s="7"/>
      <c r="AB23" s="7"/>
      <c r="AC23" s="7"/>
      <c r="AD23" s="7"/>
      <c r="AE23" s="7"/>
      <c r="AF23" s="7"/>
      <c r="AG23" s="7"/>
      <c r="AH23" s="7"/>
      <c r="AI23" s="7"/>
      <c r="AJ23" s="7"/>
      <c r="AK23" s="7"/>
    </row>
    <row r="24" spans="1:37" ht="15.75">
      <c r="A24" s="35" t="s">
        <v>23</v>
      </c>
      <c r="B24">
        <f>IF(B17="No",SUM(IF(E5="Yes",COUNTIFS('DM 3 Car'!$E:$E,"Yes",'DM 3 Car'!B:B,Summary!D5)),IF(Summary!E6="Yes",COUNTIFS('DM 3 Car'!$E:$E,"Yes",'DM 3 Car'!B:B,Summary!D6)),IF(Summary!E7="Yes",COUNTIFS('DM 3 Car'!$E:$E,"Yes",'DM 3 Car'!B:B,Summary!D7)),IF(Summary!E8="Yes",COUNTIFS('DM 3 Car'!$E:$E,"Yes",'DM 3 Car'!B:B,Summary!D8)),IF(Summary!E9="Yes",COUNTIFS('DM 3 Car'!$E:$E,"Yes",'DM 3 Car'!B:B,Summary!D9))),"N/A")</f>
        <v>82</v>
      </c>
      <c r="C24">
        <f>IF(B17="No",SUM(IF(E5="Yes",COUNTIFS('Trailer 3 Car'!$E:$E,"Yes",'Trailer 3 Car'!B:B,Summary!D5)),IF(Summary!E6="Yes",COUNTIFS('Trailer 3 Car'!$E:$E,"Yes",'Trailer 3 Car'!B:B,Summary!D6)),IF(Summary!E7="Yes",COUNTIFS('Trailer 3 Car'!$E:$E,"Yes",'Trailer 3 Car'!B:B,Summary!D7)),IF(Summary!E8="Yes",COUNTIFS('Trailer 3 Car'!$E:$E,"Yes",'Trailer 3 Car'!B:B,Summary!D8)),IF(Summary!E9="Yes",COUNTIFS('Trailer 3 Car'!$E:$E,"Yes",'Trailer 3 Car'!B:B,Summary!D9))),"N/A")</f>
        <v>36</v>
      </c>
      <c r="D24">
        <f>IF(B17="No",SUM(IF(E5="Yes",COUNTIFS('UNDM 3 Car'!$E:$E,"Yes",'UNDM 3 Car'!B:B,Summary!D5)),IF(Summary!E6="Yes",COUNTIFS('UNDM 3 Car'!$E:$E,"Yes",'UNDM 3 Car'!B:B,Summary!D6)),IF(Summary!E7="Yes",COUNTIFS('UNDM 3 Car'!$E:$E,"Yes",'UNDM 3 Car'!B:B,Summary!D7)),IF(Summary!E8="Yes",COUNTIFS('UNDM 3 Car'!$E:$E,"Yes",'UNDM 3 Car'!B:B,Summary!D8)),IF(Summary!E9="Yes",COUNTIFS('UNDM 3 Car'!$E:$E,"Yes",'UNDM 3 Car'!B:B,Summary!D9))),"N/A")</f>
        <v>57</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83</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37</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29</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60</v>
      </c>
      <c r="I24" t="str">
        <f>IF(B17="Yes",SUM(IF(E5="Yes",COUNTIFS(#REF!,"Yes",#REF!,Summary!D5)),IF(Summary!E6="Yes",COUNTIFS(#REF!,"Yes",#REF!,Summary!D6)),IF(Summary!E7="Yes",COUNTIFS(#REF!,"Yes",#REF!,Summary!D7)),IF(Summary!E8="Yes",COUNTIFS(#REF!,"Yes",#REF!,Summary!D8)),IF(Summary!E9="Yes",COUNTIFS(#REF!,"Yes",#REF!,Summary!D9))),"N/A")</f>
        <v>N/A</v>
      </c>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8"/>
      <c r="N24" s="8"/>
      <c r="O24" s="7"/>
      <c r="P24" s="7"/>
      <c r="Q24" s="7"/>
      <c r="R24" s="7"/>
      <c r="S24" s="7"/>
      <c r="T24" s="7"/>
      <c r="U24" s="7"/>
      <c r="V24" s="7"/>
      <c r="W24" s="7"/>
      <c r="X24" s="7"/>
      <c r="Y24" s="7"/>
      <c r="Z24" s="7"/>
      <c r="AA24" s="7"/>
      <c r="AB24" s="7"/>
      <c r="AC24" s="7"/>
      <c r="AD24" s="7"/>
      <c r="AE24" s="7"/>
      <c r="AF24" s="7"/>
      <c r="AG24" s="7"/>
      <c r="AH24" s="7"/>
      <c r="AI24" s="7"/>
      <c r="AJ24" s="7"/>
      <c r="AK24" s="7"/>
    </row>
    <row r="25" spans="1:37" ht="15.75">
      <c r="A25" s="35" t="s">
        <v>39</v>
      </c>
      <c r="B25" s="49">
        <f>IFERROR(B21-B24,"N/A")</f>
        <v>3</v>
      </c>
      <c r="C25" s="49">
        <f t="shared" ref="C25:L25" si="3">IFERROR(C21-C24,"N/A")</f>
        <v>1</v>
      </c>
      <c r="D25" s="49">
        <f t="shared" si="3"/>
        <v>5</v>
      </c>
      <c r="E25" s="49">
        <f t="shared" si="3"/>
        <v>2</v>
      </c>
      <c r="F25" s="49">
        <f t="shared" si="3"/>
        <v>1</v>
      </c>
      <c r="G25" s="49">
        <f t="shared" si="3"/>
        <v>0</v>
      </c>
      <c r="H25" s="49">
        <f t="shared" si="3"/>
        <v>2</v>
      </c>
      <c r="I25" s="49" t="str">
        <f t="shared" si="3"/>
        <v>N/A</v>
      </c>
      <c r="J25" s="49" t="str">
        <f t="shared" si="3"/>
        <v>N/A</v>
      </c>
      <c r="K25" s="49" t="str">
        <f t="shared" si="3"/>
        <v>N/A</v>
      </c>
      <c r="L25" s="49">
        <f t="shared" si="3"/>
        <v>6</v>
      </c>
      <c r="M25" s="8"/>
      <c r="N25" s="8"/>
      <c r="O25" s="7"/>
      <c r="P25" s="7"/>
      <c r="Q25" s="7"/>
      <c r="R25" s="7"/>
      <c r="S25" s="7"/>
      <c r="T25" s="7"/>
      <c r="U25" s="7"/>
      <c r="V25" s="7"/>
      <c r="W25" s="7"/>
      <c r="X25" s="7"/>
      <c r="Y25" s="7"/>
      <c r="Z25" s="7"/>
      <c r="AA25" s="7"/>
      <c r="AB25" s="7"/>
      <c r="AC25" s="7"/>
      <c r="AD25" s="7"/>
      <c r="AE25" s="7"/>
      <c r="AF25" s="7"/>
      <c r="AG25" s="7"/>
      <c r="AH25" s="7"/>
      <c r="AI25" s="7"/>
      <c r="AJ25" s="7"/>
      <c r="AK25" s="7"/>
    </row>
    <row r="26" spans="1:37">
      <c r="A26" s="8"/>
      <c r="B26" s="8"/>
      <c r="C26" s="8"/>
      <c r="D26" s="8"/>
      <c r="E26" s="8"/>
      <c r="F26" s="8"/>
      <c r="G26" s="8"/>
      <c r="H26" s="8"/>
      <c r="I26" s="8"/>
      <c r="J26" s="8"/>
      <c r="K26" s="8"/>
      <c r="L26" s="8"/>
      <c r="M26" s="8"/>
      <c r="N26" s="8"/>
      <c r="O26" s="7"/>
      <c r="P26" s="7"/>
      <c r="Q26" s="7"/>
      <c r="R26" s="7"/>
      <c r="S26" s="7"/>
      <c r="T26" s="7"/>
      <c r="U26" s="7"/>
      <c r="V26" s="7"/>
      <c r="W26" s="7"/>
      <c r="X26" s="7"/>
      <c r="Y26" s="7"/>
      <c r="Z26" s="7"/>
      <c r="AA26" s="7"/>
      <c r="AB26" s="7"/>
      <c r="AC26" s="7"/>
      <c r="AD26" s="7"/>
      <c r="AE26" s="7"/>
      <c r="AF26" s="7"/>
      <c r="AG26" s="7"/>
      <c r="AH26" s="7"/>
      <c r="AI26" s="7"/>
      <c r="AJ26" s="7"/>
      <c r="AK26" s="7"/>
    </row>
    <row r="27" spans="1:37">
      <c r="A27" s="14"/>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c r="AI27" s="7"/>
      <c r="AJ27" s="7"/>
      <c r="AK27" s="7"/>
    </row>
    <row r="28" spans="1:37">
      <c r="A28" s="14"/>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c r="AI28" s="7"/>
      <c r="AJ28" s="7"/>
      <c r="AK28" s="7"/>
    </row>
    <row r="29" spans="1:37">
      <c r="A29" s="14"/>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c r="AI29" s="7"/>
      <c r="AJ29" s="7"/>
      <c r="AK29" s="7"/>
    </row>
    <row r="30" spans="1:37">
      <c r="A30" s="14"/>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c r="AI30" s="7"/>
      <c r="AJ30" s="7"/>
      <c r="AK30" s="7"/>
    </row>
    <row r="31" spans="1:37">
      <c r="A31" s="14"/>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c r="AH31" s="7"/>
      <c r="AI31" s="7"/>
      <c r="AJ31" s="7"/>
      <c r="AK31" s="7"/>
    </row>
    <row r="32" spans="1:37">
      <c r="A32" s="14"/>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c r="AI32" s="7"/>
      <c r="AJ32" s="7"/>
      <c r="AK32" s="7"/>
    </row>
    <row r="33" spans="1:37">
      <c r="A33" s="14"/>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c r="AE33" s="7"/>
      <c r="AF33" s="7"/>
      <c r="AG33" s="7"/>
      <c r="AH33" s="7"/>
      <c r="AI33" s="7"/>
      <c r="AJ33" s="7"/>
      <c r="AK33" s="7"/>
    </row>
    <row r="34" spans="1:37">
      <c r="A34" s="14"/>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c r="AE34" s="7"/>
      <c r="AF34" s="7"/>
      <c r="AG34" s="7"/>
      <c r="AH34" s="7"/>
      <c r="AI34" s="7"/>
      <c r="AJ34" s="7"/>
      <c r="AK34" s="7"/>
    </row>
    <row r="35" spans="1:37">
      <c r="A35" s="14"/>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c r="AI35" s="7"/>
      <c r="AJ35" s="7"/>
      <c r="AK35" s="7"/>
    </row>
    <row r="36" spans="1:37">
      <c r="A36" s="14"/>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c r="AE36" s="7"/>
      <c r="AF36" s="7"/>
      <c r="AG36" s="7"/>
      <c r="AH36" s="7"/>
      <c r="AI36" s="7"/>
      <c r="AJ36" s="7"/>
      <c r="AK36" s="7"/>
    </row>
    <row r="37" spans="1:37">
      <c r="A37" s="14"/>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c r="AH37" s="7"/>
      <c r="AI37" s="7"/>
      <c r="AJ37" s="7"/>
      <c r="AK37" s="7"/>
    </row>
    <row r="38" spans="1:37">
      <c r="A38" s="14"/>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c r="AE38" s="7"/>
      <c r="AF38" s="7"/>
      <c r="AG38" s="7"/>
      <c r="AH38" s="7"/>
      <c r="AI38" s="7"/>
      <c r="AJ38" s="7"/>
      <c r="AK38" s="7"/>
    </row>
    <row r="39" spans="1:37">
      <c r="A39" s="14"/>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c r="AE39" s="7"/>
      <c r="AF39" s="7"/>
      <c r="AG39" s="7"/>
      <c r="AH39" s="7"/>
      <c r="AI39" s="7"/>
      <c r="AJ39" s="7"/>
      <c r="AK39" s="7"/>
    </row>
    <row r="40" spans="1:37">
      <c r="A40" s="14"/>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c r="AI40" s="7"/>
      <c r="AJ40" s="7"/>
      <c r="AK40" s="7"/>
    </row>
    <row r="41" spans="1:37">
      <c r="A41" s="14"/>
      <c r="B41" s="7"/>
      <c r="C41" s="7"/>
      <c r="D41" s="7"/>
      <c r="E41" s="7"/>
      <c r="F41" s="7"/>
      <c r="G41" s="7"/>
      <c r="H41" s="7"/>
      <c r="I41" s="7"/>
      <c r="J41" s="7"/>
      <c r="K41" s="7"/>
      <c r="L41" s="7"/>
      <c r="M41" s="7"/>
      <c r="N41" s="7"/>
      <c r="O41" s="7"/>
      <c r="P41" s="7"/>
      <c r="Q41" s="7"/>
      <c r="R41" s="7"/>
      <c r="S41" s="7"/>
      <c r="T41" s="7"/>
      <c r="U41" s="7"/>
      <c r="V41" s="7"/>
      <c r="W41" s="7"/>
      <c r="X41" s="7"/>
      <c r="Y41" s="7"/>
      <c r="Z41" s="7"/>
      <c r="AA41" s="7"/>
      <c r="AB41" s="7"/>
      <c r="AC41" s="7"/>
      <c r="AD41" s="7"/>
      <c r="AE41" s="7"/>
      <c r="AF41" s="7"/>
      <c r="AG41" s="7"/>
      <c r="AH41" s="7"/>
      <c r="AI41" s="7"/>
      <c r="AJ41" s="7"/>
      <c r="AK41" s="7"/>
    </row>
    <row r="42" spans="1:37">
      <c r="A42" s="14"/>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K42" s="7"/>
    </row>
    <row r="43" spans="1:37">
      <c r="A43" s="14"/>
      <c r="B43" s="7"/>
      <c r="C43" s="7"/>
      <c r="D43" s="7"/>
      <c r="E43" s="7"/>
      <c r="F43" s="7"/>
      <c r="G43" s="7"/>
      <c r="H43" s="7"/>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row>
    <row r="44" spans="1:37">
      <c r="A44" s="14"/>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c r="AI44" s="7"/>
      <c r="AJ44" s="7"/>
      <c r="AK44" s="7"/>
    </row>
    <row r="45" spans="1:37">
      <c r="A45" s="14"/>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c r="AD45" s="7"/>
      <c r="AE45" s="7"/>
      <c r="AF45" s="7"/>
      <c r="AG45" s="7"/>
      <c r="AH45" s="7"/>
      <c r="AI45" s="7"/>
      <c r="AJ45" s="7"/>
      <c r="AK45" s="7"/>
    </row>
    <row r="46" spans="1:37">
      <c r="A46" s="14"/>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c r="AD46" s="7"/>
      <c r="AE46" s="7"/>
      <c r="AF46" s="7"/>
      <c r="AG46" s="7"/>
      <c r="AH46" s="7"/>
      <c r="AI46" s="7"/>
      <c r="AJ46" s="7"/>
      <c r="AK46" s="7"/>
    </row>
    <row r="47" spans="1:37">
      <c r="A47" s="14"/>
      <c r="B47" s="7"/>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c r="AE47" s="7"/>
      <c r="AF47" s="7"/>
      <c r="AG47" s="7"/>
      <c r="AH47" s="7"/>
      <c r="AI47" s="7"/>
      <c r="AJ47" s="7"/>
      <c r="AK47" s="7"/>
    </row>
    <row r="48" spans="1:37">
      <c r="A48" s="14"/>
      <c r="B48" s="7"/>
      <c r="C48" s="7"/>
      <c r="D48" s="7"/>
      <c r="E48" s="7"/>
      <c r="F48" s="7"/>
      <c r="G48" s="7"/>
      <c r="H48" s="7"/>
      <c r="I48" s="7"/>
      <c r="J48" s="7"/>
      <c r="K48" s="7"/>
      <c r="L48" s="7"/>
      <c r="M48" s="7"/>
      <c r="N48" s="7"/>
      <c r="O48" s="7"/>
      <c r="P48" s="7"/>
      <c r="Q48" s="7"/>
      <c r="R48" s="7"/>
      <c r="S48" s="7"/>
      <c r="T48" s="7"/>
      <c r="U48" s="7"/>
      <c r="V48" s="7"/>
      <c r="W48" s="7"/>
      <c r="X48" s="7"/>
      <c r="Y48" s="7"/>
      <c r="Z48" s="7"/>
      <c r="AA48" s="7"/>
      <c r="AB48" s="7"/>
      <c r="AC48" s="7"/>
      <c r="AD48" s="7"/>
      <c r="AE48" s="7"/>
      <c r="AF48" s="7"/>
      <c r="AG48" s="7"/>
      <c r="AH48" s="7"/>
      <c r="AI48" s="7"/>
      <c r="AJ48" s="7"/>
      <c r="AK48" s="7"/>
    </row>
    <row r="49" spans="1:37">
      <c r="A49" s="14"/>
      <c r="B49" s="7"/>
      <c r="C49" s="7"/>
      <c r="D49" s="7"/>
      <c r="E49" s="7"/>
      <c r="F49" s="7"/>
      <c r="G49" s="7"/>
      <c r="H49" s="7"/>
      <c r="I49" s="7"/>
      <c r="J49" s="7"/>
      <c r="K49" s="7"/>
      <c r="L49" s="7"/>
      <c r="M49" s="7"/>
      <c r="N49" s="7"/>
      <c r="O49" s="7"/>
      <c r="P49" s="7"/>
      <c r="Q49" s="7"/>
      <c r="R49" s="7"/>
      <c r="S49" s="7"/>
      <c r="T49" s="7"/>
      <c r="U49" s="7"/>
      <c r="V49" s="7"/>
      <c r="W49" s="7"/>
      <c r="X49" s="7"/>
      <c r="Y49" s="7"/>
      <c r="Z49" s="7"/>
      <c r="AA49" s="7"/>
      <c r="AB49" s="7"/>
      <c r="AC49" s="7"/>
      <c r="AD49" s="7"/>
      <c r="AE49" s="7"/>
      <c r="AF49" s="7"/>
      <c r="AG49" s="7"/>
      <c r="AH49" s="7"/>
      <c r="AI49" s="7"/>
      <c r="AJ49" s="7"/>
      <c r="AK49" s="7"/>
    </row>
    <row r="50" spans="1:37">
      <c r="A50" s="14"/>
      <c r="B50" s="7"/>
      <c r="C50" s="7"/>
      <c r="D50" s="7"/>
      <c r="E50" s="7"/>
      <c r="F50" s="7"/>
      <c r="G50" s="7"/>
      <c r="H50" s="7"/>
      <c r="I50" s="7"/>
      <c r="J50" s="7"/>
      <c r="K50" s="7"/>
      <c r="L50" s="7"/>
      <c r="M50" s="7"/>
      <c r="N50" s="7"/>
      <c r="O50" s="7"/>
      <c r="P50" s="7"/>
      <c r="Q50" s="7"/>
      <c r="R50" s="7"/>
      <c r="S50" s="7"/>
      <c r="T50" s="7"/>
      <c r="U50" s="7"/>
      <c r="V50" s="7"/>
      <c r="W50" s="7"/>
      <c r="X50" s="7"/>
      <c r="Y50" s="7"/>
      <c r="Z50" s="7"/>
      <c r="AA50" s="7"/>
      <c r="AB50" s="7"/>
      <c r="AC50" s="7"/>
      <c r="AD50" s="7"/>
      <c r="AE50" s="7"/>
      <c r="AF50" s="7"/>
      <c r="AG50" s="7"/>
      <c r="AH50" s="7"/>
      <c r="AI50" s="7"/>
      <c r="AJ50" s="7"/>
      <c r="AK50" s="7"/>
    </row>
    <row r="51" spans="1:37">
      <c r="A51" s="14"/>
      <c r="B51" s="7"/>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c r="AI51" s="7"/>
      <c r="AJ51" s="7"/>
      <c r="AK51" s="7"/>
    </row>
    <row r="52" spans="1:37">
      <c r="A52" s="14"/>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c r="AF52" s="7"/>
      <c r="AG52" s="7"/>
      <c r="AH52" s="7"/>
      <c r="AI52" s="7"/>
      <c r="AJ52" s="7"/>
      <c r="AK52" s="7"/>
    </row>
    <row r="53" spans="1:37">
      <c r="A53" s="14"/>
      <c r="B53" s="7"/>
      <c r="C53" s="7"/>
      <c r="D53" s="7"/>
      <c r="E53" s="7"/>
      <c r="F53" s="7"/>
      <c r="G53" s="7"/>
      <c r="H53" s="7"/>
      <c r="I53" s="7"/>
      <c r="J53" s="7"/>
      <c r="K53" s="7"/>
      <c r="L53" s="7"/>
      <c r="M53" s="7"/>
      <c r="N53" s="7"/>
      <c r="O53" s="7"/>
      <c r="P53" s="7"/>
      <c r="Q53" s="7"/>
      <c r="R53" s="7"/>
      <c r="S53" s="7"/>
      <c r="T53" s="7"/>
      <c r="U53" s="7"/>
      <c r="V53" s="7"/>
      <c r="W53" s="7"/>
      <c r="X53" s="7"/>
      <c r="Y53" s="7"/>
      <c r="Z53" s="7"/>
      <c r="AA53" s="7"/>
      <c r="AB53" s="7"/>
      <c r="AC53" s="7"/>
      <c r="AD53" s="7"/>
      <c r="AE53" s="7"/>
      <c r="AF53" s="7"/>
      <c r="AG53" s="7"/>
      <c r="AH53" s="7"/>
      <c r="AI53" s="7"/>
      <c r="AJ53" s="7"/>
      <c r="AK53" s="7"/>
    </row>
    <row r="54" spans="1:37">
      <c r="A54" s="14"/>
      <c r="B54" s="7"/>
      <c r="C54" s="7"/>
      <c r="D54" s="7"/>
      <c r="E54" s="7"/>
      <c r="F54" s="7"/>
      <c r="G54" s="7"/>
      <c r="H54" s="7"/>
      <c r="I54" s="7"/>
      <c r="J54" s="7"/>
      <c r="K54" s="7"/>
      <c r="L54" s="7"/>
      <c r="M54" s="7"/>
      <c r="N54" s="7"/>
      <c r="O54" s="7"/>
      <c r="P54" s="7"/>
      <c r="Q54" s="7"/>
      <c r="R54" s="7"/>
      <c r="S54" s="7"/>
      <c r="T54" s="7"/>
      <c r="U54" s="7"/>
      <c r="V54" s="7"/>
      <c r="W54" s="7"/>
      <c r="X54" s="7"/>
      <c r="Y54" s="7"/>
      <c r="Z54" s="7"/>
      <c r="AA54" s="7"/>
      <c r="AB54" s="7"/>
      <c r="AC54" s="7"/>
      <c r="AD54" s="7"/>
      <c r="AE54" s="7"/>
      <c r="AF54" s="7"/>
      <c r="AG54" s="7"/>
      <c r="AH54" s="7"/>
      <c r="AI54" s="7"/>
      <c r="AJ54" s="7"/>
      <c r="AK54" s="7"/>
    </row>
    <row r="55" spans="1:37">
      <c r="A55" s="14"/>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c r="AH55" s="7"/>
      <c r="AI55" s="7"/>
      <c r="AJ55" s="7"/>
      <c r="AK55" s="7"/>
    </row>
    <row r="56" spans="1:37">
      <c r="A56" s="14"/>
      <c r="B56" s="7"/>
      <c r="C56" s="7"/>
      <c r="D56" s="7"/>
      <c r="E56" s="7"/>
      <c r="F56" s="7"/>
      <c r="G56" s="7"/>
      <c r="H56" s="7"/>
      <c r="I56" s="7"/>
      <c r="J56" s="7"/>
      <c r="K56" s="7"/>
      <c r="L56" s="7"/>
      <c r="M56" s="7"/>
      <c r="N56" s="7"/>
      <c r="O56" s="7"/>
      <c r="P56" s="7"/>
      <c r="Q56" s="7"/>
      <c r="R56" s="7"/>
      <c r="S56" s="7"/>
      <c r="T56" s="7"/>
      <c r="U56" s="7"/>
      <c r="V56" s="7"/>
      <c r="W56" s="7"/>
      <c r="X56" s="7"/>
      <c r="Y56" s="7"/>
      <c r="Z56" s="7"/>
      <c r="AA56" s="7"/>
      <c r="AB56" s="7"/>
      <c r="AC56" s="7"/>
      <c r="AD56" s="7"/>
      <c r="AE56" s="7"/>
      <c r="AF56" s="7"/>
      <c r="AG56" s="7"/>
      <c r="AH56" s="7"/>
      <c r="AI56" s="7"/>
      <c r="AJ56" s="7"/>
      <c r="AK56" s="7"/>
    </row>
    <row r="57" spans="1:37">
      <c r="A57" s="14"/>
      <c r="B57" s="7"/>
      <c r="C57" s="7"/>
      <c r="D57" s="7"/>
      <c r="E57" s="7"/>
      <c r="F57" s="7"/>
      <c r="G57" s="7"/>
      <c r="H57" s="7"/>
      <c r="I57" s="7"/>
      <c r="J57" s="7"/>
      <c r="K57" s="7"/>
      <c r="L57" s="7"/>
      <c r="M57" s="7"/>
      <c r="N57" s="7"/>
      <c r="O57" s="7"/>
      <c r="P57" s="7"/>
      <c r="Q57" s="7"/>
      <c r="R57" s="7"/>
      <c r="S57" s="7"/>
      <c r="T57" s="7"/>
      <c r="U57" s="7"/>
      <c r="V57" s="7"/>
      <c r="W57" s="7"/>
      <c r="X57" s="7"/>
      <c r="Y57" s="7"/>
      <c r="Z57" s="7"/>
      <c r="AA57" s="7"/>
      <c r="AB57" s="7"/>
      <c r="AC57" s="7"/>
      <c r="AD57" s="7"/>
      <c r="AE57" s="7"/>
      <c r="AF57" s="7"/>
      <c r="AG57" s="7"/>
      <c r="AH57" s="7"/>
      <c r="AI57" s="7"/>
      <c r="AJ57" s="7"/>
      <c r="AK57" s="7"/>
    </row>
    <row r="58" spans="1:37">
      <c r="A58" s="14"/>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c r="AD58" s="7"/>
      <c r="AE58" s="7"/>
      <c r="AF58" s="7"/>
      <c r="AG58" s="7"/>
      <c r="AH58" s="7"/>
      <c r="AI58" s="7"/>
      <c r="AJ58" s="7"/>
      <c r="AK58" s="7"/>
    </row>
    <row r="59" spans="1:37">
      <c r="A59" s="14"/>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row>
    <row r="60" spans="1:37">
      <c r="A60" s="14"/>
      <c r="B60" s="7"/>
      <c r="C60" s="7"/>
      <c r="D60" s="7"/>
      <c r="E60" s="7"/>
      <c r="F60" s="7"/>
      <c r="G60" s="7"/>
      <c r="H60" s="7"/>
      <c r="I60" s="7"/>
      <c r="J60" s="7"/>
      <c r="K60" s="7"/>
      <c r="L60" s="7"/>
      <c r="M60" s="7"/>
      <c r="N60" s="7"/>
      <c r="O60" s="7"/>
      <c r="P60" s="7"/>
      <c r="Q60" s="7"/>
      <c r="R60" s="7"/>
      <c r="S60" s="7"/>
      <c r="T60" s="7"/>
      <c r="U60" s="7"/>
      <c r="V60" s="7"/>
      <c r="W60" s="7"/>
      <c r="X60" s="7"/>
      <c r="Y60" s="7"/>
      <c r="Z60" s="7"/>
      <c r="AA60" s="7"/>
      <c r="AB60" s="7"/>
      <c r="AC60" s="7"/>
      <c r="AD60" s="7"/>
      <c r="AE60" s="7"/>
      <c r="AF60" s="7"/>
      <c r="AG60" s="7"/>
      <c r="AH60" s="7"/>
      <c r="AI60" s="7"/>
      <c r="AJ60" s="7"/>
      <c r="AK60" s="7"/>
    </row>
    <row r="61" spans="1:37">
      <c r="A61" s="14"/>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row>
    <row r="62" spans="1:37">
      <c r="A62" s="14"/>
      <c r="B62" s="7"/>
      <c r="C62" s="7"/>
      <c r="D62" s="7"/>
      <c r="E62" s="7"/>
      <c r="F62" s="7"/>
      <c r="G62" s="7"/>
      <c r="H62" s="7"/>
      <c r="I62" s="7"/>
      <c r="J62" s="7"/>
      <c r="K62" s="7"/>
      <c r="L62" s="7"/>
      <c r="M62" s="7"/>
      <c r="N62" s="7"/>
      <c r="O62" s="7"/>
      <c r="P62" s="7"/>
      <c r="Q62" s="7"/>
      <c r="R62" s="7"/>
      <c r="S62" s="7"/>
      <c r="T62" s="7"/>
      <c r="U62" s="7"/>
      <c r="V62" s="7"/>
      <c r="W62" s="7"/>
      <c r="X62" s="7"/>
      <c r="Y62" s="7"/>
      <c r="Z62" s="7"/>
      <c r="AA62" s="7"/>
      <c r="AB62" s="7"/>
      <c r="AC62" s="7"/>
      <c r="AD62" s="7"/>
      <c r="AE62" s="7"/>
      <c r="AF62" s="7"/>
      <c r="AG62" s="7"/>
      <c r="AH62" s="7"/>
      <c r="AI62" s="7"/>
      <c r="AJ62" s="7"/>
      <c r="AK62" s="7"/>
    </row>
    <row r="63" spans="1:37">
      <c r="A63" s="14"/>
      <c r="B63" s="7"/>
      <c r="C63" s="7"/>
      <c r="D63" s="7"/>
      <c r="E63" s="7"/>
      <c r="F63" s="7"/>
      <c r="G63" s="7"/>
      <c r="H63" s="7"/>
      <c r="I63" s="7"/>
      <c r="J63" s="7"/>
      <c r="K63" s="7"/>
      <c r="L63" s="7"/>
      <c r="M63" s="7"/>
      <c r="N63" s="7"/>
      <c r="O63" s="7"/>
      <c r="P63" s="7"/>
      <c r="Q63" s="7"/>
      <c r="R63" s="7"/>
      <c r="S63" s="7"/>
      <c r="T63" s="7"/>
      <c r="U63" s="7"/>
      <c r="V63" s="7"/>
      <c r="W63" s="7"/>
      <c r="X63" s="7"/>
      <c r="Y63" s="7"/>
      <c r="Z63" s="7"/>
      <c r="AA63" s="7"/>
      <c r="AB63" s="7"/>
      <c r="AC63" s="7"/>
      <c r="AD63" s="7"/>
      <c r="AE63" s="7"/>
      <c r="AF63" s="7"/>
      <c r="AG63" s="7"/>
      <c r="AH63" s="7"/>
      <c r="AI63" s="7"/>
      <c r="AJ63" s="7"/>
      <c r="AK63" s="7"/>
    </row>
    <row r="64" spans="1:37">
      <c r="A64" s="14"/>
      <c r="B64" s="7"/>
      <c r="C64" s="7"/>
      <c r="D64" s="7"/>
      <c r="E64" s="7"/>
      <c r="F64" s="7"/>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c r="AI64" s="7"/>
      <c r="AJ64" s="7"/>
      <c r="AK64" s="7"/>
    </row>
    <row r="65" spans="1:37">
      <c r="A65" s="14"/>
      <c r="B65" s="7"/>
      <c r="C65" s="7"/>
      <c r="D65" s="7"/>
      <c r="E65" s="7"/>
      <c r="F65" s="7"/>
      <c r="G65" s="7"/>
      <c r="H65" s="7"/>
      <c r="I65" s="7"/>
      <c r="J65" s="7"/>
      <c r="K65" s="7"/>
      <c r="L65" s="7"/>
      <c r="M65" s="7"/>
      <c r="N65" s="7"/>
      <c r="O65" s="7"/>
      <c r="P65" s="7"/>
      <c r="Q65" s="7"/>
      <c r="R65" s="7"/>
      <c r="S65" s="7"/>
      <c r="T65" s="7"/>
      <c r="U65" s="7"/>
      <c r="V65" s="7"/>
      <c r="W65" s="7"/>
      <c r="X65" s="7"/>
      <c r="Y65" s="7"/>
      <c r="Z65" s="7"/>
      <c r="AA65" s="7"/>
      <c r="AB65" s="7"/>
      <c r="AC65" s="7"/>
      <c r="AD65" s="7"/>
      <c r="AE65" s="7"/>
      <c r="AF65" s="7"/>
      <c r="AG65" s="7"/>
      <c r="AH65" s="7"/>
      <c r="AI65" s="7"/>
      <c r="AJ65" s="7"/>
      <c r="AK65" s="7"/>
    </row>
    <row r="66" spans="1:37">
      <c r="A66" s="14"/>
      <c r="B66" s="7"/>
      <c r="C66" s="7"/>
      <c r="D66" s="7"/>
      <c r="E66" s="7"/>
      <c r="F66" s="7"/>
      <c r="G66" s="7"/>
      <c r="H66" s="7"/>
      <c r="I66" s="7"/>
      <c r="J66" s="7"/>
      <c r="K66" s="7"/>
      <c r="L66" s="7"/>
      <c r="M66" s="7"/>
      <c r="N66" s="7"/>
      <c r="O66" s="7"/>
      <c r="P66" s="7"/>
      <c r="Q66" s="7"/>
      <c r="R66" s="7"/>
      <c r="S66" s="7"/>
      <c r="T66" s="7"/>
      <c r="U66" s="7"/>
      <c r="V66" s="7"/>
      <c r="W66" s="7"/>
      <c r="X66" s="7"/>
      <c r="Y66" s="7"/>
      <c r="Z66" s="7"/>
      <c r="AA66" s="7"/>
      <c r="AB66" s="7"/>
      <c r="AC66" s="7"/>
      <c r="AD66" s="7"/>
      <c r="AE66" s="7"/>
      <c r="AF66" s="7"/>
      <c r="AG66" s="7"/>
      <c r="AH66" s="7"/>
      <c r="AI66" s="7"/>
      <c r="AJ66" s="7"/>
      <c r="AK66" s="7"/>
    </row>
    <row r="67" spans="1:37">
      <c r="A67" s="14"/>
      <c r="B67" s="7"/>
      <c r="C67" s="7"/>
      <c r="D67" s="7"/>
      <c r="E67" s="7"/>
      <c r="F67" s="7"/>
      <c r="G67" s="7"/>
      <c r="H67" s="7"/>
      <c r="I67" s="7"/>
      <c r="J67" s="7"/>
      <c r="K67" s="7"/>
      <c r="L67" s="7"/>
      <c r="M67" s="7"/>
      <c r="N67" s="7"/>
      <c r="O67" s="7"/>
      <c r="P67" s="7"/>
      <c r="Q67" s="7"/>
      <c r="R67" s="7"/>
      <c r="S67" s="7"/>
      <c r="T67" s="7"/>
      <c r="U67" s="7"/>
      <c r="V67" s="7"/>
      <c r="W67" s="7"/>
      <c r="X67" s="7"/>
      <c r="Y67" s="7"/>
      <c r="Z67" s="7"/>
      <c r="AA67" s="7"/>
      <c r="AB67" s="7"/>
      <c r="AC67" s="7"/>
      <c r="AD67" s="7"/>
      <c r="AE67" s="7"/>
      <c r="AF67" s="7"/>
      <c r="AG67" s="7"/>
      <c r="AH67" s="7"/>
      <c r="AI67" s="7"/>
      <c r="AJ67" s="7"/>
      <c r="AK67" s="7"/>
    </row>
    <row r="68" spans="1:37">
      <c r="A68" s="14"/>
      <c r="B68" s="7"/>
      <c r="C68" s="7"/>
      <c r="D68" s="7"/>
      <c r="E68" s="7"/>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c r="AH68" s="7"/>
      <c r="AI68" s="7"/>
      <c r="AJ68" s="7"/>
      <c r="AK68" s="7"/>
    </row>
    <row r="69" spans="1:37">
      <c r="A69" s="14"/>
      <c r="B69" s="7"/>
      <c r="C69" s="7"/>
      <c r="D69" s="7"/>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c r="AI69" s="7"/>
      <c r="AJ69" s="7"/>
      <c r="AK69" s="7"/>
    </row>
    <row r="70" spans="1:37">
      <c r="A70" s="14"/>
      <c r="B70" s="7"/>
      <c r="C70" s="7"/>
      <c r="D70" s="7"/>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c r="AI70" s="7"/>
      <c r="AJ70" s="7"/>
      <c r="AK70" s="7"/>
    </row>
    <row r="71" spans="1:37">
      <c r="A71" s="14"/>
      <c r="B71" s="7"/>
      <c r="C71" s="7"/>
      <c r="D71" s="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I71" s="7"/>
      <c r="AJ71" s="7"/>
      <c r="AK71" s="7"/>
    </row>
    <row r="72" spans="1:37">
      <c r="A72" s="14"/>
      <c r="B72" s="7"/>
      <c r="C72" s="7"/>
      <c r="D72" s="7"/>
      <c r="E72" s="7"/>
      <c r="F72" s="7"/>
      <c r="G72" s="7"/>
      <c r="H72" s="7"/>
      <c r="I72" s="7"/>
      <c r="J72" s="7"/>
      <c r="K72" s="7"/>
      <c r="L72" s="7"/>
      <c r="M72" s="7"/>
      <c r="N72" s="7"/>
      <c r="O72" s="7"/>
      <c r="P72" s="7"/>
      <c r="Q72" s="7"/>
      <c r="R72" s="7"/>
      <c r="S72" s="7"/>
      <c r="T72" s="7"/>
      <c r="U72" s="7"/>
      <c r="V72" s="7"/>
      <c r="W72" s="7"/>
      <c r="X72" s="7"/>
      <c r="Y72" s="7"/>
      <c r="Z72" s="7"/>
      <c r="AA72" s="7"/>
      <c r="AB72" s="7"/>
      <c r="AC72" s="7"/>
      <c r="AD72" s="7"/>
      <c r="AE72" s="7"/>
      <c r="AF72" s="7"/>
      <c r="AG72" s="7"/>
      <c r="AH72" s="7"/>
      <c r="AI72" s="7"/>
      <c r="AJ72" s="7"/>
      <c r="AK72" s="7"/>
    </row>
    <row r="73" spans="1:37">
      <c r="A73" s="14"/>
      <c r="B73" s="7"/>
      <c r="C73" s="7"/>
      <c r="D73" s="7"/>
      <c r="E73" s="7"/>
      <c r="F73" s="7"/>
      <c r="G73" s="7"/>
      <c r="H73" s="7"/>
      <c r="I73" s="7"/>
      <c r="J73" s="7"/>
      <c r="K73" s="7"/>
      <c r="L73" s="7"/>
      <c r="M73" s="7"/>
      <c r="N73" s="7"/>
      <c r="O73" s="7"/>
      <c r="P73" s="7"/>
      <c r="Q73" s="7"/>
      <c r="R73" s="7"/>
      <c r="S73" s="7"/>
      <c r="T73" s="7"/>
      <c r="U73" s="7"/>
      <c r="V73" s="7"/>
      <c r="W73" s="7"/>
      <c r="X73" s="7"/>
      <c r="Y73" s="7"/>
      <c r="Z73" s="7"/>
      <c r="AA73" s="7"/>
      <c r="AB73" s="7"/>
      <c r="AC73" s="7"/>
      <c r="AD73" s="7"/>
      <c r="AE73" s="7"/>
      <c r="AF73" s="7"/>
      <c r="AG73" s="7"/>
      <c r="AH73" s="7"/>
      <c r="AI73" s="7"/>
      <c r="AJ73" s="7"/>
      <c r="AK73" s="7"/>
    </row>
    <row r="74" spans="1:37">
      <c r="A74" s="14"/>
      <c r="B74" s="7"/>
      <c r="C74" s="7"/>
      <c r="D74" s="7"/>
      <c r="E74" s="7"/>
      <c r="F74" s="7"/>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c r="AI74" s="7"/>
      <c r="AJ74" s="7"/>
      <c r="AK74" s="7"/>
    </row>
    <row r="75" spans="1:37">
      <c r="A75" s="14"/>
      <c r="B75" s="7"/>
      <c r="C75" s="7"/>
      <c r="D75" s="7"/>
      <c r="E75" s="7"/>
      <c r="F75" s="7"/>
      <c r="G75" s="7"/>
      <c r="H75" s="7"/>
      <c r="I75" s="7"/>
      <c r="J75" s="7"/>
      <c r="K75" s="7"/>
      <c r="L75" s="7"/>
      <c r="M75" s="7"/>
      <c r="N75" s="7"/>
      <c r="O75" s="7"/>
      <c r="P75" s="7"/>
      <c r="Q75" s="7"/>
      <c r="R75" s="7"/>
      <c r="S75" s="7"/>
      <c r="T75" s="7"/>
      <c r="U75" s="7"/>
      <c r="V75" s="7"/>
      <c r="W75" s="7"/>
      <c r="X75" s="7"/>
      <c r="Y75" s="7"/>
      <c r="Z75" s="7"/>
      <c r="AA75" s="7"/>
      <c r="AB75" s="7"/>
      <c r="AC75" s="7"/>
      <c r="AD75" s="7"/>
      <c r="AE75" s="7"/>
      <c r="AF75" s="7"/>
      <c r="AG75" s="7"/>
      <c r="AH75" s="7"/>
      <c r="AI75" s="7"/>
      <c r="AJ75" s="7"/>
      <c r="AK75" s="7"/>
    </row>
    <row r="76" spans="1:37">
      <c r="A76" s="14"/>
      <c r="B76" s="7"/>
      <c r="C76" s="7"/>
      <c r="D76" s="7"/>
      <c r="E76" s="7"/>
      <c r="F76" s="7"/>
      <c r="G76" s="7"/>
      <c r="H76" s="7"/>
      <c r="I76" s="7"/>
      <c r="J76" s="7"/>
      <c r="K76" s="7"/>
      <c r="L76" s="7"/>
      <c r="M76" s="7"/>
      <c r="N76" s="7"/>
      <c r="O76" s="7"/>
      <c r="P76" s="7"/>
      <c r="Q76" s="7"/>
      <c r="R76" s="7"/>
      <c r="S76" s="7"/>
      <c r="T76" s="7"/>
      <c r="U76" s="7"/>
      <c r="V76" s="7"/>
      <c r="W76" s="7"/>
      <c r="X76" s="7"/>
      <c r="Y76" s="7"/>
      <c r="Z76" s="7"/>
      <c r="AA76" s="7"/>
      <c r="AB76" s="7"/>
      <c r="AC76" s="7"/>
      <c r="AD76" s="7"/>
      <c r="AE76" s="7"/>
      <c r="AF76" s="7"/>
      <c r="AG76" s="7"/>
      <c r="AH76" s="7"/>
      <c r="AI76" s="7"/>
      <c r="AJ76" s="7"/>
      <c r="AK76" s="7"/>
    </row>
    <row r="77" spans="1:37">
      <c r="A77" s="14"/>
      <c r="B77" s="7"/>
      <c r="C77" s="7"/>
      <c r="D77" s="7"/>
      <c r="E77" s="7"/>
      <c r="F77" s="7"/>
      <c r="G77" s="7"/>
      <c r="H77" s="7"/>
      <c r="I77" s="7"/>
      <c r="J77" s="7"/>
      <c r="K77" s="7"/>
      <c r="L77" s="7"/>
      <c r="M77" s="7"/>
      <c r="N77" s="7"/>
      <c r="O77" s="7"/>
      <c r="P77" s="7"/>
      <c r="Q77" s="7"/>
      <c r="R77" s="7"/>
      <c r="S77" s="7"/>
      <c r="T77" s="7"/>
      <c r="U77" s="7"/>
      <c r="V77" s="7"/>
      <c r="W77" s="7"/>
      <c r="X77" s="7"/>
      <c r="Y77" s="7"/>
      <c r="Z77" s="7"/>
      <c r="AA77" s="7"/>
      <c r="AB77" s="7"/>
      <c r="AC77" s="7"/>
      <c r="AD77" s="7"/>
      <c r="AE77" s="7"/>
      <c r="AF77" s="7"/>
      <c r="AG77" s="7"/>
      <c r="AH77" s="7"/>
      <c r="AI77" s="7"/>
      <c r="AJ77" s="7"/>
      <c r="AK77" s="7"/>
    </row>
    <row r="78" spans="1:37">
      <c r="A78" s="14"/>
      <c r="B78" s="7"/>
      <c r="C78" s="7"/>
      <c r="D78" s="7"/>
      <c r="E78" s="7"/>
      <c r="F78" s="7"/>
      <c r="G78" s="7"/>
      <c r="H78" s="7"/>
      <c r="I78" s="7"/>
      <c r="J78" s="7"/>
      <c r="K78" s="7"/>
      <c r="L78" s="7"/>
      <c r="M78" s="7"/>
      <c r="N78" s="7"/>
      <c r="O78" s="7"/>
      <c r="P78" s="7"/>
      <c r="Q78" s="7"/>
      <c r="R78" s="7"/>
      <c r="S78" s="7"/>
      <c r="T78" s="7"/>
      <c r="U78" s="7"/>
      <c r="V78" s="7"/>
      <c r="W78" s="7"/>
      <c r="X78" s="7"/>
      <c r="Y78" s="7"/>
      <c r="Z78" s="7"/>
      <c r="AA78" s="7"/>
      <c r="AB78" s="7"/>
      <c r="AC78" s="7"/>
      <c r="AD78" s="7"/>
      <c r="AE78" s="7"/>
      <c r="AF78" s="7"/>
      <c r="AG78" s="7"/>
      <c r="AH78" s="7"/>
      <c r="AI78" s="7"/>
      <c r="AJ78" s="7"/>
      <c r="AK78" s="7"/>
    </row>
    <row r="79" spans="1:37">
      <c r="A79" s="14"/>
      <c r="B79" s="7"/>
      <c r="C79" s="7"/>
      <c r="D79" s="7"/>
      <c r="E79" s="7"/>
      <c r="F79" s="7"/>
      <c r="G79" s="7"/>
      <c r="H79" s="7"/>
      <c r="I79" s="7"/>
      <c r="J79" s="7"/>
      <c r="K79" s="7"/>
      <c r="L79" s="7"/>
      <c r="M79" s="7"/>
      <c r="N79" s="7"/>
      <c r="O79" s="7"/>
      <c r="P79" s="7"/>
      <c r="Q79" s="7"/>
      <c r="R79" s="7"/>
      <c r="S79" s="7"/>
      <c r="T79" s="7"/>
      <c r="U79" s="7"/>
      <c r="V79" s="7"/>
      <c r="W79" s="7"/>
      <c r="X79" s="7"/>
      <c r="Y79" s="7"/>
      <c r="Z79" s="7"/>
      <c r="AA79" s="7"/>
      <c r="AB79" s="7"/>
      <c r="AC79" s="7"/>
      <c r="AD79" s="7"/>
      <c r="AE79" s="7"/>
      <c r="AF79" s="7"/>
      <c r="AG79" s="7"/>
      <c r="AH79" s="7"/>
      <c r="AI79" s="7"/>
      <c r="AJ79" s="7"/>
      <c r="AK79" s="7"/>
    </row>
    <row r="80" spans="1:37">
      <c r="A80" s="14"/>
      <c r="B80" s="7"/>
      <c r="C80" s="7"/>
      <c r="D80" s="7"/>
      <c r="E80" s="7"/>
      <c r="F80" s="7"/>
      <c r="G80" s="7"/>
      <c r="H80" s="7"/>
      <c r="I80" s="7"/>
      <c r="J80" s="7"/>
      <c r="K80" s="7"/>
      <c r="L80" s="7"/>
      <c r="M80" s="7"/>
      <c r="N80" s="7"/>
      <c r="O80" s="7"/>
      <c r="P80" s="7"/>
      <c r="Q80" s="7"/>
      <c r="R80" s="7"/>
      <c r="S80" s="7"/>
      <c r="T80" s="7"/>
      <c r="U80" s="7"/>
      <c r="V80" s="7"/>
      <c r="W80" s="7"/>
      <c r="X80" s="7"/>
      <c r="Y80" s="7"/>
      <c r="Z80" s="7"/>
      <c r="AA80" s="7"/>
      <c r="AB80" s="7"/>
      <c r="AC80" s="7"/>
      <c r="AD80" s="7"/>
      <c r="AE80" s="7"/>
      <c r="AF80" s="7"/>
      <c r="AG80" s="7"/>
      <c r="AH80" s="7"/>
      <c r="AI80" s="7"/>
      <c r="AJ80" s="7"/>
      <c r="AK80" s="7"/>
    </row>
    <row r="81" spans="1:37">
      <c r="A81" s="14"/>
      <c r="B81" s="7"/>
      <c r="C81" s="7"/>
      <c r="D81" s="7"/>
      <c r="E81" s="7"/>
      <c r="F81" s="7"/>
      <c r="G81" s="7"/>
      <c r="H81" s="7"/>
      <c r="I81" s="7"/>
      <c r="J81" s="7"/>
      <c r="K81" s="7"/>
      <c r="L81" s="7"/>
      <c r="M81" s="7"/>
      <c r="N81" s="7"/>
      <c r="O81" s="7"/>
      <c r="P81" s="7"/>
      <c r="Q81" s="7"/>
      <c r="R81" s="7"/>
      <c r="S81" s="7"/>
      <c r="T81" s="7"/>
      <c r="U81" s="7"/>
      <c r="V81" s="7"/>
      <c r="W81" s="7"/>
      <c r="X81" s="7"/>
      <c r="Y81" s="7"/>
      <c r="Z81" s="7"/>
      <c r="AA81" s="7"/>
      <c r="AB81" s="7"/>
      <c r="AC81" s="7"/>
      <c r="AD81" s="7"/>
      <c r="AE81" s="7"/>
      <c r="AF81" s="7"/>
      <c r="AG81" s="7"/>
      <c r="AH81" s="7"/>
      <c r="AI81" s="7"/>
      <c r="AJ81" s="7"/>
      <c r="AK81" s="7"/>
    </row>
    <row r="82" spans="1:37">
      <c r="A82" s="14"/>
      <c r="B82" s="7"/>
      <c r="C82" s="7"/>
      <c r="D82" s="7"/>
      <c r="E82" s="7"/>
      <c r="F82" s="7"/>
      <c r="G82" s="7"/>
      <c r="H82" s="7"/>
      <c r="I82" s="7"/>
      <c r="J82" s="7"/>
      <c r="K82" s="7"/>
      <c r="L82" s="7"/>
      <c r="M82" s="7"/>
      <c r="N82" s="7"/>
      <c r="O82" s="7"/>
      <c r="P82" s="7"/>
      <c r="Q82" s="7"/>
      <c r="R82" s="7"/>
      <c r="S82" s="7"/>
      <c r="T82" s="7"/>
      <c r="U82" s="7"/>
      <c r="V82" s="7"/>
      <c r="W82" s="7"/>
      <c r="X82" s="7"/>
      <c r="Y82" s="7"/>
      <c r="Z82" s="7"/>
      <c r="AA82" s="7"/>
      <c r="AB82" s="7"/>
      <c r="AC82" s="7"/>
      <c r="AD82" s="7"/>
      <c r="AE82" s="7"/>
      <c r="AF82" s="7"/>
      <c r="AG82" s="7"/>
      <c r="AH82" s="7"/>
      <c r="AI82" s="7"/>
      <c r="AJ82" s="7"/>
      <c r="AK82" s="7"/>
    </row>
    <row r="83" spans="1:37">
      <c r="A83" s="14"/>
      <c r="B83" s="7"/>
      <c r="C83" s="7"/>
      <c r="D83" s="7"/>
      <c r="E83" s="7"/>
      <c r="F83" s="7"/>
      <c r="G83" s="7"/>
      <c r="H83" s="7"/>
      <c r="I83" s="7"/>
      <c r="J83" s="7"/>
      <c r="K83" s="7"/>
      <c r="L83" s="7"/>
      <c r="M83" s="7"/>
      <c r="N83" s="7"/>
      <c r="O83" s="7"/>
      <c r="P83" s="7"/>
      <c r="Q83" s="7"/>
      <c r="R83" s="7"/>
      <c r="S83" s="7"/>
      <c r="T83" s="7"/>
      <c r="U83" s="7"/>
      <c r="V83" s="7"/>
      <c r="W83" s="7"/>
      <c r="X83" s="7"/>
      <c r="Y83" s="7"/>
      <c r="Z83" s="7"/>
      <c r="AA83" s="7"/>
      <c r="AB83" s="7"/>
      <c r="AC83" s="7"/>
      <c r="AD83" s="7"/>
      <c r="AE83" s="7"/>
      <c r="AF83" s="7"/>
      <c r="AG83" s="7"/>
      <c r="AH83" s="7"/>
      <c r="AI83" s="7"/>
      <c r="AJ83" s="7"/>
      <c r="AK83" s="7"/>
    </row>
    <row r="84" spans="1:37">
      <c r="A84" s="14"/>
      <c r="B84" s="7"/>
      <c r="C84" s="7"/>
      <c r="D84" s="7"/>
      <c r="E84" s="7"/>
      <c r="F84" s="7"/>
      <c r="G84" s="7"/>
      <c r="H84" s="7"/>
      <c r="I84" s="7"/>
      <c r="J84" s="7"/>
      <c r="K84" s="7"/>
      <c r="L84" s="7"/>
      <c r="M84" s="7"/>
      <c r="N84" s="7"/>
      <c r="O84" s="7"/>
      <c r="P84" s="7"/>
      <c r="Q84" s="7"/>
      <c r="R84" s="7"/>
      <c r="S84" s="7"/>
      <c r="T84" s="7"/>
      <c r="U84" s="7"/>
      <c r="V84" s="7"/>
      <c r="W84" s="7"/>
      <c r="X84" s="7"/>
      <c r="Y84" s="7"/>
      <c r="Z84" s="7"/>
      <c r="AA84" s="7"/>
      <c r="AB84" s="7"/>
      <c r="AC84" s="7"/>
      <c r="AD84" s="7"/>
      <c r="AE84" s="7"/>
      <c r="AF84" s="7"/>
      <c r="AG84" s="7"/>
      <c r="AH84" s="7"/>
      <c r="AI84" s="7"/>
      <c r="AJ84" s="7"/>
      <c r="AK84" s="7"/>
    </row>
    <row r="85" spans="1:37">
      <c r="A85" s="14"/>
      <c r="B85" s="7"/>
      <c r="C85" s="7"/>
      <c r="D85" s="7"/>
      <c r="E85" s="7"/>
      <c r="F85" s="7"/>
      <c r="G85" s="7"/>
      <c r="H85" s="7"/>
      <c r="I85" s="7"/>
      <c r="J85" s="7"/>
      <c r="K85" s="7"/>
      <c r="L85" s="7"/>
      <c r="M85" s="7"/>
      <c r="N85" s="7"/>
      <c r="O85" s="7"/>
      <c r="P85" s="7"/>
      <c r="Q85" s="7"/>
      <c r="R85" s="7"/>
      <c r="S85" s="7"/>
      <c r="T85" s="7"/>
      <c r="U85" s="7"/>
      <c r="V85" s="7"/>
      <c r="W85" s="7"/>
      <c r="X85" s="7"/>
      <c r="Y85" s="7"/>
      <c r="Z85" s="7"/>
      <c r="AA85" s="7"/>
      <c r="AB85" s="7"/>
      <c r="AC85" s="7"/>
      <c r="AD85" s="7"/>
      <c r="AE85" s="7"/>
      <c r="AF85" s="7"/>
      <c r="AG85" s="7"/>
      <c r="AH85" s="7"/>
      <c r="AI85" s="7"/>
      <c r="AJ85" s="7"/>
      <c r="AK85" s="7"/>
    </row>
    <row r="86" spans="1:37">
      <c r="A86" s="14"/>
      <c r="B86" s="7"/>
      <c r="C86" s="7"/>
      <c r="D86" s="7"/>
      <c r="E86" s="7"/>
      <c r="F86" s="7"/>
      <c r="G86" s="7"/>
      <c r="H86" s="7"/>
      <c r="I86" s="7"/>
      <c r="J86" s="7"/>
      <c r="K86" s="7"/>
      <c r="L86" s="7"/>
      <c r="M86" s="7"/>
      <c r="N86" s="7"/>
      <c r="O86" s="7"/>
      <c r="P86" s="7"/>
      <c r="Q86" s="7"/>
      <c r="R86" s="7"/>
      <c r="S86" s="7"/>
      <c r="T86" s="7"/>
      <c r="U86" s="7"/>
      <c r="V86" s="7"/>
      <c r="W86" s="7"/>
      <c r="X86" s="7"/>
      <c r="Y86" s="7"/>
      <c r="Z86" s="7"/>
      <c r="AA86" s="7"/>
      <c r="AB86" s="7"/>
      <c r="AC86" s="7"/>
      <c r="AD86" s="7"/>
      <c r="AE86" s="7"/>
      <c r="AF86" s="7"/>
      <c r="AG86" s="7"/>
      <c r="AH86" s="7"/>
      <c r="AI86" s="7"/>
      <c r="AJ86" s="7"/>
      <c r="AK86" s="7"/>
    </row>
    <row r="87" spans="1:37">
      <c r="A87" s="14"/>
      <c r="B87" s="7"/>
      <c r="C87" s="7"/>
      <c r="D87" s="7"/>
      <c r="E87" s="7"/>
      <c r="F87" s="7"/>
      <c r="G87" s="7"/>
      <c r="H87" s="7"/>
      <c r="I87" s="7"/>
      <c r="J87" s="7"/>
      <c r="K87" s="7"/>
      <c r="L87" s="7"/>
      <c r="M87" s="7"/>
      <c r="N87" s="7"/>
      <c r="O87" s="7"/>
      <c r="P87" s="7"/>
      <c r="Q87" s="7"/>
      <c r="R87" s="7"/>
      <c r="S87" s="7"/>
      <c r="T87" s="7"/>
      <c r="U87" s="7"/>
      <c r="V87" s="7"/>
      <c r="W87" s="7"/>
      <c r="X87" s="7"/>
      <c r="Y87" s="7"/>
      <c r="Z87" s="7"/>
      <c r="AA87" s="7"/>
      <c r="AB87" s="7"/>
      <c r="AC87" s="7"/>
      <c r="AD87" s="7"/>
      <c r="AE87" s="7"/>
      <c r="AF87" s="7"/>
      <c r="AG87" s="7"/>
      <c r="AH87" s="7"/>
      <c r="AI87" s="7"/>
      <c r="AJ87" s="7"/>
      <c r="AK87" s="7"/>
    </row>
    <row r="88" spans="1:37">
      <c r="A88" s="14"/>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c r="AD88" s="7"/>
      <c r="AE88" s="7"/>
      <c r="AF88" s="7"/>
      <c r="AG88" s="7"/>
      <c r="AH88" s="7"/>
      <c r="AI88" s="7"/>
      <c r="AJ88" s="7"/>
      <c r="AK88" s="7"/>
    </row>
    <row r="89" spans="1:37">
      <c r="A89" s="14"/>
      <c r="B89" s="7"/>
      <c r="C89" s="7"/>
      <c r="D89" s="7"/>
      <c r="E89" s="7"/>
      <c r="F89" s="7"/>
      <c r="G89" s="7"/>
      <c r="H89" s="7"/>
      <c r="I89" s="7"/>
      <c r="J89" s="7"/>
      <c r="K89" s="7"/>
      <c r="L89" s="7"/>
      <c r="M89" s="7"/>
      <c r="N89" s="7"/>
      <c r="O89" s="7"/>
      <c r="P89" s="7"/>
      <c r="Q89" s="7"/>
      <c r="R89" s="7"/>
      <c r="S89" s="7"/>
      <c r="T89" s="7"/>
      <c r="U89" s="7"/>
      <c r="V89" s="7"/>
      <c r="W89" s="7"/>
      <c r="X89" s="7"/>
      <c r="Y89" s="7"/>
      <c r="Z89" s="7"/>
      <c r="AA89" s="7"/>
      <c r="AB89" s="7"/>
      <c r="AC89" s="7"/>
      <c r="AD89" s="7"/>
      <c r="AE89" s="7"/>
      <c r="AF89" s="7"/>
      <c r="AG89" s="7"/>
      <c r="AH89" s="7"/>
      <c r="AI89" s="7"/>
      <c r="AJ89" s="7"/>
      <c r="AK89" s="7"/>
    </row>
    <row r="90" spans="1:37">
      <c r="A90" s="14"/>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c r="AD90" s="7"/>
      <c r="AE90" s="7"/>
      <c r="AF90" s="7"/>
      <c r="AG90" s="7"/>
      <c r="AH90" s="7"/>
      <c r="AI90" s="7"/>
      <c r="AJ90" s="7"/>
      <c r="AK90" s="7"/>
    </row>
    <row r="91" spans="1:37">
      <c r="A91" s="14"/>
      <c r="B91" s="7"/>
      <c r="C91" s="7"/>
      <c r="D91" s="7"/>
      <c r="E91" s="7"/>
      <c r="F91" s="7"/>
      <c r="G91" s="7"/>
      <c r="H91" s="7"/>
      <c r="I91" s="7"/>
      <c r="J91" s="7"/>
      <c r="K91" s="7"/>
      <c r="L91" s="7"/>
      <c r="M91" s="7"/>
      <c r="N91" s="7"/>
      <c r="O91" s="7"/>
      <c r="P91" s="7"/>
      <c r="Q91" s="7"/>
      <c r="R91" s="7"/>
      <c r="S91" s="7"/>
      <c r="T91" s="7"/>
      <c r="U91" s="7"/>
      <c r="V91" s="7"/>
      <c r="W91" s="7"/>
      <c r="X91" s="7"/>
      <c r="Y91" s="7"/>
      <c r="Z91" s="7"/>
      <c r="AA91" s="7"/>
      <c r="AB91" s="7"/>
      <c r="AC91" s="7"/>
      <c r="AD91" s="7"/>
      <c r="AE91" s="7"/>
      <c r="AF91" s="7"/>
      <c r="AG91" s="7"/>
      <c r="AH91" s="7"/>
      <c r="AI91" s="7"/>
      <c r="AJ91" s="7"/>
      <c r="AK91" s="7"/>
    </row>
    <row r="92" spans="1:37">
      <c r="A92" s="14"/>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c r="AD92" s="7"/>
      <c r="AE92" s="7"/>
      <c r="AF92" s="7"/>
      <c r="AG92" s="7"/>
      <c r="AH92" s="7"/>
      <c r="AI92" s="7"/>
      <c r="AJ92" s="7"/>
      <c r="AK92" s="7"/>
    </row>
    <row r="93" spans="1:37">
      <c r="A93" s="14"/>
      <c r="B93" s="7"/>
      <c r="C93" s="7"/>
      <c r="D93" s="7"/>
      <c r="E93" s="7"/>
      <c r="F93" s="7"/>
      <c r="G93" s="7"/>
      <c r="H93" s="7"/>
      <c r="I93" s="7"/>
      <c r="J93" s="7"/>
      <c r="K93" s="7"/>
      <c r="L93" s="7"/>
      <c r="M93" s="7"/>
      <c r="N93" s="7"/>
      <c r="O93" s="7"/>
      <c r="P93" s="7"/>
      <c r="Q93" s="7"/>
      <c r="R93" s="7"/>
      <c r="S93" s="7"/>
      <c r="T93" s="7"/>
      <c r="U93" s="7"/>
      <c r="V93" s="7"/>
      <c r="W93" s="7"/>
      <c r="X93" s="7"/>
      <c r="Y93" s="7"/>
      <c r="Z93" s="7"/>
      <c r="AA93" s="7"/>
      <c r="AB93" s="7"/>
      <c r="AC93" s="7"/>
      <c r="AD93" s="7"/>
      <c r="AE93" s="7"/>
      <c r="AF93" s="7"/>
      <c r="AG93" s="7"/>
      <c r="AH93" s="7"/>
      <c r="AI93" s="7"/>
      <c r="AJ93" s="7"/>
      <c r="AK93" s="7"/>
    </row>
    <row r="94" spans="1:37">
      <c r="A94" s="14"/>
      <c r="B94" s="7"/>
      <c r="C94" s="7"/>
      <c r="D94" s="7"/>
      <c r="E94" s="7"/>
      <c r="F94" s="7"/>
      <c r="G94" s="7"/>
      <c r="H94" s="7"/>
      <c r="I94" s="7"/>
      <c r="J94" s="7"/>
      <c r="K94" s="7"/>
      <c r="L94" s="7"/>
      <c r="M94" s="7"/>
      <c r="N94" s="7"/>
      <c r="O94" s="7"/>
      <c r="P94" s="7"/>
      <c r="Q94" s="7"/>
      <c r="R94" s="7"/>
      <c r="S94" s="7"/>
      <c r="T94" s="7"/>
      <c r="U94" s="7"/>
      <c r="V94" s="7"/>
      <c r="W94" s="7"/>
      <c r="X94" s="7"/>
      <c r="Y94" s="7"/>
      <c r="Z94" s="7"/>
      <c r="AA94" s="7"/>
      <c r="AB94" s="7"/>
      <c r="AC94" s="7"/>
      <c r="AD94" s="7"/>
      <c r="AE94" s="7"/>
      <c r="AF94" s="7"/>
      <c r="AG94" s="7"/>
      <c r="AH94" s="7"/>
      <c r="AI94" s="7"/>
      <c r="AJ94" s="7"/>
      <c r="AK94" s="7"/>
    </row>
    <row r="95" spans="1:37">
      <c r="A95" s="14"/>
      <c r="B95" s="7"/>
      <c r="C95" s="7"/>
      <c r="D95" s="7"/>
      <c r="E95" s="7"/>
      <c r="F95" s="7"/>
      <c r="G95" s="7"/>
      <c r="H95" s="7"/>
      <c r="I95" s="7"/>
      <c r="J95" s="7"/>
      <c r="K95" s="7"/>
      <c r="L95" s="7"/>
      <c r="M95" s="7"/>
      <c r="N95" s="7"/>
      <c r="O95" s="7"/>
      <c r="P95" s="7"/>
      <c r="Q95" s="7"/>
      <c r="R95" s="7"/>
      <c r="S95" s="7"/>
      <c r="T95" s="7"/>
      <c r="U95" s="7"/>
      <c r="V95" s="7"/>
      <c r="W95" s="7"/>
      <c r="X95" s="7"/>
      <c r="Y95" s="7"/>
      <c r="Z95" s="7"/>
      <c r="AA95" s="7"/>
      <c r="AB95" s="7"/>
      <c r="AC95" s="7"/>
      <c r="AD95" s="7"/>
      <c r="AE95" s="7"/>
      <c r="AF95" s="7"/>
      <c r="AG95" s="7"/>
      <c r="AH95" s="7"/>
      <c r="AI95" s="7"/>
      <c r="AJ95" s="7"/>
      <c r="AK95" s="7"/>
    </row>
    <row r="96" spans="1:37">
      <c r="A96" s="14"/>
      <c r="B96" s="7"/>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c r="AF96" s="7"/>
      <c r="AG96" s="7"/>
      <c r="AH96" s="7"/>
      <c r="AI96" s="7"/>
      <c r="AJ96" s="7"/>
      <c r="AK96" s="7"/>
    </row>
    <row r="97" spans="1:37">
      <c r="A97" s="14"/>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7"/>
      <c r="AE97" s="7"/>
      <c r="AF97" s="7"/>
      <c r="AG97" s="7"/>
      <c r="AH97" s="7"/>
      <c r="AI97" s="7"/>
      <c r="AJ97" s="7"/>
      <c r="AK97" s="7"/>
    </row>
    <row r="98" spans="1:37">
      <c r="A98" s="14"/>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c r="AD98" s="7"/>
      <c r="AE98" s="7"/>
      <c r="AF98" s="7"/>
      <c r="AG98" s="7"/>
      <c r="AH98" s="7"/>
      <c r="AI98" s="7"/>
      <c r="AJ98" s="7"/>
      <c r="AK98" s="7"/>
    </row>
    <row r="99" spans="1:37">
      <c r="A99" s="14"/>
      <c r="B99" s="7"/>
      <c r="C99" s="7"/>
      <c r="D99" s="7"/>
      <c r="E99" s="7"/>
      <c r="F99" s="7"/>
      <c r="G99" s="7"/>
      <c r="H99" s="7"/>
      <c r="I99" s="7"/>
      <c r="J99" s="7"/>
      <c r="K99" s="7"/>
      <c r="L99" s="7"/>
      <c r="M99" s="7"/>
      <c r="N99" s="7"/>
      <c r="O99" s="7"/>
      <c r="P99" s="7"/>
      <c r="Q99" s="7"/>
      <c r="R99" s="7"/>
      <c r="S99" s="7"/>
      <c r="T99" s="7"/>
      <c r="U99" s="7"/>
      <c r="V99" s="7"/>
      <c r="W99" s="7"/>
      <c r="X99" s="7"/>
      <c r="Y99" s="7"/>
      <c r="Z99" s="7"/>
      <c r="AA99" s="7"/>
      <c r="AB99" s="7"/>
      <c r="AC99" s="7"/>
      <c r="AD99" s="7"/>
      <c r="AE99" s="7"/>
      <c r="AF99" s="7"/>
      <c r="AG99" s="7"/>
      <c r="AH99" s="7"/>
      <c r="AI99" s="7"/>
      <c r="AJ99" s="7"/>
      <c r="AK99" s="7"/>
    </row>
    <row r="100" spans="1:37">
      <c r="A100" s="14"/>
      <c r="B100" s="7"/>
      <c r="C100" s="7"/>
      <c r="D100" s="7"/>
      <c r="E100" s="7"/>
      <c r="F100" s="7"/>
      <c r="G100" s="7"/>
      <c r="H100" s="7"/>
      <c r="I100" s="7"/>
      <c r="J100" s="7"/>
      <c r="K100" s="7"/>
      <c r="L100" s="7"/>
      <c r="M100" s="7"/>
      <c r="N100" s="7"/>
      <c r="O100" s="7"/>
      <c r="P100" s="7"/>
      <c r="Q100" s="7"/>
      <c r="R100" s="7"/>
      <c r="S100" s="7"/>
      <c r="T100" s="7"/>
      <c r="U100" s="7"/>
      <c r="V100" s="7"/>
      <c r="W100" s="7"/>
      <c r="X100" s="7"/>
      <c r="Y100" s="7"/>
      <c r="Z100" s="7"/>
      <c r="AA100" s="7"/>
      <c r="AB100" s="7"/>
      <c r="AC100" s="7"/>
      <c r="AD100" s="7"/>
      <c r="AE100" s="7"/>
      <c r="AF100" s="7"/>
      <c r="AG100" s="7"/>
      <c r="AH100" s="7"/>
      <c r="AI100" s="7"/>
      <c r="AJ100" s="7"/>
      <c r="AK100" s="7"/>
    </row>
    <row r="101" spans="1:37">
      <c r="A101" s="14"/>
      <c r="B101" s="7"/>
      <c r="C101" s="7"/>
      <c r="D101" s="7"/>
      <c r="E101" s="7"/>
      <c r="F101" s="7"/>
      <c r="G101" s="7"/>
      <c r="H101" s="7"/>
      <c r="I101" s="7"/>
      <c r="J101" s="7"/>
      <c r="K101" s="7"/>
      <c r="L101" s="7"/>
      <c r="M101" s="7"/>
      <c r="N101" s="7"/>
      <c r="O101" s="7"/>
      <c r="P101" s="7"/>
      <c r="Q101" s="7"/>
      <c r="R101" s="7"/>
      <c r="S101" s="7"/>
      <c r="T101" s="7"/>
      <c r="U101" s="7"/>
      <c r="V101" s="7"/>
      <c r="W101" s="7"/>
      <c r="X101" s="7"/>
      <c r="Y101" s="7"/>
      <c r="Z101" s="7"/>
      <c r="AA101" s="7"/>
      <c r="AB101" s="7"/>
      <c r="AC101" s="7"/>
      <c r="AD101" s="7"/>
      <c r="AE101" s="7"/>
      <c r="AF101" s="7"/>
      <c r="AG101" s="7"/>
      <c r="AH101" s="7"/>
      <c r="AI101" s="7"/>
      <c r="AJ101" s="7"/>
      <c r="AK101" s="7"/>
    </row>
    <row r="102" spans="1:37">
      <c r="A102" s="14"/>
      <c r="B102" s="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c r="AD102" s="7"/>
      <c r="AE102" s="7"/>
      <c r="AF102" s="7"/>
      <c r="AG102" s="7"/>
      <c r="AH102" s="7"/>
      <c r="AI102" s="7"/>
      <c r="AJ102" s="7"/>
      <c r="AK102" s="7"/>
    </row>
    <row r="103" spans="1:37">
      <c r="A103" s="14"/>
      <c r="B103" s="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c r="AC103" s="7"/>
      <c r="AD103" s="7"/>
      <c r="AE103" s="7"/>
      <c r="AF103" s="7"/>
      <c r="AG103" s="7"/>
      <c r="AH103" s="7"/>
      <c r="AI103" s="7"/>
      <c r="AJ103" s="7"/>
      <c r="AK103" s="7"/>
    </row>
    <row r="104" spans="1:37">
      <c r="A104" s="14"/>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row>
    <row r="105" spans="1:37">
      <c r="A105" s="14"/>
      <c r="B105" s="7"/>
      <c r="C105" s="7"/>
      <c r="D105" s="7"/>
      <c r="E105" s="7"/>
      <c r="F105" s="7"/>
      <c r="G105" s="7"/>
      <c r="H105" s="7"/>
      <c r="I105" s="7"/>
      <c r="J105" s="7"/>
      <c r="K105" s="7"/>
      <c r="L105" s="7"/>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row>
    <row r="106" spans="1:37">
      <c r="A106" s="14"/>
      <c r="B106" s="7"/>
      <c r="C106" s="7"/>
      <c r="D106" s="7"/>
      <c r="E106" s="7"/>
      <c r="F106" s="7"/>
      <c r="G106" s="7"/>
      <c r="H106" s="7"/>
      <c r="I106" s="7"/>
      <c r="J106" s="7"/>
      <c r="K106" s="7"/>
      <c r="L106" s="7"/>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row>
    <row r="107" spans="1:37">
      <c r="A107" s="14"/>
      <c r="B107" s="7"/>
      <c r="C107" s="7"/>
      <c r="D107" s="7"/>
      <c r="E107" s="7"/>
      <c r="F107" s="7"/>
      <c r="G107" s="7"/>
      <c r="H107" s="7"/>
      <c r="I107" s="7"/>
      <c r="J107" s="7"/>
      <c r="K107" s="7"/>
      <c r="L107" s="7"/>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row>
    <row r="108" spans="1:37">
      <c r="A108" s="14"/>
      <c r="B108" s="7"/>
      <c r="C108" s="7"/>
      <c r="D108" s="7"/>
      <c r="E108" s="7"/>
      <c r="F108" s="7"/>
      <c r="G108" s="7"/>
      <c r="H108" s="7"/>
      <c r="I108" s="7"/>
      <c r="J108" s="7"/>
      <c r="K108" s="7"/>
      <c r="L108" s="7"/>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row>
    <row r="109" spans="1:37">
      <c r="A109" s="14"/>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row>
    <row r="110" spans="1:37">
      <c r="A110" s="14"/>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row>
    <row r="111" spans="1:37">
      <c r="A111" s="14"/>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row>
    <row r="112" spans="1:37">
      <c r="A112" s="14"/>
      <c r="B112" s="7"/>
      <c r="C112" s="7"/>
      <c r="D112" s="7"/>
      <c r="E112" s="7"/>
      <c r="F112" s="7"/>
      <c r="G112" s="7"/>
      <c r="H112" s="7"/>
      <c r="I112" s="7"/>
      <c r="J112" s="7"/>
      <c r="K112" s="7"/>
      <c r="L112" s="7"/>
      <c r="M112" s="7"/>
      <c r="N112" s="7"/>
      <c r="O112" s="7"/>
      <c r="P112" s="7"/>
      <c r="Q112" s="7"/>
      <c r="R112" s="7"/>
      <c r="S112" s="7"/>
      <c r="T112" s="7"/>
      <c r="U112" s="7"/>
      <c r="V112" s="7"/>
      <c r="W112" s="7"/>
      <c r="X112" s="7"/>
      <c r="Y112" s="7"/>
      <c r="Z112" s="7"/>
      <c r="AA112" s="7"/>
      <c r="AB112" s="7"/>
      <c r="AC112" s="7"/>
      <c r="AD112" s="7"/>
      <c r="AE112" s="7"/>
      <c r="AF112" s="7"/>
      <c r="AG112" s="7"/>
      <c r="AH112" s="7"/>
      <c r="AI112" s="7"/>
      <c r="AJ112" s="7"/>
      <c r="AK112" s="7"/>
    </row>
    <row r="113" spans="1:37">
      <c r="A113" s="14"/>
      <c r="B113" s="7"/>
      <c r="C113" s="7"/>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row>
    <row r="114" spans="1:37">
      <c r="A114" s="14"/>
      <c r="B114" s="7"/>
      <c r="C114" s="7"/>
      <c r="D114" s="7"/>
      <c r="E114" s="7"/>
      <c r="F114" s="7"/>
      <c r="G114" s="7"/>
      <c r="H114" s="7"/>
      <c r="I114" s="7"/>
      <c r="J114" s="7"/>
      <c r="K114" s="7"/>
      <c r="L114" s="7"/>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row>
    <row r="115" spans="1:37">
      <c r="A115" s="14"/>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c r="AB115" s="7"/>
      <c r="AC115" s="7"/>
      <c r="AD115" s="7"/>
      <c r="AE115" s="7"/>
      <c r="AF115" s="7"/>
      <c r="AG115" s="7"/>
      <c r="AH115" s="7"/>
      <c r="AI115" s="7"/>
      <c r="AJ115" s="7"/>
      <c r="AK115" s="7"/>
    </row>
    <row r="116" spans="1:37">
      <c r="A116" s="14"/>
      <c r="B116" s="7"/>
      <c r="C116" s="7"/>
      <c r="D116" s="7"/>
      <c r="E116" s="7"/>
      <c r="F116" s="7"/>
      <c r="G116" s="7"/>
      <c r="H116" s="7"/>
      <c r="I116" s="7"/>
      <c r="J116" s="7"/>
      <c r="K116" s="7"/>
      <c r="L116" s="7"/>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row>
    <row r="117" spans="1:37">
      <c r="A117" s="14"/>
      <c r="B117" s="7"/>
      <c r="C117" s="7"/>
      <c r="D117" s="7"/>
      <c r="E117" s="7"/>
      <c r="F117" s="7"/>
      <c r="G117" s="7"/>
      <c r="H117" s="7"/>
      <c r="I117" s="7"/>
      <c r="J117" s="7"/>
      <c r="K117" s="7"/>
      <c r="L117" s="7"/>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row>
    <row r="118" spans="1:37">
      <c r="A118" s="14"/>
      <c r="B118" s="7"/>
      <c r="C118" s="7"/>
      <c r="D118" s="7"/>
      <c r="E118" s="7"/>
      <c r="F118" s="7"/>
      <c r="G118" s="7"/>
      <c r="H118" s="7"/>
      <c r="I118" s="7"/>
      <c r="J118" s="7"/>
      <c r="K118" s="7"/>
      <c r="L118" s="7"/>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row>
    <row r="119" spans="1:37">
      <c r="A119" s="14"/>
      <c r="B119" s="7"/>
      <c r="C119" s="7"/>
      <c r="D119" s="7"/>
      <c r="E119" s="7"/>
      <c r="F119" s="7"/>
      <c r="G119" s="7"/>
      <c r="H119" s="7"/>
      <c r="I119" s="7"/>
      <c r="J119" s="7"/>
      <c r="K119" s="7"/>
      <c r="L119" s="7"/>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row>
    <row r="120" spans="1:37">
      <c r="A120" s="14"/>
      <c r="B120" s="7"/>
      <c r="C120" s="7"/>
      <c r="D120" s="7"/>
      <c r="E120" s="7"/>
      <c r="F120" s="7"/>
      <c r="G120" s="7"/>
      <c r="H120" s="7"/>
      <c r="I120" s="7"/>
      <c r="J120" s="7"/>
      <c r="K120" s="7"/>
      <c r="L120" s="7"/>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row>
    <row r="121" spans="1:37">
      <c r="A121" s="14"/>
      <c r="B121" s="7"/>
      <c r="C121" s="7"/>
      <c r="D121" s="7"/>
      <c r="E121" s="7"/>
      <c r="F121" s="7"/>
      <c r="G121" s="7"/>
      <c r="H121" s="7"/>
      <c r="I121" s="7"/>
      <c r="J121" s="7"/>
      <c r="K121" s="7"/>
      <c r="L121" s="7"/>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row>
    <row r="122" spans="1:37">
      <c r="A122" s="14"/>
      <c r="B122" s="7"/>
      <c r="C122" s="7"/>
      <c r="D122" s="7"/>
      <c r="E122" s="7"/>
      <c r="F122" s="7"/>
      <c r="G122" s="7"/>
      <c r="H122" s="7"/>
      <c r="I122" s="7"/>
      <c r="J122" s="7"/>
      <c r="K122" s="7"/>
      <c r="L122" s="7"/>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row>
    <row r="123" spans="1:37">
      <c r="A123" s="14"/>
      <c r="B123" s="7"/>
      <c r="C123" s="7"/>
      <c r="D123" s="7"/>
      <c r="E123" s="7"/>
      <c r="F123" s="7"/>
      <c r="G123" s="7"/>
      <c r="H123" s="7"/>
      <c r="I123" s="7"/>
      <c r="J123" s="7"/>
      <c r="K123" s="7"/>
      <c r="L123" s="7"/>
      <c r="M123" s="7"/>
      <c r="N123" s="7"/>
      <c r="O123" s="7"/>
      <c r="P123" s="7"/>
      <c r="Q123" s="7"/>
      <c r="R123" s="7"/>
      <c r="S123" s="7"/>
      <c r="T123" s="7"/>
      <c r="U123" s="7"/>
      <c r="V123" s="7"/>
      <c r="W123" s="7"/>
      <c r="X123" s="7"/>
      <c r="Y123" s="7"/>
      <c r="Z123" s="7"/>
      <c r="AA123" s="7"/>
      <c r="AB123" s="7"/>
      <c r="AC123" s="7"/>
      <c r="AD123" s="7"/>
      <c r="AE123" s="7"/>
      <c r="AF123" s="7"/>
      <c r="AG123" s="7"/>
      <c r="AH123" s="7"/>
      <c r="AI123" s="7"/>
      <c r="AJ123" s="7"/>
      <c r="AK123" s="7"/>
    </row>
    <row r="124" spans="1:37">
      <c r="A124" s="14"/>
      <c r="B124" s="7"/>
      <c r="C124" s="7"/>
      <c r="D124" s="7"/>
      <c r="E124" s="7"/>
      <c r="F124" s="7"/>
      <c r="G124" s="7"/>
      <c r="H124" s="7"/>
      <c r="I124" s="7"/>
      <c r="J124" s="7"/>
      <c r="K124" s="7"/>
      <c r="L124" s="7"/>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row>
    <row r="125" spans="1:37">
      <c r="A125" s="14"/>
      <c r="B125" s="7"/>
      <c r="C125" s="7"/>
      <c r="D125" s="7"/>
      <c r="E125" s="7"/>
      <c r="F125" s="7"/>
      <c r="G125" s="7"/>
      <c r="H125" s="7"/>
      <c r="I125" s="7"/>
      <c r="J125" s="7"/>
      <c r="K125" s="7"/>
      <c r="L125" s="7"/>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row>
    <row r="126" spans="1:37">
      <c r="A126" s="14"/>
      <c r="B126" s="7"/>
      <c r="C126" s="7"/>
      <c r="D126" s="7"/>
      <c r="E126" s="7"/>
      <c r="F126" s="7"/>
      <c r="G126" s="7"/>
      <c r="H126" s="7"/>
      <c r="I126" s="7"/>
      <c r="J126" s="7"/>
      <c r="K126" s="7"/>
      <c r="L126" s="7"/>
      <c r="M126" s="7"/>
      <c r="N126" s="7"/>
      <c r="O126" s="7"/>
      <c r="P126" s="7"/>
      <c r="Q126" s="7"/>
      <c r="R126" s="7"/>
      <c r="S126" s="7"/>
      <c r="T126" s="7"/>
      <c r="U126" s="7"/>
      <c r="V126" s="7"/>
      <c r="W126" s="7"/>
      <c r="X126" s="7"/>
      <c r="Y126" s="7"/>
      <c r="Z126" s="7"/>
      <c r="AA126" s="7"/>
      <c r="AB126" s="7"/>
      <c r="AC126" s="7"/>
      <c r="AD126" s="7"/>
      <c r="AE126" s="7"/>
      <c r="AF126" s="7"/>
      <c r="AG126" s="7"/>
      <c r="AH126" s="7"/>
      <c r="AI126" s="7"/>
      <c r="AJ126" s="7"/>
      <c r="AK126" s="7"/>
    </row>
    <row r="127" spans="1:37">
      <c r="A127" s="14"/>
      <c r="B127" s="7"/>
      <c r="C127" s="7"/>
      <c r="D127" s="7"/>
      <c r="E127" s="7"/>
      <c r="F127" s="7"/>
      <c r="G127" s="7"/>
      <c r="H127" s="7"/>
      <c r="I127" s="7"/>
      <c r="J127" s="7"/>
      <c r="K127" s="7"/>
      <c r="L127" s="7"/>
      <c r="M127" s="7"/>
      <c r="N127" s="7"/>
      <c r="O127" s="7"/>
      <c r="P127" s="7"/>
      <c r="Q127" s="7"/>
      <c r="R127" s="7"/>
      <c r="S127" s="7"/>
      <c r="T127" s="7"/>
      <c r="U127" s="7"/>
      <c r="V127" s="7"/>
      <c r="W127" s="7"/>
      <c r="X127" s="7"/>
      <c r="Y127" s="7"/>
      <c r="Z127" s="7"/>
      <c r="AA127" s="7"/>
      <c r="AB127" s="7"/>
      <c r="AC127" s="7"/>
      <c r="AD127" s="7"/>
      <c r="AE127" s="7"/>
      <c r="AF127" s="7"/>
      <c r="AG127" s="7"/>
      <c r="AH127" s="7"/>
      <c r="AI127" s="7"/>
      <c r="AJ127" s="7"/>
      <c r="AK127" s="7"/>
    </row>
    <row r="128" spans="1:37">
      <c r="A128" s="14"/>
      <c r="B128" s="7"/>
      <c r="C128" s="7"/>
      <c r="D128" s="7"/>
      <c r="E128" s="7"/>
      <c r="F128" s="7"/>
      <c r="G128" s="7"/>
      <c r="H128" s="7"/>
      <c r="I128" s="7"/>
      <c r="J128" s="7"/>
      <c r="K128" s="7"/>
      <c r="L128" s="7"/>
      <c r="M128" s="7"/>
      <c r="N128" s="7"/>
      <c r="O128" s="7"/>
      <c r="P128" s="7"/>
      <c r="Q128" s="7"/>
      <c r="R128" s="7"/>
      <c r="S128" s="7"/>
      <c r="T128" s="7"/>
      <c r="U128" s="7"/>
      <c r="V128" s="7"/>
      <c r="W128" s="7"/>
      <c r="X128" s="7"/>
      <c r="Y128" s="7"/>
      <c r="Z128" s="7"/>
      <c r="AA128" s="7"/>
      <c r="AB128" s="7"/>
      <c r="AC128" s="7"/>
      <c r="AD128" s="7"/>
      <c r="AE128" s="7"/>
      <c r="AF128" s="7"/>
      <c r="AG128" s="7"/>
      <c r="AH128" s="7"/>
      <c r="AI128" s="7"/>
      <c r="AJ128" s="7"/>
      <c r="AK128" s="7"/>
    </row>
    <row r="129" spans="1:37">
      <c r="A129" s="14"/>
      <c r="B129" s="7"/>
      <c r="C129" s="7"/>
      <c r="D129" s="7"/>
      <c r="E129" s="7"/>
      <c r="F129" s="7"/>
      <c r="G129" s="7"/>
      <c r="H129" s="7"/>
      <c r="I129" s="7"/>
      <c r="J129" s="7"/>
      <c r="K129" s="7"/>
      <c r="L129" s="7"/>
      <c r="M129" s="7"/>
      <c r="N129" s="7"/>
      <c r="O129" s="7"/>
      <c r="P129" s="7"/>
      <c r="Q129" s="7"/>
      <c r="R129" s="7"/>
      <c r="S129" s="7"/>
      <c r="T129" s="7"/>
      <c r="U129" s="7"/>
      <c r="V129" s="7"/>
      <c r="W129" s="7"/>
      <c r="X129" s="7"/>
      <c r="Y129" s="7"/>
      <c r="Z129" s="7"/>
      <c r="AA129" s="7"/>
      <c r="AB129" s="7"/>
      <c r="AC129" s="7"/>
      <c r="AD129" s="7"/>
      <c r="AE129" s="7"/>
      <c r="AF129" s="7"/>
      <c r="AG129" s="7"/>
      <c r="AH129" s="7"/>
      <c r="AI129" s="7"/>
      <c r="AJ129" s="7"/>
      <c r="AK129" s="7"/>
    </row>
    <row r="130" spans="1:37">
      <c r="A130" s="14"/>
      <c r="B130" s="7"/>
      <c r="C130" s="7"/>
      <c r="D130" s="7"/>
      <c r="E130" s="7"/>
      <c r="F130" s="7"/>
      <c r="G130" s="7"/>
      <c r="H130" s="7"/>
      <c r="I130" s="7"/>
      <c r="J130" s="7"/>
      <c r="K130" s="7"/>
      <c r="L130" s="7"/>
      <c r="M130" s="7"/>
      <c r="N130" s="7"/>
      <c r="O130" s="7"/>
      <c r="P130" s="7"/>
      <c r="Q130" s="7"/>
      <c r="R130" s="7"/>
      <c r="S130" s="7"/>
      <c r="T130" s="7"/>
      <c r="U130" s="7"/>
      <c r="V130" s="7"/>
      <c r="W130" s="7"/>
      <c r="X130" s="7"/>
      <c r="Y130" s="7"/>
      <c r="Z130" s="7"/>
      <c r="AA130" s="7"/>
      <c r="AB130" s="7"/>
      <c r="AC130" s="7"/>
      <c r="AD130" s="7"/>
      <c r="AE130" s="7"/>
      <c r="AF130" s="7"/>
      <c r="AG130" s="7"/>
      <c r="AH130" s="7"/>
      <c r="AI130" s="7"/>
      <c r="AJ130" s="7"/>
      <c r="AK130" s="7"/>
    </row>
    <row r="131" spans="1:37">
      <c r="A131" s="14"/>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c r="AI131" s="7"/>
      <c r="AJ131" s="7"/>
      <c r="AK131" s="7"/>
    </row>
    <row r="132" spans="1:37">
      <c r="A132" s="14"/>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c r="AI132" s="7"/>
      <c r="AJ132" s="7"/>
      <c r="AK132" s="7"/>
    </row>
    <row r="133" spans="1:37">
      <c r="A133" s="14"/>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c r="AI133" s="7"/>
      <c r="AJ133" s="7"/>
      <c r="AK133" s="7"/>
    </row>
    <row r="134" spans="1:37">
      <c r="A134" s="14"/>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row>
    <row r="135" spans="1:37">
      <c r="A135" s="14"/>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row>
    <row r="136" spans="1:37">
      <c r="A136" s="14"/>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row>
    <row r="137" spans="1:37">
      <c r="A137" s="14"/>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row>
    <row r="138" spans="1:37">
      <c r="A138" s="14"/>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row>
    <row r="139" spans="1:37">
      <c r="A139" s="14"/>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c r="AD139" s="7"/>
      <c r="AE139" s="7"/>
      <c r="AF139" s="7"/>
      <c r="AG139" s="7"/>
      <c r="AH139" s="7"/>
      <c r="AI139" s="7"/>
      <c r="AJ139" s="7"/>
      <c r="AK139" s="7"/>
    </row>
    <row r="140" spans="1:37">
      <c r="A140" s="14"/>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row>
    <row r="141" spans="1:37">
      <c r="A141" s="14"/>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c r="AD141" s="7"/>
      <c r="AE141" s="7"/>
      <c r="AF141" s="7"/>
      <c r="AG141" s="7"/>
      <c r="AH141" s="7"/>
      <c r="AI141" s="7"/>
      <c r="AJ141" s="7"/>
      <c r="AK141" s="7"/>
    </row>
    <row r="142" spans="1:37">
      <c r="A142" s="14"/>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c r="AC142" s="7"/>
      <c r="AD142" s="7"/>
      <c r="AE142" s="7"/>
      <c r="AF142" s="7"/>
      <c r="AG142" s="7"/>
      <c r="AH142" s="7"/>
      <c r="AI142" s="7"/>
      <c r="AJ142" s="7"/>
      <c r="AK142" s="7"/>
    </row>
    <row r="143" spans="1:37">
      <c r="A143" s="14"/>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c r="AF143" s="7"/>
      <c r="AG143" s="7"/>
      <c r="AH143" s="7"/>
      <c r="AI143" s="7"/>
      <c r="AJ143" s="7"/>
      <c r="AK143" s="7"/>
    </row>
    <row r="144" spans="1:37">
      <c r="A144" s="14"/>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c r="AC144" s="7"/>
      <c r="AD144" s="7"/>
      <c r="AE144" s="7"/>
      <c r="AF144" s="7"/>
      <c r="AG144" s="7"/>
      <c r="AH144" s="7"/>
      <c r="AI144" s="7"/>
      <c r="AJ144" s="7"/>
      <c r="AK144" s="7"/>
    </row>
    <row r="145" spans="1:37">
      <c r="A145" s="14"/>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c r="AC145" s="7"/>
      <c r="AD145" s="7"/>
      <c r="AE145" s="7"/>
      <c r="AF145" s="7"/>
      <c r="AG145" s="7"/>
      <c r="AH145" s="7"/>
      <c r="AI145" s="7"/>
      <c r="AJ145" s="7"/>
      <c r="AK145" s="7"/>
    </row>
    <row r="146" spans="1:37">
      <c r="A146" s="14"/>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c r="AC146" s="7"/>
      <c r="AD146" s="7"/>
      <c r="AE146" s="7"/>
      <c r="AF146" s="7"/>
      <c r="AG146" s="7"/>
      <c r="AH146" s="7"/>
      <c r="AI146" s="7"/>
      <c r="AJ146" s="7"/>
      <c r="AK146" s="7"/>
    </row>
    <row r="147" spans="1:37">
      <c r="A147" s="14"/>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c r="AD147" s="7"/>
      <c r="AE147" s="7"/>
      <c r="AF147" s="7"/>
      <c r="AG147" s="7"/>
      <c r="AH147" s="7"/>
      <c r="AI147" s="7"/>
      <c r="AJ147" s="7"/>
      <c r="AK147" s="7"/>
    </row>
    <row r="148" spans="1:37">
      <c r="A148" s="14"/>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row>
    <row r="149" spans="1:37">
      <c r="A149" s="14"/>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row>
    <row r="150" spans="1:37">
      <c r="A150" s="14"/>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row>
    <row r="151" spans="1:37">
      <c r="A151" s="14"/>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row>
    <row r="152" spans="1:37">
      <c r="A152" s="14"/>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row>
    <row r="153" spans="1:37">
      <c r="A153" s="14"/>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row>
    <row r="154" spans="1:37">
      <c r="A154" s="14"/>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row>
    <row r="155" spans="1:37">
      <c r="A155" s="14"/>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row>
    <row r="156" spans="1:37">
      <c r="A156" s="14"/>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row>
    <row r="157" spans="1:37">
      <c r="A157" s="14"/>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c r="AD157" s="7"/>
      <c r="AE157" s="7"/>
      <c r="AF157" s="7"/>
      <c r="AG157" s="7"/>
      <c r="AH157" s="7"/>
      <c r="AI157" s="7"/>
      <c r="AJ157" s="7"/>
      <c r="AK157" s="7"/>
    </row>
    <row r="158" spans="1:37">
      <c r="A158" s="14"/>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c r="AC158" s="7"/>
      <c r="AD158" s="7"/>
      <c r="AE158" s="7"/>
      <c r="AF158" s="7"/>
      <c r="AG158" s="7"/>
      <c r="AH158" s="7"/>
      <c r="AI158" s="7"/>
      <c r="AJ158" s="7"/>
      <c r="AK158" s="7"/>
    </row>
    <row r="159" spans="1:37">
      <c r="A159" s="14"/>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c r="AC159" s="7"/>
      <c r="AD159" s="7"/>
      <c r="AE159" s="7"/>
      <c r="AF159" s="7"/>
      <c r="AG159" s="7"/>
      <c r="AH159" s="7"/>
      <c r="AI159" s="7"/>
      <c r="AJ159" s="7"/>
      <c r="AK159" s="7"/>
    </row>
    <row r="160" spans="1:37">
      <c r="A160" s="14"/>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c r="AC160" s="7"/>
      <c r="AD160" s="7"/>
      <c r="AE160" s="7"/>
      <c r="AF160" s="7"/>
      <c r="AG160" s="7"/>
      <c r="AH160" s="7"/>
      <c r="AI160" s="7"/>
      <c r="AJ160" s="7"/>
      <c r="AK160" s="7"/>
    </row>
    <row r="161" spans="1:37">
      <c r="A161" s="14"/>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c r="AC161" s="7"/>
      <c r="AD161" s="7"/>
      <c r="AE161" s="7"/>
      <c r="AF161" s="7"/>
      <c r="AG161" s="7"/>
      <c r="AH161" s="7"/>
      <c r="AI161" s="7"/>
      <c r="AJ161" s="7"/>
      <c r="AK161" s="7"/>
    </row>
    <row r="162" spans="1:37">
      <c r="A162" s="14"/>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c r="AC162" s="7"/>
      <c r="AD162" s="7"/>
      <c r="AE162" s="7"/>
      <c r="AF162" s="7"/>
      <c r="AG162" s="7"/>
      <c r="AH162" s="7"/>
      <c r="AI162" s="7"/>
      <c r="AJ162" s="7"/>
      <c r="AK162" s="7"/>
    </row>
    <row r="163" spans="1:37">
      <c r="A163" s="14"/>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c r="AF163" s="7"/>
      <c r="AG163" s="7"/>
      <c r="AH163" s="7"/>
      <c r="AI163" s="7"/>
      <c r="AJ163" s="7"/>
      <c r="AK163" s="7"/>
    </row>
    <row r="164" spans="1:37">
      <c r="A164" s="14"/>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c r="AF164" s="7"/>
      <c r="AG164" s="7"/>
      <c r="AH164" s="7"/>
      <c r="AI164" s="7"/>
      <c r="AJ164" s="7"/>
      <c r="AK164" s="7"/>
    </row>
    <row r="165" spans="1:37">
      <c r="A165" s="14"/>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c r="AD165" s="7"/>
      <c r="AE165" s="7"/>
      <c r="AF165" s="7"/>
      <c r="AG165" s="7"/>
      <c r="AH165" s="7"/>
      <c r="AI165" s="7"/>
      <c r="AJ165" s="7"/>
      <c r="AK165" s="7"/>
    </row>
    <row r="166" spans="1:37">
      <c r="A166" s="14"/>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c r="AF166" s="7"/>
      <c r="AG166" s="7"/>
      <c r="AH166" s="7"/>
      <c r="AI166" s="7"/>
      <c r="AJ166" s="7"/>
      <c r="AK166" s="7"/>
    </row>
    <row r="167" spans="1:37">
      <c r="A167" s="14"/>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c r="AD167" s="7"/>
      <c r="AE167" s="7"/>
      <c r="AF167" s="7"/>
      <c r="AG167" s="7"/>
      <c r="AH167" s="7"/>
      <c r="AI167" s="7"/>
      <c r="AJ167" s="7"/>
      <c r="AK167" s="7"/>
    </row>
    <row r="168" spans="1:37">
      <c r="A168" s="14"/>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c r="AD168" s="7"/>
      <c r="AE168" s="7"/>
      <c r="AF168" s="7"/>
      <c r="AG168" s="7"/>
      <c r="AH168" s="7"/>
      <c r="AI168" s="7"/>
      <c r="AJ168" s="7"/>
      <c r="AK168" s="7"/>
    </row>
    <row r="169" spans="1:37">
      <c r="A169" s="14"/>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c r="AD169" s="7"/>
      <c r="AE169" s="7"/>
      <c r="AF169" s="7"/>
      <c r="AG169" s="7"/>
      <c r="AH169" s="7"/>
      <c r="AI169" s="7"/>
      <c r="AJ169" s="7"/>
      <c r="AK169" s="7"/>
    </row>
    <row r="170" spans="1:37">
      <c r="A170" s="14"/>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c r="AF170" s="7"/>
      <c r="AG170" s="7"/>
      <c r="AH170" s="7"/>
      <c r="AI170" s="7"/>
      <c r="AJ170" s="7"/>
      <c r="AK170" s="7"/>
    </row>
    <row r="171" spans="1:37">
      <c r="A171" s="14"/>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c r="AD171" s="7"/>
      <c r="AE171" s="7"/>
      <c r="AF171" s="7"/>
      <c r="AG171" s="7"/>
      <c r="AH171" s="7"/>
      <c r="AI171" s="7"/>
      <c r="AJ171" s="7"/>
      <c r="AK171" s="7"/>
    </row>
    <row r="172" spans="1:37">
      <c r="A172" s="14"/>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c r="AD172" s="7"/>
      <c r="AE172" s="7"/>
      <c r="AF172" s="7"/>
      <c r="AG172" s="7"/>
      <c r="AH172" s="7"/>
      <c r="AI172" s="7"/>
      <c r="AJ172" s="7"/>
      <c r="AK172" s="7"/>
    </row>
    <row r="173" spans="1:37">
      <c r="A173" s="14"/>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c r="AC173" s="7"/>
      <c r="AD173" s="7"/>
      <c r="AE173" s="7"/>
      <c r="AF173" s="7"/>
      <c r="AG173" s="7"/>
      <c r="AH173" s="7"/>
      <c r="AI173" s="7"/>
      <c r="AJ173" s="7"/>
      <c r="AK173" s="7"/>
    </row>
    <row r="174" spans="1:37">
      <c r="A174" s="14"/>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c r="AD174" s="7"/>
      <c r="AE174" s="7"/>
      <c r="AF174" s="7"/>
      <c r="AG174" s="7"/>
      <c r="AH174" s="7"/>
      <c r="AI174" s="7"/>
      <c r="AJ174" s="7"/>
      <c r="AK174" s="7"/>
    </row>
    <row r="175" spans="1:37">
      <c r="A175" s="14"/>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c r="AD175" s="7"/>
      <c r="AE175" s="7"/>
      <c r="AF175" s="7"/>
      <c r="AG175" s="7"/>
      <c r="AH175" s="7"/>
      <c r="AI175" s="7"/>
      <c r="AJ175" s="7"/>
      <c r="AK175" s="7"/>
    </row>
    <row r="176" spans="1:37">
      <c r="A176" s="14"/>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c r="AD176" s="7"/>
      <c r="AE176" s="7"/>
      <c r="AF176" s="7"/>
      <c r="AG176" s="7"/>
      <c r="AH176" s="7"/>
      <c r="AI176" s="7"/>
      <c r="AJ176" s="7"/>
      <c r="AK176" s="7"/>
    </row>
    <row r="177" spans="1:37">
      <c r="A177" s="14"/>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c r="AD177" s="7"/>
      <c r="AE177" s="7"/>
      <c r="AF177" s="7"/>
      <c r="AG177" s="7"/>
      <c r="AH177" s="7"/>
      <c r="AI177" s="7"/>
      <c r="AJ177" s="7"/>
      <c r="AK177" s="7"/>
    </row>
    <row r="178" spans="1:37">
      <c r="A178" s="14"/>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c r="AF178" s="7"/>
      <c r="AG178" s="7"/>
      <c r="AH178" s="7"/>
      <c r="AI178" s="7"/>
      <c r="AJ178" s="7"/>
      <c r="AK178" s="7"/>
    </row>
    <row r="179" spans="1:37">
      <c r="A179" s="14"/>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c r="AD179" s="7"/>
      <c r="AE179" s="7"/>
      <c r="AF179" s="7"/>
      <c r="AG179" s="7"/>
      <c r="AH179" s="7"/>
      <c r="AI179" s="7"/>
      <c r="AJ179" s="7"/>
      <c r="AK179" s="7"/>
    </row>
    <row r="180" spans="1:37">
      <c r="A180" s="14"/>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c r="AD180" s="7"/>
      <c r="AE180" s="7"/>
      <c r="AF180" s="7"/>
      <c r="AG180" s="7"/>
      <c r="AH180" s="7"/>
      <c r="AI180" s="7"/>
      <c r="AJ180" s="7"/>
      <c r="AK180" s="7"/>
    </row>
    <row r="181" spans="1:37">
      <c r="A181" s="14"/>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c r="AD181" s="7"/>
      <c r="AE181" s="7"/>
      <c r="AF181" s="7"/>
      <c r="AG181" s="7"/>
      <c r="AH181" s="7"/>
      <c r="AI181" s="7"/>
      <c r="AJ181" s="7"/>
      <c r="AK181" s="7"/>
    </row>
    <row r="182" spans="1:37">
      <c r="A182" s="14"/>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c r="AD182" s="7"/>
      <c r="AE182" s="7"/>
      <c r="AF182" s="7"/>
      <c r="AG182" s="7"/>
      <c r="AH182" s="7"/>
      <c r="AI182" s="7"/>
      <c r="AJ182" s="7"/>
      <c r="AK182" s="7"/>
    </row>
    <row r="183" spans="1:37">
      <c r="A183" s="14"/>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c r="AD183" s="7"/>
      <c r="AE183" s="7"/>
      <c r="AF183" s="7"/>
      <c r="AG183" s="7"/>
      <c r="AH183" s="7"/>
      <c r="AI183" s="7"/>
      <c r="AJ183" s="7"/>
      <c r="AK183" s="7"/>
    </row>
    <row r="184" spans="1:37">
      <c r="A184" s="14"/>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E184" s="7"/>
      <c r="AF184" s="7"/>
      <c r="AG184" s="7"/>
      <c r="AH184" s="7"/>
      <c r="AI184" s="7"/>
      <c r="AJ184" s="7"/>
      <c r="AK184" s="7"/>
    </row>
    <row r="185" spans="1:37">
      <c r="A185" s="14"/>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c r="AD185" s="7"/>
      <c r="AE185" s="7"/>
      <c r="AF185" s="7"/>
      <c r="AG185" s="7"/>
      <c r="AH185" s="7"/>
      <c r="AI185" s="7"/>
      <c r="AJ185" s="7"/>
      <c r="AK185" s="7"/>
    </row>
    <row r="186" spans="1:37">
      <c r="A186" s="14"/>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c r="AD186" s="7"/>
      <c r="AE186" s="7"/>
      <c r="AF186" s="7"/>
      <c r="AG186" s="7"/>
      <c r="AH186" s="7"/>
      <c r="AI186" s="7"/>
      <c r="AJ186" s="7"/>
      <c r="AK186" s="7"/>
    </row>
    <row r="187" spans="1:37">
      <c r="A187" s="14"/>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c r="AD187" s="7"/>
      <c r="AE187" s="7"/>
      <c r="AF187" s="7"/>
      <c r="AG187" s="7"/>
      <c r="AH187" s="7"/>
      <c r="AI187" s="7"/>
      <c r="AJ187" s="7"/>
      <c r="AK187" s="7"/>
    </row>
    <row r="188" spans="1:37">
      <c r="A188" s="14"/>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c r="AD188" s="7"/>
      <c r="AE188" s="7"/>
      <c r="AF188" s="7"/>
      <c r="AG188" s="7"/>
      <c r="AH188" s="7"/>
      <c r="AI188" s="7"/>
      <c r="AJ188" s="7"/>
      <c r="AK188" s="7"/>
    </row>
    <row r="189" spans="1:37">
      <c r="A189" s="14"/>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c r="AD189" s="7"/>
      <c r="AE189" s="7"/>
      <c r="AF189" s="7"/>
      <c r="AG189" s="7"/>
      <c r="AH189" s="7"/>
      <c r="AI189" s="7"/>
      <c r="AJ189" s="7"/>
      <c r="AK189" s="7"/>
    </row>
    <row r="190" spans="1:37">
      <c r="A190" s="14"/>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c r="AD190" s="7"/>
      <c r="AE190" s="7"/>
      <c r="AF190" s="7"/>
      <c r="AG190" s="7"/>
      <c r="AH190" s="7"/>
      <c r="AI190" s="7"/>
      <c r="AJ190" s="7"/>
      <c r="AK190" s="7"/>
    </row>
    <row r="191" spans="1:37">
      <c r="A191" s="14"/>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c r="AC191" s="7"/>
      <c r="AD191" s="7"/>
      <c r="AE191" s="7"/>
      <c r="AF191" s="7"/>
      <c r="AG191" s="7"/>
      <c r="AH191" s="7"/>
      <c r="AI191" s="7"/>
      <c r="AJ191" s="7"/>
      <c r="AK191" s="7"/>
    </row>
    <row r="192" spans="1:37">
      <c r="A192" s="14"/>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c r="AC192" s="7"/>
      <c r="AD192" s="7"/>
      <c r="AE192" s="7"/>
      <c r="AF192" s="7"/>
      <c r="AG192" s="7"/>
      <c r="AH192" s="7"/>
      <c r="AI192" s="7"/>
      <c r="AJ192" s="7"/>
      <c r="AK192" s="7"/>
    </row>
    <row r="193" spans="1:37">
      <c r="A193" s="14"/>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c r="AC193" s="7"/>
      <c r="AD193" s="7"/>
      <c r="AE193" s="7"/>
      <c r="AF193" s="7"/>
      <c r="AG193" s="7"/>
      <c r="AH193" s="7"/>
      <c r="AI193" s="7"/>
      <c r="AJ193" s="7"/>
      <c r="AK193" s="7"/>
    </row>
    <row r="194" spans="1:37">
      <c r="A194" s="14"/>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c r="AC194" s="7"/>
      <c r="AD194" s="7"/>
      <c r="AE194" s="7"/>
      <c r="AF194" s="7"/>
      <c r="AG194" s="7"/>
      <c r="AH194" s="7"/>
      <c r="AI194" s="7"/>
      <c r="AJ194" s="7"/>
      <c r="AK194" s="7"/>
    </row>
    <row r="195" spans="1:37">
      <c r="A195" s="14"/>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c r="AC195" s="7"/>
      <c r="AD195" s="7"/>
      <c r="AE195" s="7"/>
      <c r="AF195" s="7"/>
      <c r="AG195" s="7"/>
      <c r="AH195" s="7"/>
      <c r="AI195" s="7"/>
      <c r="AJ195" s="7"/>
      <c r="AK195" s="7"/>
    </row>
    <row r="196" spans="1:37">
      <c r="A196" s="14"/>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c r="AC196" s="7"/>
      <c r="AD196" s="7"/>
      <c r="AE196" s="7"/>
      <c r="AF196" s="7"/>
      <c r="AG196" s="7"/>
      <c r="AH196" s="7"/>
      <c r="AI196" s="7"/>
      <c r="AJ196" s="7"/>
      <c r="AK196" s="7"/>
    </row>
    <row r="197" spans="1:37">
      <c r="A197" s="14"/>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c r="AC197" s="7"/>
      <c r="AD197" s="7"/>
      <c r="AE197" s="7"/>
      <c r="AF197" s="7"/>
      <c r="AG197" s="7"/>
      <c r="AH197" s="7"/>
      <c r="AI197" s="7"/>
      <c r="AJ197" s="7"/>
      <c r="AK197" s="7"/>
    </row>
    <row r="198" spans="1:37">
      <c r="A198" s="14"/>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c r="AC198" s="7"/>
      <c r="AD198" s="7"/>
      <c r="AE198" s="7"/>
      <c r="AF198" s="7"/>
      <c r="AG198" s="7"/>
      <c r="AH198" s="7"/>
      <c r="AI198" s="7"/>
      <c r="AJ198" s="7"/>
      <c r="AK198" s="7"/>
    </row>
    <row r="199" spans="1:37">
      <c r="A199" s="14"/>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c r="AC199" s="7"/>
      <c r="AD199" s="7"/>
      <c r="AE199" s="7"/>
      <c r="AF199" s="7"/>
      <c r="AG199" s="7"/>
      <c r="AH199" s="7"/>
      <c r="AI199" s="7"/>
      <c r="AJ199" s="7"/>
      <c r="AK199" s="7"/>
    </row>
    <row r="200" spans="1:37">
      <c r="A200" s="14"/>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c r="AC200" s="7"/>
      <c r="AD200" s="7"/>
      <c r="AE200" s="7"/>
      <c r="AF200" s="7"/>
      <c r="AG200" s="7"/>
      <c r="AH200" s="7"/>
      <c r="AI200" s="7"/>
      <c r="AJ200" s="7"/>
      <c r="AK200" s="7"/>
    </row>
    <row r="201" spans="1:37">
      <c r="A201" s="14"/>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c r="AC201" s="7"/>
      <c r="AD201" s="7"/>
      <c r="AE201" s="7"/>
      <c r="AF201" s="7"/>
      <c r="AG201" s="7"/>
      <c r="AH201" s="7"/>
      <c r="AI201" s="7"/>
      <c r="AJ201" s="7"/>
      <c r="AK201" s="7"/>
    </row>
    <row r="202" spans="1:37">
      <c r="A202" s="14"/>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c r="AC202" s="7"/>
      <c r="AD202" s="7"/>
      <c r="AE202" s="7"/>
      <c r="AF202" s="7"/>
      <c r="AG202" s="7"/>
      <c r="AH202" s="7"/>
      <c r="AI202" s="7"/>
      <c r="AJ202" s="7"/>
      <c r="AK202" s="7"/>
    </row>
    <row r="203" spans="1:37">
      <c r="A203" s="14"/>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c r="AD203" s="7"/>
      <c r="AE203" s="7"/>
      <c r="AF203" s="7"/>
      <c r="AG203" s="7"/>
      <c r="AH203" s="7"/>
      <c r="AI203" s="7"/>
      <c r="AJ203" s="7"/>
      <c r="AK203" s="7"/>
    </row>
    <row r="204" spans="1:37">
      <c r="A204" s="14"/>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c r="AD204" s="7"/>
      <c r="AE204" s="7"/>
      <c r="AF204" s="7"/>
      <c r="AG204" s="7"/>
      <c r="AH204" s="7"/>
      <c r="AI204" s="7"/>
      <c r="AJ204" s="7"/>
      <c r="AK204" s="7"/>
    </row>
    <row r="205" spans="1:37">
      <c r="A205" s="14"/>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c r="AD205" s="7"/>
      <c r="AE205" s="7"/>
      <c r="AF205" s="7"/>
      <c r="AG205" s="7"/>
      <c r="AH205" s="7"/>
      <c r="AI205" s="7"/>
      <c r="AJ205" s="7"/>
      <c r="AK205" s="7"/>
    </row>
    <row r="206" spans="1:37">
      <c r="A206" s="14"/>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c r="AD206" s="7"/>
      <c r="AE206" s="7"/>
      <c r="AF206" s="7"/>
      <c r="AG206" s="7"/>
      <c r="AH206" s="7"/>
      <c r="AI206" s="7"/>
      <c r="AJ206" s="7"/>
      <c r="AK206" s="7"/>
    </row>
    <row r="207" spans="1:37">
      <c r="A207" s="14"/>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c r="AD207" s="7"/>
      <c r="AE207" s="7"/>
      <c r="AF207" s="7"/>
      <c r="AG207" s="7"/>
      <c r="AH207" s="7"/>
      <c r="AI207" s="7"/>
      <c r="AJ207" s="7"/>
      <c r="AK207" s="7"/>
    </row>
    <row r="208" spans="1:37">
      <c r="A208" s="14"/>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c r="AD208" s="7"/>
      <c r="AE208" s="7"/>
      <c r="AF208" s="7"/>
      <c r="AG208" s="7"/>
      <c r="AH208" s="7"/>
      <c r="AI208" s="7"/>
      <c r="AJ208" s="7"/>
      <c r="AK208" s="7"/>
    </row>
    <row r="209" spans="1:37">
      <c r="A209" s="14"/>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c r="AD209" s="7"/>
      <c r="AE209" s="7"/>
      <c r="AF209" s="7"/>
      <c r="AG209" s="7"/>
      <c r="AH209" s="7"/>
      <c r="AI209" s="7"/>
      <c r="AJ209" s="7"/>
      <c r="AK209" s="7"/>
    </row>
    <row r="210" spans="1:37">
      <c r="A210" s="14"/>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c r="AD210" s="7"/>
      <c r="AE210" s="7"/>
      <c r="AF210" s="7"/>
      <c r="AG210" s="7"/>
      <c r="AH210" s="7"/>
      <c r="AI210" s="7"/>
      <c r="AJ210" s="7"/>
      <c r="AK210" s="7"/>
    </row>
    <row r="211" spans="1:37">
      <c r="A211" s="14"/>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c r="AD211" s="7"/>
      <c r="AE211" s="7"/>
      <c r="AF211" s="7"/>
      <c r="AG211" s="7"/>
      <c r="AH211" s="7"/>
      <c r="AI211" s="7"/>
      <c r="AJ211" s="7"/>
      <c r="AK211" s="7"/>
    </row>
    <row r="212" spans="1:37">
      <c r="A212" s="14"/>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c r="AD212" s="7"/>
      <c r="AE212" s="7"/>
      <c r="AF212" s="7"/>
      <c r="AG212" s="7"/>
      <c r="AH212" s="7"/>
      <c r="AI212" s="7"/>
      <c r="AJ212" s="7"/>
      <c r="AK212" s="7"/>
    </row>
    <row r="213" spans="1:37">
      <c r="A213" s="14"/>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c r="AD213" s="7"/>
      <c r="AE213" s="7"/>
      <c r="AF213" s="7"/>
      <c r="AG213" s="7"/>
      <c r="AH213" s="7"/>
      <c r="AI213" s="7"/>
      <c r="AJ213" s="7"/>
      <c r="AK213" s="7"/>
    </row>
    <row r="214" spans="1:37">
      <c r="A214" s="14"/>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c r="AD214" s="7"/>
      <c r="AE214" s="7"/>
      <c r="AF214" s="7"/>
      <c r="AG214" s="7"/>
      <c r="AH214" s="7"/>
      <c r="AI214" s="7"/>
      <c r="AJ214" s="7"/>
      <c r="AK214" s="7"/>
    </row>
    <row r="215" spans="1:37">
      <c r="A215" s="14"/>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c r="AD215" s="7"/>
      <c r="AE215" s="7"/>
      <c r="AF215" s="7"/>
      <c r="AG215" s="7"/>
      <c r="AH215" s="7"/>
      <c r="AI215" s="7"/>
      <c r="AJ215" s="7"/>
      <c r="AK215" s="7"/>
    </row>
    <row r="216" spans="1:37">
      <c r="A216" s="14"/>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c r="AD216" s="7"/>
      <c r="AE216" s="7"/>
      <c r="AF216" s="7"/>
      <c r="AG216" s="7"/>
      <c r="AH216" s="7"/>
      <c r="AI216" s="7"/>
      <c r="AJ216" s="7"/>
      <c r="AK216" s="7"/>
    </row>
    <row r="217" spans="1:37">
      <c r="A217" s="14"/>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c r="AD217" s="7"/>
      <c r="AE217" s="7"/>
      <c r="AF217" s="7"/>
      <c r="AG217" s="7"/>
      <c r="AH217" s="7"/>
      <c r="AI217" s="7"/>
      <c r="AJ217" s="7"/>
      <c r="AK217" s="7"/>
    </row>
    <row r="218" spans="1:37">
      <c r="A218" s="14"/>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c r="AD218" s="7"/>
      <c r="AE218" s="7"/>
      <c r="AF218" s="7"/>
      <c r="AG218" s="7"/>
      <c r="AH218" s="7"/>
      <c r="AI218" s="7"/>
      <c r="AJ218" s="7"/>
      <c r="AK218" s="7"/>
    </row>
    <row r="219" spans="1:37">
      <c r="A219" s="14"/>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row>
    <row r="220" spans="1:37">
      <c r="A220" s="14"/>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c r="AD220" s="7"/>
      <c r="AE220" s="7"/>
      <c r="AF220" s="7"/>
      <c r="AG220" s="7"/>
      <c r="AH220" s="7"/>
      <c r="AI220" s="7"/>
      <c r="AJ220" s="7"/>
      <c r="AK220" s="7"/>
    </row>
    <row r="221" spans="1:37">
      <c r="A221" s="14"/>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c r="AD221" s="7"/>
      <c r="AE221" s="7"/>
      <c r="AF221" s="7"/>
      <c r="AG221" s="7"/>
      <c r="AH221" s="7"/>
      <c r="AI221" s="7"/>
      <c r="AJ221" s="7"/>
      <c r="AK221" s="7"/>
    </row>
    <row r="222" spans="1:37">
      <c r="A222" s="14"/>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c r="AD222" s="7"/>
      <c r="AE222" s="7"/>
      <c r="AF222" s="7"/>
      <c r="AG222" s="7"/>
      <c r="AH222" s="7"/>
      <c r="AI222" s="7"/>
      <c r="AJ222" s="7"/>
      <c r="AK222" s="7"/>
    </row>
    <row r="223" spans="1:37">
      <c r="A223" s="14"/>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c r="AD223" s="7"/>
      <c r="AE223" s="7"/>
      <c r="AF223" s="7"/>
      <c r="AG223" s="7"/>
      <c r="AH223" s="7"/>
      <c r="AI223" s="7"/>
      <c r="AJ223" s="7"/>
      <c r="AK223" s="7"/>
    </row>
    <row r="224" spans="1:37">
      <c r="A224" s="14"/>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c r="AD224" s="7"/>
      <c r="AE224" s="7"/>
      <c r="AF224" s="7"/>
      <c r="AG224" s="7"/>
      <c r="AH224" s="7"/>
      <c r="AI224" s="7"/>
      <c r="AJ224" s="7"/>
      <c r="AK224" s="7"/>
    </row>
    <row r="225" spans="1:37">
      <c r="A225" s="14"/>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c r="AD225" s="7"/>
      <c r="AE225" s="7"/>
      <c r="AF225" s="7"/>
      <c r="AG225" s="7"/>
      <c r="AH225" s="7"/>
      <c r="AI225" s="7"/>
      <c r="AJ225" s="7"/>
      <c r="AK225" s="7"/>
    </row>
    <row r="226" spans="1:37">
      <c r="A226" s="14"/>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c r="AD226" s="7"/>
      <c r="AE226" s="7"/>
      <c r="AF226" s="7"/>
      <c r="AG226" s="7"/>
      <c r="AH226" s="7"/>
      <c r="AI226" s="7"/>
      <c r="AJ226" s="7"/>
      <c r="AK226" s="7"/>
    </row>
    <row r="227" spans="1:37">
      <c r="A227" s="14"/>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c r="AD227" s="7"/>
      <c r="AE227" s="7"/>
      <c r="AF227" s="7"/>
      <c r="AG227" s="7"/>
      <c r="AH227" s="7"/>
      <c r="AI227" s="7"/>
      <c r="AJ227" s="7"/>
      <c r="AK227" s="7"/>
    </row>
    <row r="228" spans="1:37">
      <c r="A228" s="14"/>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c r="AD228" s="7"/>
      <c r="AE228" s="7"/>
      <c r="AF228" s="7"/>
      <c r="AG228" s="7"/>
      <c r="AH228" s="7"/>
      <c r="AI228" s="7"/>
      <c r="AJ228" s="7"/>
      <c r="AK228" s="7"/>
    </row>
    <row r="229" spans="1:37">
      <c r="A229" s="14"/>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c r="AD229" s="7"/>
      <c r="AE229" s="7"/>
      <c r="AF229" s="7"/>
      <c r="AG229" s="7"/>
      <c r="AH229" s="7"/>
      <c r="AI229" s="7"/>
      <c r="AJ229" s="7"/>
      <c r="AK229" s="7"/>
    </row>
  </sheetData>
  <mergeCells count="4">
    <mergeCell ref="P6:R6"/>
    <mergeCell ref="P7:Q7"/>
    <mergeCell ref="P8:Q8"/>
    <mergeCell ref="P9:Q9"/>
  </mergeCells>
  <conditionalFormatting sqref="B21 B24">
    <cfRule type="duplicateValues" dxfId="174" priority="11"/>
  </conditionalFormatting>
  <conditionalFormatting sqref="C21 C24">
    <cfRule type="duplicateValues" dxfId="173" priority="10"/>
  </conditionalFormatting>
  <conditionalFormatting sqref="D21 D24">
    <cfRule type="duplicateValues" dxfId="172" priority="9"/>
  </conditionalFormatting>
  <conditionalFormatting sqref="E21 E24">
    <cfRule type="duplicateValues" dxfId="171" priority="8"/>
  </conditionalFormatting>
  <conditionalFormatting sqref="F21 F24">
    <cfRule type="duplicateValues" dxfId="170" priority="7"/>
  </conditionalFormatting>
  <conditionalFormatting sqref="G21 G24">
    <cfRule type="duplicateValues" dxfId="169" priority="6"/>
  </conditionalFormatting>
  <conditionalFormatting sqref="H21 H24">
    <cfRule type="duplicateValues" dxfId="168" priority="5"/>
  </conditionalFormatting>
  <conditionalFormatting sqref="I21 I24">
    <cfRule type="duplicateValues" dxfId="167" priority="4"/>
  </conditionalFormatting>
  <conditionalFormatting sqref="J21 J24">
    <cfRule type="duplicateValues" dxfId="166" priority="3"/>
  </conditionalFormatting>
  <conditionalFormatting sqref="K21 K24">
    <cfRule type="duplicateValues" dxfId="165" priority="2"/>
  </conditionalFormatting>
  <conditionalFormatting sqref="L21 L24">
    <cfRule type="duplicateValues" dxfId="164"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_FORMAT">
                <anchor moveWithCells="1" sizeWithCells="1">
                  <from>
                    <xdr:col>9</xdr:col>
                    <xdr:colOff>114300</xdr:colOff>
                    <xdr:row>14</xdr:row>
                    <xdr:rowOff>104775</xdr:rowOff>
                  </from>
                  <to>
                    <xdr:col>12</xdr:col>
                    <xdr:colOff>361950</xdr:colOff>
                    <xdr:row>16</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C17" sqref="C17"/>
    </sheetView>
  </sheetViews>
  <sheetFormatPr defaultRowHeight="15"/>
  <cols>
    <col min="1" max="1" width="5.6640625" style="18" customWidth="1"/>
    <col min="2" max="2" width="7.6640625" style="18" customWidth="1"/>
    <col min="3" max="3" width="17.21875" style="18" customWidth="1"/>
    <col min="4" max="4" width="16.6640625" style="18" customWidth="1"/>
    <col min="5" max="7" width="5.6640625" style="18" customWidth="1"/>
    <col min="8" max="8" width="10.6640625" style="18" customWidth="1"/>
  </cols>
  <sheetData>
    <row r="1" spans="1:57" s="2" customFormat="1" ht="20.25" customHeight="1" thickBot="1">
      <c r="A1" s="22"/>
      <c r="B1" s="22"/>
      <c r="C1" s="58" t="s">
        <v>40</v>
      </c>
      <c r="D1" s="19"/>
      <c r="E1" s="19"/>
      <c r="F1" s="19"/>
      <c r="G1" s="19"/>
      <c r="H1" s="19"/>
    </row>
    <row r="2" spans="1:57" s="6" customFormat="1" ht="84" customHeight="1" thickBot="1">
      <c r="A2" s="50" t="s">
        <v>41</v>
      </c>
      <c r="B2" s="50" t="s">
        <v>42</v>
      </c>
      <c r="C2" s="51" t="s">
        <v>43</v>
      </c>
      <c r="D2" s="52" t="s">
        <v>44</v>
      </c>
      <c r="E2" s="53" t="s">
        <v>23</v>
      </c>
      <c r="F2" s="53" t="s">
        <v>19</v>
      </c>
      <c r="G2" s="54" t="s">
        <v>45</v>
      </c>
      <c r="H2" s="54" t="s">
        <v>46</v>
      </c>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pageSetUpPr fitToPage="1"/>
  </sheetPr>
  <dimension ref="A1:BW130"/>
  <sheetViews>
    <sheetView tabSelected="1" showWhiteSpace="0" zoomScale="60" zoomScaleNormal="60" workbookViewId="0">
      <pane ySplit="2" topLeftCell="A3" activePane="bottomLeft" state="frozen"/>
      <selection pane="bottomLeft" activeCell="G107" sqref="G107"/>
    </sheetView>
  </sheetViews>
  <sheetFormatPr defaultColWidth="8.88671875" defaultRowHeight="15"/>
  <cols>
    <col min="1" max="1" width="11.88671875" style="2" customWidth="1"/>
    <col min="2" max="2" width="7.77734375" style="18" customWidth="1"/>
    <col min="3" max="3" width="63.77734375" style="2" customWidth="1"/>
    <col min="4" max="4" width="38.77734375" style="2" customWidth="1"/>
    <col min="5" max="5" width="8.44140625" style="2" customWidth="1"/>
    <col min="6" max="6" width="8.6640625" style="2" customWidth="1"/>
    <col min="7" max="7" width="51.88671875" style="2" customWidth="1"/>
    <col min="8" max="8" width="14.77734375" style="17" customWidth="1"/>
    <col min="9" max="9" width="10.33203125" style="18" customWidth="1"/>
    <col min="10" max="10" width="10.33203125" style="2" customWidth="1"/>
    <col min="11" max="11" width="10.109375" style="2" customWidth="1"/>
    <col min="12" max="12" width="18.109375" style="2" customWidth="1"/>
    <col min="13" max="13" width="19.33203125" style="2" customWidth="1"/>
    <col min="14" max="14" width="9.109375" style="2" customWidth="1"/>
    <col min="15" max="15" width="7.5546875" style="65" customWidth="1"/>
    <col min="16" max="16384" width="8.88671875" style="2"/>
  </cols>
  <sheetData>
    <row r="1" spans="1:75" ht="16.5" thickBot="1">
      <c r="A1" s="21"/>
      <c r="B1" s="69" t="s">
        <v>47</v>
      </c>
      <c r="C1" s="56" t="s">
        <v>48</v>
      </c>
      <c r="D1" s="5"/>
      <c r="E1" s="5"/>
      <c r="F1" s="5"/>
      <c r="G1" s="5"/>
      <c r="H1" s="63"/>
      <c r="I1" s="19"/>
      <c r="J1" s="5"/>
      <c r="K1" s="5"/>
      <c r="L1" s="5"/>
    </row>
    <row r="2" spans="1:75" s="6" customFormat="1" ht="89.25" thickBot="1">
      <c r="A2" s="50" t="s">
        <v>41</v>
      </c>
      <c r="B2" s="50" t="s">
        <v>42</v>
      </c>
      <c r="C2" s="51" t="s">
        <v>43</v>
      </c>
      <c r="D2" s="52" t="s">
        <v>44</v>
      </c>
      <c r="E2" s="53" t="s">
        <v>23</v>
      </c>
      <c r="F2" s="53" t="s">
        <v>19</v>
      </c>
      <c r="G2" s="54" t="s">
        <v>45</v>
      </c>
      <c r="H2" s="64" t="s">
        <v>46</v>
      </c>
      <c r="I2" s="55" t="s">
        <v>49</v>
      </c>
      <c r="J2" s="55" t="s">
        <v>50</v>
      </c>
      <c r="K2" s="55" t="s">
        <v>51</v>
      </c>
      <c r="L2" s="55" t="s">
        <v>52</v>
      </c>
      <c r="M2" s="55" t="s">
        <v>53</v>
      </c>
      <c r="N2" s="55" t="s">
        <v>54</v>
      </c>
      <c r="O2" s="66" t="s">
        <v>55</v>
      </c>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row>
    <row r="3" spans="1:75" ht="31.5" thickTop="1" thickBot="1">
      <c r="A3" s="6"/>
      <c r="B3" s="92" t="s">
        <v>10</v>
      </c>
      <c r="C3" s="78" t="s">
        <v>56</v>
      </c>
      <c r="D3" s="78" t="s">
        <v>57</v>
      </c>
      <c r="E3" s="75" t="s">
        <v>11</v>
      </c>
      <c r="F3" s="75" t="s">
        <v>21</v>
      </c>
      <c r="G3" s="75" t="s">
        <v>58</v>
      </c>
      <c r="H3" s="76" t="s">
        <v>59</v>
      </c>
      <c r="I3" s="77" t="s">
        <v>60</v>
      </c>
      <c r="J3" s="77" t="s">
        <v>61</v>
      </c>
      <c r="K3" s="77">
        <v>0</v>
      </c>
      <c r="L3" s="77" t="s">
        <v>62</v>
      </c>
      <c r="M3" s="77" t="s">
        <v>63</v>
      </c>
      <c r="N3" s="78">
        <v>1</v>
      </c>
      <c r="O3" s="79">
        <v>5.2083333333333333E-4</v>
      </c>
    </row>
    <row r="4" spans="1:75" ht="35.1" customHeight="1" thickTop="1" thickBot="1">
      <c r="A4" s="6"/>
      <c r="B4" s="89" t="s">
        <v>10</v>
      </c>
      <c r="C4" s="74" t="s">
        <v>64</v>
      </c>
      <c r="D4" s="73" t="s">
        <v>65</v>
      </c>
      <c r="E4" s="70" t="s">
        <v>11</v>
      </c>
      <c r="F4" s="70" t="s">
        <v>21</v>
      </c>
      <c r="G4" s="70" t="s">
        <v>58</v>
      </c>
      <c r="H4" s="71" t="s">
        <v>59</v>
      </c>
      <c r="I4" s="77" t="s">
        <v>60</v>
      </c>
      <c r="J4" s="77" t="s">
        <v>61</v>
      </c>
      <c r="K4" s="77">
        <v>0</v>
      </c>
      <c r="L4" s="77" t="s">
        <v>66</v>
      </c>
      <c r="M4" s="77" t="s">
        <v>67</v>
      </c>
      <c r="N4" s="73">
        <v>1</v>
      </c>
      <c r="O4" s="80">
        <v>3.4722222222222224E-4</v>
      </c>
    </row>
    <row r="5" spans="1:75" ht="35.1" customHeight="1" thickTop="1" thickBot="1">
      <c r="A5" s="6"/>
      <c r="B5" s="89" t="s">
        <v>10</v>
      </c>
      <c r="C5" s="73" t="s">
        <v>68</v>
      </c>
      <c r="D5" s="73" t="s">
        <v>65</v>
      </c>
      <c r="E5" s="70" t="s">
        <v>11</v>
      </c>
      <c r="F5" s="70" t="s">
        <v>21</v>
      </c>
      <c r="G5" s="70" t="s">
        <v>58</v>
      </c>
      <c r="H5" s="71" t="s">
        <v>59</v>
      </c>
      <c r="I5" s="77" t="s">
        <v>60</v>
      </c>
      <c r="J5" s="77" t="s">
        <v>61</v>
      </c>
      <c r="K5" s="77">
        <v>0</v>
      </c>
      <c r="L5" s="77" t="s">
        <v>66</v>
      </c>
      <c r="M5" s="77" t="s">
        <v>67</v>
      </c>
      <c r="N5" s="73">
        <v>1</v>
      </c>
      <c r="O5" s="80">
        <v>3.4722222222222224E-4</v>
      </c>
    </row>
    <row r="6" spans="1:75" ht="35.1" customHeight="1" thickTop="1" thickBot="1">
      <c r="A6" s="6"/>
      <c r="B6" s="89" t="s">
        <v>10</v>
      </c>
      <c r="C6" s="73" t="s">
        <v>69</v>
      </c>
      <c r="D6" s="73" t="s">
        <v>70</v>
      </c>
      <c r="E6" s="70" t="s">
        <v>11</v>
      </c>
      <c r="F6" s="70" t="s">
        <v>21</v>
      </c>
      <c r="G6" s="70" t="s">
        <v>58</v>
      </c>
      <c r="H6" s="71" t="s">
        <v>59</v>
      </c>
      <c r="I6" s="77" t="s">
        <v>60</v>
      </c>
      <c r="J6" s="77" t="s">
        <v>61</v>
      </c>
      <c r="K6" s="77">
        <v>0</v>
      </c>
      <c r="L6" s="77" t="s">
        <v>66</v>
      </c>
      <c r="M6" s="77" t="s">
        <v>67</v>
      </c>
      <c r="N6" s="73">
        <v>1</v>
      </c>
      <c r="O6" s="80">
        <v>1.3888888888888889E-3</v>
      </c>
    </row>
    <row r="7" spans="1:75" ht="35.1" customHeight="1" thickTop="1" thickBot="1">
      <c r="A7" s="6"/>
      <c r="B7" s="89" t="s">
        <v>10</v>
      </c>
      <c r="C7" s="73" t="s">
        <v>71</v>
      </c>
      <c r="D7" s="73" t="s">
        <v>72</v>
      </c>
      <c r="E7" s="70" t="s">
        <v>11</v>
      </c>
      <c r="F7" s="70" t="s">
        <v>21</v>
      </c>
      <c r="G7" s="70" t="s">
        <v>58</v>
      </c>
      <c r="H7" s="71" t="s">
        <v>59</v>
      </c>
      <c r="I7" s="77" t="s">
        <v>60</v>
      </c>
      <c r="J7" s="77" t="s">
        <v>61</v>
      </c>
      <c r="K7" s="77">
        <v>0</v>
      </c>
      <c r="L7" s="77" t="s">
        <v>73</v>
      </c>
      <c r="M7" s="77" t="s">
        <v>74</v>
      </c>
      <c r="N7" s="73">
        <v>1</v>
      </c>
      <c r="O7" s="80">
        <v>1.2152777777777778E-3</v>
      </c>
    </row>
    <row r="8" spans="1:75" ht="35.1" customHeight="1" thickTop="1" thickBot="1">
      <c r="A8" s="6"/>
      <c r="B8" s="89" t="s">
        <v>10</v>
      </c>
      <c r="C8" s="73" t="s">
        <v>75</v>
      </c>
      <c r="D8" s="73" t="s">
        <v>76</v>
      </c>
      <c r="E8" s="70" t="s">
        <v>11</v>
      </c>
      <c r="F8" s="70" t="s">
        <v>21</v>
      </c>
      <c r="G8" s="70" t="s">
        <v>58</v>
      </c>
      <c r="H8" s="71" t="s">
        <v>59</v>
      </c>
      <c r="I8" s="77" t="s">
        <v>60</v>
      </c>
      <c r="J8" s="77" t="s">
        <v>61</v>
      </c>
      <c r="K8" s="77">
        <v>0</v>
      </c>
      <c r="L8" s="77" t="s">
        <v>73</v>
      </c>
      <c r="M8" s="77" t="s">
        <v>74</v>
      </c>
      <c r="N8" s="73">
        <v>1</v>
      </c>
      <c r="O8" s="80">
        <v>3.4722222222222224E-4</v>
      </c>
    </row>
    <row r="9" spans="1:75" ht="35.1" customHeight="1" thickTop="1" thickBot="1">
      <c r="A9" s="6"/>
      <c r="B9" s="89" t="s">
        <v>10</v>
      </c>
      <c r="C9" s="73" t="s">
        <v>77</v>
      </c>
      <c r="D9" s="73" t="s">
        <v>78</v>
      </c>
      <c r="E9" s="70" t="s">
        <v>11</v>
      </c>
      <c r="F9" s="70" t="s">
        <v>21</v>
      </c>
      <c r="G9" s="70" t="s">
        <v>58</v>
      </c>
      <c r="H9" s="71" t="s">
        <v>59</v>
      </c>
      <c r="I9" s="77" t="s">
        <v>60</v>
      </c>
      <c r="J9" s="77" t="s">
        <v>61</v>
      </c>
      <c r="K9" s="77">
        <v>0</v>
      </c>
      <c r="L9" s="77" t="s">
        <v>79</v>
      </c>
      <c r="M9" s="77" t="s">
        <v>63</v>
      </c>
      <c r="N9" s="73">
        <v>2</v>
      </c>
      <c r="O9" s="81">
        <v>3.4722222222222224E-4</v>
      </c>
    </row>
    <row r="10" spans="1:75" ht="35.1" customHeight="1" thickTop="1" thickBot="1">
      <c r="A10" s="6"/>
      <c r="B10" s="89" t="s">
        <v>10</v>
      </c>
      <c r="C10" s="73" t="s">
        <v>80</v>
      </c>
      <c r="D10" s="73" t="s">
        <v>81</v>
      </c>
      <c r="E10" s="70" t="s">
        <v>11</v>
      </c>
      <c r="F10" s="70" t="s">
        <v>21</v>
      </c>
      <c r="G10" s="70" t="s">
        <v>58</v>
      </c>
      <c r="H10" s="71" t="s">
        <v>59</v>
      </c>
      <c r="I10" s="77" t="s">
        <v>60</v>
      </c>
      <c r="J10" s="77" t="s">
        <v>61</v>
      </c>
      <c r="K10" s="77">
        <v>0</v>
      </c>
      <c r="L10" s="77" t="s">
        <v>82</v>
      </c>
      <c r="M10" s="77" t="s">
        <v>63</v>
      </c>
      <c r="N10" s="73">
        <v>1</v>
      </c>
      <c r="O10" s="80">
        <v>1.3888888888888889E-3</v>
      </c>
    </row>
    <row r="11" spans="1:75" ht="35.1" customHeight="1" thickTop="1" thickBot="1">
      <c r="A11" s="6"/>
      <c r="B11" s="89" t="s">
        <v>10</v>
      </c>
      <c r="C11" s="73" t="s">
        <v>83</v>
      </c>
      <c r="D11" s="73" t="s">
        <v>84</v>
      </c>
      <c r="E11" s="70" t="s">
        <v>11</v>
      </c>
      <c r="F11" s="70" t="s">
        <v>21</v>
      </c>
      <c r="G11" s="70" t="s">
        <v>58</v>
      </c>
      <c r="H11" s="71" t="s">
        <v>59</v>
      </c>
      <c r="I11" s="77" t="s">
        <v>60</v>
      </c>
      <c r="J11" s="77" t="s">
        <v>61</v>
      </c>
      <c r="K11" s="77">
        <v>0</v>
      </c>
      <c r="L11" s="77" t="s">
        <v>85</v>
      </c>
      <c r="M11" s="77" t="s">
        <v>63</v>
      </c>
      <c r="N11" s="73">
        <v>1</v>
      </c>
      <c r="O11" s="80">
        <v>3.4722222222222224E-4</v>
      </c>
    </row>
    <row r="12" spans="1:75" ht="35.1" customHeight="1" thickTop="1" thickBot="1">
      <c r="A12" s="6"/>
      <c r="B12" s="89" t="s">
        <v>10</v>
      </c>
      <c r="C12" s="73" t="s">
        <v>86</v>
      </c>
      <c r="D12" s="73" t="s">
        <v>87</v>
      </c>
      <c r="E12" s="70" t="s">
        <v>11</v>
      </c>
      <c r="F12" s="70" t="s">
        <v>21</v>
      </c>
      <c r="G12" s="70" t="s">
        <v>58</v>
      </c>
      <c r="H12" s="71" t="s">
        <v>59</v>
      </c>
      <c r="I12" s="77" t="s">
        <v>88</v>
      </c>
      <c r="J12" s="77" t="s">
        <v>61</v>
      </c>
      <c r="K12" s="77" t="s">
        <v>89</v>
      </c>
      <c r="L12" s="77" t="s">
        <v>90</v>
      </c>
      <c r="M12" s="77" t="s">
        <v>91</v>
      </c>
      <c r="N12" s="73">
        <v>1</v>
      </c>
      <c r="O12" s="80">
        <v>3.4722222222222224E-4</v>
      </c>
    </row>
    <row r="13" spans="1:75" ht="35.1" customHeight="1" thickTop="1" thickBot="1">
      <c r="A13" s="6"/>
      <c r="B13" s="89" t="s">
        <v>10</v>
      </c>
      <c r="C13" s="73" t="s">
        <v>92</v>
      </c>
      <c r="D13" s="73" t="s">
        <v>93</v>
      </c>
      <c r="E13" s="70" t="s">
        <v>11</v>
      </c>
      <c r="F13" s="70" t="s">
        <v>21</v>
      </c>
      <c r="G13" s="70" t="s">
        <v>58</v>
      </c>
      <c r="H13" s="71" t="s">
        <v>59</v>
      </c>
      <c r="I13" s="77" t="s">
        <v>60</v>
      </c>
      <c r="J13" s="77" t="s">
        <v>61</v>
      </c>
      <c r="K13" s="77">
        <v>0</v>
      </c>
      <c r="L13" s="77" t="s">
        <v>94</v>
      </c>
      <c r="M13" s="77" t="s">
        <v>63</v>
      </c>
      <c r="N13" s="73">
        <v>1</v>
      </c>
      <c r="O13" s="80">
        <v>1.3888888888888889E-3</v>
      </c>
    </row>
    <row r="14" spans="1:75" ht="35.1" customHeight="1" thickTop="1" thickBot="1">
      <c r="A14" s="6"/>
      <c r="B14" s="89" t="s">
        <v>10</v>
      </c>
      <c r="C14" s="73" t="s">
        <v>95</v>
      </c>
      <c r="D14" s="73" t="s">
        <v>96</v>
      </c>
      <c r="E14" s="70" t="s">
        <v>11</v>
      </c>
      <c r="F14" s="70" t="s">
        <v>21</v>
      </c>
      <c r="G14" s="70" t="s">
        <v>58</v>
      </c>
      <c r="H14" s="71" t="s">
        <v>59</v>
      </c>
      <c r="I14" s="77" t="s">
        <v>60</v>
      </c>
      <c r="J14" s="77" t="s">
        <v>61</v>
      </c>
      <c r="K14" s="77">
        <v>0</v>
      </c>
      <c r="L14" s="77" t="s">
        <v>94</v>
      </c>
      <c r="M14" s="77" t="s">
        <v>63</v>
      </c>
      <c r="N14" s="73">
        <v>1</v>
      </c>
      <c r="O14" s="80">
        <v>1.3888888888888889E-3</v>
      </c>
    </row>
    <row r="15" spans="1:75" ht="35.1" customHeight="1" thickTop="1" thickBot="1">
      <c r="A15" s="6"/>
      <c r="B15" s="89" t="s">
        <v>10</v>
      </c>
      <c r="C15" s="73" t="s">
        <v>97</v>
      </c>
      <c r="D15" s="73" t="s">
        <v>98</v>
      </c>
      <c r="E15" s="70" t="s">
        <v>11</v>
      </c>
      <c r="F15" s="70" t="s">
        <v>21</v>
      </c>
      <c r="G15" s="70" t="s">
        <v>58</v>
      </c>
      <c r="H15" s="71" t="s">
        <v>59</v>
      </c>
      <c r="I15" s="77" t="s">
        <v>60</v>
      </c>
      <c r="J15" s="77" t="s">
        <v>61</v>
      </c>
      <c r="K15" s="77">
        <v>0</v>
      </c>
      <c r="L15" s="77" t="s">
        <v>99</v>
      </c>
      <c r="M15" s="77" t="s">
        <v>63</v>
      </c>
      <c r="N15" s="73">
        <v>1</v>
      </c>
      <c r="O15" s="80">
        <v>5.2083333333333333E-4</v>
      </c>
    </row>
    <row r="16" spans="1:75" ht="35.1" customHeight="1" thickTop="1" thickBot="1">
      <c r="A16" s="6"/>
      <c r="B16" s="89" t="s">
        <v>10</v>
      </c>
      <c r="C16" s="73" t="s">
        <v>100</v>
      </c>
      <c r="D16" s="73" t="s">
        <v>101</v>
      </c>
      <c r="E16" s="70" t="s">
        <v>11</v>
      </c>
      <c r="F16" s="70" t="s">
        <v>21</v>
      </c>
      <c r="G16" s="70" t="s">
        <v>58</v>
      </c>
      <c r="H16" s="71" t="s">
        <v>59</v>
      </c>
      <c r="I16" s="77" t="s">
        <v>60</v>
      </c>
      <c r="J16" s="77" t="s">
        <v>61</v>
      </c>
      <c r="K16" s="77">
        <v>0</v>
      </c>
      <c r="L16" s="77" t="s">
        <v>99</v>
      </c>
      <c r="M16" s="77" t="s">
        <v>63</v>
      </c>
      <c r="N16" s="73">
        <v>1</v>
      </c>
      <c r="O16" s="80">
        <v>5.2083333333333333E-4</v>
      </c>
    </row>
    <row r="17" spans="1:15" ht="35.1" customHeight="1" thickTop="1" thickBot="1">
      <c r="A17" s="6"/>
      <c r="B17" s="89" t="s">
        <v>10</v>
      </c>
      <c r="C17" s="73" t="s">
        <v>102</v>
      </c>
      <c r="D17" s="73" t="s">
        <v>103</v>
      </c>
      <c r="E17" s="70" t="s">
        <v>11</v>
      </c>
      <c r="F17" s="70" t="s">
        <v>21</v>
      </c>
      <c r="G17" s="70" t="s">
        <v>58</v>
      </c>
      <c r="H17" s="71" t="s">
        <v>59</v>
      </c>
      <c r="I17" s="77" t="s">
        <v>60</v>
      </c>
      <c r="J17" s="77" t="s">
        <v>61</v>
      </c>
      <c r="K17" s="77">
        <v>0</v>
      </c>
      <c r="L17" s="77" t="s">
        <v>99</v>
      </c>
      <c r="M17" s="77" t="s">
        <v>63</v>
      </c>
      <c r="N17" s="73">
        <v>1</v>
      </c>
      <c r="O17" s="80">
        <v>3.4722222222222224E-4</v>
      </c>
    </row>
    <row r="18" spans="1:15" ht="35.1" customHeight="1" thickTop="1" thickBot="1">
      <c r="A18" s="6"/>
      <c r="B18" s="89" t="s">
        <v>10</v>
      </c>
      <c r="C18" s="73" t="s">
        <v>104</v>
      </c>
      <c r="D18" s="73" t="s">
        <v>105</v>
      </c>
      <c r="E18" s="70" t="s">
        <v>11</v>
      </c>
      <c r="F18" s="70" t="s">
        <v>21</v>
      </c>
      <c r="G18" s="70" t="s">
        <v>58</v>
      </c>
      <c r="H18" s="71" t="s">
        <v>59</v>
      </c>
      <c r="I18" s="77" t="s">
        <v>88</v>
      </c>
      <c r="J18" s="77" t="s">
        <v>61</v>
      </c>
      <c r="K18" s="77">
        <v>0</v>
      </c>
      <c r="L18" s="77" t="s">
        <v>106</v>
      </c>
      <c r="M18" s="77" t="s">
        <v>107</v>
      </c>
      <c r="N18" s="73">
        <v>1</v>
      </c>
      <c r="O18" s="81">
        <v>6.9444444444444447E-4</v>
      </c>
    </row>
    <row r="19" spans="1:15" ht="35.1" customHeight="1" thickTop="1" thickBot="1">
      <c r="A19" s="187"/>
      <c r="B19" s="89" t="s">
        <v>10</v>
      </c>
      <c r="C19" s="73" t="s">
        <v>108</v>
      </c>
      <c r="D19" s="73" t="s">
        <v>109</v>
      </c>
      <c r="E19" s="70" t="s">
        <v>11</v>
      </c>
      <c r="F19" s="70" t="s">
        <v>21</v>
      </c>
      <c r="G19" s="70" t="s">
        <v>58</v>
      </c>
      <c r="H19" s="71" t="s">
        <v>59</v>
      </c>
      <c r="I19" s="77" t="s">
        <v>88</v>
      </c>
      <c r="J19" s="77" t="s">
        <v>61</v>
      </c>
      <c r="K19" s="77">
        <v>0</v>
      </c>
      <c r="L19" s="77" t="s">
        <v>110</v>
      </c>
      <c r="M19" s="77" t="s">
        <v>107</v>
      </c>
      <c r="N19" s="73">
        <v>1</v>
      </c>
      <c r="O19" s="81">
        <v>6.9444444444444447E-4</v>
      </c>
    </row>
    <row r="20" spans="1:15" ht="35.1" customHeight="1" thickTop="1" thickBot="1">
      <c r="A20" s="6"/>
      <c r="B20" s="89" t="s">
        <v>10</v>
      </c>
      <c r="C20" s="73" t="s">
        <v>111</v>
      </c>
      <c r="D20" s="73" t="s">
        <v>112</v>
      </c>
      <c r="E20" s="70" t="s">
        <v>11</v>
      </c>
      <c r="F20" s="70" t="s">
        <v>21</v>
      </c>
      <c r="G20" s="70" t="s">
        <v>58</v>
      </c>
      <c r="H20" s="71" t="s">
        <v>59</v>
      </c>
      <c r="I20" s="77" t="s">
        <v>60</v>
      </c>
      <c r="J20" s="77" t="s">
        <v>61</v>
      </c>
      <c r="K20" s="77">
        <v>0</v>
      </c>
      <c r="L20" s="77">
        <v>0</v>
      </c>
      <c r="M20" s="77" t="s">
        <v>63</v>
      </c>
      <c r="N20" s="73">
        <v>2</v>
      </c>
      <c r="O20" s="80">
        <v>5.2083333333333333E-4</v>
      </c>
    </row>
    <row r="21" spans="1:15" ht="35.1" customHeight="1" thickTop="1" thickBot="1">
      <c r="A21" s="6"/>
      <c r="B21" s="89" t="s">
        <v>10</v>
      </c>
      <c r="C21" s="73" t="s">
        <v>113</v>
      </c>
      <c r="D21" s="73" t="s">
        <v>114</v>
      </c>
      <c r="E21" s="70" t="s">
        <v>11</v>
      </c>
      <c r="F21" s="70" t="s">
        <v>21</v>
      </c>
      <c r="G21" s="70" t="s">
        <v>58</v>
      </c>
      <c r="H21" s="71" t="s">
        <v>59</v>
      </c>
      <c r="I21" s="77" t="s">
        <v>88</v>
      </c>
      <c r="J21" s="77" t="s">
        <v>61</v>
      </c>
      <c r="K21" s="77">
        <v>0</v>
      </c>
      <c r="L21" s="77" t="s">
        <v>115</v>
      </c>
      <c r="M21" s="77" t="s">
        <v>107</v>
      </c>
      <c r="N21" s="73">
        <v>2</v>
      </c>
      <c r="O21" s="80">
        <v>45.000520833333333</v>
      </c>
    </row>
    <row r="22" spans="1:15" ht="35.1" customHeight="1" thickTop="1" thickBot="1">
      <c r="A22" s="188"/>
      <c r="B22" s="89" t="s">
        <v>10</v>
      </c>
      <c r="C22" s="73" t="s">
        <v>116</v>
      </c>
      <c r="D22" s="73" t="s">
        <v>117</v>
      </c>
      <c r="E22" s="70" t="s">
        <v>11</v>
      </c>
      <c r="F22" s="70" t="s">
        <v>21</v>
      </c>
      <c r="G22" s="70" t="s">
        <v>58</v>
      </c>
      <c r="H22" s="71" t="s">
        <v>59</v>
      </c>
      <c r="I22" s="77" t="s">
        <v>88</v>
      </c>
      <c r="J22" s="77" t="s">
        <v>61</v>
      </c>
      <c r="K22" s="77">
        <v>0</v>
      </c>
      <c r="L22" s="77" t="s">
        <v>118</v>
      </c>
      <c r="M22" s="77" t="s">
        <v>107</v>
      </c>
      <c r="N22" s="73">
        <v>2</v>
      </c>
      <c r="O22" s="80">
        <v>45.042187499999997</v>
      </c>
    </row>
    <row r="23" spans="1:15" ht="35.1" customHeight="1" thickTop="1" thickBot="1">
      <c r="A23" s="6"/>
      <c r="B23" s="89" t="s">
        <v>10</v>
      </c>
      <c r="C23" s="73" t="s">
        <v>119</v>
      </c>
      <c r="D23" s="73" t="s">
        <v>120</v>
      </c>
      <c r="E23" s="72" t="s">
        <v>11</v>
      </c>
      <c r="F23" s="72" t="s">
        <v>21</v>
      </c>
      <c r="G23" s="72" t="s">
        <v>121</v>
      </c>
      <c r="H23" s="90" t="s">
        <v>59</v>
      </c>
      <c r="I23" s="77" t="s">
        <v>88</v>
      </c>
      <c r="J23" s="77" t="s">
        <v>61</v>
      </c>
      <c r="K23" s="77">
        <v>0</v>
      </c>
      <c r="L23" s="77" t="s">
        <v>122</v>
      </c>
      <c r="M23" s="77" t="s">
        <v>123</v>
      </c>
      <c r="N23" s="73">
        <v>1</v>
      </c>
      <c r="O23" s="80">
        <v>5.2083333333333333E-4</v>
      </c>
    </row>
    <row r="24" spans="1:15" ht="35.1" customHeight="1" thickTop="1" thickBot="1">
      <c r="A24" s="6"/>
      <c r="B24" s="89" t="s">
        <v>10</v>
      </c>
      <c r="C24" s="73" t="s">
        <v>124</v>
      </c>
      <c r="D24" s="73" t="s">
        <v>125</v>
      </c>
      <c r="E24" s="72" t="s">
        <v>11</v>
      </c>
      <c r="F24" s="72" t="s">
        <v>21</v>
      </c>
      <c r="G24" s="72" t="s">
        <v>121</v>
      </c>
      <c r="H24" s="90" t="s">
        <v>59</v>
      </c>
      <c r="I24" s="77" t="s">
        <v>88</v>
      </c>
      <c r="J24" s="77" t="s">
        <v>61</v>
      </c>
      <c r="K24" s="77">
        <v>0</v>
      </c>
      <c r="L24" s="77" t="s">
        <v>126</v>
      </c>
      <c r="M24" s="77" t="s">
        <v>123</v>
      </c>
      <c r="N24" s="73">
        <v>2</v>
      </c>
      <c r="O24" s="80">
        <v>6.9444444444444447E-4</v>
      </c>
    </row>
    <row r="25" spans="1:15" ht="35.1" customHeight="1" thickTop="1" thickBot="1">
      <c r="A25" s="6"/>
      <c r="B25" s="91" t="s">
        <v>10</v>
      </c>
      <c r="C25" s="84" t="s">
        <v>127</v>
      </c>
      <c r="D25" s="84" t="s">
        <v>128</v>
      </c>
      <c r="E25" s="82" t="s">
        <v>11</v>
      </c>
      <c r="F25" s="82" t="s">
        <v>21</v>
      </c>
      <c r="G25" s="82" t="s">
        <v>58</v>
      </c>
      <c r="H25" s="83" t="s">
        <v>59</v>
      </c>
      <c r="I25" s="77" t="s">
        <v>88</v>
      </c>
      <c r="J25" s="77" t="s">
        <v>61</v>
      </c>
      <c r="K25" s="77">
        <v>0</v>
      </c>
      <c r="L25" s="77">
        <v>0</v>
      </c>
      <c r="M25" s="77" t="s">
        <v>107</v>
      </c>
      <c r="N25" s="84"/>
      <c r="O25" s="85"/>
    </row>
    <row r="26" spans="1:15" ht="35.1" customHeight="1" thickTop="1" thickBot="1">
      <c r="A26" s="6"/>
      <c r="B26" s="92" t="s">
        <v>13</v>
      </c>
      <c r="C26" s="78" t="s">
        <v>129</v>
      </c>
      <c r="D26" s="78" t="s">
        <v>130</v>
      </c>
      <c r="E26" s="75" t="s">
        <v>11</v>
      </c>
      <c r="F26" s="75" t="s">
        <v>21</v>
      </c>
      <c r="G26" s="75" t="s">
        <v>131</v>
      </c>
      <c r="H26" s="76">
        <v>45392</v>
      </c>
      <c r="I26" s="77" t="s">
        <v>132</v>
      </c>
      <c r="J26" s="77" t="s">
        <v>133</v>
      </c>
      <c r="K26" s="77">
        <v>0</v>
      </c>
      <c r="L26" s="77" t="s">
        <v>134</v>
      </c>
      <c r="M26" s="77" t="s">
        <v>107</v>
      </c>
      <c r="N26" s="78">
        <v>4</v>
      </c>
      <c r="O26" s="79">
        <v>1.736111111111111E-3</v>
      </c>
    </row>
    <row r="27" spans="1:15" ht="35.1" customHeight="1" thickTop="1" thickBot="1">
      <c r="A27" s="6"/>
      <c r="B27" s="89" t="s">
        <v>13</v>
      </c>
      <c r="C27" s="73" t="s">
        <v>135</v>
      </c>
      <c r="D27" s="73" t="s">
        <v>136</v>
      </c>
      <c r="E27" s="70" t="s">
        <v>11</v>
      </c>
      <c r="F27" s="70" t="s">
        <v>21</v>
      </c>
      <c r="G27" s="70" t="s">
        <v>137</v>
      </c>
      <c r="H27" s="71">
        <v>45397</v>
      </c>
      <c r="I27" s="77" t="s">
        <v>132</v>
      </c>
      <c r="J27" s="77" t="s">
        <v>133</v>
      </c>
      <c r="K27" s="77">
        <v>0</v>
      </c>
      <c r="L27" s="77" t="s">
        <v>134</v>
      </c>
      <c r="M27" s="77" t="s">
        <v>107</v>
      </c>
      <c r="N27" s="73">
        <v>4</v>
      </c>
      <c r="O27" s="80">
        <v>1.736111111111111E-3</v>
      </c>
    </row>
    <row r="28" spans="1:15" ht="35.1" customHeight="1" thickTop="1" thickBot="1">
      <c r="A28" s="6"/>
      <c r="B28" s="89" t="s">
        <v>13</v>
      </c>
      <c r="C28" s="73" t="s">
        <v>138</v>
      </c>
      <c r="D28" s="73" t="s">
        <v>139</v>
      </c>
      <c r="E28" s="70" t="s">
        <v>11</v>
      </c>
      <c r="F28" s="70" t="s">
        <v>21</v>
      </c>
      <c r="G28" s="70" t="s">
        <v>137</v>
      </c>
      <c r="H28" s="71">
        <v>45389</v>
      </c>
      <c r="I28" s="77" t="s">
        <v>132</v>
      </c>
      <c r="J28" s="77" t="s">
        <v>133</v>
      </c>
      <c r="K28" s="77">
        <v>0</v>
      </c>
      <c r="L28" s="77" t="s">
        <v>134</v>
      </c>
      <c r="M28" s="77" t="s">
        <v>107</v>
      </c>
      <c r="N28" s="73">
        <v>4</v>
      </c>
      <c r="O28" s="80">
        <v>1.736111111111111E-3</v>
      </c>
    </row>
    <row r="29" spans="1:15" ht="35.1" customHeight="1" thickTop="1" thickBot="1">
      <c r="A29" s="6"/>
      <c r="B29" s="89" t="s">
        <v>13</v>
      </c>
      <c r="C29" s="73" t="s">
        <v>140</v>
      </c>
      <c r="D29" s="73" t="s">
        <v>141</v>
      </c>
      <c r="E29" s="70" t="s">
        <v>11</v>
      </c>
      <c r="F29" s="70" t="s">
        <v>21</v>
      </c>
      <c r="G29" s="70" t="s">
        <v>142</v>
      </c>
      <c r="H29" s="71">
        <v>45398</v>
      </c>
      <c r="I29" s="77" t="s">
        <v>132</v>
      </c>
      <c r="J29" s="77" t="s">
        <v>133</v>
      </c>
      <c r="K29" s="77">
        <v>0</v>
      </c>
      <c r="L29" s="77" t="s">
        <v>134</v>
      </c>
      <c r="M29" s="77" t="s">
        <v>107</v>
      </c>
      <c r="N29" s="73">
        <v>4</v>
      </c>
      <c r="O29" s="80">
        <v>1.736111111111111E-3</v>
      </c>
    </row>
    <row r="30" spans="1:15" ht="35.1" customHeight="1" thickTop="1" thickBot="1">
      <c r="A30" s="6"/>
      <c r="B30" s="89" t="s">
        <v>13</v>
      </c>
      <c r="C30" s="73" t="s">
        <v>143</v>
      </c>
      <c r="D30" s="73" t="s">
        <v>144</v>
      </c>
      <c r="E30" s="70" t="s">
        <v>11</v>
      </c>
      <c r="F30" s="70" t="s">
        <v>21</v>
      </c>
      <c r="G30" s="70" t="s">
        <v>145</v>
      </c>
      <c r="H30" s="71">
        <v>45394</v>
      </c>
      <c r="I30" s="77" t="s">
        <v>132</v>
      </c>
      <c r="J30" s="77" t="s">
        <v>61</v>
      </c>
      <c r="K30" s="77">
        <v>0</v>
      </c>
      <c r="L30" s="77" t="s">
        <v>146</v>
      </c>
      <c r="M30" s="77" t="s">
        <v>147</v>
      </c>
      <c r="N30" s="73">
        <v>2</v>
      </c>
      <c r="O30" s="80">
        <v>5.2083333333333333E-4</v>
      </c>
    </row>
    <row r="31" spans="1:15" ht="35.1" customHeight="1" thickTop="1" thickBot="1">
      <c r="A31" s="6"/>
      <c r="B31" s="89" t="s">
        <v>13</v>
      </c>
      <c r="C31" s="73" t="s">
        <v>148</v>
      </c>
      <c r="D31" s="73" t="s">
        <v>144</v>
      </c>
      <c r="E31" s="70" t="s">
        <v>11</v>
      </c>
      <c r="F31" s="70" t="s">
        <v>21</v>
      </c>
      <c r="G31" s="70" t="s">
        <v>145</v>
      </c>
      <c r="H31" s="71">
        <v>45394</v>
      </c>
      <c r="I31" s="77" t="s">
        <v>132</v>
      </c>
      <c r="J31" s="77" t="s">
        <v>61</v>
      </c>
      <c r="K31" s="77">
        <v>0</v>
      </c>
      <c r="L31" s="77" t="s">
        <v>146</v>
      </c>
      <c r="M31" s="77" t="s">
        <v>147</v>
      </c>
      <c r="N31" s="73">
        <v>2</v>
      </c>
      <c r="O31" s="80">
        <v>5.2083333333333333E-4</v>
      </c>
    </row>
    <row r="32" spans="1:15" ht="35.1" customHeight="1" thickTop="1" thickBot="1">
      <c r="A32" s="6"/>
      <c r="B32" s="89" t="s">
        <v>13</v>
      </c>
      <c r="C32" s="73" t="s">
        <v>149</v>
      </c>
      <c r="D32" s="73" t="s">
        <v>150</v>
      </c>
      <c r="E32" s="70" t="s">
        <v>11</v>
      </c>
      <c r="F32" s="70" t="s">
        <v>21</v>
      </c>
      <c r="G32" s="70" t="s">
        <v>151</v>
      </c>
      <c r="H32" s="71">
        <v>45390</v>
      </c>
      <c r="I32" s="77" t="s">
        <v>132</v>
      </c>
      <c r="J32" s="77" t="s">
        <v>61</v>
      </c>
      <c r="K32" s="77">
        <v>0</v>
      </c>
      <c r="L32" s="77" t="s">
        <v>152</v>
      </c>
      <c r="M32" s="77" t="s">
        <v>147</v>
      </c>
      <c r="N32" s="73">
        <v>1</v>
      </c>
      <c r="O32" s="80">
        <v>2.3148148148148146E-4</v>
      </c>
    </row>
    <row r="33" spans="1:15" ht="35.1" customHeight="1" thickTop="1" thickBot="1">
      <c r="A33" s="6"/>
      <c r="B33" s="89" t="s">
        <v>13</v>
      </c>
      <c r="C33" s="73" t="s">
        <v>153</v>
      </c>
      <c r="D33" s="73" t="s">
        <v>154</v>
      </c>
      <c r="E33" s="70" t="s">
        <v>11</v>
      </c>
      <c r="F33" s="70" t="s">
        <v>21</v>
      </c>
      <c r="G33" s="70" t="s">
        <v>155</v>
      </c>
      <c r="H33" s="71">
        <v>45394</v>
      </c>
      <c r="I33" s="77" t="s">
        <v>132</v>
      </c>
      <c r="J33" s="77" t="s">
        <v>61</v>
      </c>
      <c r="K33" s="77">
        <v>0</v>
      </c>
      <c r="L33" s="77" t="s">
        <v>156</v>
      </c>
      <c r="M33" s="77" t="s">
        <v>147</v>
      </c>
      <c r="N33" s="73">
        <v>2</v>
      </c>
      <c r="O33" s="80">
        <v>2.3148148148148146E-4</v>
      </c>
    </row>
    <row r="34" spans="1:15" ht="35.1" customHeight="1" thickTop="1" thickBot="1">
      <c r="A34" s="6"/>
      <c r="B34" s="89" t="s">
        <v>13</v>
      </c>
      <c r="C34" s="73" t="s">
        <v>157</v>
      </c>
      <c r="D34" s="73" t="s">
        <v>158</v>
      </c>
      <c r="E34" s="70" t="s">
        <v>11</v>
      </c>
      <c r="F34" s="70" t="s">
        <v>21</v>
      </c>
      <c r="G34" s="70" t="s">
        <v>159</v>
      </c>
      <c r="H34" s="71">
        <v>45395</v>
      </c>
      <c r="I34" s="77" t="s">
        <v>132</v>
      </c>
      <c r="J34" s="77" t="s">
        <v>61</v>
      </c>
      <c r="K34" s="77">
        <v>0</v>
      </c>
      <c r="L34" s="77" t="s">
        <v>160</v>
      </c>
      <c r="M34" s="77" t="s">
        <v>147</v>
      </c>
      <c r="N34" s="73">
        <v>2</v>
      </c>
      <c r="O34" s="80">
        <v>3.4722222222222224E-4</v>
      </c>
    </row>
    <row r="35" spans="1:15" ht="35.1" customHeight="1" thickTop="1" thickBot="1">
      <c r="A35" s="6"/>
      <c r="B35" s="89" t="s">
        <v>13</v>
      </c>
      <c r="C35" s="73" t="s">
        <v>161</v>
      </c>
      <c r="D35" s="73" t="s">
        <v>162</v>
      </c>
      <c r="E35" s="70" t="s">
        <v>11</v>
      </c>
      <c r="F35" s="70" t="s">
        <v>21</v>
      </c>
      <c r="G35" s="70" t="s">
        <v>137</v>
      </c>
      <c r="H35" s="71">
        <v>45397</v>
      </c>
      <c r="I35" s="77" t="s">
        <v>60</v>
      </c>
      <c r="J35" s="77" t="s">
        <v>133</v>
      </c>
      <c r="K35" s="77">
        <v>0</v>
      </c>
      <c r="L35" s="77" t="s">
        <v>163</v>
      </c>
      <c r="M35" s="77" t="s">
        <v>164</v>
      </c>
      <c r="N35" s="73">
        <v>2</v>
      </c>
      <c r="O35" s="80">
        <v>4.6296296296296293E-4</v>
      </c>
    </row>
    <row r="36" spans="1:15" ht="35.1" customHeight="1" thickTop="1" thickBot="1">
      <c r="A36" s="6"/>
      <c r="B36" s="89" t="s">
        <v>13</v>
      </c>
      <c r="C36" s="73" t="s">
        <v>165</v>
      </c>
      <c r="D36" s="73" t="s">
        <v>166</v>
      </c>
      <c r="E36" s="70" t="s">
        <v>11</v>
      </c>
      <c r="F36" s="70" t="s">
        <v>21</v>
      </c>
      <c r="G36" s="70" t="s">
        <v>137</v>
      </c>
      <c r="H36" s="71">
        <v>45397</v>
      </c>
      <c r="I36" s="77" t="s">
        <v>60</v>
      </c>
      <c r="J36" s="77" t="s">
        <v>133</v>
      </c>
      <c r="K36" s="77">
        <v>0</v>
      </c>
      <c r="L36" s="77" t="s">
        <v>163</v>
      </c>
      <c r="M36" s="77" t="s">
        <v>164</v>
      </c>
      <c r="N36" s="73">
        <v>2</v>
      </c>
      <c r="O36" s="80">
        <v>4.6296296296296293E-4</v>
      </c>
    </row>
    <row r="37" spans="1:15" ht="35.1" customHeight="1" thickTop="1" thickBot="1">
      <c r="A37" s="6"/>
      <c r="B37" s="89" t="s">
        <v>13</v>
      </c>
      <c r="C37" s="73" t="s">
        <v>167</v>
      </c>
      <c r="D37" s="73" t="s">
        <v>168</v>
      </c>
      <c r="E37" s="70" t="s">
        <v>11</v>
      </c>
      <c r="F37" s="70" t="s">
        <v>21</v>
      </c>
      <c r="G37" s="139" t="s">
        <v>137</v>
      </c>
      <c r="H37" s="71">
        <v>45397</v>
      </c>
      <c r="I37" s="77" t="s">
        <v>60</v>
      </c>
      <c r="J37" s="77" t="s">
        <v>133</v>
      </c>
      <c r="K37" s="77">
        <v>0</v>
      </c>
      <c r="L37" s="77" t="s">
        <v>169</v>
      </c>
      <c r="M37" s="77" t="s">
        <v>164</v>
      </c>
      <c r="N37" s="73">
        <v>1</v>
      </c>
      <c r="O37" s="80">
        <v>4.6296296296296293E-4</v>
      </c>
    </row>
    <row r="38" spans="1:15" ht="35.1" customHeight="1" thickTop="1" thickBot="1">
      <c r="A38" s="6"/>
      <c r="B38" s="89" t="s">
        <v>13</v>
      </c>
      <c r="C38" s="73" t="s">
        <v>170</v>
      </c>
      <c r="D38" s="73" t="s">
        <v>171</v>
      </c>
      <c r="E38" s="70" t="s">
        <v>11</v>
      </c>
      <c r="F38" s="70" t="s">
        <v>21</v>
      </c>
      <c r="G38" s="139" t="s">
        <v>137</v>
      </c>
      <c r="H38" s="71">
        <v>45397</v>
      </c>
      <c r="I38" s="77" t="s">
        <v>60</v>
      </c>
      <c r="J38" s="77" t="s">
        <v>133</v>
      </c>
      <c r="K38" s="77">
        <v>0</v>
      </c>
      <c r="L38" s="77" t="s">
        <v>169</v>
      </c>
      <c r="M38" s="77" t="s">
        <v>164</v>
      </c>
      <c r="N38" s="73">
        <v>1</v>
      </c>
      <c r="O38" s="80">
        <v>4.6296296296296293E-4</v>
      </c>
    </row>
    <row r="39" spans="1:15" ht="35.1" customHeight="1" thickTop="1" thickBot="1">
      <c r="A39" s="6"/>
      <c r="B39" s="89" t="s">
        <v>13</v>
      </c>
      <c r="C39" s="73" t="s">
        <v>172</v>
      </c>
      <c r="D39" s="73" t="s">
        <v>173</v>
      </c>
      <c r="E39" s="70" t="s">
        <v>11</v>
      </c>
      <c r="F39" s="70" t="s">
        <v>21</v>
      </c>
      <c r="G39" s="70" t="s">
        <v>137</v>
      </c>
      <c r="H39" s="71">
        <v>45397</v>
      </c>
      <c r="I39" s="77" t="s">
        <v>60</v>
      </c>
      <c r="J39" s="77" t="s">
        <v>133</v>
      </c>
      <c r="K39" s="77">
        <v>0</v>
      </c>
      <c r="L39" s="77" t="s">
        <v>169</v>
      </c>
      <c r="M39" s="77" t="s">
        <v>164</v>
      </c>
      <c r="N39" s="73">
        <v>1</v>
      </c>
      <c r="O39" s="80">
        <v>4.6296296296296293E-4</v>
      </c>
    </row>
    <row r="40" spans="1:15" ht="35.1" customHeight="1" thickTop="1" thickBot="1">
      <c r="A40" s="187"/>
      <c r="B40" s="89" t="s">
        <v>13</v>
      </c>
      <c r="C40" s="73" t="s">
        <v>174</v>
      </c>
      <c r="D40" s="73" t="s">
        <v>162</v>
      </c>
      <c r="E40" s="70" t="s">
        <v>11</v>
      </c>
      <c r="F40" s="70" t="s">
        <v>21</v>
      </c>
      <c r="G40" s="70" t="s">
        <v>137</v>
      </c>
      <c r="H40" s="71">
        <v>45397</v>
      </c>
      <c r="I40" s="77" t="s">
        <v>60</v>
      </c>
      <c r="J40" s="77" t="s">
        <v>133</v>
      </c>
      <c r="K40" s="77">
        <v>0</v>
      </c>
      <c r="L40" s="77" t="s">
        <v>163</v>
      </c>
      <c r="M40" s="77" t="s">
        <v>164</v>
      </c>
      <c r="N40" s="73">
        <v>2</v>
      </c>
      <c r="O40" s="80">
        <v>4.6296296296296293E-4</v>
      </c>
    </row>
    <row r="41" spans="1:15" ht="35.1" customHeight="1" thickTop="1" thickBot="1">
      <c r="A41" s="6"/>
      <c r="B41" s="89" t="s">
        <v>13</v>
      </c>
      <c r="C41" s="73" t="s">
        <v>175</v>
      </c>
      <c r="D41" s="73" t="s">
        <v>166</v>
      </c>
      <c r="E41" s="70" t="s">
        <v>11</v>
      </c>
      <c r="F41" s="70" t="s">
        <v>21</v>
      </c>
      <c r="G41" s="70" t="s">
        <v>137</v>
      </c>
      <c r="H41" s="71">
        <v>45397</v>
      </c>
      <c r="I41" s="77" t="s">
        <v>60</v>
      </c>
      <c r="J41" s="77" t="s">
        <v>133</v>
      </c>
      <c r="K41" s="77">
        <v>0</v>
      </c>
      <c r="L41" s="77" t="s">
        <v>163</v>
      </c>
      <c r="M41" s="77" t="s">
        <v>164</v>
      </c>
      <c r="N41" s="73">
        <v>2</v>
      </c>
      <c r="O41" s="80">
        <v>4.6296296296296293E-4</v>
      </c>
    </row>
    <row r="42" spans="1:15" ht="35.1" customHeight="1" thickTop="1" thickBot="1">
      <c r="A42" s="6"/>
      <c r="B42" s="89" t="s">
        <v>13</v>
      </c>
      <c r="C42" s="73" t="s">
        <v>176</v>
      </c>
      <c r="D42" s="73" t="s">
        <v>177</v>
      </c>
      <c r="E42" s="70" t="s">
        <v>11</v>
      </c>
      <c r="F42" s="70" t="s">
        <v>21</v>
      </c>
      <c r="G42" s="70" t="s">
        <v>178</v>
      </c>
      <c r="H42" s="71">
        <v>45397</v>
      </c>
      <c r="I42" s="77" t="s">
        <v>88</v>
      </c>
      <c r="J42" s="77" t="s">
        <v>61</v>
      </c>
      <c r="K42" s="77">
        <v>0</v>
      </c>
      <c r="L42" s="77" t="s">
        <v>179</v>
      </c>
      <c r="M42" s="77" t="s">
        <v>107</v>
      </c>
      <c r="N42" s="73">
        <v>1</v>
      </c>
      <c r="O42" s="80">
        <v>6.9444444444444447E-4</v>
      </c>
    </row>
    <row r="43" spans="1:15" ht="35.1" customHeight="1">
      <c r="A43" s="110"/>
      <c r="B43" s="111" t="s">
        <v>13</v>
      </c>
      <c r="C43" s="112" t="s">
        <v>180</v>
      </c>
      <c r="D43" s="112" t="s">
        <v>181</v>
      </c>
      <c r="E43" s="113"/>
      <c r="F43" s="113"/>
      <c r="G43" s="113"/>
      <c r="H43" s="114"/>
      <c r="I43" s="77" t="s">
        <v>60</v>
      </c>
      <c r="J43" s="77" t="s">
        <v>61</v>
      </c>
      <c r="K43" s="77">
        <v>0</v>
      </c>
      <c r="L43" s="77" t="s">
        <v>182</v>
      </c>
      <c r="M43" s="77" t="s">
        <v>147</v>
      </c>
      <c r="N43" s="112">
        <v>2</v>
      </c>
      <c r="O43" s="116">
        <v>6.9444444444444447E-4</v>
      </c>
    </row>
    <row r="44" spans="1:15" ht="35.1" customHeight="1">
      <c r="A44" s="6"/>
      <c r="B44" s="92" t="s">
        <v>16</v>
      </c>
      <c r="C44" s="78" t="s">
        <v>183</v>
      </c>
      <c r="D44" s="78" t="s">
        <v>184</v>
      </c>
      <c r="E44" s="70" t="s">
        <v>11</v>
      </c>
      <c r="F44" s="75" t="s">
        <v>21</v>
      </c>
      <c r="G44" s="75" t="s">
        <v>185</v>
      </c>
      <c r="H44" s="76">
        <v>45390</v>
      </c>
      <c r="I44" s="77" t="s">
        <v>132</v>
      </c>
      <c r="J44" s="77" t="s">
        <v>61</v>
      </c>
      <c r="K44" s="77">
        <v>0</v>
      </c>
      <c r="L44" s="77" t="s">
        <v>186</v>
      </c>
      <c r="M44" s="77" t="s">
        <v>187</v>
      </c>
      <c r="N44" s="78">
        <v>2</v>
      </c>
      <c r="O44" s="79">
        <v>1.0416666666666667E-3</v>
      </c>
    </row>
    <row r="45" spans="1:15" ht="35.1" customHeight="1">
      <c r="A45" s="6"/>
      <c r="B45" s="89" t="s">
        <v>16</v>
      </c>
      <c r="C45" s="73" t="s">
        <v>188</v>
      </c>
      <c r="D45" s="73" t="s">
        <v>189</v>
      </c>
      <c r="E45" s="70" t="s">
        <v>11</v>
      </c>
      <c r="F45" s="70" t="s">
        <v>21</v>
      </c>
      <c r="G45" s="70" t="s">
        <v>190</v>
      </c>
      <c r="H45" s="71">
        <v>45394</v>
      </c>
      <c r="I45" s="77" t="s">
        <v>132</v>
      </c>
      <c r="J45" s="77" t="s">
        <v>61</v>
      </c>
      <c r="K45" s="77">
        <v>0</v>
      </c>
      <c r="L45" s="77" t="s">
        <v>191</v>
      </c>
      <c r="M45" s="77" t="s">
        <v>147</v>
      </c>
      <c r="N45" s="73">
        <v>2</v>
      </c>
      <c r="O45" s="80">
        <v>1.5624999999999999E-3</v>
      </c>
    </row>
    <row r="46" spans="1:15" ht="35.1" customHeight="1">
      <c r="A46" s="6"/>
      <c r="B46" s="89" t="s">
        <v>16</v>
      </c>
      <c r="C46" s="73" t="s">
        <v>192</v>
      </c>
      <c r="D46" s="73" t="s">
        <v>193</v>
      </c>
      <c r="E46" s="70" t="s">
        <v>11</v>
      </c>
      <c r="F46" s="70" t="s">
        <v>21</v>
      </c>
      <c r="G46" s="70" t="s">
        <v>151</v>
      </c>
      <c r="H46" s="71">
        <v>45390</v>
      </c>
      <c r="I46" s="77" t="s">
        <v>132</v>
      </c>
      <c r="J46" s="77" t="s">
        <v>61</v>
      </c>
      <c r="K46" s="77">
        <v>0</v>
      </c>
      <c r="L46" s="77" t="s">
        <v>194</v>
      </c>
      <c r="M46" s="77" t="s">
        <v>147</v>
      </c>
      <c r="N46" s="73">
        <v>2</v>
      </c>
      <c r="O46" s="80">
        <v>6.9444444444444447E-4</v>
      </c>
    </row>
    <row r="47" spans="1:15" ht="35.1" customHeight="1">
      <c r="A47" s="6"/>
      <c r="B47" s="89" t="s">
        <v>16</v>
      </c>
      <c r="C47" s="73" t="s">
        <v>195</v>
      </c>
      <c r="D47" s="73" t="s">
        <v>196</v>
      </c>
      <c r="E47" s="70" t="s">
        <v>11</v>
      </c>
      <c r="F47" s="70" t="s">
        <v>21</v>
      </c>
      <c r="G47" s="70" t="s">
        <v>151</v>
      </c>
      <c r="H47" s="71">
        <v>45390</v>
      </c>
      <c r="I47" s="77" t="s">
        <v>132</v>
      </c>
      <c r="J47" s="77" t="s">
        <v>61</v>
      </c>
      <c r="K47" s="77">
        <v>0</v>
      </c>
      <c r="L47" s="77" t="s">
        <v>197</v>
      </c>
      <c r="M47" s="77" t="s">
        <v>147</v>
      </c>
      <c r="N47" s="73">
        <v>2</v>
      </c>
      <c r="O47" s="80">
        <v>6.9444444444444447E-4</v>
      </c>
    </row>
    <row r="48" spans="1:15" ht="35.1" customHeight="1">
      <c r="A48" s="6"/>
      <c r="B48" s="89" t="s">
        <v>16</v>
      </c>
      <c r="C48" s="73" t="s">
        <v>198</v>
      </c>
      <c r="D48" s="73" t="s">
        <v>199</v>
      </c>
      <c r="E48" s="70" t="s">
        <v>11</v>
      </c>
      <c r="F48" s="70" t="s">
        <v>21</v>
      </c>
      <c r="G48" s="70" t="s">
        <v>190</v>
      </c>
      <c r="H48" s="71">
        <v>45394</v>
      </c>
      <c r="I48" s="77" t="s">
        <v>132</v>
      </c>
      <c r="J48" s="77" t="s">
        <v>133</v>
      </c>
      <c r="K48" s="77">
        <v>0</v>
      </c>
      <c r="L48" s="77" t="s">
        <v>200</v>
      </c>
      <c r="M48" s="77" t="s">
        <v>147</v>
      </c>
      <c r="N48" s="73">
        <v>2</v>
      </c>
      <c r="O48" s="80">
        <v>5.2083333333333333E-4</v>
      </c>
    </row>
    <row r="49" spans="1:67" ht="35.1" customHeight="1">
      <c r="A49" s="6"/>
      <c r="B49" s="156" t="s">
        <v>16</v>
      </c>
      <c r="C49" s="157" t="s">
        <v>201</v>
      </c>
      <c r="D49" s="157" t="s">
        <v>202</v>
      </c>
      <c r="E49" s="158" t="s">
        <v>11</v>
      </c>
      <c r="F49" s="158" t="s">
        <v>21</v>
      </c>
      <c r="G49" s="158" t="s">
        <v>203</v>
      </c>
      <c r="H49" s="159">
        <v>45988</v>
      </c>
      <c r="I49" s="172" t="s">
        <v>132</v>
      </c>
      <c r="J49" s="172" t="s">
        <v>61</v>
      </c>
      <c r="K49" s="172">
        <v>0</v>
      </c>
      <c r="L49" s="172" t="s">
        <v>204</v>
      </c>
      <c r="M49" s="172" t="s">
        <v>205</v>
      </c>
      <c r="N49" s="157">
        <v>2</v>
      </c>
      <c r="O49" s="160">
        <v>6.9444444444444447E-4</v>
      </c>
    </row>
    <row r="50" spans="1:67" ht="35.1" customHeight="1">
      <c r="A50" s="6"/>
      <c r="B50" s="89" t="s">
        <v>16</v>
      </c>
      <c r="C50" s="73" t="s">
        <v>206</v>
      </c>
      <c r="D50" s="73" t="s">
        <v>207</v>
      </c>
      <c r="E50" s="70" t="s">
        <v>11</v>
      </c>
      <c r="F50" s="70" t="s">
        <v>21</v>
      </c>
      <c r="G50" s="70" t="s">
        <v>208</v>
      </c>
      <c r="H50" s="71">
        <v>45394</v>
      </c>
      <c r="I50" s="77" t="s">
        <v>132</v>
      </c>
      <c r="J50" s="77" t="s">
        <v>133</v>
      </c>
      <c r="K50" s="77">
        <v>0</v>
      </c>
      <c r="L50" s="77" t="s">
        <v>209</v>
      </c>
      <c r="M50" s="77" t="s">
        <v>205</v>
      </c>
      <c r="N50" s="73">
        <v>1</v>
      </c>
      <c r="O50" s="80">
        <v>3.4722222222222224E-4</v>
      </c>
    </row>
    <row r="51" spans="1:67" ht="35.1" customHeight="1">
      <c r="A51" s="6"/>
      <c r="B51" s="89" t="s">
        <v>16</v>
      </c>
      <c r="C51" s="73" t="s">
        <v>210</v>
      </c>
      <c r="D51" s="73" t="s">
        <v>207</v>
      </c>
      <c r="E51" s="70" t="s">
        <v>11</v>
      </c>
      <c r="F51" s="70" t="s">
        <v>21</v>
      </c>
      <c r="G51" s="70" t="s">
        <v>208</v>
      </c>
      <c r="H51" s="71">
        <v>45394</v>
      </c>
      <c r="I51" s="77" t="s">
        <v>132</v>
      </c>
      <c r="J51" s="77" t="s">
        <v>133</v>
      </c>
      <c r="K51" s="77">
        <v>0</v>
      </c>
      <c r="L51" s="77" t="s">
        <v>209</v>
      </c>
      <c r="M51" s="77" t="s">
        <v>205</v>
      </c>
      <c r="N51" s="73">
        <v>1</v>
      </c>
      <c r="O51" s="80">
        <v>3.4722222222222224E-4</v>
      </c>
    </row>
    <row r="52" spans="1:67" ht="35.1" customHeight="1">
      <c r="A52" s="6"/>
      <c r="B52" s="89" t="s">
        <v>16</v>
      </c>
      <c r="C52" s="73" t="s">
        <v>211</v>
      </c>
      <c r="D52" s="73" t="s">
        <v>212</v>
      </c>
      <c r="E52" s="70" t="s">
        <v>11</v>
      </c>
      <c r="F52" s="70" t="s">
        <v>21</v>
      </c>
      <c r="G52" s="70" t="s">
        <v>213</v>
      </c>
      <c r="H52" s="71">
        <v>45391</v>
      </c>
      <c r="I52" s="77" t="s">
        <v>88</v>
      </c>
      <c r="J52" s="77" t="s">
        <v>133</v>
      </c>
      <c r="K52" s="77">
        <v>0</v>
      </c>
      <c r="L52" s="77" t="s">
        <v>214</v>
      </c>
      <c r="M52" s="77" t="s">
        <v>215</v>
      </c>
      <c r="N52" s="73">
        <v>1</v>
      </c>
      <c r="O52" s="80">
        <v>3.4722222222222224E-4</v>
      </c>
    </row>
    <row r="53" spans="1:67" ht="35.1" customHeight="1">
      <c r="A53" s="6"/>
      <c r="B53" s="89" t="s">
        <v>16</v>
      </c>
      <c r="C53" s="73" t="s">
        <v>216</v>
      </c>
      <c r="D53" s="73" t="s">
        <v>217</v>
      </c>
      <c r="E53" s="70" t="s">
        <v>11</v>
      </c>
      <c r="F53" s="70" t="s">
        <v>21</v>
      </c>
      <c r="G53" s="70" t="s">
        <v>218</v>
      </c>
      <c r="H53" s="71">
        <v>45390</v>
      </c>
      <c r="I53" s="77" t="s">
        <v>132</v>
      </c>
      <c r="J53" s="77" t="s">
        <v>133</v>
      </c>
      <c r="K53" s="77">
        <v>0</v>
      </c>
      <c r="L53" s="77" t="s">
        <v>219</v>
      </c>
      <c r="M53" s="77" t="s">
        <v>205</v>
      </c>
      <c r="N53" s="73">
        <v>1</v>
      </c>
      <c r="O53" s="80">
        <v>5.7870370370370378E-4</v>
      </c>
    </row>
    <row r="54" spans="1:67" ht="35.1" customHeight="1">
      <c r="A54" s="6"/>
      <c r="B54" s="89" t="s">
        <v>16</v>
      </c>
      <c r="C54" s="73" t="s">
        <v>220</v>
      </c>
      <c r="D54" s="73" t="s">
        <v>221</v>
      </c>
      <c r="E54" s="70" t="s">
        <v>11</v>
      </c>
      <c r="F54" s="70" t="s">
        <v>21</v>
      </c>
      <c r="G54" s="70" t="s">
        <v>222</v>
      </c>
      <c r="H54" s="71">
        <v>45394</v>
      </c>
      <c r="I54" s="77" t="s">
        <v>132</v>
      </c>
      <c r="J54" s="77" t="s">
        <v>133</v>
      </c>
      <c r="K54" s="77">
        <v>0</v>
      </c>
      <c r="L54" s="77" t="s">
        <v>223</v>
      </c>
      <c r="M54" s="77" t="s">
        <v>205</v>
      </c>
      <c r="N54" s="73">
        <v>2</v>
      </c>
      <c r="O54" s="80">
        <v>6.9444444444444447E-4</v>
      </c>
    </row>
    <row r="55" spans="1:67" ht="35.1" customHeight="1">
      <c r="A55" s="6"/>
      <c r="B55" s="89" t="s">
        <v>16</v>
      </c>
      <c r="C55" s="73" t="s">
        <v>224</v>
      </c>
      <c r="D55" s="73" t="s">
        <v>225</v>
      </c>
      <c r="E55" s="70" t="s">
        <v>11</v>
      </c>
      <c r="F55" s="70" t="s">
        <v>21</v>
      </c>
      <c r="G55" s="70" t="s">
        <v>226</v>
      </c>
      <c r="H55" s="71">
        <v>45391</v>
      </c>
      <c r="I55" s="77" t="s">
        <v>60</v>
      </c>
      <c r="J55" s="77" t="s">
        <v>133</v>
      </c>
      <c r="K55" s="77">
        <v>0</v>
      </c>
      <c r="L55" s="77" t="s">
        <v>227</v>
      </c>
      <c r="M55" s="77" t="s">
        <v>205</v>
      </c>
      <c r="N55" s="73">
        <v>1</v>
      </c>
      <c r="O55" s="80">
        <v>3.4722222222222224E-4</v>
      </c>
    </row>
    <row r="56" spans="1:67" ht="35.1" customHeight="1">
      <c r="A56" s="6"/>
      <c r="B56" s="89" t="s">
        <v>16</v>
      </c>
      <c r="C56" s="73" t="s">
        <v>228</v>
      </c>
      <c r="D56" s="73" t="s">
        <v>229</v>
      </c>
      <c r="E56" s="70" t="s">
        <v>11</v>
      </c>
      <c r="F56" s="70" t="s">
        <v>21</v>
      </c>
      <c r="G56" s="70" t="s">
        <v>230</v>
      </c>
      <c r="H56" s="71">
        <v>45390</v>
      </c>
      <c r="I56" s="77" t="s">
        <v>132</v>
      </c>
      <c r="J56" s="77" t="s">
        <v>61</v>
      </c>
      <c r="K56" s="77">
        <v>0</v>
      </c>
      <c r="L56" s="77" t="s">
        <v>219</v>
      </c>
      <c r="M56" s="77" t="s">
        <v>205</v>
      </c>
      <c r="N56" s="73">
        <v>1</v>
      </c>
      <c r="O56" s="80">
        <v>1.0416666666666667E-3</v>
      </c>
    </row>
    <row r="57" spans="1:67" ht="35.1" customHeight="1">
      <c r="A57" s="6"/>
      <c r="B57" s="89" t="s">
        <v>16</v>
      </c>
      <c r="C57" s="73" t="s">
        <v>231</v>
      </c>
      <c r="D57" s="73" t="s">
        <v>232</v>
      </c>
      <c r="E57" s="70" t="s">
        <v>11</v>
      </c>
      <c r="F57" s="70" t="s">
        <v>21</v>
      </c>
      <c r="G57" s="70" t="s">
        <v>233</v>
      </c>
      <c r="H57" s="71">
        <v>45390</v>
      </c>
      <c r="I57" s="77" t="s">
        <v>132</v>
      </c>
      <c r="J57" s="77" t="s">
        <v>133</v>
      </c>
      <c r="K57" s="77">
        <v>0</v>
      </c>
      <c r="L57" s="77" t="s">
        <v>234</v>
      </c>
      <c r="M57" s="77" t="s">
        <v>205</v>
      </c>
      <c r="N57" s="73">
        <v>1</v>
      </c>
      <c r="O57" s="80">
        <v>1.1574074074074073E-4</v>
      </c>
    </row>
    <row r="58" spans="1:67" ht="35.1" customHeight="1" thickTop="1" thickBot="1">
      <c r="A58" s="6"/>
      <c r="B58" s="156" t="s">
        <v>16</v>
      </c>
      <c r="C58" s="157" t="s">
        <v>235</v>
      </c>
      <c r="D58" s="157" t="s">
        <v>236</v>
      </c>
      <c r="E58" s="158" t="s">
        <v>11</v>
      </c>
      <c r="F58" s="158" t="s">
        <v>21</v>
      </c>
      <c r="G58" s="158" t="s">
        <v>237</v>
      </c>
      <c r="H58" s="159">
        <v>45982</v>
      </c>
      <c r="I58" s="77" t="s">
        <v>132</v>
      </c>
      <c r="J58" s="77" t="s">
        <v>133</v>
      </c>
      <c r="K58" s="77">
        <v>0</v>
      </c>
      <c r="L58" s="77" t="s">
        <v>238</v>
      </c>
      <c r="M58" s="77" t="s">
        <v>239</v>
      </c>
      <c r="N58" s="157">
        <v>2</v>
      </c>
      <c r="O58" s="160">
        <v>3.4722222222222224E-4</v>
      </c>
    </row>
    <row r="59" spans="1:67" ht="35.1" customHeight="1">
      <c r="A59" s="6"/>
      <c r="B59" s="89" t="s">
        <v>16</v>
      </c>
      <c r="C59" s="73" t="s">
        <v>240</v>
      </c>
      <c r="D59" s="73" t="s">
        <v>241</v>
      </c>
      <c r="E59" s="70" t="s">
        <v>11</v>
      </c>
      <c r="F59" s="70" t="s">
        <v>21</v>
      </c>
      <c r="G59" s="70" t="s">
        <v>242</v>
      </c>
      <c r="H59" s="71">
        <v>45390</v>
      </c>
      <c r="I59" s="77" t="s">
        <v>132</v>
      </c>
      <c r="J59" s="77" t="s">
        <v>133</v>
      </c>
      <c r="K59" s="77">
        <v>0</v>
      </c>
      <c r="L59" s="77" t="s">
        <v>243</v>
      </c>
      <c r="M59" s="77" t="s">
        <v>205</v>
      </c>
      <c r="N59" s="73">
        <v>2</v>
      </c>
      <c r="O59" s="80">
        <v>6.9444444444444447E-4</v>
      </c>
    </row>
    <row r="60" spans="1:67" ht="35.1" customHeight="1">
      <c r="A60" s="6"/>
      <c r="B60" s="89" t="s">
        <v>16</v>
      </c>
      <c r="C60" s="73" t="s">
        <v>244</v>
      </c>
      <c r="D60" s="73" t="s">
        <v>245</v>
      </c>
      <c r="E60" s="70" t="s">
        <v>11</v>
      </c>
      <c r="F60" s="70" t="s">
        <v>21</v>
      </c>
      <c r="G60" s="70" t="s">
        <v>246</v>
      </c>
      <c r="H60" s="71">
        <v>45390</v>
      </c>
      <c r="I60" s="77" t="s">
        <v>132</v>
      </c>
      <c r="J60" s="77" t="s">
        <v>133</v>
      </c>
      <c r="K60" s="77">
        <v>0</v>
      </c>
      <c r="L60" s="77" t="s">
        <v>247</v>
      </c>
      <c r="M60" s="77" t="s">
        <v>205</v>
      </c>
      <c r="N60" s="73">
        <v>1</v>
      </c>
      <c r="O60" s="80">
        <v>6.9444444444444447E-4</v>
      </c>
    </row>
    <row r="61" spans="1:67" s="176" customFormat="1" ht="35.1" customHeight="1">
      <c r="A61" s="6"/>
      <c r="B61" s="156" t="s">
        <v>16</v>
      </c>
      <c r="C61" s="157" t="s">
        <v>248</v>
      </c>
      <c r="D61" s="157" t="s">
        <v>249</v>
      </c>
      <c r="E61" s="158" t="s">
        <v>11</v>
      </c>
      <c r="F61" s="158" t="s">
        <v>21</v>
      </c>
      <c r="G61" s="158" t="s">
        <v>250</v>
      </c>
      <c r="H61" s="159">
        <v>45986</v>
      </c>
      <c r="I61" s="172" t="s">
        <v>132</v>
      </c>
      <c r="J61" s="172" t="s">
        <v>133</v>
      </c>
      <c r="K61" s="172">
        <v>0</v>
      </c>
      <c r="L61" s="172" t="s">
        <v>251</v>
      </c>
      <c r="M61" s="172" t="s">
        <v>239</v>
      </c>
      <c r="N61" s="157">
        <v>1</v>
      </c>
      <c r="O61" s="160">
        <v>6.9444444444444447E-4</v>
      </c>
      <c r="P61" s="6"/>
      <c r="Q61" s="6"/>
      <c r="R61" s="6"/>
      <c r="S61" s="6"/>
      <c r="T61" s="6"/>
      <c r="U61" s="6"/>
      <c r="V61" s="6"/>
      <c r="W61" s="6"/>
      <c r="X61" s="6"/>
      <c r="Y61" s="6"/>
      <c r="Z61" s="6"/>
      <c r="AA61" s="6"/>
      <c r="AB61" s="6"/>
      <c r="AC61" s="6"/>
      <c r="AD61" s="6"/>
      <c r="AE61" s="6"/>
      <c r="AF61" s="6"/>
      <c r="AG61" s="6"/>
      <c r="AH61" s="6"/>
      <c r="AI61" s="6"/>
      <c r="AJ61" s="6"/>
      <c r="AK61" s="6"/>
      <c r="AL61" s="6"/>
      <c r="AM61" s="6"/>
      <c r="AN61" s="6"/>
      <c r="AO61" s="6"/>
      <c r="AP61" s="6"/>
      <c r="AQ61" s="6"/>
      <c r="AR61" s="6"/>
      <c r="AS61" s="6"/>
      <c r="AT61" s="6"/>
      <c r="AU61" s="6"/>
      <c r="AV61" s="6"/>
      <c r="AW61" s="6"/>
      <c r="AX61" s="6"/>
      <c r="AY61" s="6"/>
      <c r="AZ61" s="6"/>
      <c r="BA61" s="6"/>
      <c r="BB61" s="6"/>
      <c r="BC61" s="6"/>
      <c r="BD61" s="6"/>
      <c r="BE61" s="6"/>
      <c r="BF61" s="6"/>
      <c r="BG61" s="6"/>
      <c r="BH61" s="6"/>
      <c r="BI61" s="6"/>
      <c r="BJ61" s="6"/>
      <c r="BK61" s="6"/>
      <c r="BL61" s="6"/>
      <c r="BM61" s="6"/>
      <c r="BN61" s="6"/>
      <c r="BO61" s="6"/>
    </row>
    <row r="62" spans="1:67" ht="35.1" customHeight="1">
      <c r="A62" s="6"/>
      <c r="B62" s="89" t="s">
        <v>16</v>
      </c>
      <c r="C62" s="73" t="s">
        <v>252</v>
      </c>
      <c r="D62" s="73" t="s">
        <v>253</v>
      </c>
      <c r="E62" s="70" t="s">
        <v>11</v>
      </c>
      <c r="F62" s="70" t="s">
        <v>21</v>
      </c>
      <c r="G62" s="70" t="s">
        <v>254</v>
      </c>
      <c r="H62" s="71">
        <v>45391</v>
      </c>
      <c r="I62" s="77" t="s">
        <v>60</v>
      </c>
      <c r="J62" s="77" t="s">
        <v>133</v>
      </c>
      <c r="K62" s="77">
        <v>0</v>
      </c>
      <c r="L62" s="77" t="s">
        <v>255</v>
      </c>
      <c r="M62" s="77" t="s">
        <v>205</v>
      </c>
      <c r="N62" s="73">
        <v>1</v>
      </c>
      <c r="O62" s="80">
        <v>3.4722222222222224E-4</v>
      </c>
    </row>
    <row r="63" spans="1:67" ht="35.1" customHeight="1">
      <c r="A63" s="6"/>
      <c r="B63" s="89" t="s">
        <v>16</v>
      </c>
      <c r="C63" s="70" t="s">
        <v>256</v>
      </c>
      <c r="D63" s="70" t="s">
        <v>257</v>
      </c>
      <c r="E63" s="70" t="s">
        <v>11</v>
      </c>
      <c r="F63" s="70" t="s">
        <v>21</v>
      </c>
      <c r="G63" s="70" t="s">
        <v>258</v>
      </c>
      <c r="H63" s="71">
        <v>45391</v>
      </c>
      <c r="I63" s="77" t="s">
        <v>60</v>
      </c>
      <c r="J63" s="77" t="s">
        <v>133</v>
      </c>
      <c r="K63" s="77">
        <v>0</v>
      </c>
      <c r="L63" s="77" t="s">
        <v>259</v>
      </c>
      <c r="M63" s="77" t="s">
        <v>205</v>
      </c>
      <c r="N63" s="73">
        <v>2</v>
      </c>
      <c r="O63" s="80">
        <v>3.4722222222222224E-4</v>
      </c>
    </row>
    <row r="64" spans="1:67" ht="35.1" customHeight="1">
      <c r="A64" s="6"/>
      <c r="B64" s="89" t="s">
        <v>16</v>
      </c>
      <c r="C64" s="73" t="s">
        <v>260</v>
      </c>
      <c r="D64" s="73" t="s">
        <v>261</v>
      </c>
      <c r="E64" s="70" t="s">
        <v>11</v>
      </c>
      <c r="F64" s="70" t="s">
        <v>21</v>
      </c>
      <c r="G64" s="70" t="s">
        <v>258</v>
      </c>
      <c r="H64" s="71">
        <v>45391</v>
      </c>
      <c r="I64" s="77" t="s">
        <v>60</v>
      </c>
      <c r="J64" s="77" t="s">
        <v>133</v>
      </c>
      <c r="K64" s="77">
        <v>0</v>
      </c>
      <c r="L64" s="77" t="s">
        <v>262</v>
      </c>
      <c r="M64" s="77" t="s">
        <v>205</v>
      </c>
      <c r="N64" s="73">
        <v>1</v>
      </c>
      <c r="O64" s="80">
        <v>3.4722222222222224E-4</v>
      </c>
    </row>
    <row r="65" spans="1:15" ht="35.1" customHeight="1">
      <c r="A65" s="6"/>
      <c r="B65" s="89" t="s">
        <v>16</v>
      </c>
      <c r="C65" s="73" t="s">
        <v>263</v>
      </c>
      <c r="D65" s="73" t="s">
        <v>264</v>
      </c>
      <c r="E65" s="70" t="s">
        <v>11</v>
      </c>
      <c r="F65" s="70" t="s">
        <v>21</v>
      </c>
      <c r="G65" s="70" t="s">
        <v>265</v>
      </c>
      <c r="H65" s="71">
        <v>45391</v>
      </c>
      <c r="I65" s="77" t="s">
        <v>60</v>
      </c>
      <c r="J65" s="77" t="s">
        <v>133</v>
      </c>
      <c r="K65" s="77">
        <v>0</v>
      </c>
      <c r="L65" s="77" t="s">
        <v>266</v>
      </c>
      <c r="M65" s="77" t="s">
        <v>205</v>
      </c>
      <c r="N65" s="73">
        <v>1</v>
      </c>
      <c r="O65" s="80">
        <v>3.4722222222222224E-4</v>
      </c>
    </row>
    <row r="66" spans="1:15" ht="35.1" customHeight="1">
      <c r="A66" s="6"/>
      <c r="B66" s="89" t="s">
        <v>16</v>
      </c>
      <c r="C66" s="73" t="s">
        <v>267</v>
      </c>
      <c r="D66" s="73" t="s">
        <v>268</v>
      </c>
      <c r="E66" s="70" t="s">
        <v>11</v>
      </c>
      <c r="F66" s="70" t="s">
        <v>21</v>
      </c>
      <c r="G66" s="70" t="s">
        <v>265</v>
      </c>
      <c r="H66" s="71">
        <v>45391</v>
      </c>
      <c r="I66" s="77" t="s">
        <v>60</v>
      </c>
      <c r="J66" s="77" t="s">
        <v>133</v>
      </c>
      <c r="K66" s="77">
        <v>0</v>
      </c>
      <c r="L66" s="77" t="s">
        <v>269</v>
      </c>
      <c r="M66" s="77" t="s">
        <v>205</v>
      </c>
      <c r="N66" s="73">
        <v>1</v>
      </c>
      <c r="O66" s="80">
        <v>3.4722222222222224E-4</v>
      </c>
    </row>
    <row r="67" spans="1:15" ht="35.1" customHeight="1">
      <c r="A67" s="6"/>
      <c r="B67" s="89" t="s">
        <v>16</v>
      </c>
      <c r="C67" s="73" t="s">
        <v>270</v>
      </c>
      <c r="D67" s="73" t="s">
        <v>271</v>
      </c>
      <c r="E67" s="70" t="s">
        <v>11</v>
      </c>
      <c r="F67" s="70" t="s">
        <v>21</v>
      </c>
      <c r="G67" s="70" t="s">
        <v>272</v>
      </c>
      <c r="H67" s="71">
        <v>45391</v>
      </c>
      <c r="I67" s="77" t="s">
        <v>60</v>
      </c>
      <c r="J67" s="77" t="s">
        <v>133</v>
      </c>
      <c r="K67" s="77">
        <v>0</v>
      </c>
      <c r="L67" s="77" t="s">
        <v>273</v>
      </c>
      <c r="M67" s="77" t="s">
        <v>205</v>
      </c>
      <c r="N67" s="73">
        <v>1</v>
      </c>
      <c r="O67" s="80">
        <v>3.4722222222222224E-4</v>
      </c>
    </row>
    <row r="68" spans="1:15" ht="35.1" customHeight="1">
      <c r="A68" s="6"/>
      <c r="B68" s="89" t="s">
        <v>16</v>
      </c>
      <c r="C68" s="73" t="s">
        <v>274</v>
      </c>
      <c r="D68" s="73" t="s">
        <v>275</v>
      </c>
      <c r="E68" s="70" t="s">
        <v>11</v>
      </c>
      <c r="F68" s="72" t="s">
        <v>21</v>
      </c>
      <c r="G68" s="72" t="s">
        <v>272</v>
      </c>
      <c r="H68" s="90">
        <v>45391</v>
      </c>
      <c r="I68" s="77" t="s">
        <v>88</v>
      </c>
      <c r="J68" s="77" t="s">
        <v>133</v>
      </c>
      <c r="K68" s="77">
        <v>0</v>
      </c>
      <c r="L68" s="77" t="s">
        <v>276</v>
      </c>
      <c r="M68" s="77" t="s">
        <v>215</v>
      </c>
      <c r="N68" s="73">
        <v>1</v>
      </c>
      <c r="O68" s="80">
        <v>3.4722222222222224E-4</v>
      </c>
    </row>
    <row r="69" spans="1:15" ht="35.1" customHeight="1">
      <c r="A69" s="6"/>
      <c r="B69" s="89" t="s">
        <v>16</v>
      </c>
      <c r="C69" s="73" t="s">
        <v>277</v>
      </c>
      <c r="D69" s="73" t="s">
        <v>278</v>
      </c>
      <c r="E69" s="70" t="s">
        <v>11</v>
      </c>
      <c r="F69" s="72" t="s">
        <v>21</v>
      </c>
      <c r="G69" s="72" t="s">
        <v>279</v>
      </c>
      <c r="H69" s="90">
        <v>45391</v>
      </c>
      <c r="I69" s="77" t="s">
        <v>88</v>
      </c>
      <c r="J69" s="77" t="s">
        <v>133</v>
      </c>
      <c r="K69" s="77">
        <v>0</v>
      </c>
      <c r="L69" s="77" t="s">
        <v>280</v>
      </c>
      <c r="M69" s="77" t="s">
        <v>215</v>
      </c>
      <c r="N69" s="73">
        <v>1</v>
      </c>
      <c r="O69" s="80">
        <v>5.2083333333333333E-4</v>
      </c>
    </row>
    <row r="70" spans="1:15" ht="35.1" customHeight="1">
      <c r="A70" s="6"/>
      <c r="B70" s="89" t="s">
        <v>16</v>
      </c>
      <c r="C70" s="73" t="s">
        <v>281</v>
      </c>
      <c r="D70" s="73" t="s">
        <v>282</v>
      </c>
      <c r="E70" s="70" t="s">
        <v>11</v>
      </c>
      <c r="F70" s="72" t="s">
        <v>21</v>
      </c>
      <c r="G70" s="72" t="s">
        <v>283</v>
      </c>
      <c r="H70" s="90">
        <v>45391</v>
      </c>
      <c r="I70" s="77" t="s">
        <v>88</v>
      </c>
      <c r="J70" s="77" t="s">
        <v>133</v>
      </c>
      <c r="K70" s="77">
        <v>0</v>
      </c>
      <c r="L70" s="77" t="s">
        <v>284</v>
      </c>
      <c r="M70" s="77" t="s">
        <v>215</v>
      </c>
      <c r="N70" s="73">
        <v>1</v>
      </c>
      <c r="O70" s="80">
        <v>6.9444444444444447E-4</v>
      </c>
    </row>
    <row r="71" spans="1:15" ht="35.1" customHeight="1">
      <c r="A71" s="6"/>
      <c r="B71" s="89" t="s">
        <v>16</v>
      </c>
      <c r="C71" s="73" t="s">
        <v>285</v>
      </c>
      <c r="D71" s="73" t="s">
        <v>286</v>
      </c>
      <c r="E71" s="70" t="s">
        <v>11</v>
      </c>
      <c r="F71" s="70" t="s">
        <v>21</v>
      </c>
      <c r="G71" s="70" t="s">
        <v>287</v>
      </c>
      <c r="H71" s="90">
        <v>45391</v>
      </c>
      <c r="I71" s="77" t="s">
        <v>60</v>
      </c>
      <c r="J71" s="77" t="s">
        <v>133</v>
      </c>
      <c r="K71" s="77">
        <v>0</v>
      </c>
      <c r="L71" s="77" t="s">
        <v>288</v>
      </c>
      <c r="M71" s="77" t="s">
        <v>205</v>
      </c>
      <c r="N71" s="73">
        <v>1</v>
      </c>
      <c r="O71" s="80">
        <v>3.4722222222222224E-4</v>
      </c>
    </row>
    <row r="72" spans="1:15" ht="35.1" customHeight="1">
      <c r="A72" s="6"/>
      <c r="B72" s="89" t="s">
        <v>16</v>
      </c>
      <c r="C72" s="73" t="s">
        <v>289</v>
      </c>
      <c r="D72" s="73" t="s">
        <v>290</v>
      </c>
      <c r="E72" s="70" t="s">
        <v>11</v>
      </c>
      <c r="F72" s="70" t="s">
        <v>21</v>
      </c>
      <c r="G72" s="70" t="s">
        <v>291</v>
      </c>
      <c r="H72" s="90">
        <v>45390</v>
      </c>
      <c r="I72" s="77" t="s">
        <v>132</v>
      </c>
      <c r="J72" s="77" t="s">
        <v>133</v>
      </c>
      <c r="K72" s="77">
        <v>0</v>
      </c>
      <c r="L72" s="77" t="s">
        <v>292</v>
      </c>
      <c r="M72" s="77" t="s">
        <v>205</v>
      </c>
      <c r="N72" s="73">
        <v>1</v>
      </c>
      <c r="O72" s="80">
        <v>6.9444444444444447E-4</v>
      </c>
    </row>
    <row r="73" spans="1:15" ht="35.1" customHeight="1">
      <c r="A73" s="6"/>
      <c r="B73" s="89" t="s">
        <v>16</v>
      </c>
      <c r="C73" s="73" t="s">
        <v>293</v>
      </c>
      <c r="D73" s="73" t="s">
        <v>294</v>
      </c>
      <c r="E73" s="70" t="s">
        <v>11</v>
      </c>
      <c r="F73" s="70" t="s">
        <v>21</v>
      </c>
      <c r="G73" s="70" t="s">
        <v>272</v>
      </c>
      <c r="H73" s="90">
        <v>45391</v>
      </c>
      <c r="I73" s="77" t="s">
        <v>60</v>
      </c>
      <c r="J73" s="77" t="s">
        <v>133</v>
      </c>
      <c r="K73" s="77">
        <v>0</v>
      </c>
      <c r="L73" s="77" t="s">
        <v>295</v>
      </c>
      <c r="M73" s="77" t="s">
        <v>205</v>
      </c>
      <c r="N73" s="73">
        <v>1</v>
      </c>
      <c r="O73" s="80">
        <v>1.3888888888888889E-3</v>
      </c>
    </row>
    <row r="74" spans="1:15" ht="35.1" customHeight="1">
      <c r="A74" s="6"/>
      <c r="B74" s="89" t="s">
        <v>16</v>
      </c>
      <c r="C74" s="73" t="s">
        <v>296</v>
      </c>
      <c r="D74" s="73" t="s">
        <v>297</v>
      </c>
      <c r="E74" s="70" t="s">
        <v>11</v>
      </c>
      <c r="F74" s="70" t="s">
        <v>21</v>
      </c>
      <c r="G74" s="70" t="s">
        <v>291</v>
      </c>
      <c r="H74" s="90">
        <v>45390</v>
      </c>
      <c r="I74" s="77" t="s">
        <v>132</v>
      </c>
      <c r="J74" s="77" t="s">
        <v>133</v>
      </c>
      <c r="K74" s="77">
        <v>0</v>
      </c>
      <c r="L74" s="77" t="s">
        <v>298</v>
      </c>
      <c r="M74" s="77" t="s">
        <v>205</v>
      </c>
      <c r="N74" s="73">
        <v>1</v>
      </c>
      <c r="O74" s="80">
        <v>3.4722222222222224E-4</v>
      </c>
    </row>
    <row r="75" spans="1:15" ht="35.1" customHeight="1">
      <c r="A75" s="6"/>
      <c r="B75" s="89" t="s">
        <v>16</v>
      </c>
      <c r="C75" s="73" t="s">
        <v>299</v>
      </c>
      <c r="D75" s="73" t="s">
        <v>300</v>
      </c>
      <c r="E75" s="70" t="s">
        <v>11</v>
      </c>
      <c r="F75" s="70" t="s">
        <v>21</v>
      </c>
      <c r="G75" s="70" t="s">
        <v>291</v>
      </c>
      <c r="H75" s="90">
        <v>45390</v>
      </c>
      <c r="I75" s="77" t="s">
        <v>132</v>
      </c>
      <c r="J75" s="77" t="s">
        <v>133</v>
      </c>
      <c r="K75" s="77">
        <v>0</v>
      </c>
      <c r="L75" s="77" t="s">
        <v>298</v>
      </c>
      <c r="M75" s="77" t="s">
        <v>205</v>
      </c>
      <c r="N75" s="73">
        <v>1</v>
      </c>
      <c r="O75" s="80">
        <v>3.4722222222222224E-4</v>
      </c>
    </row>
    <row r="76" spans="1:15" ht="35.1" customHeight="1">
      <c r="A76" s="6"/>
      <c r="B76" s="89" t="s">
        <v>16</v>
      </c>
      <c r="C76" s="73" t="s">
        <v>301</v>
      </c>
      <c r="D76" s="73" t="s">
        <v>302</v>
      </c>
      <c r="E76" s="70" t="s">
        <v>11</v>
      </c>
      <c r="F76" s="70" t="s">
        <v>21</v>
      </c>
      <c r="G76" s="70" t="s">
        <v>291</v>
      </c>
      <c r="H76" s="90">
        <v>45390</v>
      </c>
      <c r="I76" s="77" t="s">
        <v>132</v>
      </c>
      <c r="J76" s="77" t="s">
        <v>133</v>
      </c>
      <c r="K76" s="77">
        <v>0</v>
      </c>
      <c r="L76" s="77" t="s">
        <v>298</v>
      </c>
      <c r="M76" s="77" t="s">
        <v>205</v>
      </c>
      <c r="N76" s="73">
        <v>1</v>
      </c>
      <c r="O76" s="80">
        <v>3.4722222222222224E-4</v>
      </c>
    </row>
    <row r="77" spans="1:15" ht="35.1" customHeight="1">
      <c r="A77" s="6"/>
      <c r="B77" s="89" t="s">
        <v>16</v>
      </c>
      <c r="C77" s="73" t="s">
        <v>303</v>
      </c>
      <c r="D77" s="73" t="s">
        <v>304</v>
      </c>
      <c r="E77" s="70" t="s">
        <v>11</v>
      </c>
      <c r="F77" s="70" t="s">
        <v>21</v>
      </c>
      <c r="G77" s="70" t="s">
        <v>254</v>
      </c>
      <c r="H77" s="90">
        <v>45391</v>
      </c>
      <c r="I77" s="77" t="s">
        <v>60</v>
      </c>
      <c r="J77" s="77" t="s">
        <v>133</v>
      </c>
      <c r="K77" s="77">
        <v>0</v>
      </c>
      <c r="L77" s="77" t="s">
        <v>305</v>
      </c>
      <c r="M77" s="77" t="s">
        <v>205</v>
      </c>
      <c r="N77" s="73">
        <v>1</v>
      </c>
      <c r="O77" s="80">
        <v>6.9444444444444447E-4</v>
      </c>
    </row>
    <row r="78" spans="1:15" ht="35.1" customHeight="1">
      <c r="A78" s="6"/>
      <c r="B78" s="89" t="s">
        <v>16</v>
      </c>
      <c r="C78" s="73" t="s">
        <v>306</v>
      </c>
      <c r="D78" s="73" t="s">
        <v>307</v>
      </c>
      <c r="E78" s="70" t="s">
        <v>11</v>
      </c>
      <c r="F78" s="70" t="s">
        <v>21</v>
      </c>
      <c r="G78" s="70" t="s">
        <v>213</v>
      </c>
      <c r="H78" s="90">
        <v>45391</v>
      </c>
      <c r="I78" s="77" t="s">
        <v>88</v>
      </c>
      <c r="J78" s="77" t="s">
        <v>133</v>
      </c>
      <c r="K78" s="77">
        <v>0</v>
      </c>
      <c r="L78" s="77" t="s">
        <v>214</v>
      </c>
      <c r="M78" s="77" t="s">
        <v>215</v>
      </c>
      <c r="N78" s="73">
        <v>1</v>
      </c>
      <c r="O78" s="80">
        <v>3.4722222222222224E-4</v>
      </c>
    </row>
    <row r="79" spans="1:15" ht="35.1" customHeight="1">
      <c r="A79" s="6"/>
      <c r="B79" s="89" t="s">
        <v>16</v>
      </c>
      <c r="C79" s="73" t="s">
        <v>308</v>
      </c>
      <c r="D79" s="73" t="s">
        <v>309</v>
      </c>
      <c r="E79" s="70" t="s">
        <v>11</v>
      </c>
      <c r="F79" s="72" t="s">
        <v>21</v>
      </c>
      <c r="G79" s="72" t="s">
        <v>310</v>
      </c>
      <c r="H79" s="90">
        <v>45391</v>
      </c>
      <c r="I79" s="77" t="s">
        <v>60</v>
      </c>
      <c r="J79" s="77" t="s">
        <v>133</v>
      </c>
      <c r="K79" s="77">
        <v>0</v>
      </c>
      <c r="L79" s="77" t="s">
        <v>311</v>
      </c>
      <c r="M79" s="77" t="s">
        <v>205</v>
      </c>
      <c r="N79" s="73">
        <v>1</v>
      </c>
      <c r="O79" s="80">
        <v>8.6805555555555551E-4</v>
      </c>
    </row>
    <row r="80" spans="1:15" ht="35.1" customHeight="1">
      <c r="A80" s="6"/>
      <c r="B80" s="89" t="s">
        <v>16</v>
      </c>
      <c r="C80" s="73" t="s">
        <v>312</v>
      </c>
      <c r="D80" s="73" t="s">
        <v>313</v>
      </c>
      <c r="E80" s="70" t="s">
        <v>11</v>
      </c>
      <c r="F80" s="70" t="s">
        <v>21</v>
      </c>
      <c r="G80" s="70" t="s">
        <v>314</v>
      </c>
      <c r="H80" s="71">
        <v>45390</v>
      </c>
      <c r="I80" s="77" t="s">
        <v>132</v>
      </c>
      <c r="J80" s="77" t="s">
        <v>133</v>
      </c>
      <c r="K80" s="77">
        <v>0</v>
      </c>
      <c r="L80" s="77" t="s">
        <v>315</v>
      </c>
      <c r="M80" s="77" t="s">
        <v>205</v>
      </c>
      <c r="N80" s="73">
        <v>1</v>
      </c>
      <c r="O80" s="80">
        <v>6.9444444444444447E-4</v>
      </c>
    </row>
    <row r="81" spans="1:59" ht="35.1" customHeight="1">
      <c r="A81" s="6"/>
      <c r="B81" s="89" t="s">
        <v>16</v>
      </c>
      <c r="C81" s="73" t="s">
        <v>316</v>
      </c>
      <c r="D81" s="73" t="s">
        <v>317</v>
      </c>
      <c r="E81" s="70" t="s">
        <v>11</v>
      </c>
      <c r="F81" s="70" t="s">
        <v>21</v>
      </c>
      <c r="G81" s="70" t="s">
        <v>226</v>
      </c>
      <c r="H81" s="71">
        <v>45392</v>
      </c>
      <c r="I81" s="77" t="s">
        <v>60</v>
      </c>
      <c r="J81" s="77" t="s">
        <v>133</v>
      </c>
      <c r="K81" s="77">
        <v>0</v>
      </c>
      <c r="L81" s="77" t="s">
        <v>318</v>
      </c>
      <c r="M81" s="77" t="s">
        <v>205</v>
      </c>
      <c r="N81" s="73">
        <v>1</v>
      </c>
      <c r="O81" s="80">
        <v>6.9444444444444447E-4</v>
      </c>
    </row>
    <row r="82" spans="1:59" ht="35.1" customHeight="1">
      <c r="A82" s="6"/>
      <c r="B82" s="89" t="s">
        <v>16</v>
      </c>
      <c r="C82" s="73" t="s">
        <v>319</v>
      </c>
      <c r="D82" s="73" t="s">
        <v>320</v>
      </c>
      <c r="E82" s="70" t="s">
        <v>11</v>
      </c>
      <c r="F82" s="70" t="s">
        <v>21</v>
      </c>
      <c r="G82" s="70" t="s">
        <v>314</v>
      </c>
      <c r="H82" s="71">
        <v>45390</v>
      </c>
      <c r="I82" s="77" t="s">
        <v>132</v>
      </c>
      <c r="J82" s="77" t="s">
        <v>133</v>
      </c>
      <c r="K82" s="77">
        <v>0</v>
      </c>
      <c r="L82" s="77" t="s">
        <v>315</v>
      </c>
      <c r="M82" s="77" t="s">
        <v>205</v>
      </c>
      <c r="N82" s="73">
        <v>1</v>
      </c>
      <c r="O82" s="80">
        <v>6.9444444444444447E-4</v>
      </c>
    </row>
    <row r="83" spans="1:59" ht="35.1" customHeight="1">
      <c r="A83" s="6"/>
      <c r="B83" s="156" t="s">
        <v>16</v>
      </c>
      <c r="C83" s="157" t="s">
        <v>321</v>
      </c>
      <c r="D83" s="157" t="s">
        <v>322</v>
      </c>
      <c r="E83" s="158" t="s">
        <v>11</v>
      </c>
      <c r="F83" s="158" t="s">
        <v>21</v>
      </c>
      <c r="G83" s="158" t="s">
        <v>323</v>
      </c>
      <c r="H83" s="159">
        <v>45983</v>
      </c>
      <c r="I83" s="77" t="s">
        <v>60</v>
      </c>
      <c r="J83" s="77" t="s">
        <v>61</v>
      </c>
      <c r="K83" s="77">
        <v>0</v>
      </c>
      <c r="L83" s="77" t="s">
        <v>324</v>
      </c>
      <c r="M83" s="77" t="s">
        <v>147</v>
      </c>
      <c r="N83" s="157">
        <v>1</v>
      </c>
      <c r="O83" s="160">
        <v>1.7361111111111112E-4</v>
      </c>
    </row>
    <row r="84" spans="1:59" ht="35.1" customHeight="1" thickTop="1" thickBot="1">
      <c r="A84" s="6"/>
      <c r="B84" s="106" t="s">
        <v>16</v>
      </c>
      <c r="C84" s="100" t="s">
        <v>325</v>
      </c>
      <c r="D84" s="100" t="s">
        <v>326</v>
      </c>
      <c r="E84" s="107"/>
      <c r="F84" s="107"/>
      <c r="G84" s="107"/>
      <c r="H84" s="108"/>
      <c r="I84" s="77" t="s">
        <v>60</v>
      </c>
      <c r="J84" s="77" t="s">
        <v>133</v>
      </c>
      <c r="K84" s="77">
        <v>0</v>
      </c>
      <c r="L84" s="77" t="s">
        <v>327</v>
      </c>
      <c r="M84" s="77" t="s">
        <v>239</v>
      </c>
      <c r="N84" s="100">
        <v>2</v>
      </c>
      <c r="O84" s="109">
        <v>5.2083333333333333E-4</v>
      </c>
    </row>
    <row r="85" spans="1:59" ht="35.1" customHeight="1">
      <c r="A85" s="187"/>
      <c r="B85" s="156" t="s">
        <v>16</v>
      </c>
      <c r="C85" s="157" t="s">
        <v>328</v>
      </c>
      <c r="D85" s="157" t="s">
        <v>329</v>
      </c>
      <c r="E85" s="158" t="s">
        <v>11</v>
      </c>
      <c r="F85" s="158" t="s">
        <v>21</v>
      </c>
      <c r="G85" s="158" t="s">
        <v>330</v>
      </c>
      <c r="H85" s="159">
        <v>45983</v>
      </c>
      <c r="I85" s="77" t="s">
        <v>60</v>
      </c>
      <c r="J85" s="77" t="s">
        <v>61</v>
      </c>
      <c r="K85" s="77">
        <v>0</v>
      </c>
      <c r="L85" s="77">
        <v>0</v>
      </c>
      <c r="M85" s="77" t="s">
        <v>147</v>
      </c>
      <c r="N85" s="157">
        <v>3</v>
      </c>
      <c r="O85" s="160">
        <v>5.2083333333333333E-4</v>
      </c>
    </row>
    <row r="86" spans="1:59" ht="35.1" customHeight="1">
      <c r="A86" s="6"/>
      <c r="B86" s="156" t="s">
        <v>16</v>
      </c>
      <c r="C86" s="157" t="s">
        <v>331</v>
      </c>
      <c r="D86" s="157" t="s">
        <v>332</v>
      </c>
      <c r="E86" s="158" t="s">
        <v>11</v>
      </c>
      <c r="F86" s="158" t="s">
        <v>21</v>
      </c>
      <c r="G86" s="158" t="s">
        <v>333</v>
      </c>
      <c r="H86" s="159">
        <v>45983</v>
      </c>
      <c r="I86" s="77" t="s">
        <v>60</v>
      </c>
      <c r="J86" s="77" t="s">
        <v>61</v>
      </c>
      <c r="K86" s="77">
        <v>0</v>
      </c>
      <c r="L86" s="77">
        <v>0</v>
      </c>
      <c r="M86" s="77" t="s">
        <v>147</v>
      </c>
      <c r="N86" s="157">
        <v>4</v>
      </c>
      <c r="O86" s="160">
        <v>5.2083333333333333E-4</v>
      </c>
    </row>
    <row r="87" spans="1:59" ht="35.1" customHeight="1">
      <c r="A87" s="188"/>
      <c r="B87" s="91" t="s">
        <v>16</v>
      </c>
      <c r="C87" s="84" t="s">
        <v>334</v>
      </c>
      <c r="D87" s="84" t="s">
        <v>335</v>
      </c>
      <c r="E87" s="82"/>
      <c r="F87" s="82" t="s">
        <v>21</v>
      </c>
      <c r="G87" s="82" t="s">
        <v>258</v>
      </c>
      <c r="H87" s="83">
        <v>45391</v>
      </c>
      <c r="I87" s="77" t="s">
        <v>60</v>
      </c>
      <c r="J87" s="77" t="s">
        <v>133</v>
      </c>
      <c r="K87" s="77">
        <v>0</v>
      </c>
      <c r="L87" s="77" t="s">
        <v>259</v>
      </c>
      <c r="M87" s="77" t="s">
        <v>205</v>
      </c>
      <c r="N87" s="84">
        <v>2</v>
      </c>
      <c r="O87" s="85">
        <v>3.4722222222222224E-4</v>
      </c>
    </row>
    <row r="88" spans="1:59" ht="35.1" customHeight="1" thickTop="1" thickBot="1">
      <c r="A88" s="6"/>
      <c r="B88" s="173" t="s">
        <v>20</v>
      </c>
      <c r="C88" s="169" t="s">
        <v>336</v>
      </c>
      <c r="D88" s="169" t="s">
        <v>337</v>
      </c>
      <c r="E88" s="184" t="s">
        <v>11</v>
      </c>
      <c r="F88" s="184" t="s">
        <v>21</v>
      </c>
      <c r="G88" s="184" t="s">
        <v>338</v>
      </c>
      <c r="H88" s="185">
        <v>45988</v>
      </c>
      <c r="I88" s="172" t="s">
        <v>132</v>
      </c>
      <c r="J88" s="172" t="s">
        <v>133</v>
      </c>
      <c r="K88" s="172">
        <v>0</v>
      </c>
      <c r="L88" s="172" t="s">
        <v>339</v>
      </c>
      <c r="M88" s="172" t="s">
        <v>340</v>
      </c>
      <c r="N88" s="169">
        <v>4</v>
      </c>
      <c r="O88" s="186" t="s">
        <v>341</v>
      </c>
    </row>
    <row r="89" spans="1:59" s="176" customFormat="1" ht="35.1" customHeight="1">
      <c r="A89" s="6"/>
      <c r="B89" s="156" t="s">
        <v>20</v>
      </c>
      <c r="C89" s="157" t="s">
        <v>342</v>
      </c>
      <c r="D89" s="157" t="s">
        <v>343</v>
      </c>
      <c r="E89" s="158" t="s">
        <v>11</v>
      </c>
      <c r="F89" s="158" t="s">
        <v>21</v>
      </c>
      <c r="G89" s="158" t="s">
        <v>344</v>
      </c>
      <c r="H89" s="159">
        <v>45986</v>
      </c>
      <c r="I89" s="172" t="s">
        <v>132</v>
      </c>
      <c r="J89" s="172" t="s">
        <v>133</v>
      </c>
      <c r="K89" s="172">
        <v>0</v>
      </c>
      <c r="L89" s="172" t="s">
        <v>345</v>
      </c>
      <c r="M89" s="172" t="s">
        <v>340</v>
      </c>
      <c r="N89" s="157">
        <v>4</v>
      </c>
      <c r="O89" s="160">
        <v>1.3888888888888889E-3</v>
      </c>
      <c r="P89" s="6"/>
      <c r="Q89" s="6"/>
      <c r="R89" s="6"/>
      <c r="S89" s="6"/>
      <c r="T89" s="6"/>
      <c r="U89" s="6"/>
      <c r="V89" s="6"/>
      <c r="W89" s="6"/>
      <c r="X89" s="6"/>
      <c r="Y89" s="6"/>
      <c r="Z89" s="6"/>
      <c r="AA89" s="6"/>
      <c r="AB89" s="6"/>
      <c r="AC89" s="6"/>
      <c r="AD89" s="6"/>
      <c r="AE89" s="6"/>
      <c r="AF89" s="6"/>
      <c r="AG89" s="6"/>
      <c r="AH89" s="6"/>
      <c r="AI89" s="6"/>
      <c r="AJ89" s="6"/>
      <c r="AK89" s="6"/>
      <c r="AL89" s="6"/>
      <c r="AM89" s="6"/>
      <c r="AN89" s="6"/>
      <c r="AO89" s="6"/>
      <c r="AP89" s="6"/>
      <c r="AQ89" s="6"/>
      <c r="AR89" s="6"/>
      <c r="AS89" s="6"/>
      <c r="AT89" s="6"/>
      <c r="AU89" s="6"/>
      <c r="AV89" s="6"/>
      <c r="AW89" s="6"/>
      <c r="AX89" s="6"/>
      <c r="AY89" s="6"/>
      <c r="AZ89" s="6"/>
      <c r="BA89" s="6"/>
      <c r="BB89" s="6"/>
      <c r="BC89" s="6"/>
      <c r="BD89" s="6"/>
      <c r="BE89" s="6"/>
      <c r="BF89" s="6"/>
      <c r="BG89" s="6"/>
    </row>
    <row r="90" spans="1:59" ht="35.1" customHeight="1">
      <c r="A90" s="6"/>
      <c r="B90" s="156" t="s">
        <v>20</v>
      </c>
      <c r="C90" s="157" t="s">
        <v>346</v>
      </c>
      <c r="D90" s="157" t="s">
        <v>347</v>
      </c>
      <c r="E90" s="158" t="s">
        <v>11</v>
      </c>
      <c r="F90" s="158" t="s">
        <v>21</v>
      </c>
      <c r="G90" s="158" t="s">
        <v>348</v>
      </c>
      <c r="H90" s="159">
        <v>45984</v>
      </c>
      <c r="I90" s="172" t="s">
        <v>132</v>
      </c>
      <c r="J90" s="172" t="s">
        <v>133</v>
      </c>
      <c r="K90" s="172">
        <v>0</v>
      </c>
      <c r="L90" s="172" t="s">
        <v>349</v>
      </c>
      <c r="M90" s="172" t="s">
        <v>350</v>
      </c>
      <c r="N90" s="157">
        <v>2</v>
      </c>
      <c r="O90" s="160">
        <v>2.0833333333333333E-3</v>
      </c>
    </row>
    <row r="91" spans="1:59" ht="35.1" customHeight="1">
      <c r="A91" s="6"/>
      <c r="B91" s="156" t="s">
        <v>20</v>
      </c>
      <c r="C91" s="157" t="s">
        <v>351</v>
      </c>
      <c r="D91" s="157" t="s">
        <v>352</v>
      </c>
      <c r="E91" s="158" t="s">
        <v>11</v>
      </c>
      <c r="F91" s="158" t="s">
        <v>21</v>
      </c>
      <c r="G91" s="158" t="s">
        <v>353</v>
      </c>
      <c r="H91" s="159">
        <v>45983</v>
      </c>
      <c r="I91" s="172" t="s">
        <v>132</v>
      </c>
      <c r="J91" s="172" t="s">
        <v>133</v>
      </c>
      <c r="K91" s="172">
        <v>0</v>
      </c>
      <c r="L91" s="172" t="s">
        <v>354</v>
      </c>
      <c r="M91" s="172" t="s">
        <v>350</v>
      </c>
      <c r="N91" s="157">
        <v>2</v>
      </c>
      <c r="O91" s="160">
        <v>2.0833333333333333E-3</v>
      </c>
    </row>
    <row r="92" spans="1:59" ht="35.1" customHeight="1">
      <c r="A92" s="6"/>
      <c r="B92" s="156" t="s">
        <v>20</v>
      </c>
      <c r="C92" s="157" t="s">
        <v>355</v>
      </c>
      <c r="D92" s="157" t="s">
        <v>356</v>
      </c>
      <c r="E92" s="158" t="s">
        <v>11</v>
      </c>
      <c r="F92" s="158" t="s">
        <v>21</v>
      </c>
      <c r="G92" s="158" t="s">
        <v>323</v>
      </c>
      <c r="H92" s="159">
        <v>45983</v>
      </c>
      <c r="I92" s="77" t="s">
        <v>60</v>
      </c>
      <c r="J92" s="77" t="s">
        <v>61</v>
      </c>
      <c r="K92" s="77">
        <v>0</v>
      </c>
      <c r="L92" s="77" t="s">
        <v>357</v>
      </c>
      <c r="M92" s="77" t="s">
        <v>147</v>
      </c>
      <c r="N92" s="157">
        <v>2</v>
      </c>
      <c r="O92" s="160">
        <v>6.9444444444444447E-4</v>
      </c>
    </row>
    <row r="93" spans="1:59" ht="35.1" customHeight="1">
      <c r="A93" s="6"/>
      <c r="B93" s="156" t="s">
        <v>20</v>
      </c>
      <c r="C93" s="157" t="s">
        <v>358</v>
      </c>
      <c r="D93" s="157" t="s">
        <v>359</v>
      </c>
      <c r="E93" s="158" t="s">
        <v>360</v>
      </c>
      <c r="F93" s="158" t="s">
        <v>21</v>
      </c>
      <c r="G93" s="158" t="s">
        <v>361</v>
      </c>
      <c r="H93" s="159">
        <v>45986</v>
      </c>
      <c r="I93" s="172" t="s">
        <v>132</v>
      </c>
      <c r="J93" s="172" t="s">
        <v>133</v>
      </c>
      <c r="K93" s="172">
        <v>0</v>
      </c>
      <c r="L93" s="172" t="s">
        <v>362</v>
      </c>
      <c r="M93" s="172" t="s">
        <v>363</v>
      </c>
      <c r="N93" s="157">
        <v>1</v>
      </c>
      <c r="O93" s="160">
        <v>1.2152777777777778E-3</v>
      </c>
    </row>
    <row r="94" spans="1:59" ht="35.1" customHeight="1">
      <c r="A94" s="6"/>
      <c r="B94" s="156" t="s">
        <v>20</v>
      </c>
      <c r="C94" s="157" t="s">
        <v>364</v>
      </c>
      <c r="D94" s="157" t="s">
        <v>365</v>
      </c>
      <c r="E94" s="158" t="s">
        <v>360</v>
      </c>
      <c r="F94" s="158" t="s">
        <v>21</v>
      </c>
      <c r="G94" s="158" t="s">
        <v>366</v>
      </c>
      <c r="H94" s="159">
        <v>45986</v>
      </c>
      <c r="I94" s="172" t="s">
        <v>132</v>
      </c>
      <c r="J94" s="172" t="s">
        <v>133</v>
      </c>
      <c r="K94" s="172">
        <v>0</v>
      </c>
      <c r="L94" s="172" t="s">
        <v>367</v>
      </c>
      <c r="M94" s="172" t="s">
        <v>363</v>
      </c>
      <c r="N94" s="157">
        <v>2</v>
      </c>
      <c r="O94" s="160">
        <v>2.7777777777777779E-3</v>
      </c>
    </row>
    <row r="95" spans="1:59" ht="35.1" customHeight="1">
      <c r="A95" s="6"/>
      <c r="B95" s="156" t="s">
        <v>20</v>
      </c>
      <c r="C95" s="157" t="s">
        <v>368</v>
      </c>
      <c r="D95" s="157" t="s">
        <v>369</v>
      </c>
      <c r="E95" s="158" t="s">
        <v>360</v>
      </c>
      <c r="F95" s="158" t="s">
        <v>21</v>
      </c>
      <c r="G95" s="158" t="s">
        <v>370</v>
      </c>
      <c r="H95" s="159">
        <v>45986</v>
      </c>
      <c r="I95" s="172" t="s">
        <v>132</v>
      </c>
      <c r="J95" s="172" t="s">
        <v>133</v>
      </c>
      <c r="K95" s="172">
        <v>0</v>
      </c>
      <c r="L95" s="172" t="s">
        <v>371</v>
      </c>
      <c r="M95" s="172" t="s">
        <v>363</v>
      </c>
      <c r="N95" s="157">
        <v>2</v>
      </c>
      <c r="O95" s="160">
        <v>6.9444444444444447E-4</v>
      </c>
    </row>
    <row r="96" spans="1:59" ht="35.1" customHeight="1" thickTop="1" thickBot="1">
      <c r="A96" s="6"/>
      <c r="B96" s="106" t="s">
        <v>20</v>
      </c>
      <c r="C96" s="100" t="s">
        <v>372</v>
      </c>
      <c r="D96" s="100" t="s">
        <v>373</v>
      </c>
      <c r="E96" s="107"/>
      <c r="F96" s="107"/>
      <c r="G96" s="107"/>
      <c r="H96" s="108"/>
      <c r="I96" s="77" t="s">
        <v>132</v>
      </c>
      <c r="J96" s="77" t="s">
        <v>133</v>
      </c>
      <c r="K96" s="77">
        <v>0</v>
      </c>
      <c r="L96" s="77" t="s">
        <v>374</v>
      </c>
      <c r="M96" s="77" t="s">
        <v>205</v>
      </c>
      <c r="N96" s="100">
        <v>2</v>
      </c>
      <c r="O96" s="109">
        <v>1.736111111111111E-3</v>
      </c>
    </row>
    <row r="97" spans="1:15" ht="35.1" customHeight="1" thickTop="1" thickBot="1">
      <c r="A97" s="6"/>
      <c r="B97" s="106" t="s">
        <v>20</v>
      </c>
      <c r="C97" s="100" t="s">
        <v>375</v>
      </c>
      <c r="D97" s="100" t="s">
        <v>376</v>
      </c>
      <c r="E97" s="107"/>
      <c r="F97" s="107"/>
      <c r="G97" s="107"/>
      <c r="H97" s="108"/>
      <c r="I97" s="77" t="s">
        <v>60</v>
      </c>
      <c r="J97" s="77" t="s">
        <v>133</v>
      </c>
      <c r="K97" s="77">
        <v>0</v>
      </c>
      <c r="L97" s="77" t="s">
        <v>377</v>
      </c>
      <c r="M97" s="77" t="s">
        <v>164</v>
      </c>
      <c r="N97" s="100">
        <v>2</v>
      </c>
      <c r="O97" s="109">
        <v>5.2083333333333333E-4</v>
      </c>
    </row>
    <row r="98" spans="1:15" ht="35.1" customHeight="1" thickTop="1" thickBot="1">
      <c r="A98" s="6"/>
      <c r="B98" s="106" t="s">
        <v>20</v>
      </c>
      <c r="C98" s="100" t="s">
        <v>378</v>
      </c>
      <c r="D98" s="100" t="s">
        <v>379</v>
      </c>
      <c r="E98" s="107"/>
      <c r="F98" s="107"/>
      <c r="G98" s="107"/>
      <c r="H98" s="108"/>
      <c r="I98" s="77" t="s">
        <v>60</v>
      </c>
      <c r="J98" s="77" t="s">
        <v>133</v>
      </c>
      <c r="K98" s="77">
        <v>0</v>
      </c>
      <c r="L98" s="77" t="s">
        <v>380</v>
      </c>
      <c r="M98" s="77" t="s">
        <v>164</v>
      </c>
      <c r="N98" s="100">
        <v>1</v>
      </c>
      <c r="O98" s="109">
        <v>9.2592592592592585E-4</v>
      </c>
    </row>
    <row r="99" spans="1:15" ht="35.1" customHeight="1" thickTop="1" thickBot="1">
      <c r="A99" s="6"/>
      <c r="B99" s="106" t="s">
        <v>20</v>
      </c>
      <c r="C99" s="100" t="s">
        <v>381</v>
      </c>
      <c r="D99" s="100" t="s">
        <v>382</v>
      </c>
      <c r="E99" s="107"/>
      <c r="F99" s="107"/>
      <c r="G99" s="107"/>
      <c r="H99" s="108"/>
      <c r="I99" s="77" t="s">
        <v>60</v>
      </c>
      <c r="J99" s="77" t="s">
        <v>61</v>
      </c>
      <c r="K99" s="77">
        <v>0</v>
      </c>
      <c r="L99" s="77" t="s">
        <v>383</v>
      </c>
      <c r="M99" s="77" t="s">
        <v>363</v>
      </c>
      <c r="N99" s="100">
        <v>1</v>
      </c>
      <c r="O99" s="109">
        <v>1.1574074074074073E-4</v>
      </c>
    </row>
    <row r="100" spans="1:15" ht="35.1" customHeight="1" thickTop="1" thickBot="1">
      <c r="A100" s="6"/>
      <c r="B100" s="106" t="s">
        <v>20</v>
      </c>
      <c r="C100" s="100" t="s">
        <v>384</v>
      </c>
      <c r="D100" s="100" t="s">
        <v>385</v>
      </c>
      <c r="E100" s="107"/>
      <c r="F100" s="107"/>
      <c r="G100" s="107"/>
      <c r="H100" s="108"/>
      <c r="I100" s="77" t="s">
        <v>88</v>
      </c>
      <c r="J100" s="77" t="s">
        <v>61</v>
      </c>
      <c r="K100" s="77">
        <v>0</v>
      </c>
      <c r="L100" s="77" t="s">
        <v>386</v>
      </c>
      <c r="M100" s="77" t="s">
        <v>123</v>
      </c>
      <c r="N100" s="100">
        <v>1</v>
      </c>
      <c r="O100" s="109">
        <v>6.9444444444444447E-4</v>
      </c>
    </row>
    <row r="101" spans="1:15" ht="35.1" customHeight="1" thickTop="1" thickBot="1">
      <c r="A101" s="6"/>
      <c r="B101" s="106" t="s">
        <v>20</v>
      </c>
      <c r="C101" s="100" t="s">
        <v>387</v>
      </c>
      <c r="D101" s="100" t="s">
        <v>388</v>
      </c>
      <c r="E101" s="107"/>
      <c r="F101" s="107"/>
      <c r="G101" s="107"/>
      <c r="H101" s="108"/>
      <c r="I101" s="77" t="s">
        <v>60</v>
      </c>
      <c r="J101" s="77" t="s">
        <v>133</v>
      </c>
      <c r="K101" s="77">
        <v>0</v>
      </c>
      <c r="L101" s="77" t="s">
        <v>389</v>
      </c>
      <c r="M101" s="77" t="s">
        <v>107</v>
      </c>
      <c r="N101" s="100">
        <v>1</v>
      </c>
      <c r="O101" s="109">
        <v>6.9444444444444447E-4</v>
      </c>
    </row>
    <row r="102" spans="1:15" ht="35.1" customHeight="1" thickTop="1" thickBot="1">
      <c r="A102" s="6"/>
      <c r="B102" s="106" t="s">
        <v>20</v>
      </c>
      <c r="C102" s="100" t="s">
        <v>390</v>
      </c>
      <c r="D102" s="100" t="s">
        <v>391</v>
      </c>
      <c r="E102" s="107"/>
      <c r="F102" s="107"/>
      <c r="G102" s="107"/>
      <c r="H102" s="108"/>
      <c r="I102" s="77" t="s">
        <v>60</v>
      </c>
      <c r="J102" s="77" t="s">
        <v>133</v>
      </c>
      <c r="K102" s="77">
        <v>0</v>
      </c>
      <c r="L102" s="77" t="s">
        <v>392</v>
      </c>
      <c r="M102" s="77" t="s">
        <v>107</v>
      </c>
      <c r="N102" s="100">
        <v>1</v>
      </c>
      <c r="O102" s="109">
        <v>4.0509259259259258E-4</v>
      </c>
    </row>
    <row r="103" spans="1:15" ht="35.1" customHeight="1" thickTop="1" thickBot="1">
      <c r="A103" s="6"/>
      <c r="B103" s="106" t="s">
        <v>20</v>
      </c>
      <c r="C103" s="100" t="s">
        <v>393</v>
      </c>
      <c r="D103" s="100" t="s">
        <v>394</v>
      </c>
      <c r="E103" s="107"/>
      <c r="F103" s="107"/>
      <c r="G103" s="107"/>
      <c r="H103" s="108"/>
      <c r="I103" s="77" t="s">
        <v>132</v>
      </c>
      <c r="J103" s="77" t="s">
        <v>61</v>
      </c>
      <c r="K103" s="77">
        <v>0</v>
      </c>
      <c r="L103" s="77" t="s">
        <v>395</v>
      </c>
      <c r="M103" s="77" t="s">
        <v>147</v>
      </c>
      <c r="N103" s="100">
        <v>2</v>
      </c>
      <c r="O103" s="109">
        <v>1.3888888888888889E-3</v>
      </c>
    </row>
    <row r="104" spans="1:15" ht="35.1" customHeight="1">
      <c r="A104" s="6"/>
      <c r="B104" s="156" t="s">
        <v>20</v>
      </c>
      <c r="C104" s="157" t="s">
        <v>396</v>
      </c>
      <c r="D104" s="157" t="s">
        <v>397</v>
      </c>
      <c r="E104" s="158" t="s">
        <v>360</v>
      </c>
      <c r="F104" s="158" t="s">
        <v>21</v>
      </c>
      <c r="G104" s="158" t="s">
        <v>398</v>
      </c>
      <c r="H104" s="159">
        <v>45986</v>
      </c>
      <c r="I104" s="172" t="s">
        <v>132</v>
      </c>
      <c r="J104" s="172" t="s">
        <v>61</v>
      </c>
      <c r="K104" s="172">
        <v>0</v>
      </c>
      <c r="L104" s="172" t="s">
        <v>399</v>
      </c>
      <c r="M104" s="172" t="s">
        <v>400</v>
      </c>
      <c r="N104" s="157">
        <v>2</v>
      </c>
      <c r="O104" s="160">
        <v>1.736111111111111E-3</v>
      </c>
    </row>
    <row r="105" spans="1:15" ht="35.1" customHeight="1">
      <c r="A105" s="6"/>
      <c r="B105" s="156" t="s">
        <v>20</v>
      </c>
      <c r="C105" s="157" t="s">
        <v>401</v>
      </c>
      <c r="D105" s="157" t="s">
        <v>402</v>
      </c>
      <c r="E105" s="158" t="s">
        <v>360</v>
      </c>
      <c r="F105" s="158" t="s">
        <v>21</v>
      </c>
      <c r="G105" s="158" t="s">
        <v>323</v>
      </c>
      <c r="H105" s="159">
        <v>45984</v>
      </c>
      <c r="I105" s="77" t="s">
        <v>60</v>
      </c>
      <c r="J105" s="77" t="s">
        <v>61</v>
      </c>
      <c r="K105" s="77">
        <v>0</v>
      </c>
      <c r="L105" s="77" t="s">
        <v>403</v>
      </c>
      <c r="M105" s="77" t="s">
        <v>147</v>
      </c>
      <c r="N105" s="157">
        <v>1</v>
      </c>
      <c r="O105" s="160">
        <v>6.9444444444444447E-4</v>
      </c>
    </row>
    <row r="106" spans="1:15" ht="35.1" customHeight="1" thickTop="1" thickBot="1">
      <c r="A106" s="6"/>
      <c r="B106" s="106" t="s">
        <v>20</v>
      </c>
      <c r="C106" s="100" t="s">
        <v>404</v>
      </c>
      <c r="D106" s="100" t="s">
        <v>405</v>
      </c>
      <c r="E106" s="107"/>
      <c r="F106" s="107"/>
      <c r="G106" s="107"/>
      <c r="H106" s="108"/>
      <c r="I106" s="77" t="s">
        <v>60</v>
      </c>
      <c r="J106" s="77" t="s">
        <v>61</v>
      </c>
      <c r="K106" s="77">
        <v>0</v>
      </c>
      <c r="L106" s="77" t="s">
        <v>406</v>
      </c>
      <c r="M106" s="77" t="s">
        <v>147</v>
      </c>
      <c r="N106" s="100">
        <v>2</v>
      </c>
      <c r="O106" s="109">
        <v>3.4722222222222224E-4</v>
      </c>
    </row>
    <row r="107" spans="1:15" ht="35.1" customHeight="1">
      <c r="A107" s="6"/>
      <c r="B107" s="106" t="s">
        <v>20</v>
      </c>
      <c r="C107" s="100" t="s">
        <v>407</v>
      </c>
      <c r="D107" s="100" t="s">
        <v>408</v>
      </c>
      <c r="E107" s="107"/>
      <c r="F107" s="107"/>
      <c r="G107" s="107"/>
      <c r="H107" s="108"/>
      <c r="I107" s="77" t="s">
        <v>88</v>
      </c>
      <c r="J107" s="77" t="s">
        <v>61</v>
      </c>
      <c r="K107" s="77">
        <v>0</v>
      </c>
      <c r="L107" s="77" t="s">
        <v>409</v>
      </c>
      <c r="M107" s="77" t="s">
        <v>123</v>
      </c>
      <c r="N107" s="100">
        <v>2</v>
      </c>
      <c r="O107" s="109">
        <v>6.9444444444444447E-4</v>
      </c>
    </row>
    <row r="108" spans="1:15" ht="35.1" customHeight="1">
      <c r="A108" s="6"/>
      <c r="B108" s="156" t="s">
        <v>20</v>
      </c>
      <c r="C108" s="157" t="s">
        <v>410</v>
      </c>
      <c r="D108" s="157" t="s">
        <v>411</v>
      </c>
      <c r="E108" s="158" t="s">
        <v>360</v>
      </c>
      <c r="F108" s="158" t="s">
        <v>21</v>
      </c>
      <c r="G108" s="158" t="s">
        <v>323</v>
      </c>
      <c r="H108" s="159">
        <v>45984</v>
      </c>
      <c r="I108" s="77" t="s">
        <v>60</v>
      </c>
      <c r="J108" s="77" t="s">
        <v>61</v>
      </c>
      <c r="K108" s="77">
        <v>0</v>
      </c>
      <c r="L108" s="77" t="s">
        <v>412</v>
      </c>
      <c r="M108" s="77" t="s">
        <v>147</v>
      </c>
      <c r="N108" s="157">
        <v>2</v>
      </c>
      <c r="O108" s="160">
        <v>6.9444444444444447E-4</v>
      </c>
    </row>
    <row r="109" spans="1:15" ht="35.1" customHeight="1" thickTop="1" thickBot="1">
      <c r="A109" s="6"/>
      <c r="B109" s="106" t="s">
        <v>20</v>
      </c>
      <c r="C109" s="100" t="s">
        <v>413</v>
      </c>
      <c r="D109" s="100" t="s">
        <v>414</v>
      </c>
      <c r="E109" s="107"/>
      <c r="F109" s="107"/>
      <c r="G109" s="107"/>
      <c r="H109" s="108"/>
      <c r="I109" s="77" t="s">
        <v>88</v>
      </c>
      <c r="J109" s="77" t="s">
        <v>61</v>
      </c>
      <c r="K109" s="77">
        <v>0</v>
      </c>
      <c r="L109" s="77" t="s">
        <v>415</v>
      </c>
      <c r="M109" s="77" t="s">
        <v>107</v>
      </c>
      <c r="N109" s="100">
        <v>4</v>
      </c>
      <c r="O109" s="109">
        <v>2.0833333333333333E-3</v>
      </c>
    </row>
    <row r="110" spans="1:15" ht="35.1" customHeight="1" thickTop="1" thickBot="1">
      <c r="A110" s="6"/>
      <c r="B110" s="106" t="s">
        <v>20</v>
      </c>
      <c r="C110" s="100" t="s">
        <v>416</v>
      </c>
      <c r="D110" s="100" t="s">
        <v>417</v>
      </c>
      <c r="E110" s="107"/>
      <c r="F110" s="107"/>
      <c r="G110" s="107"/>
      <c r="H110" s="108"/>
      <c r="I110" s="77" t="s">
        <v>60</v>
      </c>
      <c r="J110" s="77" t="s">
        <v>61</v>
      </c>
      <c r="K110" s="77">
        <v>0</v>
      </c>
      <c r="L110" s="77" t="s">
        <v>418</v>
      </c>
      <c r="M110" s="77" t="s">
        <v>107</v>
      </c>
      <c r="N110" s="100">
        <v>2</v>
      </c>
      <c r="O110" s="109">
        <v>6.9444444444444447E-4</v>
      </c>
    </row>
    <row r="111" spans="1:15" ht="35.1" customHeight="1">
      <c r="A111" s="6"/>
      <c r="B111" s="156" t="s">
        <v>20</v>
      </c>
      <c r="C111" s="157" t="s">
        <v>419</v>
      </c>
      <c r="D111" s="157" t="s">
        <v>420</v>
      </c>
      <c r="E111" s="158" t="s">
        <v>360</v>
      </c>
      <c r="F111" s="158" t="s">
        <v>21</v>
      </c>
      <c r="G111" s="158" t="s">
        <v>323</v>
      </c>
      <c r="H111" s="159">
        <v>45984</v>
      </c>
      <c r="I111" s="77" t="s">
        <v>60</v>
      </c>
      <c r="J111" s="77" t="s">
        <v>61</v>
      </c>
      <c r="K111" s="77">
        <v>0</v>
      </c>
      <c r="L111" s="77" t="s">
        <v>421</v>
      </c>
      <c r="M111" s="77" t="s">
        <v>147</v>
      </c>
      <c r="N111" s="157">
        <v>2</v>
      </c>
      <c r="O111" s="160">
        <v>6.9444444444444447E-4</v>
      </c>
    </row>
    <row r="112" spans="1:15" ht="35.1" customHeight="1" thickTop="1" thickBot="1">
      <c r="A112" s="6"/>
      <c r="B112" s="106" t="s">
        <v>20</v>
      </c>
      <c r="C112" s="100" t="s">
        <v>422</v>
      </c>
      <c r="D112" s="100" t="s">
        <v>423</v>
      </c>
      <c r="E112" s="107"/>
      <c r="F112" s="107"/>
      <c r="G112" s="107"/>
      <c r="H112" s="108"/>
      <c r="I112" s="77" t="s">
        <v>88</v>
      </c>
      <c r="J112" s="77" t="s">
        <v>133</v>
      </c>
      <c r="K112" s="77">
        <v>0</v>
      </c>
      <c r="L112" s="77" t="s">
        <v>424</v>
      </c>
      <c r="M112" s="77" t="s">
        <v>107</v>
      </c>
      <c r="N112" s="100">
        <v>2</v>
      </c>
      <c r="O112" s="109">
        <v>1.3888888888888889E-3</v>
      </c>
    </row>
    <row r="113" spans="1:15" ht="35.1" customHeight="1" thickTop="1" thickBot="1">
      <c r="A113" s="188"/>
      <c r="B113" s="111" t="s">
        <v>20</v>
      </c>
      <c r="C113" s="112" t="s">
        <v>425</v>
      </c>
      <c r="D113" s="112" t="s">
        <v>426</v>
      </c>
      <c r="E113" s="113"/>
      <c r="F113" s="113"/>
      <c r="G113" s="113"/>
      <c r="H113" s="114"/>
      <c r="I113" s="77" t="s">
        <v>88</v>
      </c>
      <c r="J113" s="77" t="s">
        <v>61</v>
      </c>
      <c r="K113" s="77">
        <v>0</v>
      </c>
      <c r="L113" s="77" t="s">
        <v>427</v>
      </c>
      <c r="M113" s="77" t="s">
        <v>107</v>
      </c>
      <c r="N113" s="112">
        <v>2</v>
      </c>
      <c r="O113" s="116">
        <v>6.9444444444444447E-4</v>
      </c>
    </row>
    <row r="114" spans="1:15" ht="35.1" customHeight="1" thickTop="1" thickBot="1">
      <c r="A114" s="187"/>
      <c r="B114" s="101" t="s">
        <v>24</v>
      </c>
      <c r="C114" s="102" t="s">
        <v>428</v>
      </c>
      <c r="D114" s="102" t="s">
        <v>429</v>
      </c>
      <c r="E114" s="103"/>
      <c r="F114" s="103"/>
      <c r="G114" s="103"/>
      <c r="H114" s="104"/>
      <c r="I114" s="77" t="s">
        <v>132</v>
      </c>
      <c r="J114" s="77" t="s">
        <v>61</v>
      </c>
      <c r="K114" s="77">
        <v>0</v>
      </c>
      <c r="L114" s="77" t="s">
        <v>430</v>
      </c>
      <c r="M114" s="77" t="s">
        <v>107</v>
      </c>
      <c r="N114" s="102">
        <v>1</v>
      </c>
      <c r="O114" s="105">
        <v>6.9444444444444447E-4</v>
      </c>
    </row>
    <row r="115" spans="1:15" ht="35.1" customHeight="1" thickTop="1" thickBot="1">
      <c r="A115" s="6"/>
      <c r="B115" s="106" t="s">
        <v>24</v>
      </c>
      <c r="C115" s="100" t="s">
        <v>431</v>
      </c>
      <c r="D115" s="100" t="s">
        <v>432</v>
      </c>
      <c r="E115" s="107"/>
      <c r="F115" s="107"/>
      <c r="G115" s="107"/>
      <c r="H115" s="108"/>
      <c r="I115" s="77" t="s">
        <v>132</v>
      </c>
      <c r="J115" s="77" t="s">
        <v>61</v>
      </c>
      <c r="K115" s="77">
        <v>0</v>
      </c>
      <c r="L115" s="77" t="s">
        <v>433</v>
      </c>
      <c r="M115" s="77" t="s">
        <v>239</v>
      </c>
      <c r="N115" s="100">
        <v>1</v>
      </c>
      <c r="O115" s="109">
        <v>4.6296296296296293E-4</v>
      </c>
    </row>
    <row r="116" spans="1:15" ht="35.1" customHeight="1" thickTop="1" thickBot="1">
      <c r="A116" s="6"/>
      <c r="B116" s="106" t="s">
        <v>24</v>
      </c>
      <c r="C116" s="100" t="s">
        <v>434</v>
      </c>
      <c r="D116" s="100" t="s">
        <v>435</v>
      </c>
      <c r="E116" s="107"/>
      <c r="F116" s="107"/>
      <c r="G116" s="107"/>
      <c r="H116" s="108"/>
      <c r="I116" s="77" t="s">
        <v>132</v>
      </c>
      <c r="J116" s="77" t="s">
        <v>61</v>
      </c>
      <c r="K116" s="77">
        <v>0</v>
      </c>
      <c r="L116" s="77" t="s">
        <v>436</v>
      </c>
      <c r="M116" s="77" t="s">
        <v>239</v>
      </c>
      <c r="N116" s="100">
        <v>1</v>
      </c>
      <c r="O116" s="109">
        <v>6.9444444444444447E-4</v>
      </c>
    </row>
    <row r="117" spans="1:15" ht="35.1" customHeight="1" thickTop="1" thickBot="1">
      <c r="A117" s="6"/>
      <c r="B117" s="106" t="s">
        <v>24</v>
      </c>
      <c r="C117" s="100" t="s">
        <v>437</v>
      </c>
      <c r="D117" s="100" t="s">
        <v>438</v>
      </c>
      <c r="E117" s="107"/>
      <c r="F117" s="107"/>
      <c r="G117" s="107"/>
      <c r="H117" s="108"/>
      <c r="I117" s="77" t="s">
        <v>132</v>
      </c>
      <c r="J117" s="77" t="s">
        <v>61</v>
      </c>
      <c r="K117" s="77">
        <v>0</v>
      </c>
      <c r="L117" s="77" t="s">
        <v>439</v>
      </c>
      <c r="M117" s="77" t="s">
        <v>440</v>
      </c>
      <c r="N117" s="100">
        <v>1</v>
      </c>
      <c r="O117" s="109">
        <v>6.9444444444444447E-4</v>
      </c>
    </row>
    <row r="118" spans="1:15" ht="35.1" customHeight="1" thickTop="1" thickBot="1">
      <c r="A118" s="6"/>
      <c r="B118" s="106" t="s">
        <v>24</v>
      </c>
      <c r="C118" s="100" t="s">
        <v>441</v>
      </c>
      <c r="D118" s="100" t="s">
        <v>442</v>
      </c>
      <c r="E118" s="107"/>
      <c r="F118" s="107"/>
      <c r="G118" s="107"/>
      <c r="H118" s="108"/>
      <c r="I118" s="77" t="s">
        <v>132</v>
      </c>
      <c r="J118" s="77" t="s">
        <v>61</v>
      </c>
      <c r="K118" s="77">
        <v>0</v>
      </c>
      <c r="L118" s="77" t="s">
        <v>443</v>
      </c>
      <c r="M118" s="77" t="s">
        <v>440</v>
      </c>
      <c r="N118" s="100">
        <v>1</v>
      </c>
      <c r="O118" s="109">
        <v>6.9444444444444447E-4</v>
      </c>
    </row>
    <row r="119" spans="1:15" ht="35.1" customHeight="1" thickTop="1" thickBot="1">
      <c r="A119" s="6"/>
      <c r="B119" s="106" t="s">
        <v>24</v>
      </c>
      <c r="C119" s="100" t="s">
        <v>444</v>
      </c>
      <c r="D119" s="100" t="s">
        <v>445</v>
      </c>
      <c r="E119" s="107"/>
      <c r="F119" s="107"/>
      <c r="G119" s="107"/>
      <c r="H119" s="108"/>
      <c r="I119" s="77" t="s">
        <v>132</v>
      </c>
      <c r="J119" s="77" t="s">
        <v>61</v>
      </c>
      <c r="K119" s="77">
        <v>0</v>
      </c>
      <c r="L119" s="77" t="s">
        <v>446</v>
      </c>
      <c r="M119" s="77" t="s">
        <v>440</v>
      </c>
      <c r="N119" s="100">
        <v>1</v>
      </c>
      <c r="O119" s="109">
        <v>3.4722222222222224E-4</v>
      </c>
    </row>
    <row r="120" spans="1:15" ht="35.1" customHeight="1" thickTop="1" thickBot="1">
      <c r="A120" s="6"/>
      <c r="B120" s="106" t="s">
        <v>24</v>
      </c>
      <c r="C120" s="100" t="s">
        <v>447</v>
      </c>
      <c r="D120" s="100" t="s">
        <v>448</v>
      </c>
      <c r="E120" s="107"/>
      <c r="F120" s="107"/>
      <c r="G120" s="107"/>
      <c r="H120" s="108"/>
      <c r="I120" s="77" t="s">
        <v>132</v>
      </c>
      <c r="J120" s="77" t="s">
        <v>61</v>
      </c>
      <c r="K120" s="77">
        <v>0</v>
      </c>
      <c r="L120" s="77" t="s">
        <v>449</v>
      </c>
      <c r="M120" s="77" t="s">
        <v>239</v>
      </c>
      <c r="N120" s="100">
        <v>1</v>
      </c>
      <c r="O120" s="109">
        <v>6.9444444444444447E-4</v>
      </c>
    </row>
    <row r="121" spans="1:15" ht="35.1" customHeight="1" thickTop="1" thickBot="1">
      <c r="A121" s="6"/>
      <c r="B121" s="106" t="s">
        <v>24</v>
      </c>
      <c r="C121" s="100" t="s">
        <v>450</v>
      </c>
      <c r="D121" s="100" t="s">
        <v>451</v>
      </c>
      <c r="E121" s="107"/>
      <c r="F121" s="107"/>
      <c r="G121" s="107"/>
      <c r="H121" s="108"/>
      <c r="I121" s="77" t="s">
        <v>132</v>
      </c>
      <c r="J121" s="77" t="s">
        <v>61</v>
      </c>
      <c r="K121" s="77">
        <v>0</v>
      </c>
      <c r="L121" s="77" t="s">
        <v>452</v>
      </c>
      <c r="M121" s="77" t="s">
        <v>239</v>
      </c>
      <c r="N121" s="100">
        <v>2</v>
      </c>
      <c r="O121" s="109">
        <v>1.0416666666666667E-3</v>
      </c>
    </row>
    <row r="122" spans="1:15" ht="35.1" customHeight="1" thickTop="1" thickBot="1">
      <c r="A122" s="6"/>
      <c r="B122" s="106" t="s">
        <v>24</v>
      </c>
      <c r="C122" s="100" t="s">
        <v>453</v>
      </c>
      <c r="D122" s="100" t="s">
        <v>454</v>
      </c>
      <c r="E122" s="107"/>
      <c r="F122" s="107"/>
      <c r="G122" s="107"/>
      <c r="H122" s="108"/>
      <c r="I122" s="77" t="s">
        <v>132</v>
      </c>
      <c r="J122" s="77" t="s">
        <v>61</v>
      </c>
      <c r="K122" s="77">
        <v>0</v>
      </c>
      <c r="L122" s="77" t="s">
        <v>455</v>
      </c>
      <c r="M122" s="77" t="s">
        <v>239</v>
      </c>
      <c r="N122" s="100">
        <v>1</v>
      </c>
      <c r="O122" s="109">
        <v>1.0416666666666667E-3</v>
      </c>
    </row>
    <row r="123" spans="1:15" ht="35.1" customHeight="1" thickTop="1" thickBot="1">
      <c r="A123" s="6"/>
      <c r="B123" s="106" t="s">
        <v>24</v>
      </c>
      <c r="C123" s="100" t="s">
        <v>456</v>
      </c>
      <c r="D123" s="100" t="s">
        <v>457</v>
      </c>
      <c r="E123" s="107"/>
      <c r="F123" s="107"/>
      <c r="G123" s="107"/>
      <c r="H123" s="108"/>
      <c r="I123" s="77" t="s">
        <v>132</v>
      </c>
      <c r="J123" s="77" t="s">
        <v>61</v>
      </c>
      <c r="K123" s="77">
        <v>0</v>
      </c>
      <c r="L123" s="77" t="s">
        <v>458</v>
      </c>
      <c r="M123" s="77" t="s">
        <v>147</v>
      </c>
      <c r="N123" s="100">
        <v>1</v>
      </c>
      <c r="O123" s="109">
        <v>1.0416666666666667E-3</v>
      </c>
    </row>
    <row r="124" spans="1:15" ht="35.1" customHeight="1" thickTop="1" thickBot="1">
      <c r="A124" s="6"/>
      <c r="B124" s="106" t="s">
        <v>24</v>
      </c>
      <c r="C124" s="100" t="s">
        <v>459</v>
      </c>
      <c r="D124" s="100" t="s">
        <v>460</v>
      </c>
      <c r="E124" s="107"/>
      <c r="F124" s="107"/>
      <c r="G124" s="107"/>
      <c r="H124" s="108"/>
      <c r="I124" s="77" t="s">
        <v>88</v>
      </c>
      <c r="J124" s="77" t="s">
        <v>61</v>
      </c>
      <c r="K124" s="77">
        <v>0</v>
      </c>
      <c r="L124" s="77" t="s">
        <v>461</v>
      </c>
      <c r="M124" s="77" t="s">
        <v>462</v>
      </c>
      <c r="N124" s="100">
        <v>2</v>
      </c>
      <c r="O124" s="109">
        <v>6.9444444444444447E-4</v>
      </c>
    </row>
    <row r="125" spans="1:15" ht="35.1" customHeight="1" thickTop="1" thickBot="1">
      <c r="A125" s="6"/>
      <c r="B125" s="106" t="s">
        <v>24</v>
      </c>
      <c r="C125" s="100" t="s">
        <v>463</v>
      </c>
      <c r="D125" s="100" t="s">
        <v>464</v>
      </c>
      <c r="E125" s="107"/>
      <c r="F125" s="107"/>
      <c r="G125" s="107"/>
      <c r="H125" s="108"/>
      <c r="I125" s="77" t="s">
        <v>88</v>
      </c>
      <c r="J125" s="77" t="s">
        <v>133</v>
      </c>
      <c r="K125" s="77">
        <v>0</v>
      </c>
      <c r="L125" s="77" t="s">
        <v>392</v>
      </c>
      <c r="M125" s="77" t="s">
        <v>107</v>
      </c>
      <c r="N125" s="100">
        <v>3</v>
      </c>
      <c r="O125" s="109">
        <v>1.736111111111111E-3</v>
      </c>
    </row>
    <row r="126" spans="1:15" ht="35.1" customHeight="1" thickTop="1" thickBot="1">
      <c r="A126" s="6"/>
      <c r="B126" s="106" t="s">
        <v>24</v>
      </c>
      <c r="C126" s="100" t="s">
        <v>465</v>
      </c>
      <c r="D126" s="100" t="s">
        <v>466</v>
      </c>
      <c r="E126" s="107"/>
      <c r="F126" s="107"/>
      <c r="G126" s="107"/>
      <c r="H126" s="108"/>
      <c r="I126" s="77" t="s">
        <v>60</v>
      </c>
      <c r="J126" s="77" t="s">
        <v>61</v>
      </c>
      <c r="K126" s="77">
        <v>0</v>
      </c>
      <c r="L126" s="77">
        <v>0</v>
      </c>
      <c r="M126" s="77" t="s">
        <v>147</v>
      </c>
      <c r="N126" s="100">
        <v>2</v>
      </c>
      <c r="O126" s="109">
        <v>6.9444444444444447E-4</v>
      </c>
    </row>
    <row r="127" spans="1:15" ht="35.1" customHeight="1" thickTop="1" thickBot="1">
      <c r="A127" s="117"/>
      <c r="B127" s="111" t="s">
        <v>24</v>
      </c>
      <c r="C127" s="112" t="s">
        <v>467</v>
      </c>
      <c r="D127" s="112" t="s">
        <v>468</v>
      </c>
      <c r="E127" s="113"/>
      <c r="F127" s="113"/>
      <c r="G127" s="113"/>
      <c r="H127" s="114"/>
      <c r="I127" s="77" t="s">
        <v>60</v>
      </c>
      <c r="J127" s="77" t="s">
        <v>61</v>
      </c>
      <c r="K127" s="77">
        <v>0</v>
      </c>
      <c r="L127" s="77" t="s">
        <v>469</v>
      </c>
      <c r="M127" s="77" t="s">
        <v>470</v>
      </c>
      <c r="N127" s="112">
        <v>2</v>
      </c>
      <c r="O127" s="116">
        <v>6.9444444444444447E-4</v>
      </c>
    </row>
    <row r="128" spans="1:15" ht="61.5" thickTop="1" thickBot="1">
      <c r="A128" s="118"/>
      <c r="B128" s="119" t="s">
        <v>471</v>
      </c>
      <c r="C128" s="120" t="s">
        <v>472</v>
      </c>
      <c r="D128" s="120" t="s">
        <v>473</v>
      </c>
      <c r="E128" s="121"/>
      <c r="F128" s="121"/>
      <c r="G128" s="121"/>
      <c r="H128" s="122"/>
      <c r="I128" s="77" t="s">
        <v>88</v>
      </c>
      <c r="J128" s="77" t="s">
        <v>133</v>
      </c>
      <c r="K128" s="77">
        <v>0</v>
      </c>
      <c r="L128" s="77" t="s">
        <v>474</v>
      </c>
      <c r="M128" s="77" t="s">
        <v>475</v>
      </c>
      <c r="N128" s="123">
        <v>2</v>
      </c>
      <c r="O128" s="124">
        <v>2.0013888888888891</v>
      </c>
    </row>
    <row r="129" spans="2:15" ht="16.5" thickTop="1" thickBot="1">
      <c r="B129" s="119"/>
      <c r="C129" s="125"/>
      <c r="D129" s="125"/>
      <c r="E129" s="125"/>
      <c r="F129" s="125"/>
      <c r="G129" s="125"/>
      <c r="H129" s="126"/>
      <c r="I129" s="120"/>
      <c r="J129" s="125"/>
      <c r="K129" s="125"/>
      <c r="L129" s="125"/>
      <c r="M129" s="125"/>
      <c r="N129" s="125"/>
      <c r="O129" s="127"/>
    </row>
    <row r="130" spans="2:15" ht="15.75" thickTop="1"/>
  </sheetData>
  <autoFilter ref="A2:O128" xr:uid="{F9976FA7-4D4F-48EE-A7BD-4E9E5B149848}"/>
  <phoneticPr fontId="7" type="noConversion"/>
  <conditionalFormatting sqref="C3:D22 C41:D46 C48:D51 N48:O124 C64:D64 C66:D77 C65 C53:D62 C52 C90:D105 C107:D127 C106 C79:D88 C78">
    <cfRule type="expression" dxfId="163" priority="32">
      <formula>AND(OR($E3="No",$E3=""), $D3= "Yes",$F3&lt;&gt;"",$G3&lt;&gt;"")</formula>
    </cfRule>
  </conditionalFormatting>
  <conditionalFormatting sqref="C26:D26 C35:D40">
    <cfRule type="expression" dxfId="162" priority="33">
      <formula>AND(OR($E27="No",$E27=""), $D26= "Yes",$F26&lt;&gt;"",$G26&lt;&gt;"")</formula>
    </cfRule>
  </conditionalFormatting>
  <conditionalFormatting sqref="C27:D34">
    <cfRule type="expression" dxfId="161" priority="31">
      <formula>AND(OR($E28="No",$E28=""), $D27= "Yes",$F27&lt;&gt;"",$G27&lt;&gt;"")</formula>
    </cfRule>
  </conditionalFormatting>
  <conditionalFormatting sqref="N41:O41 N127:O127 O125:O126 N43:O46">
    <cfRule type="expression" dxfId="160" priority="25">
      <formula>AND(OR($E41="No",$E41=""), $D41= "Yes",$F41&lt;&gt;"",$G41&lt;&gt;"")</formula>
    </cfRule>
  </conditionalFormatting>
  <conditionalFormatting sqref="N3:O19 N21:O22 N20">
    <cfRule type="expression" dxfId="159" priority="23">
      <formula>AND(OR($E3="No",$E3=""), $D3= "Yes",$F3&lt;&gt;"",$G3&lt;&gt;"")</formula>
    </cfRule>
  </conditionalFormatting>
  <conditionalFormatting sqref="N26:O40">
    <cfRule type="expression" dxfId="158" priority="24">
      <formula>AND(OR($E27="No",$E27=""), $D26= "Yes",$F26&lt;&gt;"",$G26&lt;&gt;"")</formula>
    </cfRule>
  </conditionalFormatting>
  <conditionalFormatting sqref="N126">
    <cfRule type="expression" dxfId="157" priority="26">
      <formula>AND(OR($E125="No",$E125=""), $D125= "Yes",$F125&lt;&gt;"",$G125&lt;&gt;"")</formula>
    </cfRule>
  </conditionalFormatting>
  <conditionalFormatting sqref="O20">
    <cfRule type="expression" dxfId="156" priority="22">
      <formula>AND(OR($E20="No",$E20=""), $D20= "Yes",$F20&lt;&gt;"",$G20&lt;&gt;"")</formula>
    </cfRule>
  </conditionalFormatting>
  <conditionalFormatting sqref="N125">
    <cfRule type="expression" dxfId="155" priority="21">
      <formula>AND(OR($E125="No",$E125=""), $D125= "Yes",$F125&lt;&gt;"",$G125&lt;&gt;"")</formula>
    </cfRule>
  </conditionalFormatting>
  <conditionalFormatting sqref="N42:O42">
    <cfRule type="expression" dxfId="154" priority="20">
      <formula>AND(OR($F42="No",$F42=""), $E42= "Yes",$G42&lt;&gt;"",$H42&lt;&gt;"")</formula>
    </cfRule>
  </conditionalFormatting>
  <conditionalFormatting sqref="N23:O25 C23:H24">
    <cfRule type="expression" dxfId="153" priority="17">
      <formula>AND(OR($E23="No",$E23=""), $D23= "Yes",$F23&lt;&gt;"",$G23&lt;&gt;"")</formula>
    </cfRule>
  </conditionalFormatting>
  <conditionalFormatting sqref="C25:D25">
    <cfRule type="expression" dxfId="152" priority="16">
      <formula>AND(OR($E25="No",$E25=""), $D25= "Yes",$F25&lt;&gt;"",$G25&lt;&gt;"")</formula>
    </cfRule>
  </conditionalFormatting>
  <conditionalFormatting sqref="F68:H70">
    <cfRule type="expression" dxfId="151" priority="14">
      <formula>AND(OR($E68="No",$E68=""), $F68= "Yes",$G68&lt;&gt;"",$H68&lt;&gt;"")</formula>
    </cfRule>
    <cfRule type="expression" dxfId="150" priority="15">
      <formula>AND(OR($F68="No",$F68=""), $E68= "Yes",$G68&lt;&gt;"",$H68&lt;&gt;"")</formula>
    </cfRule>
  </conditionalFormatting>
  <conditionalFormatting sqref="F79:H79">
    <cfRule type="expression" dxfId="149" priority="12">
      <formula>AND(OR($E79="No",$E79=""), $F79= "Yes",$G79&lt;&gt;"",$H79&lt;&gt;"")</formula>
    </cfRule>
    <cfRule type="expression" dxfId="148" priority="13">
      <formula>AND(OR($F79="No",$F79=""), $E79= "Yes",$G79&lt;&gt;"",$H79&lt;&gt;"")</formula>
    </cfRule>
  </conditionalFormatting>
  <conditionalFormatting sqref="I3:M128">
    <cfRule type="expression" dxfId="147" priority="11">
      <formula>AND(OR($E3="No",$E3=""), $D3= "Yes",$F3&lt;&gt;"",$G3&lt;&gt;"")</formula>
    </cfRule>
  </conditionalFormatting>
  <conditionalFormatting sqref="D65">
    <cfRule type="expression" dxfId="146" priority="10">
      <formula>AND(OR($F65="No",$F65=""), $E65= "Yes",$G65&lt;&gt;"",$H65&lt;&gt;"")</formula>
    </cfRule>
  </conditionalFormatting>
  <conditionalFormatting sqref="D52">
    <cfRule type="expression" dxfId="145" priority="9">
      <formula>AND(OR($F52="No",$F52=""), $E52= "Yes",$G52&lt;&gt;"",$H52&lt;&gt;"")</formula>
    </cfRule>
  </conditionalFormatting>
  <conditionalFormatting sqref="C89:D89">
    <cfRule type="expression" dxfId="144" priority="7">
      <formula>AND(OR($E89="No",$E89=""), $F89= "Yes",$G89&lt;&gt;"",$H89&lt;&gt;"")</formula>
    </cfRule>
    <cfRule type="expression" dxfId="143" priority="8">
      <formula>AND(OR($F89="No",$F89=""), $E89= "Yes",$G89&lt;&gt;"",$H89&lt;&gt;"")</formula>
    </cfRule>
  </conditionalFormatting>
  <conditionalFormatting sqref="D106">
    <cfRule type="expression" dxfId="142" priority="6">
      <formula>AND(OR($F106="No",$F106=""), $E106= "Yes",$G106&lt;&gt;"",$H106&lt;&gt;"")</formula>
    </cfRule>
  </conditionalFormatting>
  <conditionalFormatting sqref="D78">
    <cfRule type="expression" dxfId="141" priority="5">
      <formula>AND(OR($F78="No",$F78=""), $E78= "Yes",$G78&lt;&gt;"",$H78&lt;&gt;"")</formula>
    </cfRule>
  </conditionalFormatting>
  <conditionalFormatting sqref="H71:H78">
    <cfRule type="expression" dxfId="140" priority="3">
      <formula>AND(OR($E71="No",$E71=""), $F71= "Yes",$G71&lt;&gt;"",$H71&lt;&gt;"")</formula>
    </cfRule>
    <cfRule type="expression" dxfId="139" priority="4">
      <formula>AND(OR($F71="No",$F71=""), $E71= "Yes",$G71&lt;&gt;"",$H71&lt;&gt;"")</formula>
    </cfRule>
  </conditionalFormatting>
  <conditionalFormatting sqref="G37:G38">
    <cfRule type="expression" dxfId="138" priority="1">
      <formula>AND(OR($F37="No",$F37=""), $E37= "Yes",$G37&lt;&gt;"",$H37&lt;&gt;"")</formula>
    </cfRule>
    <cfRule type="expression" dxfId="137" priority="2">
      <formula>AND(OR($E37="No",$E37=""), $F37= "Yes",$G37&lt;&gt;"",$H37&lt;&gt;"")</formula>
    </cfRule>
  </conditionalFormatting>
  <dataValidations count="1">
    <dataValidation type="list" allowBlank="1" showInputMessage="1" showErrorMessage="1" sqref="E1:F2 K1:K2 E23:F24 F79 F68:F70" xr:uid="{459544E2-9136-4FFF-AD79-5FB115C5BAB9}">
      <formula1>"Yes, No"</formula1>
    </dataValidation>
  </dataValidations>
  <pageMargins left="0.25" right="0.25" top="0.75" bottom="0.75" header="0.3" footer="0.3"/>
  <pageSetup paperSize="8" fitToHeight="0" orientation="landscape" r:id="rId1"/>
  <extLst>
    <ext xmlns:x14="http://schemas.microsoft.com/office/spreadsheetml/2009/9/main" uri="{78C0D931-6437-407d-A8EE-F0AAD7539E65}">
      <x14:conditionalFormattings>
        <x14:conditionalFormatting xmlns:xm="http://schemas.microsoft.com/office/excel/2006/main">
          <x14:cfRule type="expression" priority="160" id="{00000000-000E-0000-0200-000006000000}">
            <xm:f>AND(OR('DM 4 Car'!$E47="No",'DM 4 Car'!$E47=""), $D47= "Yes",'DM 4 Car'!$F47&lt;&gt;"",'DM 4 Car'!$G47&lt;&gt;"")</xm:f>
            <x14:dxf>
              <fill>
                <patternFill>
                  <bgColor theme="9" tint="0.39994506668294322"/>
                </patternFill>
              </fill>
            </x14:dxf>
          </x14:cfRule>
          <xm:sqref>C47:D47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pageSetUpPr fitToPage="1"/>
  </sheetPr>
  <dimension ref="A1:DC128"/>
  <sheetViews>
    <sheetView zoomScale="60" zoomScaleNormal="60" workbookViewId="0">
      <pane ySplit="2" topLeftCell="A22" activePane="bottomLeft" state="frozen"/>
      <selection pane="bottomLeft" activeCell="H29" sqref="H29"/>
    </sheetView>
  </sheetViews>
  <sheetFormatPr defaultColWidth="8.88671875" defaultRowHeight="15"/>
  <cols>
    <col min="1" max="1" width="7.6640625" style="2" customWidth="1"/>
    <col min="2" max="2" width="7.77734375" style="18" customWidth="1"/>
    <col min="3" max="3" width="60.77734375" style="45" customWidth="1"/>
    <col min="4" max="4" width="38.77734375" style="45" customWidth="1"/>
    <col min="5" max="6" width="7.6640625" style="2" customWidth="1"/>
    <col min="7" max="7" width="61.5546875" style="2" customWidth="1"/>
    <col min="8" max="8" width="14.77734375" style="2" customWidth="1"/>
    <col min="9" max="10" width="10.33203125" style="18" customWidth="1"/>
    <col min="11" max="11" width="10.5546875" style="2" customWidth="1"/>
    <col min="12" max="12" width="14.5546875" style="2" customWidth="1"/>
    <col min="13" max="13" width="27.33203125" style="2" customWidth="1"/>
    <col min="14" max="14" width="10.21875" style="2" customWidth="1"/>
    <col min="15" max="15" width="8.88671875" style="2" customWidth="1"/>
    <col min="16" max="16384" width="8.88671875" style="2"/>
  </cols>
  <sheetData>
    <row r="1" spans="1:15" ht="16.5" thickBot="1">
      <c r="A1" s="21"/>
      <c r="B1" s="69" t="s">
        <v>47</v>
      </c>
      <c r="C1" s="57" t="s">
        <v>476</v>
      </c>
      <c r="D1" s="44"/>
      <c r="E1" s="5"/>
      <c r="F1" s="5"/>
      <c r="G1" s="5"/>
      <c r="H1" s="5"/>
      <c r="I1" s="19"/>
      <c r="J1" s="19"/>
      <c r="K1" s="5"/>
      <c r="L1" s="5"/>
    </row>
    <row r="2" spans="1:15" s="6" customFormat="1" ht="89.25" thickBot="1">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ht="35.1" customHeight="1" thickTop="1" thickBot="1">
      <c r="A3" s="181"/>
      <c r="B3" s="92" t="s">
        <v>10</v>
      </c>
      <c r="C3" s="78" t="s">
        <v>477</v>
      </c>
      <c r="D3" s="78" t="s">
        <v>478</v>
      </c>
      <c r="E3" s="78" t="s">
        <v>11</v>
      </c>
      <c r="F3" s="78" t="s">
        <v>21</v>
      </c>
      <c r="G3" s="78" t="s">
        <v>58</v>
      </c>
      <c r="H3" s="87" t="s">
        <v>59</v>
      </c>
      <c r="I3" s="78" t="s">
        <v>60</v>
      </c>
      <c r="J3" s="78" t="s">
        <v>61</v>
      </c>
      <c r="K3" s="78">
        <v>0</v>
      </c>
      <c r="L3" s="78" t="s">
        <v>479</v>
      </c>
      <c r="M3" s="78" t="s">
        <v>63</v>
      </c>
      <c r="N3" s="78">
        <v>2</v>
      </c>
      <c r="O3" s="79">
        <v>5.2083333333333333E-4</v>
      </c>
    </row>
    <row r="4" spans="1:15" ht="35.1" customHeight="1" thickTop="1" thickBot="1">
      <c r="A4" s="181"/>
      <c r="B4" s="89" t="s">
        <v>10</v>
      </c>
      <c r="C4" s="73" t="s">
        <v>480</v>
      </c>
      <c r="D4" s="73" t="s">
        <v>481</v>
      </c>
      <c r="E4" s="73" t="s">
        <v>11</v>
      </c>
      <c r="F4" s="73" t="s">
        <v>21</v>
      </c>
      <c r="G4" s="73" t="s">
        <v>58</v>
      </c>
      <c r="H4" s="86" t="s">
        <v>59</v>
      </c>
      <c r="I4" s="78" t="s">
        <v>60</v>
      </c>
      <c r="J4" s="78" t="s">
        <v>61</v>
      </c>
      <c r="K4" s="78">
        <v>0</v>
      </c>
      <c r="L4" s="78" t="s">
        <v>66</v>
      </c>
      <c r="M4" s="78" t="s">
        <v>67</v>
      </c>
      <c r="N4" s="73">
        <v>1</v>
      </c>
      <c r="O4" s="80">
        <v>1.3888888888888889E-3</v>
      </c>
    </row>
    <row r="5" spans="1:15" ht="35.1" customHeight="1" thickTop="1" thickBot="1">
      <c r="A5" s="181"/>
      <c r="B5" s="89" t="s">
        <v>10</v>
      </c>
      <c r="C5" s="73" t="s">
        <v>482</v>
      </c>
      <c r="D5" s="73" t="s">
        <v>483</v>
      </c>
      <c r="E5" s="73" t="s">
        <v>11</v>
      </c>
      <c r="F5" s="73" t="s">
        <v>21</v>
      </c>
      <c r="G5" s="73" t="s">
        <v>58</v>
      </c>
      <c r="H5" s="86" t="s">
        <v>59</v>
      </c>
      <c r="I5" s="78" t="s">
        <v>60</v>
      </c>
      <c r="J5" s="78" t="s">
        <v>61</v>
      </c>
      <c r="K5" s="78">
        <v>0</v>
      </c>
      <c r="L5" s="78" t="s">
        <v>94</v>
      </c>
      <c r="M5" s="78" t="s">
        <v>63</v>
      </c>
      <c r="N5" s="73">
        <v>1</v>
      </c>
      <c r="O5" s="80">
        <v>2.0833333333333333E-3</v>
      </c>
    </row>
    <row r="6" spans="1:15" ht="35.1" customHeight="1" thickTop="1" thickBot="1">
      <c r="A6" s="180"/>
      <c r="B6" s="91" t="s">
        <v>10</v>
      </c>
      <c r="C6" s="84" t="s">
        <v>484</v>
      </c>
      <c r="D6" s="84" t="s">
        <v>485</v>
      </c>
      <c r="E6" s="84" t="s">
        <v>11</v>
      </c>
      <c r="F6" s="84" t="s">
        <v>21</v>
      </c>
      <c r="G6" s="84" t="s">
        <v>58</v>
      </c>
      <c r="H6" s="88" t="s">
        <v>59</v>
      </c>
      <c r="I6" s="78" t="s">
        <v>60</v>
      </c>
      <c r="J6" s="78" t="s">
        <v>61</v>
      </c>
      <c r="K6" s="78">
        <v>0</v>
      </c>
      <c r="L6" s="78" t="s">
        <v>99</v>
      </c>
      <c r="M6" s="78" t="s">
        <v>63</v>
      </c>
      <c r="N6" s="84">
        <v>1</v>
      </c>
      <c r="O6" s="85">
        <v>1.0416666666666667E-3</v>
      </c>
    </row>
    <row r="7" spans="1:15" ht="35.1" customHeight="1" thickTop="1" thickBot="1">
      <c r="A7" s="181"/>
      <c r="B7" s="92" t="s">
        <v>13</v>
      </c>
      <c r="C7" s="78" t="s">
        <v>486</v>
      </c>
      <c r="D7" s="78" t="s">
        <v>487</v>
      </c>
      <c r="E7" s="78" t="s">
        <v>11</v>
      </c>
      <c r="F7" s="78" t="s">
        <v>21</v>
      </c>
      <c r="G7" s="78">
        <v>0</v>
      </c>
      <c r="H7" s="87">
        <v>45389</v>
      </c>
      <c r="I7" s="78" t="s">
        <v>132</v>
      </c>
      <c r="J7" s="78" t="s">
        <v>133</v>
      </c>
      <c r="K7" s="78">
        <v>0</v>
      </c>
      <c r="L7" s="78" t="s">
        <v>134</v>
      </c>
      <c r="M7" s="78" t="s">
        <v>107</v>
      </c>
      <c r="N7" s="78">
        <v>4</v>
      </c>
      <c r="O7" s="79">
        <v>1.736111111111111E-3</v>
      </c>
    </row>
    <row r="8" spans="1:15" ht="35.1" customHeight="1" thickTop="1" thickBot="1">
      <c r="A8" s="181"/>
      <c r="B8" s="89" t="s">
        <v>13</v>
      </c>
      <c r="C8" s="73" t="s">
        <v>488</v>
      </c>
      <c r="D8" s="73" t="s">
        <v>489</v>
      </c>
      <c r="E8" s="73" t="s">
        <v>11</v>
      </c>
      <c r="F8" s="73" t="s">
        <v>21</v>
      </c>
      <c r="G8" s="73" t="s">
        <v>137</v>
      </c>
      <c r="H8" s="86">
        <v>45392</v>
      </c>
      <c r="I8" s="78" t="s">
        <v>132</v>
      </c>
      <c r="J8" s="78" t="s">
        <v>133</v>
      </c>
      <c r="K8" s="78">
        <v>0</v>
      </c>
      <c r="L8" s="78" t="s">
        <v>134</v>
      </c>
      <c r="M8" s="78" t="s">
        <v>107</v>
      </c>
      <c r="N8" s="73">
        <v>4</v>
      </c>
      <c r="O8" s="80">
        <v>1.736111111111111E-3</v>
      </c>
    </row>
    <row r="9" spans="1:15" ht="35.1" customHeight="1" thickTop="1" thickBot="1">
      <c r="A9" s="181"/>
      <c r="B9" s="89" t="s">
        <v>13</v>
      </c>
      <c r="C9" s="73" t="s">
        <v>490</v>
      </c>
      <c r="D9" s="73" t="s">
        <v>491</v>
      </c>
      <c r="E9" s="73" t="s">
        <v>11</v>
      </c>
      <c r="F9" s="73" t="s">
        <v>21</v>
      </c>
      <c r="G9" s="73" t="s">
        <v>137</v>
      </c>
      <c r="H9" s="86">
        <v>45389</v>
      </c>
      <c r="I9" s="78" t="s">
        <v>132</v>
      </c>
      <c r="J9" s="78" t="s">
        <v>133</v>
      </c>
      <c r="K9" s="78">
        <v>0</v>
      </c>
      <c r="L9" s="78" t="s">
        <v>134</v>
      </c>
      <c r="M9" s="78" t="s">
        <v>107</v>
      </c>
      <c r="N9" s="73">
        <v>4</v>
      </c>
      <c r="O9" s="80">
        <v>1.736111111111111E-3</v>
      </c>
    </row>
    <row r="10" spans="1:15" ht="35.1" customHeight="1" thickTop="1" thickBot="1">
      <c r="A10" s="181"/>
      <c r="B10" s="89" t="s">
        <v>13</v>
      </c>
      <c r="C10" s="73" t="s">
        <v>492</v>
      </c>
      <c r="D10" s="73" t="s">
        <v>493</v>
      </c>
      <c r="E10" s="73" t="s">
        <v>11</v>
      </c>
      <c r="F10" s="73" t="s">
        <v>21</v>
      </c>
      <c r="G10" s="73" t="s">
        <v>137</v>
      </c>
      <c r="H10" s="86">
        <v>45392</v>
      </c>
      <c r="I10" s="78" t="s">
        <v>132</v>
      </c>
      <c r="J10" s="78" t="s">
        <v>133</v>
      </c>
      <c r="K10" s="78">
        <v>0</v>
      </c>
      <c r="L10" s="78" t="s">
        <v>134</v>
      </c>
      <c r="M10" s="78" t="s">
        <v>107</v>
      </c>
      <c r="N10" s="73">
        <v>4</v>
      </c>
      <c r="O10" s="80">
        <v>1.736111111111111E-3</v>
      </c>
    </row>
    <row r="11" spans="1:15" ht="35.1" customHeight="1" thickTop="1" thickBot="1">
      <c r="A11" s="181"/>
      <c r="B11" s="89" t="s">
        <v>13</v>
      </c>
      <c r="C11" s="73" t="s">
        <v>494</v>
      </c>
      <c r="D11" s="73" t="s">
        <v>495</v>
      </c>
      <c r="E11" s="73" t="s">
        <v>11</v>
      </c>
      <c r="F11" s="73" t="s">
        <v>21</v>
      </c>
      <c r="G11" s="73" t="s">
        <v>155</v>
      </c>
      <c r="H11" s="86">
        <v>45394</v>
      </c>
      <c r="I11" s="78" t="s">
        <v>132</v>
      </c>
      <c r="J11" s="78" t="s">
        <v>61</v>
      </c>
      <c r="K11" s="78">
        <v>0</v>
      </c>
      <c r="L11" s="78" t="s">
        <v>496</v>
      </c>
      <c r="M11" s="78" t="s">
        <v>147</v>
      </c>
      <c r="N11" s="73">
        <v>1</v>
      </c>
      <c r="O11" s="80">
        <v>6.9444444444444447E-4</v>
      </c>
    </row>
    <row r="12" spans="1:15" ht="35.1" customHeight="1" thickTop="1" thickBot="1">
      <c r="A12" s="181"/>
      <c r="B12" s="89" t="s">
        <v>13</v>
      </c>
      <c r="C12" s="73" t="s">
        <v>497</v>
      </c>
      <c r="D12" s="73" t="s">
        <v>498</v>
      </c>
      <c r="E12" s="73" t="s">
        <v>11</v>
      </c>
      <c r="F12" s="73" t="s">
        <v>21</v>
      </c>
      <c r="G12" s="73" t="s">
        <v>137</v>
      </c>
      <c r="H12" s="86">
        <v>45392</v>
      </c>
      <c r="I12" s="78" t="s">
        <v>60</v>
      </c>
      <c r="J12" s="78" t="s">
        <v>133</v>
      </c>
      <c r="K12" s="78">
        <v>0</v>
      </c>
      <c r="L12" s="78" t="s">
        <v>163</v>
      </c>
      <c r="M12" s="78" t="s">
        <v>164</v>
      </c>
      <c r="N12" s="73">
        <v>2</v>
      </c>
      <c r="O12" s="80">
        <v>4.6296296296296293E-4</v>
      </c>
    </row>
    <row r="13" spans="1:15" ht="35.1" customHeight="1" thickTop="1" thickBot="1">
      <c r="A13" s="181"/>
      <c r="B13" s="89" t="s">
        <v>13</v>
      </c>
      <c r="C13" s="73" t="s">
        <v>499</v>
      </c>
      <c r="D13" s="73" t="s">
        <v>500</v>
      </c>
      <c r="E13" s="73" t="s">
        <v>11</v>
      </c>
      <c r="F13" s="73" t="s">
        <v>21</v>
      </c>
      <c r="G13" s="73" t="s">
        <v>137</v>
      </c>
      <c r="H13" s="86">
        <v>45392</v>
      </c>
      <c r="I13" s="78" t="s">
        <v>60</v>
      </c>
      <c r="J13" s="78" t="s">
        <v>133</v>
      </c>
      <c r="K13" s="78">
        <v>0</v>
      </c>
      <c r="L13" s="78" t="s">
        <v>163</v>
      </c>
      <c r="M13" s="78" t="s">
        <v>164</v>
      </c>
      <c r="N13" s="73">
        <v>2</v>
      </c>
      <c r="O13" s="80">
        <v>4.6296296296296293E-4</v>
      </c>
    </row>
    <row r="14" spans="1:15" ht="35.1" customHeight="1" thickTop="1" thickBot="1">
      <c r="A14" s="180"/>
      <c r="B14" s="91" t="s">
        <v>13</v>
      </c>
      <c r="C14" s="84" t="s">
        <v>501</v>
      </c>
      <c r="D14" s="84" t="s">
        <v>502</v>
      </c>
      <c r="E14" s="82" t="s">
        <v>11</v>
      </c>
      <c r="F14" s="82" t="s">
        <v>21</v>
      </c>
      <c r="G14" s="82" t="s">
        <v>178</v>
      </c>
      <c r="H14" s="83">
        <v>45397</v>
      </c>
      <c r="I14" s="78" t="s">
        <v>88</v>
      </c>
      <c r="J14" s="78" t="s">
        <v>61</v>
      </c>
      <c r="K14" s="78">
        <v>0</v>
      </c>
      <c r="L14" s="78" t="s">
        <v>503</v>
      </c>
      <c r="M14" s="78" t="s">
        <v>107</v>
      </c>
      <c r="N14" s="84">
        <v>1</v>
      </c>
      <c r="O14" s="85">
        <v>6.9444444444444447E-4</v>
      </c>
    </row>
    <row r="15" spans="1:15" ht="35.1" customHeight="1" thickTop="1" thickBot="1">
      <c r="A15" s="181"/>
      <c r="B15" s="92" t="s">
        <v>16</v>
      </c>
      <c r="C15" s="78" t="s">
        <v>504</v>
      </c>
      <c r="D15" s="78" t="s">
        <v>207</v>
      </c>
      <c r="E15" s="78" t="s">
        <v>11</v>
      </c>
      <c r="F15" s="78" t="s">
        <v>21</v>
      </c>
      <c r="G15" s="78" t="s">
        <v>505</v>
      </c>
      <c r="H15" s="87">
        <v>45394</v>
      </c>
      <c r="I15" s="78" t="s">
        <v>132</v>
      </c>
      <c r="J15" s="78" t="s">
        <v>133</v>
      </c>
      <c r="K15" s="78">
        <v>0</v>
      </c>
      <c r="L15" s="78" t="s">
        <v>209</v>
      </c>
      <c r="M15" s="78" t="s">
        <v>205</v>
      </c>
      <c r="N15" s="78">
        <v>1</v>
      </c>
      <c r="O15" s="79">
        <v>3.4722222222222224E-4</v>
      </c>
    </row>
    <row r="16" spans="1:15" ht="35.1" customHeight="1" thickTop="1" thickBot="1">
      <c r="A16" s="181"/>
      <c r="B16" s="89" t="s">
        <v>16</v>
      </c>
      <c r="C16" s="73" t="s">
        <v>506</v>
      </c>
      <c r="D16" s="73" t="s">
        <v>207</v>
      </c>
      <c r="E16" s="73" t="s">
        <v>11</v>
      </c>
      <c r="F16" s="73" t="s">
        <v>21</v>
      </c>
      <c r="G16" s="73" t="s">
        <v>505</v>
      </c>
      <c r="H16" s="139">
        <v>45394</v>
      </c>
      <c r="I16" s="78" t="s">
        <v>132</v>
      </c>
      <c r="J16" s="78" t="s">
        <v>133</v>
      </c>
      <c r="K16" s="78">
        <v>0</v>
      </c>
      <c r="L16" s="78" t="s">
        <v>209</v>
      </c>
      <c r="M16" s="78" t="s">
        <v>205</v>
      </c>
      <c r="N16" s="73">
        <v>1</v>
      </c>
      <c r="O16" s="80">
        <v>3.4722222222222224E-4</v>
      </c>
    </row>
    <row r="17" spans="1:15" ht="35.1" customHeight="1" thickTop="1" thickBot="1">
      <c r="A17" s="181"/>
      <c r="B17" s="89" t="s">
        <v>16</v>
      </c>
      <c r="C17" s="73" t="s">
        <v>507</v>
      </c>
      <c r="D17" s="73" t="s">
        <v>212</v>
      </c>
      <c r="E17" s="73" t="s">
        <v>11</v>
      </c>
      <c r="F17" s="73" t="s">
        <v>21</v>
      </c>
      <c r="G17" s="73" t="s">
        <v>213</v>
      </c>
      <c r="H17" s="139">
        <v>45391</v>
      </c>
      <c r="I17" s="78" t="s">
        <v>88</v>
      </c>
      <c r="J17" s="78" t="s">
        <v>133</v>
      </c>
      <c r="K17" s="78">
        <v>0</v>
      </c>
      <c r="L17" s="78" t="s">
        <v>508</v>
      </c>
      <c r="M17" s="78" t="s">
        <v>215</v>
      </c>
      <c r="N17" s="73">
        <v>1</v>
      </c>
      <c r="O17" s="80">
        <v>3.4722222222222224E-4</v>
      </c>
    </row>
    <row r="18" spans="1:15" ht="35.1" customHeight="1" thickTop="1" thickBot="1">
      <c r="A18" s="181"/>
      <c r="B18" s="89" t="s">
        <v>16</v>
      </c>
      <c r="C18" s="73" t="s">
        <v>509</v>
      </c>
      <c r="D18" s="73" t="s">
        <v>217</v>
      </c>
      <c r="E18" s="73" t="s">
        <v>11</v>
      </c>
      <c r="F18" s="73" t="s">
        <v>21</v>
      </c>
      <c r="G18" s="73" t="s">
        <v>218</v>
      </c>
      <c r="H18" s="139">
        <v>45390</v>
      </c>
      <c r="I18" s="78" t="s">
        <v>132</v>
      </c>
      <c r="J18" s="78" t="s">
        <v>133</v>
      </c>
      <c r="K18" s="78">
        <v>0</v>
      </c>
      <c r="L18" s="78" t="s">
        <v>219</v>
      </c>
      <c r="M18" s="78" t="s">
        <v>205</v>
      </c>
      <c r="N18" s="73">
        <v>1</v>
      </c>
      <c r="O18" s="80">
        <v>5.7870370370370378E-4</v>
      </c>
    </row>
    <row r="19" spans="1:15" ht="35.1" customHeight="1" thickTop="1" thickBot="1">
      <c r="A19" s="181"/>
      <c r="B19" s="89" t="s">
        <v>16</v>
      </c>
      <c r="C19" s="73" t="s">
        <v>510</v>
      </c>
      <c r="D19" s="73" t="s">
        <v>221</v>
      </c>
      <c r="E19" s="73" t="s">
        <v>11</v>
      </c>
      <c r="F19" s="73" t="s">
        <v>21</v>
      </c>
      <c r="G19" s="73" t="s">
        <v>511</v>
      </c>
      <c r="H19" s="139">
        <v>45394</v>
      </c>
      <c r="I19" s="78" t="s">
        <v>132</v>
      </c>
      <c r="J19" s="78" t="s">
        <v>133</v>
      </c>
      <c r="K19" s="78">
        <v>0</v>
      </c>
      <c r="L19" s="78" t="s">
        <v>223</v>
      </c>
      <c r="M19" s="78" t="s">
        <v>205</v>
      </c>
      <c r="N19" s="73">
        <v>2</v>
      </c>
      <c r="O19" s="80">
        <v>6.9444444444444447E-4</v>
      </c>
    </row>
    <row r="20" spans="1:15" ht="35.1" customHeight="1" thickTop="1" thickBot="1">
      <c r="A20" s="181"/>
      <c r="B20" s="89" t="s">
        <v>16</v>
      </c>
      <c r="C20" s="73" t="s">
        <v>512</v>
      </c>
      <c r="D20" s="73" t="s">
        <v>225</v>
      </c>
      <c r="E20" s="73" t="s">
        <v>11</v>
      </c>
      <c r="F20" s="73" t="s">
        <v>21</v>
      </c>
      <c r="G20" s="73" t="s">
        <v>226</v>
      </c>
      <c r="H20" s="139">
        <v>45391</v>
      </c>
      <c r="I20" s="78" t="s">
        <v>60</v>
      </c>
      <c r="J20" s="78" t="s">
        <v>133</v>
      </c>
      <c r="K20" s="78">
        <v>0</v>
      </c>
      <c r="L20" s="78" t="s">
        <v>227</v>
      </c>
      <c r="M20" s="78" t="s">
        <v>205</v>
      </c>
      <c r="N20" s="73">
        <v>1</v>
      </c>
      <c r="O20" s="80">
        <v>3.4722222222222224E-4</v>
      </c>
    </row>
    <row r="21" spans="1:15" ht="35.1" customHeight="1" thickTop="1" thickBot="1">
      <c r="A21" s="181"/>
      <c r="B21" s="89" t="s">
        <v>16</v>
      </c>
      <c r="C21" s="73" t="s">
        <v>513</v>
      </c>
      <c r="D21" s="73" t="s">
        <v>229</v>
      </c>
      <c r="E21" s="73" t="s">
        <v>11</v>
      </c>
      <c r="F21" s="73" t="s">
        <v>21</v>
      </c>
      <c r="G21" s="73" t="s">
        <v>230</v>
      </c>
      <c r="H21" s="139">
        <v>45390</v>
      </c>
      <c r="I21" s="78" t="s">
        <v>132</v>
      </c>
      <c r="J21" s="78" t="s">
        <v>61</v>
      </c>
      <c r="K21" s="78">
        <v>0</v>
      </c>
      <c r="L21" s="78" t="s">
        <v>219</v>
      </c>
      <c r="M21" s="78" t="s">
        <v>205</v>
      </c>
      <c r="N21" s="73">
        <v>1</v>
      </c>
      <c r="O21" s="80">
        <v>1.0416666666666667E-3</v>
      </c>
    </row>
    <row r="22" spans="1:15" ht="35.1" customHeight="1" thickTop="1" thickBot="1">
      <c r="A22" s="181"/>
      <c r="B22" s="89" t="s">
        <v>16</v>
      </c>
      <c r="C22" s="73" t="s">
        <v>514</v>
      </c>
      <c r="D22" s="73" t="s">
        <v>232</v>
      </c>
      <c r="E22" s="73" t="s">
        <v>11</v>
      </c>
      <c r="F22" s="73" t="s">
        <v>21</v>
      </c>
      <c r="G22" s="73" t="s">
        <v>233</v>
      </c>
      <c r="H22" s="139">
        <v>45390</v>
      </c>
      <c r="I22" s="78" t="s">
        <v>132</v>
      </c>
      <c r="J22" s="78" t="s">
        <v>133</v>
      </c>
      <c r="K22" s="78">
        <v>0</v>
      </c>
      <c r="L22" s="78" t="s">
        <v>234</v>
      </c>
      <c r="M22" s="78" t="s">
        <v>205</v>
      </c>
      <c r="N22" s="73">
        <v>1</v>
      </c>
      <c r="O22" s="80">
        <v>1.1574074074074073E-4</v>
      </c>
    </row>
    <row r="23" spans="1:15" ht="35.1" customHeight="1" thickTop="1" thickBot="1">
      <c r="A23" s="181"/>
      <c r="B23" s="89" t="s">
        <v>16</v>
      </c>
      <c r="C23" s="73" t="s">
        <v>515</v>
      </c>
      <c r="D23" s="73" t="s">
        <v>516</v>
      </c>
      <c r="E23" s="73" t="s">
        <v>11</v>
      </c>
      <c r="F23" s="73" t="s">
        <v>21</v>
      </c>
      <c r="G23" s="73" t="s">
        <v>213</v>
      </c>
      <c r="H23" s="139">
        <v>45391</v>
      </c>
      <c r="I23" s="78" t="s">
        <v>88</v>
      </c>
      <c r="J23" s="78" t="s">
        <v>133</v>
      </c>
      <c r="K23" s="78">
        <v>0</v>
      </c>
      <c r="L23" s="78" t="s">
        <v>517</v>
      </c>
      <c r="M23" s="78" t="s">
        <v>215</v>
      </c>
      <c r="N23" s="73">
        <v>1</v>
      </c>
      <c r="O23" s="80">
        <v>3.4722222222222224E-4</v>
      </c>
    </row>
    <row r="24" spans="1:15" ht="35.1" customHeight="1" thickTop="1" thickBot="1">
      <c r="A24" s="181"/>
      <c r="B24" s="89" t="s">
        <v>16</v>
      </c>
      <c r="C24" s="73" t="s">
        <v>518</v>
      </c>
      <c r="D24" s="73" t="s">
        <v>245</v>
      </c>
      <c r="E24" s="73" t="s">
        <v>11</v>
      </c>
      <c r="F24" s="73" t="s">
        <v>21</v>
      </c>
      <c r="G24" s="73" t="s">
        <v>519</v>
      </c>
      <c r="H24" s="139">
        <v>45390</v>
      </c>
      <c r="I24" s="78" t="s">
        <v>132</v>
      </c>
      <c r="J24" s="78" t="s">
        <v>133</v>
      </c>
      <c r="K24" s="78">
        <v>0</v>
      </c>
      <c r="L24" s="78" t="s">
        <v>247</v>
      </c>
      <c r="M24" s="78" t="s">
        <v>205</v>
      </c>
      <c r="N24" s="73">
        <v>1</v>
      </c>
      <c r="O24" s="80">
        <v>6.9444444444444447E-4</v>
      </c>
    </row>
    <row r="25" spans="1:15" ht="35.1" customHeight="1" thickTop="1" thickBot="1">
      <c r="A25" s="181"/>
      <c r="B25" s="89" t="s">
        <v>16</v>
      </c>
      <c r="C25" s="73" t="s">
        <v>520</v>
      </c>
      <c r="D25" s="73" t="s">
        <v>268</v>
      </c>
      <c r="E25" s="73" t="s">
        <v>11</v>
      </c>
      <c r="F25" s="73" t="s">
        <v>21</v>
      </c>
      <c r="G25" s="73" t="s">
        <v>265</v>
      </c>
      <c r="H25" s="139">
        <v>45391</v>
      </c>
      <c r="I25" s="78" t="s">
        <v>60</v>
      </c>
      <c r="J25" s="78" t="s">
        <v>133</v>
      </c>
      <c r="K25" s="78">
        <v>0</v>
      </c>
      <c r="L25" s="78" t="s">
        <v>269</v>
      </c>
      <c r="M25" s="78" t="s">
        <v>205</v>
      </c>
      <c r="N25" s="73">
        <v>1</v>
      </c>
      <c r="O25" s="80">
        <v>3.4722222222222224E-4</v>
      </c>
    </row>
    <row r="26" spans="1:15" ht="35.1" customHeight="1" thickTop="1" thickBot="1">
      <c r="A26" s="181"/>
      <c r="B26" s="89" t="s">
        <v>16</v>
      </c>
      <c r="C26" s="73" t="s">
        <v>521</v>
      </c>
      <c r="D26" s="73" t="s">
        <v>522</v>
      </c>
      <c r="E26" s="73" t="s">
        <v>11</v>
      </c>
      <c r="F26" s="73" t="s">
        <v>21</v>
      </c>
      <c r="G26" s="73" t="s">
        <v>523</v>
      </c>
      <c r="H26" s="139">
        <v>45391</v>
      </c>
      <c r="I26" s="78" t="s">
        <v>60</v>
      </c>
      <c r="J26" s="78" t="s">
        <v>133</v>
      </c>
      <c r="K26" s="78">
        <v>0</v>
      </c>
      <c r="L26" s="78" t="s">
        <v>524</v>
      </c>
      <c r="M26" s="78" t="s">
        <v>205</v>
      </c>
      <c r="N26" s="73">
        <v>2</v>
      </c>
      <c r="O26" s="80">
        <v>2.3148148148148146E-4</v>
      </c>
    </row>
    <row r="27" spans="1:15" ht="35.1" customHeight="1" thickTop="1" thickBot="1">
      <c r="A27" s="181"/>
      <c r="B27" s="89" t="s">
        <v>16</v>
      </c>
      <c r="C27" s="73" t="s">
        <v>525</v>
      </c>
      <c r="D27" s="73" t="s">
        <v>526</v>
      </c>
      <c r="E27" s="73" t="s">
        <v>11</v>
      </c>
      <c r="F27" s="73" t="s">
        <v>21</v>
      </c>
      <c r="G27" s="73" t="s">
        <v>279</v>
      </c>
      <c r="H27" s="139">
        <v>45391</v>
      </c>
      <c r="I27" s="78" t="s">
        <v>88</v>
      </c>
      <c r="J27" s="78" t="s">
        <v>133</v>
      </c>
      <c r="K27" s="78">
        <v>0</v>
      </c>
      <c r="L27" s="78" t="s">
        <v>527</v>
      </c>
      <c r="M27" s="78" t="s">
        <v>215</v>
      </c>
      <c r="N27" s="73">
        <v>1</v>
      </c>
      <c r="O27" s="80">
        <v>3.4722222222222224E-4</v>
      </c>
    </row>
    <row r="28" spans="1:15" ht="35.1" customHeight="1" thickTop="1" thickBot="1">
      <c r="A28" s="181"/>
      <c r="B28" s="89" t="s">
        <v>16</v>
      </c>
      <c r="C28" s="73" t="s">
        <v>528</v>
      </c>
      <c r="D28" s="73" t="s">
        <v>529</v>
      </c>
      <c r="E28" s="73" t="s">
        <v>11</v>
      </c>
      <c r="F28" s="73" t="s">
        <v>21</v>
      </c>
      <c r="G28" s="73" t="s">
        <v>523</v>
      </c>
      <c r="H28" s="139">
        <v>45391</v>
      </c>
      <c r="I28" s="78" t="s">
        <v>60</v>
      </c>
      <c r="J28" s="78" t="s">
        <v>133</v>
      </c>
      <c r="K28" s="78">
        <v>0</v>
      </c>
      <c r="L28" s="78" t="s">
        <v>530</v>
      </c>
      <c r="M28" s="78" t="s">
        <v>205</v>
      </c>
      <c r="N28" s="73">
        <v>1</v>
      </c>
      <c r="O28" s="80">
        <v>4.6296296296296293E-4</v>
      </c>
    </row>
    <row r="29" spans="1:15" ht="35.1" customHeight="1">
      <c r="A29" s="183"/>
      <c r="B29" s="89" t="s">
        <v>16</v>
      </c>
      <c r="C29" s="73" t="s">
        <v>531</v>
      </c>
      <c r="D29" s="73" t="s">
        <v>532</v>
      </c>
      <c r="E29" s="72" t="s">
        <v>11</v>
      </c>
      <c r="F29" s="138" t="s">
        <v>21</v>
      </c>
      <c r="G29" s="72" t="s">
        <v>533</v>
      </c>
      <c r="H29" s="139">
        <v>45984</v>
      </c>
      <c r="I29" s="78" t="s">
        <v>60</v>
      </c>
      <c r="J29" s="78" t="s">
        <v>61</v>
      </c>
      <c r="K29" s="78">
        <v>0</v>
      </c>
      <c r="L29" s="78" t="s">
        <v>534</v>
      </c>
      <c r="M29" s="78" t="s">
        <v>205</v>
      </c>
      <c r="N29" s="73">
        <v>1</v>
      </c>
      <c r="O29" s="80">
        <v>6.9444444444444447E-4</v>
      </c>
    </row>
    <row r="30" spans="1:15" ht="35.1" customHeight="1" thickTop="1" thickBot="1">
      <c r="A30" s="183"/>
      <c r="B30" s="89" t="s">
        <v>16</v>
      </c>
      <c r="C30" s="73" t="s">
        <v>535</v>
      </c>
      <c r="D30" s="73" t="s">
        <v>536</v>
      </c>
      <c r="E30" s="72" t="s">
        <v>11</v>
      </c>
      <c r="F30" s="138" t="s">
        <v>21</v>
      </c>
      <c r="G30" s="72" t="s">
        <v>279</v>
      </c>
      <c r="H30" s="139">
        <v>45391</v>
      </c>
      <c r="I30" s="78" t="s">
        <v>88</v>
      </c>
      <c r="J30" s="78" t="s">
        <v>133</v>
      </c>
      <c r="K30" s="78">
        <v>0</v>
      </c>
      <c r="L30" s="78" t="s">
        <v>276</v>
      </c>
      <c r="M30" s="78" t="s">
        <v>215</v>
      </c>
      <c r="N30" s="73">
        <v>1</v>
      </c>
      <c r="O30" s="80">
        <v>3.4722222222222224E-4</v>
      </c>
    </row>
    <row r="31" spans="1:15" ht="35.1" customHeight="1" thickTop="1" thickBot="1">
      <c r="A31" s="183"/>
      <c r="B31" s="89" t="s">
        <v>16</v>
      </c>
      <c r="C31" s="73" t="s">
        <v>537</v>
      </c>
      <c r="D31" s="73" t="s">
        <v>538</v>
      </c>
      <c r="E31" s="72" t="s">
        <v>11</v>
      </c>
      <c r="F31" s="138" t="s">
        <v>21</v>
      </c>
      <c r="G31" s="72" t="s">
        <v>539</v>
      </c>
      <c r="H31" s="139">
        <v>45391</v>
      </c>
      <c r="I31" s="78" t="s">
        <v>88</v>
      </c>
      <c r="J31" s="78" t="s">
        <v>133</v>
      </c>
      <c r="K31" s="78">
        <v>0</v>
      </c>
      <c r="L31" s="78" t="s">
        <v>284</v>
      </c>
      <c r="M31" s="78" t="s">
        <v>215</v>
      </c>
      <c r="N31" s="73">
        <v>1</v>
      </c>
      <c r="O31" s="80">
        <v>6.9444444444444447E-4</v>
      </c>
    </row>
    <row r="32" spans="1:15" ht="35.1" customHeight="1" thickTop="1" thickBot="1">
      <c r="A32" s="181"/>
      <c r="B32" s="89" t="s">
        <v>16</v>
      </c>
      <c r="C32" s="73" t="s">
        <v>540</v>
      </c>
      <c r="D32" s="73" t="s">
        <v>286</v>
      </c>
      <c r="E32" s="73" t="s">
        <v>11</v>
      </c>
      <c r="F32" s="73" t="s">
        <v>21</v>
      </c>
      <c r="G32" s="73" t="s">
        <v>287</v>
      </c>
      <c r="H32" s="139">
        <v>45391</v>
      </c>
      <c r="I32" s="78" t="s">
        <v>60</v>
      </c>
      <c r="J32" s="78" t="s">
        <v>133</v>
      </c>
      <c r="K32" s="78">
        <v>0</v>
      </c>
      <c r="L32" s="78" t="s">
        <v>288</v>
      </c>
      <c r="M32" s="78" t="s">
        <v>205</v>
      </c>
      <c r="N32" s="73">
        <v>1</v>
      </c>
      <c r="O32" s="80">
        <v>3.4722222222222224E-4</v>
      </c>
    </row>
    <row r="33" spans="1:107" ht="35.1" customHeight="1">
      <c r="A33" s="181"/>
      <c r="B33" s="106" t="s">
        <v>16</v>
      </c>
      <c r="C33" s="100" t="s">
        <v>541</v>
      </c>
      <c r="D33" s="100" t="s">
        <v>542</v>
      </c>
      <c r="E33" s="100"/>
      <c r="F33" s="100"/>
      <c r="G33" s="100"/>
      <c r="H33" s="130"/>
      <c r="I33" s="78" t="s">
        <v>60</v>
      </c>
      <c r="J33" s="78" t="s">
        <v>133</v>
      </c>
      <c r="K33" s="78">
        <v>0</v>
      </c>
      <c r="L33" s="78" t="s">
        <v>543</v>
      </c>
      <c r="M33" s="78" t="s">
        <v>205</v>
      </c>
      <c r="N33" s="100">
        <v>1</v>
      </c>
      <c r="O33" s="109">
        <v>5.7870370370370378E-4</v>
      </c>
    </row>
    <row r="34" spans="1:107" ht="35.1" customHeight="1">
      <c r="A34" s="181"/>
      <c r="B34" s="89" t="s">
        <v>16</v>
      </c>
      <c r="C34" s="73" t="s">
        <v>544</v>
      </c>
      <c r="D34" s="73" t="s">
        <v>545</v>
      </c>
      <c r="E34" s="157" t="s">
        <v>11</v>
      </c>
      <c r="F34" s="73" t="s">
        <v>21</v>
      </c>
      <c r="G34" s="73" t="s">
        <v>523</v>
      </c>
      <c r="H34" s="139">
        <v>45391</v>
      </c>
      <c r="I34" s="78" t="s">
        <v>60</v>
      </c>
      <c r="J34" s="78" t="s">
        <v>133</v>
      </c>
      <c r="K34" s="78">
        <v>0</v>
      </c>
      <c r="L34" s="78" t="s">
        <v>546</v>
      </c>
      <c r="M34" s="78" t="s">
        <v>205</v>
      </c>
      <c r="N34" s="73">
        <v>1</v>
      </c>
      <c r="O34" s="80">
        <v>2.3148148148148146E-4</v>
      </c>
    </row>
    <row r="35" spans="1:107" ht="35.1" customHeight="1">
      <c r="A35" s="181"/>
      <c r="B35" s="89" t="s">
        <v>16</v>
      </c>
      <c r="C35" s="73" t="s">
        <v>547</v>
      </c>
      <c r="D35" s="73" t="s">
        <v>290</v>
      </c>
      <c r="E35" s="157" t="s">
        <v>11</v>
      </c>
      <c r="F35" s="73" t="s">
        <v>21</v>
      </c>
      <c r="G35" s="73" t="s">
        <v>291</v>
      </c>
      <c r="H35" s="139">
        <v>45390</v>
      </c>
      <c r="I35" s="78" t="s">
        <v>132</v>
      </c>
      <c r="J35" s="78" t="s">
        <v>133</v>
      </c>
      <c r="K35" s="78">
        <v>0</v>
      </c>
      <c r="L35" s="78" t="s">
        <v>292</v>
      </c>
      <c r="M35" s="78" t="s">
        <v>205</v>
      </c>
      <c r="N35" s="73">
        <v>1</v>
      </c>
      <c r="O35" s="80">
        <v>6.9444444444444447E-4</v>
      </c>
    </row>
    <row r="36" spans="1:107" ht="35.1" customHeight="1">
      <c r="A36" s="181"/>
      <c r="B36" s="89" t="s">
        <v>16</v>
      </c>
      <c r="C36" s="73" t="s">
        <v>548</v>
      </c>
      <c r="D36" s="73" t="s">
        <v>549</v>
      </c>
      <c r="E36" s="157" t="s">
        <v>11</v>
      </c>
      <c r="F36" s="73" t="s">
        <v>21</v>
      </c>
      <c r="G36" s="73" t="s">
        <v>310</v>
      </c>
      <c r="H36" s="139">
        <v>45391</v>
      </c>
      <c r="I36" s="78" t="s">
        <v>60</v>
      </c>
      <c r="J36" s="78" t="s">
        <v>133</v>
      </c>
      <c r="K36" s="78">
        <v>0</v>
      </c>
      <c r="L36" s="78" t="s">
        <v>311</v>
      </c>
      <c r="M36" s="78" t="s">
        <v>205</v>
      </c>
      <c r="N36" s="73">
        <v>1</v>
      </c>
      <c r="O36" s="80">
        <v>8.6805555555555551E-4</v>
      </c>
    </row>
    <row r="37" spans="1:107" ht="35.1" customHeight="1">
      <c r="A37" s="181"/>
      <c r="B37" s="89" t="s">
        <v>16</v>
      </c>
      <c r="C37" s="73" t="s">
        <v>550</v>
      </c>
      <c r="D37" s="73" t="s">
        <v>551</v>
      </c>
      <c r="E37" s="157" t="s">
        <v>11</v>
      </c>
      <c r="F37" s="73" t="s">
        <v>21</v>
      </c>
      <c r="G37" s="73" t="s">
        <v>552</v>
      </c>
      <c r="H37" s="139">
        <v>45390</v>
      </c>
      <c r="I37" s="78" t="s">
        <v>132</v>
      </c>
      <c r="J37" s="78" t="s">
        <v>133</v>
      </c>
      <c r="K37" s="78">
        <v>0</v>
      </c>
      <c r="L37" s="78" t="s">
        <v>315</v>
      </c>
      <c r="M37" s="78" t="s">
        <v>205</v>
      </c>
      <c r="N37" s="73">
        <v>1</v>
      </c>
      <c r="O37" s="80">
        <v>6.9444444444444447E-4</v>
      </c>
    </row>
    <row r="38" spans="1:107" ht="35.1" customHeight="1">
      <c r="A38" s="181"/>
      <c r="B38" s="89" t="s">
        <v>16</v>
      </c>
      <c r="C38" s="73" t="s">
        <v>553</v>
      </c>
      <c r="D38" s="73" t="s">
        <v>554</v>
      </c>
      <c r="E38" s="157" t="s">
        <v>11</v>
      </c>
      <c r="F38" s="73" t="s">
        <v>21</v>
      </c>
      <c r="G38" s="73" t="s">
        <v>552</v>
      </c>
      <c r="H38" s="139">
        <v>45390</v>
      </c>
      <c r="I38" s="78" t="s">
        <v>132</v>
      </c>
      <c r="J38" s="78" t="s">
        <v>133</v>
      </c>
      <c r="K38" s="78">
        <v>0</v>
      </c>
      <c r="L38" s="78" t="s">
        <v>315</v>
      </c>
      <c r="M38" s="78" t="s">
        <v>205</v>
      </c>
      <c r="N38" s="73">
        <v>1</v>
      </c>
      <c r="O38" s="80">
        <v>6.9444444444444447E-4</v>
      </c>
    </row>
    <row r="39" spans="1:107" ht="48" customHeight="1">
      <c r="A39" s="180"/>
      <c r="B39" s="170" t="s">
        <v>16</v>
      </c>
      <c r="C39" s="112" t="s">
        <v>555</v>
      </c>
      <c r="D39" s="112" t="s">
        <v>556</v>
      </c>
      <c r="E39" s="112" t="s">
        <v>11</v>
      </c>
      <c r="F39" s="112" t="s">
        <v>21</v>
      </c>
      <c r="G39" s="112" t="s">
        <v>533</v>
      </c>
      <c r="H39" s="131">
        <v>45983</v>
      </c>
      <c r="I39" s="78" t="s">
        <v>60</v>
      </c>
      <c r="J39" s="78" t="s">
        <v>61</v>
      </c>
      <c r="K39" s="78">
        <v>0</v>
      </c>
      <c r="L39" s="78" t="s">
        <v>557</v>
      </c>
      <c r="M39" s="78" t="s">
        <v>147</v>
      </c>
      <c r="N39" s="112">
        <v>2</v>
      </c>
      <c r="O39" s="116">
        <v>4.6296296296296293E-4</v>
      </c>
    </row>
    <row r="40" spans="1:107" ht="35.1" customHeight="1" thickTop="1" thickBot="1">
      <c r="A40" s="181"/>
      <c r="B40" s="173" t="s">
        <v>20</v>
      </c>
      <c r="C40" s="169" t="s">
        <v>558</v>
      </c>
      <c r="D40" s="169" t="s">
        <v>559</v>
      </c>
      <c r="E40" s="158" t="s">
        <v>11</v>
      </c>
      <c r="F40" s="158" t="s">
        <v>21</v>
      </c>
      <c r="G40" s="158" t="s">
        <v>353</v>
      </c>
      <c r="H40" s="159">
        <v>45983</v>
      </c>
      <c r="I40" s="164" t="s">
        <v>132</v>
      </c>
      <c r="J40" s="164" t="s">
        <v>133</v>
      </c>
      <c r="K40" s="164">
        <v>0</v>
      </c>
      <c r="L40" s="164" t="s">
        <v>354</v>
      </c>
      <c r="M40" s="164" t="s">
        <v>350</v>
      </c>
      <c r="N40" s="164">
        <v>2</v>
      </c>
      <c r="O40" s="165">
        <v>2.0833333333333333E-3</v>
      </c>
    </row>
    <row r="41" spans="1:107" s="176" customFormat="1" ht="35.1" customHeight="1">
      <c r="A41" s="181"/>
      <c r="B41" s="156" t="s">
        <v>20</v>
      </c>
      <c r="C41" s="157" t="s">
        <v>560</v>
      </c>
      <c r="D41" s="157" t="s">
        <v>561</v>
      </c>
      <c r="E41" s="157" t="s">
        <v>11</v>
      </c>
      <c r="F41" s="157" t="str">
        <f>'DM 3 Car'!F89</f>
        <v>No</v>
      </c>
      <c r="G41" s="157" t="str">
        <f>'DM 3 Car'!G89</f>
        <v>JH RB, GT AL JN</v>
      </c>
      <c r="H41" s="157">
        <f>'DM 3 Car'!H89</f>
        <v>45986</v>
      </c>
      <c r="I41" s="169" t="s">
        <v>132</v>
      </c>
      <c r="J41" s="169" t="s">
        <v>133</v>
      </c>
      <c r="K41" s="169">
        <v>0</v>
      </c>
      <c r="L41" s="169" t="s">
        <v>345</v>
      </c>
      <c r="M41" s="169" t="s">
        <v>340</v>
      </c>
      <c r="N41" s="157">
        <v>4</v>
      </c>
      <c r="O41" s="160">
        <v>5.208333333333333E-3</v>
      </c>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6"/>
      <c r="AX41" s="6"/>
      <c r="AY41" s="6"/>
      <c r="AZ41" s="6"/>
      <c r="BA41" s="6"/>
      <c r="BB41" s="6"/>
      <c r="BC41" s="6"/>
      <c r="BD41" s="6"/>
      <c r="BE41" s="6"/>
      <c r="BF41" s="6"/>
      <c r="BG41" s="6"/>
      <c r="BH41" s="6"/>
      <c r="BI41" s="6"/>
      <c r="BJ41" s="6"/>
      <c r="BK41" s="6"/>
      <c r="BL41" s="6"/>
      <c r="BM41" s="6"/>
      <c r="BN41" s="6"/>
      <c r="BO41" s="6"/>
      <c r="BP41" s="6"/>
      <c r="BQ41" s="6"/>
      <c r="BR41" s="6"/>
      <c r="BS41" s="6"/>
      <c r="BT41" s="6"/>
      <c r="BU41" s="6"/>
      <c r="BV41" s="6"/>
      <c r="BW41" s="6"/>
      <c r="BX41" s="6"/>
      <c r="BY41" s="6"/>
      <c r="BZ41" s="6"/>
      <c r="CA41" s="6"/>
      <c r="CB41" s="6"/>
      <c r="CC41" s="6"/>
      <c r="CD41" s="6"/>
      <c r="CE41" s="6"/>
      <c r="CF41" s="6"/>
      <c r="CG41" s="6"/>
      <c r="CH41" s="6"/>
      <c r="CI41" s="6"/>
      <c r="CJ41" s="6"/>
      <c r="CK41" s="6"/>
      <c r="CL41" s="6"/>
      <c r="CM41" s="6"/>
      <c r="CN41" s="6"/>
      <c r="CO41" s="6"/>
      <c r="CP41" s="6"/>
      <c r="CQ41" s="6"/>
      <c r="CR41" s="6"/>
      <c r="CS41" s="6"/>
      <c r="CT41" s="6"/>
      <c r="CU41" s="6"/>
      <c r="CV41" s="6"/>
      <c r="CW41" s="6"/>
      <c r="CX41" s="6"/>
      <c r="CY41" s="6"/>
      <c r="CZ41" s="6"/>
      <c r="DA41" s="6"/>
      <c r="DB41" s="6"/>
      <c r="DC41" s="6"/>
    </row>
    <row r="42" spans="1:107" ht="35.1" customHeight="1">
      <c r="A42" s="181"/>
      <c r="B42" s="156" t="s">
        <v>20</v>
      </c>
      <c r="C42" s="157" t="s">
        <v>562</v>
      </c>
      <c r="D42" s="157" t="s">
        <v>563</v>
      </c>
      <c r="E42" s="158" t="s">
        <v>11</v>
      </c>
      <c r="F42" s="158" t="s">
        <v>21</v>
      </c>
      <c r="G42" s="158" t="s">
        <v>353</v>
      </c>
      <c r="H42" s="159">
        <v>45983</v>
      </c>
      <c r="I42" s="169" t="s">
        <v>132</v>
      </c>
      <c r="J42" s="164" t="s">
        <v>133</v>
      </c>
      <c r="K42" s="164">
        <v>0</v>
      </c>
      <c r="L42" s="164" t="s">
        <v>354</v>
      </c>
      <c r="M42" s="164" t="s">
        <v>350</v>
      </c>
      <c r="N42" s="154">
        <v>2</v>
      </c>
      <c r="O42" s="162">
        <v>2.0833333333333333E-3</v>
      </c>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6"/>
      <c r="AX42" s="6"/>
      <c r="AY42" s="6"/>
      <c r="AZ42" s="6"/>
      <c r="BA42" s="6"/>
      <c r="BB42" s="6"/>
      <c r="BC42" s="6"/>
      <c r="BD42" s="6"/>
      <c r="BE42" s="6"/>
      <c r="BF42" s="6"/>
      <c r="BG42" s="6"/>
      <c r="BH42" s="6"/>
      <c r="BI42" s="6"/>
      <c r="BJ42" s="6"/>
      <c r="BK42" s="6"/>
      <c r="BL42" s="6"/>
      <c r="BM42" s="6"/>
      <c r="BN42" s="6"/>
      <c r="BO42" s="6"/>
      <c r="BP42" s="6"/>
      <c r="BQ42" s="6"/>
      <c r="BR42" s="6"/>
      <c r="BS42" s="6"/>
      <c r="BT42" s="6"/>
      <c r="BU42" s="6"/>
      <c r="BV42" s="6"/>
      <c r="BW42" s="6"/>
      <c r="BX42" s="6"/>
      <c r="BY42" s="6"/>
      <c r="BZ42" s="6"/>
      <c r="CA42" s="6"/>
      <c r="CB42" s="6"/>
      <c r="CC42" s="6"/>
      <c r="CD42" s="6"/>
      <c r="CE42" s="6"/>
      <c r="CF42" s="6"/>
      <c r="CG42" s="6"/>
      <c r="CH42" s="6"/>
      <c r="CI42" s="6"/>
      <c r="CJ42" s="6"/>
      <c r="CK42" s="6"/>
      <c r="CL42" s="6"/>
      <c r="CM42" s="6"/>
      <c r="CN42" s="6"/>
      <c r="CO42" s="6"/>
      <c r="CP42" s="6"/>
      <c r="CQ42" s="6"/>
      <c r="CR42" s="6"/>
      <c r="CS42" s="6"/>
      <c r="CT42" s="6"/>
      <c r="CU42" s="6"/>
      <c r="CV42" s="6"/>
      <c r="CW42" s="6"/>
      <c r="CX42" s="6"/>
      <c r="CY42" s="6"/>
      <c r="CZ42" s="6"/>
      <c r="DA42" s="6"/>
      <c r="DB42" s="6"/>
      <c r="DC42" s="6"/>
    </row>
    <row r="43" spans="1:107" s="176" customFormat="1" ht="35.1" customHeight="1">
      <c r="A43" s="181"/>
      <c r="B43" s="156" t="s">
        <v>20</v>
      </c>
      <c r="C43" s="157" t="s">
        <v>564</v>
      </c>
      <c r="D43" s="157" t="s">
        <v>565</v>
      </c>
      <c r="E43" s="157" t="s">
        <v>11</v>
      </c>
      <c r="F43" s="157" t="str">
        <f>'UNDM 3 Car'!F66</f>
        <v>No</v>
      </c>
      <c r="G43" s="157" t="str">
        <f>'UNDM 3 Car'!G66</f>
        <v>HI, GT AL JN</v>
      </c>
      <c r="H43" s="157">
        <f>'UNDM 3 Car'!H66</f>
        <v>45986</v>
      </c>
      <c r="I43" s="169" t="s">
        <v>132</v>
      </c>
      <c r="J43" s="169" t="s">
        <v>133</v>
      </c>
      <c r="K43" s="169">
        <v>0</v>
      </c>
      <c r="L43" s="169" t="s">
        <v>345</v>
      </c>
      <c r="M43" s="169" t="s">
        <v>340</v>
      </c>
      <c r="N43" s="157">
        <v>4</v>
      </c>
      <c r="O43" s="160">
        <v>5.208333333333333E-3</v>
      </c>
      <c r="P43" s="6"/>
      <c r="Q43" s="6"/>
      <c r="R43" s="6"/>
      <c r="S43" s="6"/>
      <c r="T43" s="6"/>
      <c r="U43" s="6"/>
      <c r="V43" s="6"/>
      <c r="W43" s="6"/>
      <c r="X43" s="6"/>
      <c r="Y43" s="6"/>
      <c r="Z43" s="6"/>
      <c r="AA43" s="6"/>
      <c r="AB43" s="6"/>
      <c r="AC43" s="6"/>
      <c r="AD43" s="6"/>
      <c r="AE43" s="6"/>
      <c r="AF43" s="6"/>
      <c r="AG43" s="6"/>
      <c r="AH43" s="6"/>
      <c r="AI43" s="6"/>
      <c r="AJ43" s="6"/>
      <c r="AK43" s="6"/>
      <c r="AL43" s="6"/>
      <c r="AM43" s="6"/>
      <c r="AN43" s="6"/>
      <c r="AO43" s="6"/>
      <c r="AP43" s="6"/>
      <c r="AQ43" s="6"/>
      <c r="AR43" s="6"/>
      <c r="AS43" s="6"/>
      <c r="AT43" s="6"/>
      <c r="AU43" s="6"/>
      <c r="AV43" s="6"/>
      <c r="AW43" s="6"/>
      <c r="AX43" s="6"/>
      <c r="AY43" s="6"/>
      <c r="AZ43" s="6"/>
      <c r="BA43" s="6"/>
      <c r="BB43" s="6"/>
      <c r="BC43" s="6"/>
      <c r="BD43" s="6"/>
      <c r="BE43" s="6"/>
      <c r="BF43" s="6"/>
      <c r="BG43" s="6"/>
      <c r="BH43" s="6"/>
      <c r="BI43" s="6"/>
      <c r="BJ43" s="6"/>
      <c r="BK43" s="6"/>
      <c r="BL43" s="6"/>
      <c r="BM43" s="6"/>
      <c r="BN43" s="6"/>
      <c r="BO43" s="6"/>
      <c r="BP43" s="6"/>
      <c r="BQ43" s="6"/>
      <c r="BR43" s="6"/>
      <c r="BS43" s="6"/>
      <c r="BT43" s="6"/>
      <c r="BU43" s="6"/>
      <c r="BV43" s="6"/>
      <c r="BW43" s="6"/>
      <c r="BX43" s="6"/>
      <c r="BY43" s="6"/>
      <c r="BZ43" s="6"/>
      <c r="CA43" s="6"/>
      <c r="CB43" s="6"/>
      <c r="CC43" s="6"/>
      <c r="CD43" s="6"/>
      <c r="CE43" s="6"/>
      <c r="CF43" s="6"/>
      <c r="CG43" s="6"/>
      <c r="CH43" s="6"/>
      <c r="CI43" s="6"/>
      <c r="CJ43" s="6"/>
      <c r="CK43" s="6"/>
      <c r="CL43" s="6"/>
      <c r="CM43" s="6"/>
      <c r="CN43" s="6"/>
      <c r="CO43" s="6"/>
      <c r="CP43" s="6"/>
      <c r="CQ43" s="6"/>
      <c r="CR43" s="6"/>
      <c r="CS43" s="6"/>
      <c r="CT43" s="6"/>
      <c r="CU43" s="6"/>
      <c r="CV43" s="6"/>
      <c r="CW43" s="6"/>
      <c r="CX43" s="6"/>
      <c r="CY43" s="6"/>
      <c r="CZ43" s="6"/>
      <c r="DA43" s="6"/>
      <c r="DB43" s="6"/>
      <c r="DC43" s="6"/>
    </row>
    <row r="44" spans="1:107" ht="35.1" customHeight="1" thickTop="1" thickBot="1">
      <c r="A44" s="181"/>
      <c r="B44" s="106" t="s">
        <v>20</v>
      </c>
      <c r="C44" s="100" t="s">
        <v>566</v>
      </c>
      <c r="D44" s="100" t="s">
        <v>567</v>
      </c>
      <c r="E44" s="100"/>
      <c r="F44" s="100"/>
      <c r="G44" s="100"/>
      <c r="H44" s="130"/>
      <c r="I44" s="78" t="s">
        <v>132</v>
      </c>
      <c r="J44" s="78" t="s">
        <v>133</v>
      </c>
      <c r="K44" s="78">
        <v>0</v>
      </c>
      <c r="L44" s="78" t="s">
        <v>568</v>
      </c>
      <c r="M44" s="78" t="s">
        <v>205</v>
      </c>
      <c r="N44" s="100">
        <v>2</v>
      </c>
      <c r="O44" s="109">
        <v>2.0833333333333333E-3</v>
      </c>
    </row>
    <row r="45" spans="1:107" ht="35.1" customHeight="1" thickTop="1" thickBot="1">
      <c r="A45" s="181"/>
      <c r="B45" s="106" t="s">
        <v>20</v>
      </c>
      <c r="C45" s="100" t="s">
        <v>569</v>
      </c>
      <c r="D45" s="100" t="s">
        <v>373</v>
      </c>
      <c r="E45" s="100"/>
      <c r="F45" s="100"/>
      <c r="G45" s="100"/>
      <c r="H45" s="130"/>
      <c r="I45" s="78" t="s">
        <v>132</v>
      </c>
      <c r="J45" s="78" t="s">
        <v>133</v>
      </c>
      <c r="K45" s="78">
        <v>0</v>
      </c>
      <c r="L45" s="78" t="s">
        <v>374</v>
      </c>
      <c r="M45" s="78" t="s">
        <v>205</v>
      </c>
      <c r="N45" s="100">
        <v>2</v>
      </c>
      <c r="O45" s="109">
        <v>3.4722222222222224E-4</v>
      </c>
    </row>
    <row r="46" spans="1:107" ht="35.1" customHeight="1" thickTop="1" thickBot="1">
      <c r="A46" s="181"/>
      <c r="B46" s="106" t="s">
        <v>20</v>
      </c>
      <c r="C46" s="100" t="s">
        <v>570</v>
      </c>
      <c r="D46" s="100" t="s">
        <v>571</v>
      </c>
      <c r="E46" s="100"/>
      <c r="F46" s="100"/>
      <c r="G46" s="100"/>
      <c r="H46" s="130"/>
      <c r="I46" s="78" t="s">
        <v>60</v>
      </c>
      <c r="J46" s="78" t="s">
        <v>133</v>
      </c>
      <c r="K46" s="78">
        <v>0</v>
      </c>
      <c r="L46" s="78" t="s">
        <v>377</v>
      </c>
      <c r="M46" s="78" t="s">
        <v>164</v>
      </c>
      <c r="N46" s="100">
        <v>2</v>
      </c>
      <c r="O46" s="109">
        <v>4.6296296296296293E-4</v>
      </c>
    </row>
    <row r="47" spans="1:107" ht="35.1" customHeight="1" thickTop="1" thickBot="1">
      <c r="A47" s="181"/>
      <c r="B47" s="106" t="s">
        <v>20</v>
      </c>
      <c r="C47" s="100" t="s">
        <v>572</v>
      </c>
      <c r="D47" s="100" t="s">
        <v>573</v>
      </c>
      <c r="E47" s="100"/>
      <c r="F47" s="100"/>
      <c r="G47" s="100"/>
      <c r="H47" s="130"/>
      <c r="I47" s="78" t="s">
        <v>132</v>
      </c>
      <c r="J47" s="78" t="s">
        <v>133</v>
      </c>
      <c r="K47" s="78">
        <v>0</v>
      </c>
      <c r="L47" s="78" t="s">
        <v>574</v>
      </c>
      <c r="M47" s="78" t="s">
        <v>205</v>
      </c>
      <c r="N47" s="100">
        <v>1</v>
      </c>
      <c r="O47" s="109">
        <v>6.9444444444444447E-4</v>
      </c>
    </row>
    <row r="48" spans="1:107" ht="35.1" customHeight="1" thickTop="1" thickBot="1">
      <c r="A48" s="181"/>
      <c r="B48" s="156" t="s">
        <v>20</v>
      </c>
      <c r="C48" s="100" t="s">
        <v>575</v>
      </c>
      <c r="D48" s="100" t="s">
        <v>576</v>
      </c>
      <c r="E48" s="100" t="s">
        <v>11</v>
      </c>
      <c r="F48" s="100" t="s">
        <v>21</v>
      </c>
      <c r="G48" s="100" t="s">
        <v>237</v>
      </c>
      <c r="H48" s="139">
        <v>45982</v>
      </c>
      <c r="I48" s="78" t="s">
        <v>132</v>
      </c>
      <c r="J48" s="78" t="s">
        <v>133</v>
      </c>
      <c r="K48" s="78">
        <v>0</v>
      </c>
      <c r="L48" s="78" t="s">
        <v>577</v>
      </c>
      <c r="M48" s="78" t="s">
        <v>239</v>
      </c>
      <c r="N48" s="100">
        <v>1</v>
      </c>
      <c r="O48" s="109">
        <v>3.4722222222222224E-4</v>
      </c>
    </row>
    <row r="49" spans="1:15" ht="35.1" customHeight="1">
      <c r="A49" s="181"/>
      <c r="B49" s="89" t="s">
        <v>20</v>
      </c>
      <c r="C49" s="73" t="s">
        <v>578</v>
      </c>
      <c r="D49" s="73" t="s">
        <v>579</v>
      </c>
      <c r="E49" s="100" t="s">
        <v>11</v>
      </c>
      <c r="F49" s="73" t="s">
        <v>21</v>
      </c>
      <c r="G49" s="73" t="s">
        <v>279</v>
      </c>
      <c r="H49" s="139">
        <v>45391</v>
      </c>
      <c r="I49" s="78" t="s">
        <v>88</v>
      </c>
      <c r="J49" s="78" t="s">
        <v>133</v>
      </c>
      <c r="K49" s="78">
        <v>0</v>
      </c>
      <c r="L49" s="78" t="s">
        <v>508</v>
      </c>
      <c r="M49" s="78" t="s">
        <v>215</v>
      </c>
      <c r="N49" s="73">
        <v>1</v>
      </c>
      <c r="O49" s="80">
        <v>6.9444444444444447E-4</v>
      </c>
    </row>
    <row r="50" spans="1:15" ht="35.1" customHeight="1">
      <c r="A50" s="181"/>
      <c r="B50" s="156" t="s">
        <v>20</v>
      </c>
      <c r="C50" s="100" t="s">
        <v>580</v>
      </c>
      <c r="D50" s="100" t="s">
        <v>581</v>
      </c>
      <c r="E50" s="100" t="s">
        <v>11</v>
      </c>
      <c r="F50" s="100" t="s">
        <v>21</v>
      </c>
      <c r="G50" s="100" t="s">
        <v>533</v>
      </c>
      <c r="H50" s="130">
        <v>45983</v>
      </c>
      <c r="I50" s="78" t="s">
        <v>60</v>
      </c>
      <c r="J50" s="78" t="s">
        <v>61</v>
      </c>
      <c r="K50" s="78">
        <v>0</v>
      </c>
      <c r="L50" s="78" t="s">
        <v>582</v>
      </c>
      <c r="M50" s="78" t="s">
        <v>147</v>
      </c>
      <c r="N50" s="100">
        <v>2</v>
      </c>
      <c r="O50" s="109">
        <v>2.0833333333333333E-3</v>
      </c>
    </row>
    <row r="51" spans="1:15" ht="35.1" customHeight="1">
      <c r="A51" s="181"/>
      <c r="B51" s="156" t="s">
        <v>20</v>
      </c>
      <c r="C51" s="100" t="s">
        <v>583</v>
      </c>
      <c r="D51" s="100" t="s">
        <v>584</v>
      </c>
      <c r="E51" s="100" t="s">
        <v>11</v>
      </c>
      <c r="F51" s="100" t="s">
        <v>21</v>
      </c>
      <c r="G51" s="100" t="s">
        <v>533</v>
      </c>
      <c r="H51" s="130">
        <v>45983</v>
      </c>
      <c r="I51" s="78" t="s">
        <v>60</v>
      </c>
      <c r="J51" s="78" t="s">
        <v>61</v>
      </c>
      <c r="K51" s="78">
        <v>0</v>
      </c>
      <c r="L51" s="78" t="s">
        <v>585</v>
      </c>
      <c r="M51" s="78" t="s">
        <v>147</v>
      </c>
      <c r="N51" s="100">
        <v>2</v>
      </c>
      <c r="O51" s="109">
        <v>6.9444444444444447E-4</v>
      </c>
    </row>
    <row r="52" spans="1:15" ht="35.1" customHeight="1" thickTop="1" thickBot="1">
      <c r="A52" s="128"/>
      <c r="B52" s="106" t="s">
        <v>20</v>
      </c>
      <c r="C52" s="100" t="s">
        <v>586</v>
      </c>
      <c r="D52" s="100" t="s">
        <v>587</v>
      </c>
      <c r="E52" s="100"/>
      <c r="F52" s="100"/>
      <c r="G52" s="100"/>
      <c r="H52" s="130"/>
      <c r="I52" s="78" t="s">
        <v>60</v>
      </c>
      <c r="J52" s="78" t="s">
        <v>61</v>
      </c>
      <c r="K52" s="78">
        <v>0</v>
      </c>
      <c r="L52" s="78" t="s">
        <v>588</v>
      </c>
      <c r="M52" s="78" t="s">
        <v>63</v>
      </c>
      <c r="N52" s="100">
        <v>2</v>
      </c>
      <c r="O52" s="109">
        <v>6.9444444444444447E-4</v>
      </c>
    </row>
    <row r="53" spans="1:15" ht="35.1" customHeight="1" thickTop="1" thickBot="1">
      <c r="A53" s="128"/>
      <c r="B53" s="156" t="s">
        <v>20</v>
      </c>
      <c r="C53" s="100" t="s">
        <v>589</v>
      </c>
      <c r="D53" s="100" t="s">
        <v>590</v>
      </c>
      <c r="E53" s="100" t="s">
        <v>11</v>
      </c>
      <c r="F53" s="100" t="s">
        <v>21</v>
      </c>
      <c r="G53" s="100" t="s">
        <v>533</v>
      </c>
      <c r="H53" s="130">
        <v>45983</v>
      </c>
      <c r="I53" s="78" t="s">
        <v>60</v>
      </c>
      <c r="J53" s="78" t="s">
        <v>61</v>
      </c>
      <c r="K53" s="78">
        <v>0</v>
      </c>
      <c r="L53" s="78" t="s">
        <v>591</v>
      </c>
      <c r="M53" s="78" t="s">
        <v>147</v>
      </c>
      <c r="N53" s="100">
        <v>2</v>
      </c>
      <c r="O53" s="109">
        <v>6.9444444444444447E-4</v>
      </c>
    </row>
    <row r="54" spans="1:15" ht="45.75" customHeight="1" thickTop="1" thickBot="1">
      <c r="A54" s="128"/>
      <c r="B54" s="106" t="s">
        <v>20</v>
      </c>
      <c r="C54" s="100" t="s">
        <v>592</v>
      </c>
      <c r="D54" s="100" t="s">
        <v>414</v>
      </c>
      <c r="E54" s="100"/>
      <c r="F54" s="100"/>
      <c r="G54" s="100"/>
      <c r="H54" s="130"/>
      <c r="I54" s="78" t="s">
        <v>88</v>
      </c>
      <c r="J54" s="78" t="s">
        <v>61</v>
      </c>
      <c r="K54" s="78">
        <v>0</v>
      </c>
      <c r="L54" s="78" t="s">
        <v>415</v>
      </c>
      <c r="M54" s="78" t="s">
        <v>107</v>
      </c>
      <c r="N54" s="100">
        <v>4</v>
      </c>
      <c r="O54" s="109">
        <v>2.0833333333333333E-3</v>
      </c>
    </row>
    <row r="55" spans="1:15" ht="35.1" customHeight="1" thickTop="1" thickBot="1">
      <c r="A55" s="117"/>
      <c r="B55" s="111" t="s">
        <v>20</v>
      </c>
      <c r="C55" s="112" t="s">
        <v>593</v>
      </c>
      <c r="D55" s="112" t="s">
        <v>426</v>
      </c>
      <c r="E55" s="112"/>
      <c r="F55" s="112"/>
      <c r="G55" s="112"/>
      <c r="H55" s="131"/>
      <c r="I55" s="78" t="s">
        <v>60</v>
      </c>
      <c r="J55" s="78" t="s">
        <v>61</v>
      </c>
      <c r="K55" s="78">
        <v>0</v>
      </c>
      <c r="L55" s="78" t="s">
        <v>427</v>
      </c>
      <c r="M55" s="78" t="s">
        <v>107</v>
      </c>
      <c r="N55" s="112">
        <v>2</v>
      </c>
      <c r="O55" s="116">
        <v>6.9444444444444447E-4</v>
      </c>
    </row>
    <row r="56" spans="1:15" ht="35.1" customHeight="1" thickTop="1" thickBot="1">
      <c r="A56" s="128"/>
      <c r="B56" s="101" t="s">
        <v>24</v>
      </c>
      <c r="C56" s="102" t="s">
        <v>594</v>
      </c>
      <c r="D56" s="102" t="s">
        <v>435</v>
      </c>
      <c r="E56" s="102"/>
      <c r="F56" s="102"/>
      <c r="G56" s="102"/>
      <c r="H56" s="129"/>
      <c r="I56" s="78" t="s">
        <v>132</v>
      </c>
      <c r="J56" s="78" t="s">
        <v>61</v>
      </c>
      <c r="K56" s="78">
        <v>0</v>
      </c>
      <c r="L56" s="78" t="s">
        <v>436</v>
      </c>
      <c r="M56" s="78" t="s">
        <v>239</v>
      </c>
      <c r="N56" s="102">
        <v>1</v>
      </c>
      <c r="O56" s="105">
        <v>6.9444444444444447E-4</v>
      </c>
    </row>
    <row r="57" spans="1:15" ht="35.1" customHeight="1" thickTop="1" thickBot="1">
      <c r="A57" s="128"/>
      <c r="B57" s="106" t="s">
        <v>24</v>
      </c>
      <c r="C57" s="100" t="s">
        <v>595</v>
      </c>
      <c r="D57" s="100" t="s">
        <v>596</v>
      </c>
      <c r="E57" s="100"/>
      <c r="F57" s="100"/>
      <c r="G57" s="100"/>
      <c r="H57" s="130"/>
      <c r="I57" s="78" t="s">
        <v>132</v>
      </c>
      <c r="J57" s="78" t="s">
        <v>61</v>
      </c>
      <c r="K57" s="78">
        <v>0</v>
      </c>
      <c r="L57" s="78">
        <v>0</v>
      </c>
      <c r="M57" s="78" t="s">
        <v>440</v>
      </c>
      <c r="N57" s="100">
        <v>1</v>
      </c>
      <c r="O57" s="109">
        <v>3.4722222222222224E-4</v>
      </c>
    </row>
    <row r="58" spans="1:15" ht="35.1" customHeight="1" thickTop="1" thickBot="1">
      <c r="A58" s="117"/>
      <c r="B58" s="106" t="s">
        <v>24</v>
      </c>
      <c r="C58" s="100" t="s">
        <v>597</v>
      </c>
      <c r="D58" s="100" t="s">
        <v>598</v>
      </c>
      <c r="E58" s="100"/>
      <c r="F58" s="100"/>
      <c r="G58" s="100"/>
      <c r="H58" s="130"/>
      <c r="I58" s="78" t="s">
        <v>60</v>
      </c>
      <c r="J58" s="78" t="s">
        <v>61</v>
      </c>
      <c r="K58" s="78">
        <v>0</v>
      </c>
      <c r="L58" s="78" t="s">
        <v>424</v>
      </c>
      <c r="M58" s="78" t="s">
        <v>107</v>
      </c>
      <c r="N58" s="100">
        <v>1</v>
      </c>
      <c r="O58" s="109">
        <v>1.0416666666666667E-3</v>
      </c>
    </row>
    <row r="59" spans="1:15" ht="35.1" customHeight="1" thickTop="1">
      <c r="B59" s="200" t="s">
        <v>599</v>
      </c>
      <c r="C59" s="201" t="s">
        <v>600</v>
      </c>
      <c r="D59" s="201" t="s">
        <v>601</v>
      </c>
      <c r="E59" s="157" t="s">
        <v>11</v>
      </c>
      <c r="F59" s="157" t="s">
        <v>21</v>
      </c>
      <c r="G59" s="202" t="s">
        <v>602</v>
      </c>
      <c r="H59" s="130">
        <v>45983</v>
      </c>
      <c r="I59" s="78" t="s">
        <v>60</v>
      </c>
      <c r="J59" s="78" t="s">
        <v>133</v>
      </c>
      <c r="K59" s="78">
        <v>0</v>
      </c>
      <c r="L59" s="78">
        <v>0</v>
      </c>
      <c r="M59" s="78" t="s">
        <v>107</v>
      </c>
      <c r="N59" s="132"/>
      <c r="O59" s="133"/>
    </row>
    <row r="60" spans="1:15" ht="35.1" customHeight="1" thickBot="1">
      <c r="B60" s="134"/>
      <c r="C60" s="135"/>
      <c r="D60" s="135"/>
      <c r="E60" s="136"/>
      <c r="F60" s="136"/>
      <c r="G60" s="136"/>
      <c r="H60" s="136"/>
      <c r="I60" s="115"/>
      <c r="J60" s="115"/>
      <c r="K60" s="136"/>
      <c r="L60" s="136"/>
      <c r="M60" s="136"/>
      <c r="N60" s="136"/>
      <c r="O60" s="137"/>
    </row>
    <row r="61" spans="1:15" ht="15.75" thickTop="1"/>
    <row r="88" ht="66" customHeight="1"/>
    <row r="128" ht="66" customHeight="1"/>
  </sheetData>
  <autoFilter ref="A2:L59" xr:uid="{2BDE6E76-94FA-42DA-9D7A-8C55E4DD00DF}"/>
  <conditionalFormatting sqref="C15:H15 C14:D14 C33:H33 C29:D31 C44:H47 C42:D42 D41:H41 D43:H43 C3:H13 C18:G26 C17 E17:G17 C28:G28 C27 E27:G27 C39:H39 C32:G32 C16:G16 C50:H58 C40:D40 C34:G38 C48:G49">
    <cfRule type="expression" dxfId="135" priority="30">
      <formula>AND(OR($F3="No",$F3=""), $E3= "Yes",$G3&lt;&gt;"",$H3&lt;&gt;"")</formula>
    </cfRule>
  </conditionalFormatting>
  <conditionalFormatting sqref="N57:N58 N15:O56">
    <cfRule type="expression" dxfId="134" priority="24">
      <formula>AND(OR($F15="No",$F15=""), $E15= "Yes",$G15&lt;&gt;"",$H15&lt;&gt;"")</formula>
    </cfRule>
  </conditionalFormatting>
  <conditionalFormatting sqref="N3:O13">
    <cfRule type="expression" dxfId="133" priority="23">
      <formula>AND(OR($F3="No",$F3=""), $E3= "Yes",$G3&lt;&gt;"",$H3&lt;&gt;"")</formula>
    </cfRule>
  </conditionalFormatting>
  <conditionalFormatting sqref="O57:O58">
    <cfRule type="expression" dxfId="132" priority="22">
      <formula>AND(OR($F57="No",$F57=""), $E57= "Yes",$G57&lt;&gt;"",$H57&lt;&gt;"")</formula>
    </cfRule>
  </conditionalFormatting>
  <conditionalFormatting sqref="N14:O14">
    <cfRule type="expression" dxfId="131" priority="21">
      <formula>AND(OR($F14="No",$F14=""), $E14= "Yes",$G14&lt;&gt;"",$H14&lt;&gt;"")</formula>
    </cfRule>
  </conditionalFormatting>
  <conditionalFormatting sqref="E29:E31 G29:G31">
    <cfRule type="expression" dxfId="130" priority="19">
      <formula>AND(OR($F29="No",$F29=""), $E29= "Yes",$G29&lt;&gt;"",$H29&lt;&gt;"")</formula>
    </cfRule>
    <cfRule type="expression" dxfId="129" priority="20">
      <formula>AND(OR($E29="No",$E29=""), $F29= "Yes",$G29&lt;&gt;"",$H29&lt;&gt;"")</formula>
    </cfRule>
  </conditionalFormatting>
  <conditionalFormatting sqref="F29:F31">
    <cfRule type="expression" dxfId="128" priority="17">
      <formula>AND(OR($F29="No",$F29=""), $E29= "Yes",$G29&lt;&gt;"",$H29&lt;&gt;"")</formula>
    </cfRule>
    <cfRule type="expression" dxfId="127" priority="18">
      <formula>AND(OR($E29="No",$E29=""), $F29= "Yes",$G29&lt;&gt;"",$H29&lt;&gt;"")</formula>
    </cfRule>
  </conditionalFormatting>
  <conditionalFormatting sqref="C41">
    <cfRule type="expression" dxfId="126" priority="16">
      <formula>AND(OR($F41="No",$F41=""), $E41= "Yes",$G41&lt;&gt;"",$H41&lt;&gt;"")</formula>
    </cfRule>
  </conditionalFormatting>
  <conditionalFormatting sqref="C43">
    <cfRule type="expression" dxfId="125" priority="15">
      <formula>AND(OR($F43="No",$F43=""), $E43= "Yes",$G43&lt;&gt;"",$H43&lt;&gt;"")</formula>
    </cfRule>
  </conditionalFormatting>
  <conditionalFormatting sqref="I3:M59">
    <cfRule type="expression" dxfId="124" priority="14">
      <formula>AND(OR($F3="No",$F3=""), $E3= "Yes",$G3&lt;&gt;"",$H3&lt;&gt;"")</formula>
    </cfRule>
  </conditionalFormatting>
  <conditionalFormatting sqref="D17">
    <cfRule type="expression" dxfId="123" priority="13">
      <formula>AND(OR($F17="No",$F17=""), $E17= "Yes",$G17&lt;&gt;"",$H17&lt;&gt;"")</formula>
    </cfRule>
  </conditionalFormatting>
  <conditionalFormatting sqref="D27">
    <cfRule type="expression" dxfId="122" priority="12">
      <formula>AND(OR($F27="No",$F27=""), $E27= "Yes",$G27&lt;&gt;"",$H27&lt;&gt;"")</formula>
    </cfRule>
  </conditionalFormatting>
  <conditionalFormatting sqref="E59">
    <cfRule type="expression" dxfId="121" priority="11">
      <formula>AND(OR($F59="No",$F59=""), $E59= "Yes",$G59&lt;&gt;"",$H59&lt;&gt;"")</formula>
    </cfRule>
  </conditionalFormatting>
  <conditionalFormatting sqref="H16:H32">
    <cfRule type="expression" dxfId="120" priority="7">
      <formula>AND(OR($F16="No",$F16=""), $E16= "Yes",$G16&lt;&gt;"",$H16&lt;&gt;"")</formula>
    </cfRule>
    <cfRule type="expression" dxfId="119" priority="8">
      <formula>AND(OR($E16="No",$E16=""), $F16= "Yes",$G16&lt;&gt;"",$H16&lt;&gt;"")</formula>
    </cfRule>
  </conditionalFormatting>
  <conditionalFormatting sqref="H34:H38">
    <cfRule type="expression" dxfId="118" priority="5">
      <formula>AND(OR($F34="No",$F34=""), $E34= "Yes",$G34&lt;&gt;"",$H34&lt;&gt;"")</formula>
    </cfRule>
    <cfRule type="expression" dxfId="117" priority="6">
      <formula>AND(OR($E34="No",$E34=""), $F34= "Yes",$G34&lt;&gt;"",$H34&lt;&gt;"")</formula>
    </cfRule>
  </conditionalFormatting>
  <conditionalFormatting sqref="H48:H49">
    <cfRule type="expression" dxfId="116" priority="3">
      <formula>AND(OR($F48="No",$F48=""), $E48= "Yes",$G48&lt;&gt;"",$H48&lt;&gt;"")</formula>
    </cfRule>
    <cfRule type="expression" dxfId="115" priority="4">
      <formula>AND(OR($E48="No",$E48=""), $F48= "Yes",$G48&lt;&gt;"",$H48&lt;&gt;"")</formula>
    </cfRule>
  </conditionalFormatting>
  <conditionalFormatting sqref="F59">
    <cfRule type="expression" dxfId="114" priority="2">
      <formula>AND(OR($F59="No",$F59=""), $E59= "Yes",$G59&lt;&gt;"",$H59&lt;&gt;"")</formula>
    </cfRule>
  </conditionalFormatting>
  <conditionalFormatting sqref="H59">
    <cfRule type="expression" dxfId="113" priority="1">
      <formula>AND(OR($F59="No",$F59=""), $E59= "Yes",$G59&lt;&gt;"",$H59&lt;&gt;"")</formula>
    </cfRule>
  </conditionalFormatting>
  <dataValidations count="1">
    <dataValidation type="list" allowBlank="1" showInputMessage="1" showErrorMessage="1" sqref="K1:K2 E3:F13 E39 F15:F39 E15:E33 E44:F59" xr:uid="{6361FEAB-AAE8-4802-B012-814A505453F1}">
      <formula1>"Yes, No"</formula1>
    </dataValidation>
  </dataValidations>
  <pageMargins left="0.25" right="0.25" top="0.75" bottom="0.75" header="0.3" footer="0.3"/>
  <pageSetup paperSize="8" fitToHeight="0"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DH128"/>
  <sheetViews>
    <sheetView zoomScale="60" zoomScaleNormal="60" workbookViewId="0">
      <pane ySplit="2" topLeftCell="B55" activePane="bottomLeft" state="frozen"/>
      <selection pane="bottomLeft" activeCell="E84" sqref="E84"/>
    </sheetView>
  </sheetViews>
  <sheetFormatPr defaultColWidth="8.88671875" defaultRowHeight="15"/>
  <cols>
    <col min="1" max="1" width="9.21875" style="2" customWidth="1"/>
    <col min="2" max="2" width="7.77734375" style="18" customWidth="1"/>
    <col min="3" max="3" width="60.77734375" style="2" customWidth="1"/>
    <col min="4" max="4" width="38.77734375" style="2" customWidth="1"/>
    <col min="5" max="5" width="11.6640625" style="2" customWidth="1"/>
    <col min="6" max="6" width="11.77734375" style="2" customWidth="1"/>
    <col min="7" max="7" width="75.33203125" style="2" customWidth="1"/>
    <col min="8" max="8" width="14.77734375" style="2" customWidth="1"/>
    <col min="9" max="9" width="10.33203125" style="18" customWidth="1"/>
    <col min="10" max="10" width="10.33203125" style="2" customWidth="1"/>
    <col min="11" max="11" width="10.5546875" style="2" customWidth="1"/>
    <col min="12" max="12" width="15.77734375" style="2" customWidth="1"/>
    <col min="13" max="13" width="27.33203125" style="2" customWidth="1"/>
    <col min="14" max="14" width="9.77734375" style="2" customWidth="1"/>
    <col min="15" max="15" width="9.21875" style="2" customWidth="1"/>
    <col min="16" max="16" width="9.21875" style="2" bestFit="1" customWidth="1"/>
    <col min="17" max="16384" width="8.88671875" style="2"/>
  </cols>
  <sheetData>
    <row r="1" spans="1:15" ht="21" customHeight="1" thickBot="1">
      <c r="A1" s="21"/>
      <c r="B1" s="69" t="s">
        <v>47</v>
      </c>
      <c r="C1" s="56" t="s">
        <v>603</v>
      </c>
      <c r="D1" s="5"/>
      <c r="E1" s="5"/>
      <c r="F1" s="5"/>
      <c r="G1" s="5"/>
      <c r="H1" s="5"/>
      <c r="I1" s="19"/>
      <c r="J1" s="5"/>
      <c r="K1" s="5"/>
      <c r="L1" s="5"/>
    </row>
    <row r="2" spans="1:15" s="6" customFormat="1" ht="89.25" thickBot="1">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ht="35.1" customHeight="1" thickTop="1" thickBot="1">
      <c r="A3" s="181"/>
      <c r="B3" s="92" t="s">
        <v>10</v>
      </c>
      <c r="C3" s="78" t="s">
        <v>604</v>
      </c>
      <c r="D3" s="78" t="s">
        <v>605</v>
      </c>
      <c r="E3" s="78" t="s">
        <v>11</v>
      </c>
      <c r="F3" s="78" t="s">
        <v>21</v>
      </c>
      <c r="G3" s="78" t="s">
        <v>58</v>
      </c>
      <c r="H3" s="87" t="s">
        <v>59</v>
      </c>
      <c r="I3" s="77" t="s">
        <v>60</v>
      </c>
      <c r="J3" s="77" t="s">
        <v>61</v>
      </c>
      <c r="K3" s="77">
        <v>0</v>
      </c>
      <c r="L3" s="77" t="s">
        <v>479</v>
      </c>
      <c r="M3" s="77" t="s">
        <v>63</v>
      </c>
      <c r="N3" s="78">
        <v>2</v>
      </c>
      <c r="O3" s="79">
        <v>5.2083333333333333E-4</v>
      </c>
    </row>
    <row r="4" spans="1:15" ht="35.1" customHeight="1" thickTop="1" thickBot="1">
      <c r="A4" s="181"/>
      <c r="B4" s="89" t="s">
        <v>10</v>
      </c>
      <c r="C4" s="73" t="s">
        <v>606</v>
      </c>
      <c r="D4" s="73" t="s">
        <v>607</v>
      </c>
      <c r="E4" s="73" t="s">
        <v>11</v>
      </c>
      <c r="F4" s="73" t="s">
        <v>21</v>
      </c>
      <c r="G4" s="73" t="s">
        <v>58</v>
      </c>
      <c r="H4" s="86" t="s">
        <v>59</v>
      </c>
      <c r="I4" s="77" t="s">
        <v>60</v>
      </c>
      <c r="J4" s="77" t="s">
        <v>61</v>
      </c>
      <c r="K4" s="77">
        <v>0</v>
      </c>
      <c r="L4" s="77" t="s">
        <v>62</v>
      </c>
      <c r="M4" s="77" t="s">
        <v>63</v>
      </c>
      <c r="N4" s="73">
        <v>1</v>
      </c>
      <c r="O4" s="80">
        <v>2.4305555555555556E-3</v>
      </c>
    </row>
    <row r="5" spans="1:15" ht="35.1" customHeight="1" thickTop="1" thickBot="1">
      <c r="A5" s="181"/>
      <c r="B5" s="89" t="s">
        <v>10</v>
      </c>
      <c r="C5" s="73" t="s">
        <v>608</v>
      </c>
      <c r="D5" s="73" t="s">
        <v>481</v>
      </c>
      <c r="E5" s="73" t="s">
        <v>11</v>
      </c>
      <c r="F5" s="73" t="s">
        <v>21</v>
      </c>
      <c r="G5" s="73" t="s">
        <v>58</v>
      </c>
      <c r="H5" s="86" t="s">
        <v>59</v>
      </c>
      <c r="I5" s="77" t="s">
        <v>60</v>
      </c>
      <c r="J5" s="77" t="s">
        <v>61</v>
      </c>
      <c r="K5" s="77">
        <v>0</v>
      </c>
      <c r="L5" s="77" t="s">
        <v>66</v>
      </c>
      <c r="M5" s="77" t="s">
        <v>67</v>
      </c>
      <c r="N5" s="73">
        <v>1</v>
      </c>
      <c r="O5" s="80">
        <v>1.3888888888888889E-3</v>
      </c>
    </row>
    <row r="6" spans="1:15" ht="35.1" customHeight="1" thickTop="1" thickBot="1">
      <c r="A6" s="181"/>
      <c r="B6" s="89" t="s">
        <v>10</v>
      </c>
      <c r="C6" s="73" t="s">
        <v>609</v>
      </c>
      <c r="D6" s="73" t="s">
        <v>103</v>
      </c>
      <c r="E6" s="73" t="s">
        <v>11</v>
      </c>
      <c r="F6" s="73" t="s">
        <v>21</v>
      </c>
      <c r="G6" s="73" t="s">
        <v>58</v>
      </c>
      <c r="H6" s="86" t="s">
        <v>59</v>
      </c>
      <c r="I6" s="77" t="s">
        <v>60</v>
      </c>
      <c r="J6" s="77" t="s">
        <v>61</v>
      </c>
      <c r="K6" s="77">
        <v>0</v>
      </c>
      <c r="L6" s="77" t="s">
        <v>73</v>
      </c>
      <c r="M6" s="77" t="s">
        <v>74</v>
      </c>
      <c r="N6" s="73">
        <v>1</v>
      </c>
      <c r="O6" s="80">
        <v>3.4722222222222224E-4</v>
      </c>
    </row>
    <row r="7" spans="1:15" ht="35.1" customHeight="1" thickTop="1" thickBot="1">
      <c r="A7" s="181"/>
      <c r="B7" s="89" t="s">
        <v>10</v>
      </c>
      <c r="C7" s="73" t="s">
        <v>610</v>
      </c>
      <c r="D7" s="73" t="s">
        <v>611</v>
      </c>
      <c r="E7" s="73" t="s">
        <v>11</v>
      </c>
      <c r="F7" s="73" t="s">
        <v>21</v>
      </c>
      <c r="G7" s="73" t="s">
        <v>58</v>
      </c>
      <c r="H7" s="86" t="s">
        <v>59</v>
      </c>
      <c r="I7" s="77" t="s">
        <v>60</v>
      </c>
      <c r="J7" s="77" t="s">
        <v>61</v>
      </c>
      <c r="K7" s="77">
        <v>0</v>
      </c>
      <c r="L7" s="77" t="s">
        <v>94</v>
      </c>
      <c r="M7" s="77" t="s">
        <v>63</v>
      </c>
      <c r="N7" s="73">
        <v>1</v>
      </c>
      <c r="O7" s="80">
        <v>3.1249999999999997E-3</v>
      </c>
    </row>
    <row r="8" spans="1:15" ht="35.1" customHeight="1" thickTop="1" thickBot="1">
      <c r="A8" s="181"/>
      <c r="B8" s="89" t="s">
        <v>10</v>
      </c>
      <c r="C8" s="73" t="s">
        <v>612</v>
      </c>
      <c r="D8" s="73" t="s">
        <v>613</v>
      </c>
      <c r="E8" s="73" t="s">
        <v>11</v>
      </c>
      <c r="F8" s="73" t="s">
        <v>21</v>
      </c>
      <c r="G8" s="73" t="s">
        <v>58</v>
      </c>
      <c r="H8" s="86" t="s">
        <v>59</v>
      </c>
      <c r="I8" s="77" t="s">
        <v>60</v>
      </c>
      <c r="J8" s="77" t="s">
        <v>61</v>
      </c>
      <c r="K8" s="77">
        <v>0</v>
      </c>
      <c r="L8" s="77" t="s">
        <v>99</v>
      </c>
      <c r="M8" s="77" t="s">
        <v>63</v>
      </c>
      <c r="N8" s="73">
        <v>1</v>
      </c>
      <c r="O8" s="80">
        <v>8.1018518518518516E-4</v>
      </c>
    </row>
    <row r="9" spans="1:15" ht="35.1" customHeight="1" thickTop="1" thickBot="1">
      <c r="A9" s="181"/>
      <c r="B9" s="89" t="s">
        <v>10</v>
      </c>
      <c r="C9" s="73" t="s">
        <v>614</v>
      </c>
      <c r="D9" s="73" t="s">
        <v>105</v>
      </c>
      <c r="E9" s="73" t="s">
        <v>11</v>
      </c>
      <c r="F9" s="73" t="s">
        <v>21</v>
      </c>
      <c r="G9" s="73" t="s">
        <v>58</v>
      </c>
      <c r="H9" s="86" t="s">
        <v>59</v>
      </c>
      <c r="I9" s="77" t="s">
        <v>88</v>
      </c>
      <c r="J9" s="77" t="s">
        <v>61</v>
      </c>
      <c r="K9" s="77">
        <v>0</v>
      </c>
      <c r="L9" s="77" t="s">
        <v>110</v>
      </c>
      <c r="M9" s="77" t="s">
        <v>107</v>
      </c>
      <c r="N9" s="73">
        <v>1</v>
      </c>
      <c r="O9" s="80">
        <v>6.9444444444444447E-4</v>
      </c>
    </row>
    <row r="10" spans="1:15" ht="35.1" customHeight="1" thickTop="1" thickBot="1">
      <c r="A10" s="181"/>
      <c r="B10" s="89" t="s">
        <v>10</v>
      </c>
      <c r="C10" s="73" t="s">
        <v>615</v>
      </c>
      <c r="D10" s="73" t="s">
        <v>109</v>
      </c>
      <c r="E10" s="73" t="s">
        <v>11</v>
      </c>
      <c r="F10" s="73" t="s">
        <v>21</v>
      </c>
      <c r="G10" s="73" t="s">
        <v>58</v>
      </c>
      <c r="H10" s="86" t="s">
        <v>59</v>
      </c>
      <c r="I10" s="77" t="s">
        <v>88</v>
      </c>
      <c r="J10" s="77" t="s">
        <v>61</v>
      </c>
      <c r="K10" s="77">
        <v>0</v>
      </c>
      <c r="L10" s="77" t="s">
        <v>106</v>
      </c>
      <c r="M10" s="77" t="s">
        <v>107</v>
      </c>
      <c r="N10" s="73">
        <v>1</v>
      </c>
      <c r="O10" s="80">
        <v>6.9444444444444447E-4</v>
      </c>
    </row>
    <row r="11" spans="1:15" ht="35.1" customHeight="1" thickTop="1" thickBot="1">
      <c r="A11" s="181"/>
      <c r="B11" s="89" t="s">
        <v>10</v>
      </c>
      <c r="C11" s="73" t="s">
        <v>616</v>
      </c>
      <c r="D11" s="73" t="s">
        <v>117</v>
      </c>
      <c r="E11" s="73" t="s">
        <v>11</v>
      </c>
      <c r="F11" s="73" t="s">
        <v>21</v>
      </c>
      <c r="G11" s="73" t="s">
        <v>58</v>
      </c>
      <c r="H11" s="86" t="s">
        <v>59</v>
      </c>
      <c r="I11" s="77" t="s">
        <v>88</v>
      </c>
      <c r="J11" s="77" t="s">
        <v>61</v>
      </c>
      <c r="K11" s="77">
        <v>0</v>
      </c>
      <c r="L11" s="77" t="s">
        <v>134</v>
      </c>
      <c r="M11" s="77" t="s">
        <v>107</v>
      </c>
      <c r="N11" s="73">
        <v>2</v>
      </c>
      <c r="O11" s="80">
        <v>45.042187499999997</v>
      </c>
    </row>
    <row r="12" spans="1:15" ht="35.1" customHeight="1" thickTop="1" thickBot="1">
      <c r="A12" s="180"/>
      <c r="B12" s="89" t="s">
        <v>10</v>
      </c>
      <c r="C12" s="73" t="s">
        <v>617</v>
      </c>
      <c r="D12" s="73" t="s">
        <v>114</v>
      </c>
      <c r="E12" s="73" t="s">
        <v>11</v>
      </c>
      <c r="F12" s="73" t="s">
        <v>21</v>
      </c>
      <c r="G12" s="73" t="s">
        <v>58</v>
      </c>
      <c r="H12" s="86" t="s">
        <v>59</v>
      </c>
      <c r="I12" s="77" t="s">
        <v>88</v>
      </c>
      <c r="J12" s="77" t="s">
        <v>61</v>
      </c>
      <c r="K12" s="77">
        <v>0</v>
      </c>
      <c r="L12" s="77" t="s">
        <v>134</v>
      </c>
      <c r="M12" s="77" t="s">
        <v>107</v>
      </c>
      <c r="N12" s="73">
        <v>2</v>
      </c>
      <c r="O12" s="80">
        <v>45.000520833333333</v>
      </c>
    </row>
    <row r="13" spans="1:15" ht="35.1" customHeight="1" thickTop="1" thickBot="1">
      <c r="A13" s="183"/>
      <c r="B13" s="89" t="s">
        <v>10</v>
      </c>
      <c r="C13" s="73" t="s">
        <v>618</v>
      </c>
      <c r="D13" s="73" t="s">
        <v>120</v>
      </c>
      <c r="E13" s="73" t="s">
        <v>11</v>
      </c>
      <c r="F13" s="73" t="s">
        <v>21</v>
      </c>
      <c r="G13" s="73" t="s">
        <v>58</v>
      </c>
      <c r="H13" s="86" t="s">
        <v>59</v>
      </c>
      <c r="I13" s="77" t="s">
        <v>88</v>
      </c>
      <c r="J13" s="77" t="s">
        <v>61</v>
      </c>
      <c r="K13" s="77">
        <v>0</v>
      </c>
      <c r="L13" s="77" t="s">
        <v>122</v>
      </c>
      <c r="M13" s="77" t="s">
        <v>123</v>
      </c>
      <c r="N13" s="73">
        <v>1</v>
      </c>
      <c r="O13" s="80">
        <v>5.2083333333333333E-4</v>
      </c>
    </row>
    <row r="14" spans="1:15" ht="35.1" customHeight="1" thickTop="1" thickBot="1">
      <c r="A14" s="183"/>
      <c r="B14" s="91" t="s">
        <v>10</v>
      </c>
      <c r="C14" s="84" t="s">
        <v>619</v>
      </c>
      <c r="D14" s="84" t="s">
        <v>125</v>
      </c>
      <c r="E14" s="84" t="s">
        <v>11</v>
      </c>
      <c r="F14" s="84" t="s">
        <v>21</v>
      </c>
      <c r="G14" s="84" t="s">
        <v>58</v>
      </c>
      <c r="H14" s="88" t="s">
        <v>59</v>
      </c>
      <c r="I14" s="77" t="s">
        <v>88</v>
      </c>
      <c r="J14" s="77" t="s">
        <v>61</v>
      </c>
      <c r="K14" s="77">
        <v>0</v>
      </c>
      <c r="L14" s="77" t="s">
        <v>126</v>
      </c>
      <c r="M14" s="77" t="s">
        <v>123</v>
      </c>
      <c r="N14" s="84">
        <v>2</v>
      </c>
      <c r="O14" s="85">
        <v>6.9444444444444447E-4</v>
      </c>
    </row>
    <row r="15" spans="1:15" ht="35.1" customHeight="1" thickTop="1" thickBot="1">
      <c r="A15" s="181"/>
      <c r="B15" s="92" t="s">
        <v>13</v>
      </c>
      <c r="C15" s="78" t="s">
        <v>620</v>
      </c>
      <c r="D15" s="78" t="s">
        <v>621</v>
      </c>
      <c r="E15" s="78" t="s">
        <v>11</v>
      </c>
      <c r="F15" s="78" t="s">
        <v>21</v>
      </c>
      <c r="G15" s="78" t="s">
        <v>137</v>
      </c>
      <c r="H15" s="87">
        <v>45389</v>
      </c>
      <c r="I15" s="77" t="s">
        <v>132</v>
      </c>
      <c r="J15" s="77" t="s">
        <v>133</v>
      </c>
      <c r="K15" s="77">
        <v>0</v>
      </c>
      <c r="L15" s="77" t="s">
        <v>134</v>
      </c>
      <c r="M15" s="77" t="s">
        <v>107</v>
      </c>
      <c r="N15" s="78">
        <v>4</v>
      </c>
      <c r="O15" s="79">
        <v>1.736111111111111E-3</v>
      </c>
    </row>
    <row r="16" spans="1:15" ht="35.1" customHeight="1" thickTop="1" thickBot="1">
      <c r="A16" s="181"/>
      <c r="B16" s="89" t="s">
        <v>13</v>
      </c>
      <c r="C16" s="73" t="s">
        <v>622</v>
      </c>
      <c r="D16" s="73" t="s">
        <v>623</v>
      </c>
      <c r="E16" s="73" t="s">
        <v>11</v>
      </c>
      <c r="F16" s="73" t="s">
        <v>21</v>
      </c>
      <c r="G16" s="73" t="s">
        <v>137</v>
      </c>
      <c r="H16" s="86">
        <v>45398</v>
      </c>
      <c r="I16" s="77" t="s">
        <v>132</v>
      </c>
      <c r="J16" s="77" t="s">
        <v>133</v>
      </c>
      <c r="K16" s="77">
        <v>0</v>
      </c>
      <c r="L16" s="77" t="s">
        <v>134</v>
      </c>
      <c r="M16" s="77" t="s">
        <v>107</v>
      </c>
      <c r="N16" s="73">
        <v>4</v>
      </c>
      <c r="O16" s="80">
        <v>1.736111111111111E-3</v>
      </c>
    </row>
    <row r="17" spans="1:15" ht="35.1" customHeight="1" thickTop="1" thickBot="1">
      <c r="A17" s="181"/>
      <c r="B17" s="89" t="s">
        <v>13</v>
      </c>
      <c r="C17" s="73" t="s">
        <v>624</v>
      </c>
      <c r="D17" s="73" t="s">
        <v>625</v>
      </c>
      <c r="E17" s="73" t="s">
        <v>11</v>
      </c>
      <c r="F17" s="73" t="s">
        <v>21</v>
      </c>
      <c r="G17" s="73" t="s">
        <v>137</v>
      </c>
      <c r="H17" s="86">
        <v>45389</v>
      </c>
      <c r="I17" s="77" t="s">
        <v>132</v>
      </c>
      <c r="J17" s="77" t="s">
        <v>133</v>
      </c>
      <c r="K17" s="77">
        <v>0</v>
      </c>
      <c r="L17" s="77" t="s">
        <v>146</v>
      </c>
      <c r="M17" s="77" t="s">
        <v>107</v>
      </c>
      <c r="N17" s="73">
        <v>4</v>
      </c>
      <c r="O17" s="80">
        <v>1.736111111111111E-3</v>
      </c>
    </row>
    <row r="18" spans="1:15" ht="35.1" customHeight="1" thickTop="1" thickBot="1">
      <c r="A18" s="181"/>
      <c r="B18" s="89" t="s">
        <v>13</v>
      </c>
      <c r="C18" s="73" t="s">
        <v>626</v>
      </c>
      <c r="D18" s="73" t="s">
        <v>627</v>
      </c>
      <c r="E18" s="73" t="s">
        <v>11</v>
      </c>
      <c r="F18" s="73" t="s">
        <v>21</v>
      </c>
      <c r="G18" s="73" t="s">
        <v>131</v>
      </c>
      <c r="H18" s="86">
        <v>45397</v>
      </c>
      <c r="I18" s="77" t="s">
        <v>132</v>
      </c>
      <c r="J18" s="77" t="s">
        <v>133</v>
      </c>
      <c r="K18" s="77">
        <v>0</v>
      </c>
      <c r="L18" s="77" t="s">
        <v>146</v>
      </c>
      <c r="M18" s="77" t="s">
        <v>107</v>
      </c>
      <c r="N18" s="73">
        <v>4</v>
      </c>
      <c r="O18" s="80">
        <v>1.736111111111111E-3</v>
      </c>
    </row>
    <row r="19" spans="1:15" ht="35.1" customHeight="1" thickTop="1" thickBot="1">
      <c r="A19" s="181"/>
      <c r="B19" s="89" t="s">
        <v>13</v>
      </c>
      <c r="C19" s="73" t="s">
        <v>628</v>
      </c>
      <c r="D19" s="73" t="s">
        <v>144</v>
      </c>
      <c r="E19" s="73" t="s">
        <v>11</v>
      </c>
      <c r="F19" s="73" t="s">
        <v>21</v>
      </c>
      <c r="G19" s="73" t="s">
        <v>145</v>
      </c>
      <c r="H19" s="86">
        <v>45394</v>
      </c>
      <c r="I19" s="77" t="s">
        <v>132</v>
      </c>
      <c r="J19" s="77" t="s">
        <v>61</v>
      </c>
      <c r="K19" s="77">
        <v>0</v>
      </c>
      <c r="L19" s="77" t="s">
        <v>152</v>
      </c>
      <c r="M19" s="77" t="s">
        <v>147</v>
      </c>
      <c r="N19" s="73">
        <v>2</v>
      </c>
      <c r="O19" s="80">
        <v>5.2083333333333333E-4</v>
      </c>
    </row>
    <row r="20" spans="1:15" ht="35.1" customHeight="1" thickTop="1" thickBot="1">
      <c r="A20" s="181"/>
      <c r="B20" s="89" t="s">
        <v>13</v>
      </c>
      <c r="C20" s="73" t="s">
        <v>629</v>
      </c>
      <c r="D20" s="73" t="s">
        <v>144</v>
      </c>
      <c r="E20" s="73" t="s">
        <v>11</v>
      </c>
      <c r="F20" s="73" t="s">
        <v>21</v>
      </c>
      <c r="G20" s="73" t="s">
        <v>145</v>
      </c>
      <c r="H20" s="86">
        <v>45394</v>
      </c>
      <c r="I20" s="77" t="s">
        <v>132</v>
      </c>
      <c r="J20" s="77" t="s">
        <v>61</v>
      </c>
      <c r="K20" s="77">
        <v>0</v>
      </c>
      <c r="L20" s="77" t="s">
        <v>152</v>
      </c>
      <c r="M20" s="77" t="s">
        <v>147</v>
      </c>
      <c r="N20" s="73">
        <v>2</v>
      </c>
      <c r="O20" s="80">
        <v>5.2083333333333333E-4</v>
      </c>
    </row>
    <row r="21" spans="1:15" ht="35.1" customHeight="1" thickTop="1" thickBot="1">
      <c r="A21" s="181"/>
      <c r="B21" s="89" t="s">
        <v>13</v>
      </c>
      <c r="C21" s="73" t="s">
        <v>630</v>
      </c>
      <c r="D21" s="73" t="s">
        <v>150</v>
      </c>
      <c r="E21" s="73" t="s">
        <v>11</v>
      </c>
      <c r="F21" s="73" t="s">
        <v>21</v>
      </c>
      <c r="G21" s="73" t="s">
        <v>631</v>
      </c>
      <c r="H21" s="86">
        <v>45390</v>
      </c>
      <c r="I21" s="77" t="s">
        <v>132</v>
      </c>
      <c r="J21" s="77" t="s">
        <v>61</v>
      </c>
      <c r="K21" s="77">
        <v>0</v>
      </c>
      <c r="L21" s="77" t="s">
        <v>163</v>
      </c>
      <c r="M21" s="77" t="s">
        <v>147</v>
      </c>
      <c r="N21" s="73">
        <v>1</v>
      </c>
      <c r="O21" s="80">
        <v>2.3148148148148146E-4</v>
      </c>
    </row>
    <row r="22" spans="1:15" ht="35.1" customHeight="1" thickTop="1" thickBot="1">
      <c r="A22" s="181"/>
      <c r="B22" s="89" t="s">
        <v>13</v>
      </c>
      <c r="C22" s="73" t="s">
        <v>632</v>
      </c>
      <c r="D22" s="73" t="s">
        <v>154</v>
      </c>
      <c r="E22" s="73" t="s">
        <v>11</v>
      </c>
      <c r="F22" s="73" t="s">
        <v>21</v>
      </c>
      <c r="G22" s="73" t="s">
        <v>155</v>
      </c>
      <c r="H22" s="86">
        <v>45394</v>
      </c>
      <c r="I22" s="77" t="s">
        <v>132</v>
      </c>
      <c r="J22" s="77" t="s">
        <v>61</v>
      </c>
      <c r="K22" s="77">
        <v>0</v>
      </c>
      <c r="L22" s="77" t="s">
        <v>163</v>
      </c>
      <c r="M22" s="77" t="s">
        <v>147</v>
      </c>
      <c r="N22" s="73">
        <v>2</v>
      </c>
      <c r="O22" s="80">
        <v>2.3148148148148146E-4</v>
      </c>
    </row>
    <row r="23" spans="1:15" ht="35.1" customHeight="1" thickTop="1" thickBot="1">
      <c r="A23" s="181"/>
      <c r="B23" s="89" t="s">
        <v>13</v>
      </c>
      <c r="C23" s="73" t="s">
        <v>633</v>
      </c>
      <c r="D23" s="73" t="s">
        <v>498</v>
      </c>
      <c r="E23" s="73" t="s">
        <v>11</v>
      </c>
      <c r="F23" s="73" t="s">
        <v>21</v>
      </c>
      <c r="G23" s="73" t="s">
        <v>137</v>
      </c>
      <c r="H23" s="86">
        <v>45398</v>
      </c>
      <c r="I23" s="77" t="s">
        <v>60</v>
      </c>
      <c r="J23" s="77" t="s">
        <v>133</v>
      </c>
      <c r="K23" s="77">
        <v>0</v>
      </c>
      <c r="L23" s="77" t="s">
        <v>163</v>
      </c>
      <c r="M23" s="77" t="s">
        <v>164</v>
      </c>
      <c r="N23" s="73">
        <v>2</v>
      </c>
      <c r="O23" s="80">
        <v>4.6296296296296293E-4</v>
      </c>
    </row>
    <row r="24" spans="1:15" ht="35.1" customHeight="1" thickTop="1" thickBot="1">
      <c r="A24" s="181"/>
      <c r="B24" s="89" t="s">
        <v>13</v>
      </c>
      <c r="C24" s="73" t="s">
        <v>634</v>
      </c>
      <c r="D24" s="73" t="s">
        <v>635</v>
      </c>
      <c r="E24" s="73" t="s">
        <v>11</v>
      </c>
      <c r="F24" s="73" t="s">
        <v>21</v>
      </c>
      <c r="G24" s="73" t="s">
        <v>137</v>
      </c>
      <c r="H24" s="86">
        <v>45398</v>
      </c>
      <c r="I24" s="77" t="s">
        <v>60</v>
      </c>
      <c r="J24" s="77" t="s">
        <v>133</v>
      </c>
      <c r="K24" s="77">
        <v>0</v>
      </c>
      <c r="L24" s="77" t="s">
        <v>163</v>
      </c>
      <c r="M24" s="77" t="s">
        <v>164</v>
      </c>
      <c r="N24" s="73">
        <v>2</v>
      </c>
      <c r="O24" s="80">
        <v>4.6296296296296293E-4</v>
      </c>
    </row>
    <row r="25" spans="1:15" ht="35.1" customHeight="1" thickTop="1" thickBot="1">
      <c r="A25" s="181"/>
      <c r="B25" s="89" t="s">
        <v>13</v>
      </c>
      <c r="C25" s="73" t="s">
        <v>636</v>
      </c>
      <c r="D25" s="73" t="s">
        <v>500</v>
      </c>
      <c r="E25" s="73" t="s">
        <v>11</v>
      </c>
      <c r="F25" s="73" t="s">
        <v>21</v>
      </c>
      <c r="G25" s="73" t="s">
        <v>131</v>
      </c>
      <c r="H25" s="86">
        <v>45397</v>
      </c>
      <c r="I25" s="77" t="s">
        <v>60</v>
      </c>
      <c r="J25" s="77" t="s">
        <v>133</v>
      </c>
      <c r="K25" s="77">
        <v>0</v>
      </c>
      <c r="L25" s="77" t="s">
        <v>182</v>
      </c>
      <c r="M25" s="77" t="s">
        <v>164</v>
      </c>
      <c r="N25" s="73">
        <v>2</v>
      </c>
      <c r="O25" s="80">
        <v>4.6296296296296293E-4</v>
      </c>
    </row>
    <row r="26" spans="1:15" ht="35.1" customHeight="1" thickTop="1" thickBot="1">
      <c r="A26" s="181"/>
      <c r="B26" s="89" t="s">
        <v>13</v>
      </c>
      <c r="C26" s="73" t="s">
        <v>637</v>
      </c>
      <c r="D26" s="73" t="s">
        <v>638</v>
      </c>
      <c r="E26" s="73" t="s">
        <v>11</v>
      </c>
      <c r="F26" s="73" t="s">
        <v>21</v>
      </c>
      <c r="G26" s="73" t="s">
        <v>131</v>
      </c>
      <c r="H26" s="86">
        <v>45397</v>
      </c>
      <c r="I26" s="77" t="s">
        <v>60</v>
      </c>
      <c r="J26" s="77" t="s">
        <v>133</v>
      </c>
      <c r="K26" s="77">
        <v>0</v>
      </c>
      <c r="L26" s="77" t="s">
        <v>179</v>
      </c>
      <c r="M26" s="77" t="s">
        <v>164</v>
      </c>
      <c r="N26" s="73">
        <v>2</v>
      </c>
      <c r="O26" s="80">
        <v>4.6296296296296293E-4</v>
      </c>
    </row>
    <row r="27" spans="1:15" ht="35.1" customHeight="1">
      <c r="A27" s="181"/>
      <c r="B27" s="106" t="s">
        <v>13</v>
      </c>
      <c r="C27" s="100" t="s">
        <v>639</v>
      </c>
      <c r="D27" s="100" t="s">
        <v>181</v>
      </c>
      <c r="E27" s="100"/>
      <c r="F27" s="100"/>
      <c r="G27" s="100"/>
      <c r="H27" s="130"/>
      <c r="I27" s="77" t="s">
        <v>60</v>
      </c>
      <c r="J27" s="77" t="s">
        <v>61</v>
      </c>
      <c r="K27" s="77">
        <v>0</v>
      </c>
      <c r="L27" s="77" t="s">
        <v>640</v>
      </c>
      <c r="M27" s="77" t="s">
        <v>147</v>
      </c>
      <c r="N27" s="100">
        <v>2</v>
      </c>
      <c r="O27" s="109">
        <v>6.9444444444444447E-4</v>
      </c>
    </row>
    <row r="28" spans="1:15" ht="35.1" customHeight="1">
      <c r="A28" s="180"/>
      <c r="B28" s="91" t="s">
        <v>13</v>
      </c>
      <c r="C28" s="84" t="s">
        <v>641</v>
      </c>
      <c r="D28" s="84" t="s">
        <v>177</v>
      </c>
      <c r="E28" s="73" t="s">
        <v>11</v>
      </c>
      <c r="F28" s="82" t="s">
        <v>21</v>
      </c>
      <c r="G28" s="82" t="s">
        <v>178</v>
      </c>
      <c r="H28" s="83">
        <v>45397</v>
      </c>
      <c r="I28" s="77" t="s">
        <v>88</v>
      </c>
      <c r="J28" s="77" t="s">
        <v>61</v>
      </c>
      <c r="K28" s="77">
        <v>0</v>
      </c>
      <c r="L28" s="77" t="s">
        <v>191</v>
      </c>
      <c r="M28" s="77" t="s">
        <v>107</v>
      </c>
      <c r="N28" s="84">
        <v>1</v>
      </c>
      <c r="O28" s="85">
        <v>6.9444444444444447E-4</v>
      </c>
    </row>
    <row r="29" spans="1:15" ht="35.1" customHeight="1">
      <c r="A29" s="181"/>
      <c r="B29" s="92" t="s">
        <v>16</v>
      </c>
      <c r="C29" s="78" t="s">
        <v>642</v>
      </c>
      <c r="D29" s="78" t="s">
        <v>184</v>
      </c>
      <c r="E29" s="73" t="s">
        <v>11</v>
      </c>
      <c r="F29" s="78" t="s">
        <v>21</v>
      </c>
      <c r="G29" s="78" t="s">
        <v>185</v>
      </c>
      <c r="H29" s="87">
        <v>45390</v>
      </c>
      <c r="I29" s="77" t="s">
        <v>132</v>
      </c>
      <c r="J29" s="77" t="s">
        <v>61</v>
      </c>
      <c r="K29" s="77">
        <v>0</v>
      </c>
      <c r="L29" s="77" t="s">
        <v>643</v>
      </c>
      <c r="M29" s="77" t="s">
        <v>187</v>
      </c>
      <c r="N29" s="78">
        <v>2</v>
      </c>
      <c r="O29" s="79">
        <v>1.0416666666666667E-3</v>
      </c>
    </row>
    <row r="30" spans="1:15" ht="35.1" customHeight="1">
      <c r="A30" s="181"/>
      <c r="B30" s="89" t="s">
        <v>16</v>
      </c>
      <c r="C30" s="73" t="s">
        <v>644</v>
      </c>
      <c r="D30" s="73" t="s">
        <v>189</v>
      </c>
      <c r="E30" s="73" t="s">
        <v>11</v>
      </c>
      <c r="F30" s="73" t="s">
        <v>21</v>
      </c>
      <c r="G30" s="73" t="s">
        <v>645</v>
      </c>
      <c r="H30" s="86">
        <v>45394</v>
      </c>
      <c r="I30" s="77" t="s">
        <v>132</v>
      </c>
      <c r="J30" s="77" t="s">
        <v>61</v>
      </c>
      <c r="K30" s="77">
        <v>0</v>
      </c>
      <c r="L30" s="77" t="s">
        <v>646</v>
      </c>
      <c r="M30" s="77" t="s">
        <v>147</v>
      </c>
      <c r="N30" s="73">
        <v>2</v>
      </c>
      <c r="O30" s="80">
        <v>1.5624999999999999E-3</v>
      </c>
    </row>
    <row r="31" spans="1:15" ht="35.1" customHeight="1">
      <c r="A31" s="181"/>
      <c r="B31" s="89" t="s">
        <v>16</v>
      </c>
      <c r="C31" s="73" t="s">
        <v>647</v>
      </c>
      <c r="D31" s="73" t="s">
        <v>648</v>
      </c>
      <c r="E31" s="73" t="s">
        <v>11</v>
      </c>
      <c r="F31" s="73" t="s">
        <v>21</v>
      </c>
      <c r="G31" s="73" t="s">
        <v>645</v>
      </c>
      <c r="H31" s="86">
        <v>45394</v>
      </c>
      <c r="I31" s="77" t="s">
        <v>132</v>
      </c>
      <c r="J31" s="77" t="s">
        <v>133</v>
      </c>
      <c r="K31" s="77">
        <v>0</v>
      </c>
      <c r="L31" s="77" t="s">
        <v>194</v>
      </c>
      <c r="M31" s="77" t="s">
        <v>147</v>
      </c>
      <c r="N31" s="73">
        <v>2</v>
      </c>
      <c r="O31" s="80">
        <v>5.2083333333333333E-4</v>
      </c>
    </row>
    <row r="32" spans="1:15" ht="35.1" customHeight="1">
      <c r="A32" s="181"/>
      <c r="B32" s="89" t="s">
        <v>16</v>
      </c>
      <c r="C32" s="73" t="s">
        <v>649</v>
      </c>
      <c r="D32" s="73" t="s">
        <v>650</v>
      </c>
      <c r="E32" s="73" t="s">
        <v>11</v>
      </c>
      <c r="F32" s="73" t="s">
        <v>21</v>
      </c>
      <c r="G32" s="73" t="s">
        <v>631</v>
      </c>
      <c r="H32" s="86">
        <v>45390</v>
      </c>
      <c r="I32" s="77" t="s">
        <v>132</v>
      </c>
      <c r="J32" s="77" t="s">
        <v>61</v>
      </c>
      <c r="K32" s="77">
        <v>0</v>
      </c>
      <c r="L32" s="77" t="s">
        <v>209</v>
      </c>
      <c r="M32" s="77" t="s">
        <v>147</v>
      </c>
      <c r="N32" s="73">
        <v>2</v>
      </c>
      <c r="O32" s="80">
        <v>6.9444444444444447E-4</v>
      </c>
    </row>
    <row r="33" spans="1:112" ht="35.1" customHeight="1">
      <c r="A33" s="181"/>
      <c r="B33" s="89" t="s">
        <v>16</v>
      </c>
      <c r="C33" s="73" t="s">
        <v>651</v>
      </c>
      <c r="D33" s="73" t="s">
        <v>652</v>
      </c>
      <c r="E33" s="73" t="s">
        <v>11</v>
      </c>
      <c r="F33" s="73" t="s">
        <v>21</v>
      </c>
      <c r="G33" s="73" t="s">
        <v>631</v>
      </c>
      <c r="H33" s="86">
        <v>45390</v>
      </c>
      <c r="I33" s="77" t="s">
        <v>132</v>
      </c>
      <c r="J33" s="77" t="s">
        <v>61</v>
      </c>
      <c r="K33" s="77">
        <v>0</v>
      </c>
      <c r="L33" s="77" t="s">
        <v>209</v>
      </c>
      <c r="M33" s="77" t="s">
        <v>147</v>
      </c>
      <c r="N33" s="73">
        <v>2</v>
      </c>
      <c r="O33" s="80">
        <v>6.9444444444444447E-4</v>
      </c>
    </row>
    <row r="34" spans="1:112" ht="35.1" customHeight="1">
      <c r="A34" s="181"/>
      <c r="B34" s="89" t="s">
        <v>16</v>
      </c>
      <c r="C34" s="73" t="s">
        <v>653</v>
      </c>
      <c r="D34" s="73" t="s">
        <v>207</v>
      </c>
      <c r="E34" s="73" t="s">
        <v>11</v>
      </c>
      <c r="F34" s="73" t="s">
        <v>21</v>
      </c>
      <c r="G34" s="73" t="s">
        <v>654</v>
      </c>
      <c r="H34" s="139">
        <v>45390</v>
      </c>
      <c r="I34" s="77" t="s">
        <v>132</v>
      </c>
      <c r="J34" s="77" t="s">
        <v>133</v>
      </c>
      <c r="K34" s="77">
        <v>0</v>
      </c>
      <c r="L34" s="77" t="s">
        <v>214</v>
      </c>
      <c r="M34" s="77" t="s">
        <v>205</v>
      </c>
      <c r="N34" s="73">
        <v>1</v>
      </c>
      <c r="O34" s="80">
        <v>3.4722222222222224E-4</v>
      </c>
    </row>
    <row r="35" spans="1:112" ht="35.1" customHeight="1">
      <c r="A35" s="181"/>
      <c r="B35" s="89" t="s">
        <v>16</v>
      </c>
      <c r="C35" s="73" t="s">
        <v>655</v>
      </c>
      <c r="D35" s="73" t="s">
        <v>207</v>
      </c>
      <c r="E35" s="73" t="s">
        <v>11</v>
      </c>
      <c r="F35" s="73" t="s">
        <v>21</v>
      </c>
      <c r="G35" s="73" t="s">
        <v>654</v>
      </c>
      <c r="H35" s="139">
        <v>45390</v>
      </c>
      <c r="I35" s="77" t="s">
        <v>132</v>
      </c>
      <c r="J35" s="77" t="s">
        <v>133</v>
      </c>
      <c r="K35" s="77">
        <v>0</v>
      </c>
      <c r="L35" s="77" t="s">
        <v>214</v>
      </c>
      <c r="M35" s="77" t="s">
        <v>205</v>
      </c>
      <c r="N35" s="73">
        <v>1</v>
      </c>
      <c r="O35" s="80">
        <v>3.4722222222222224E-4</v>
      </c>
    </row>
    <row r="36" spans="1:112" ht="35.1" customHeight="1">
      <c r="A36" s="181"/>
      <c r="B36" s="89" t="s">
        <v>16</v>
      </c>
      <c r="C36" s="73" t="s">
        <v>656</v>
      </c>
      <c r="D36" s="73" t="s">
        <v>212</v>
      </c>
      <c r="E36" s="73" t="s">
        <v>11</v>
      </c>
      <c r="F36" s="73" t="s">
        <v>21</v>
      </c>
      <c r="G36" s="73" t="s">
        <v>213</v>
      </c>
      <c r="H36" s="139">
        <v>45391</v>
      </c>
      <c r="I36" s="77" t="s">
        <v>88</v>
      </c>
      <c r="J36" s="77" t="s">
        <v>133</v>
      </c>
      <c r="K36" s="77">
        <v>0</v>
      </c>
      <c r="L36" s="77">
        <v>0</v>
      </c>
      <c r="M36" s="77" t="s">
        <v>215</v>
      </c>
      <c r="N36" s="73">
        <v>1</v>
      </c>
      <c r="O36" s="80">
        <v>3.4722222222222224E-4</v>
      </c>
    </row>
    <row r="37" spans="1:112" ht="35.1" customHeight="1">
      <c r="A37" s="181"/>
      <c r="B37" s="89" t="s">
        <v>16</v>
      </c>
      <c r="C37" s="73" t="s">
        <v>657</v>
      </c>
      <c r="D37" s="73" t="s">
        <v>217</v>
      </c>
      <c r="E37" s="73" t="s">
        <v>11</v>
      </c>
      <c r="F37" s="73" t="s">
        <v>21</v>
      </c>
      <c r="G37" s="73" t="s">
        <v>218</v>
      </c>
      <c r="H37" s="139">
        <v>45390</v>
      </c>
      <c r="I37" s="77" t="s">
        <v>132</v>
      </c>
      <c r="J37" s="77" t="s">
        <v>133</v>
      </c>
      <c r="K37" s="77">
        <v>0</v>
      </c>
      <c r="L37" s="77" t="s">
        <v>227</v>
      </c>
      <c r="M37" s="77" t="s">
        <v>205</v>
      </c>
      <c r="N37" s="73">
        <v>1</v>
      </c>
      <c r="O37" s="80">
        <v>5.7870370370370378E-4</v>
      </c>
    </row>
    <row r="38" spans="1:112" ht="35.1" customHeight="1">
      <c r="A38" s="181"/>
      <c r="B38" s="89" t="s">
        <v>16</v>
      </c>
      <c r="C38" s="73" t="s">
        <v>658</v>
      </c>
      <c r="D38" s="73" t="s">
        <v>221</v>
      </c>
      <c r="E38" s="73" t="s">
        <v>11</v>
      </c>
      <c r="F38" s="73" t="s">
        <v>21</v>
      </c>
      <c r="G38" s="73" t="s">
        <v>511</v>
      </c>
      <c r="H38" s="139">
        <v>45394</v>
      </c>
      <c r="I38" s="77" t="s">
        <v>132</v>
      </c>
      <c r="J38" s="77" t="s">
        <v>133</v>
      </c>
      <c r="K38" s="77">
        <v>0</v>
      </c>
      <c r="L38" s="77" t="s">
        <v>219</v>
      </c>
      <c r="M38" s="77" t="s">
        <v>205</v>
      </c>
      <c r="N38" s="73">
        <v>2</v>
      </c>
      <c r="O38" s="80">
        <v>6.9444444444444447E-4</v>
      </c>
    </row>
    <row r="39" spans="1:112" ht="35.1" customHeight="1">
      <c r="A39" s="181"/>
      <c r="B39" s="89" t="s">
        <v>16</v>
      </c>
      <c r="C39" s="73" t="s">
        <v>659</v>
      </c>
      <c r="D39" s="73" t="s">
        <v>225</v>
      </c>
      <c r="E39" s="73" t="s">
        <v>11</v>
      </c>
      <c r="F39" s="73" t="s">
        <v>21</v>
      </c>
      <c r="G39" s="73" t="s">
        <v>226</v>
      </c>
      <c r="H39" s="139">
        <v>45391</v>
      </c>
      <c r="I39" s="77" t="s">
        <v>60</v>
      </c>
      <c r="J39" s="77" t="s">
        <v>133</v>
      </c>
      <c r="K39" s="77">
        <v>0</v>
      </c>
      <c r="L39" s="77" t="s">
        <v>234</v>
      </c>
      <c r="M39" s="77" t="s">
        <v>205</v>
      </c>
      <c r="N39" s="73">
        <v>1</v>
      </c>
      <c r="O39" s="80">
        <v>3.4722222222222224E-4</v>
      </c>
    </row>
    <row r="40" spans="1:112" ht="35.1" customHeight="1">
      <c r="A40" s="181"/>
      <c r="B40" s="89" t="s">
        <v>16</v>
      </c>
      <c r="C40" s="73" t="s">
        <v>660</v>
      </c>
      <c r="D40" s="73" t="s">
        <v>229</v>
      </c>
      <c r="E40" s="73" t="s">
        <v>11</v>
      </c>
      <c r="F40" s="73" t="s">
        <v>21</v>
      </c>
      <c r="G40" s="73" t="s">
        <v>230</v>
      </c>
      <c r="H40" s="139">
        <v>45390</v>
      </c>
      <c r="I40" s="77" t="s">
        <v>132</v>
      </c>
      <c r="J40" s="77" t="s">
        <v>61</v>
      </c>
      <c r="K40" s="77">
        <v>0</v>
      </c>
      <c r="L40" s="77" t="s">
        <v>238</v>
      </c>
      <c r="M40" s="77" t="s">
        <v>205</v>
      </c>
      <c r="N40" s="73">
        <v>1</v>
      </c>
      <c r="O40" s="80">
        <v>1.0416666666666667E-3</v>
      </c>
    </row>
    <row r="41" spans="1:112" ht="35.1" customHeight="1">
      <c r="A41" s="181"/>
      <c r="B41" s="89" t="s">
        <v>16</v>
      </c>
      <c r="C41" s="73" t="s">
        <v>661</v>
      </c>
      <c r="D41" s="73" t="s">
        <v>232</v>
      </c>
      <c r="E41" s="73" t="s">
        <v>11</v>
      </c>
      <c r="F41" s="73" t="s">
        <v>21</v>
      </c>
      <c r="G41" s="73" t="s">
        <v>662</v>
      </c>
      <c r="H41" s="139">
        <v>45394</v>
      </c>
      <c r="I41" s="77" t="s">
        <v>132</v>
      </c>
      <c r="J41" s="77" t="s">
        <v>133</v>
      </c>
      <c r="K41" s="77">
        <v>0</v>
      </c>
      <c r="L41" s="77" t="s">
        <v>247</v>
      </c>
      <c r="M41" s="77" t="s">
        <v>205</v>
      </c>
      <c r="N41" s="73">
        <v>1</v>
      </c>
      <c r="O41" s="80">
        <v>1.1574074074074073E-4</v>
      </c>
    </row>
    <row r="42" spans="1:112" ht="35.1" customHeight="1">
      <c r="A42" s="181"/>
      <c r="B42" s="156" t="s">
        <v>16</v>
      </c>
      <c r="C42" s="100" t="s">
        <v>663</v>
      </c>
      <c r="D42" s="100" t="s">
        <v>236</v>
      </c>
      <c r="E42" s="73" t="s">
        <v>11</v>
      </c>
      <c r="F42" s="100" t="s">
        <v>21</v>
      </c>
      <c r="G42" s="100" t="s">
        <v>237</v>
      </c>
      <c r="H42" s="139">
        <v>45982</v>
      </c>
      <c r="I42" s="77" t="s">
        <v>132</v>
      </c>
      <c r="J42" s="77" t="s">
        <v>133</v>
      </c>
      <c r="K42" s="77">
        <v>0</v>
      </c>
      <c r="L42" s="77" t="s">
        <v>251</v>
      </c>
      <c r="M42" s="77" t="s">
        <v>239</v>
      </c>
      <c r="N42" s="100">
        <v>2</v>
      </c>
      <c r="O42" s="109">
        <v>3.4722222222222224E-4</v>
      </c>
    </row>
    <row r="43" spans="1:112" ht="35.1" customHeight="1">
      <c r="A43" s="181"/>
      <c r="B43" s="89" t="s">
        <v>16</v>
      </c>
      <c r="C43" s="73" t="s">
        <v>664</v>
      </c>
      <c r="D43" s="73" t="s">
        <v>245</v>
      </c>
      <c r="E43" s="73" t="s">
        <v>11</v>
      </c>
      <c r="F43" s="73" t="s">
        <v>21</v>
      </c>
      <c r="G43" s="73" t="s">
        <v>519</v>
      </c>
      <c r="H43" s="139">
        <v>45390</v>
      </c>
      <c r="I43" s="77" t="s">
        <v>132</v>
      </c>
      <c r="J43" s="77" t="s">
        <v>133</v>
      </c>
      <c r="K43" s="77">
        <v>0</v>
      </c>
      <c r="L43" s="77" t="s">
        <v>665</v>
      </c>
      <c r="M43" s="77" t="s">
        <v>205</v>
      </c>
      <c r="N43" s="73">
        <v>1</v>
      </c>
      <c r="O43" s="80">
        <v>6.9444444444444447E-4</v>
      </c>
      <c r="P43" s="6"/>
      <c r="Q43" s="6"/>
      <c r="R43" s="6"/>
      <c r="S43" s="6"/>
      <c r="T43" s="6"/>
      <c r="U43" s="6"/>
      <c r="V43" s="6"/>
      <c r="W43" s="6"/>
      <c r="X43" s="6"/>
      <c r="Y43" s="6"/>
      <c r="Z43" s="6"/>
      <c r="AA43" s="6"/>
      <c r="AB43" s="6"/>
      <c r="AC43" s="6"/>
      <c r="AD43" s="6"/>
      <c r="AE43" s="6"/>
      <c r="AF43" s="6"/>
      <c r="AG43" s="6"/>
      <c r="AH43" s="6"/>
      <c r="AI43" s="6"/>
      <c r="AJ43" s="6"/>
      <c r="AK43" s="6"/>
      <c r="AL43" s="6"/>
      <c r="AM43" s="6"/>
      <c r="AN43" s="6"/>
      <c r="AO43" s="6"/>
      <c r="AP43" s="6"/>
      <c r="AQ43" s="6"/>
      <c r="AR43" s="6"/>
      <c r="AS43" s="6"/>
      <c r="AT43" s="6"/>
      <c r="AU43" s="6"/>
      <c r="AV43" s="6"/>
      <c r="AW43" s="6"/>
      <c r="AX43" s="6"/>
      <c r="AY43" s="6"/>
      <c r="AZ43" s="6"/>
      <c r="BA43" s="6"/>
      <c r="BB43" s="6"/>
      <c r="BC43" s="6"/>
      <c r="BD43" s="6"/>
      <c r="BE43" s="6"/>
      <c r="BF43" s="6"/>
      <c r="BG43" s="6"/>
      <c r="BH43" s="6"/>
      <c r="BI43" s="6"/>
      <c r="BJ43" s="6"/>
      <c r="BK43" s="6"/>
      <c r="BL43" s="6"/>
      <c r="BM43" s="6"/>
      <c r="BN43" s="6"/>
      <c r="BO43" s="6"/>
      <c r="BP43" s="6"/>
      <c r="BQ43" s="6"/>
      <c r="BR43" s="6"/>
      <c r="BS43" s="6"/>
      <c r="BT43" s="6"/>
      <c r="BU43" s="6"/>
      <c r="BV43" s="6"/>
      <c r="BW43" s="6"/>
      <c r="BX43" s="6"/>
      <c r="BY43" s="6"/>
      <c r="BZ43" s="6"/>
      <c r="CA43" s="6"/>
      <c r="CB43" s="6"/>
      <c r="CC43" s="6"/>
      <c r="CD43" s="6"/>
      <c r="CE43" s="6"/>
      <c r="CF43" s="6"/>
      <c r="CG43" s="6"/>
      <c r="CH43" s="6"/>
      <c r="CI43" s="6"/>
      <c r="CJ43" s="6"/>
      <c r="CK43" s="6"/>
      <c r="CL43" s="6"/>
      <c r="CM43" s="6"/>
      <c r="CN43" s="6"/>
      <c r="CO43" s="6"/>
      <c r="CP43" s="6"/>
      <c r="CQ43" s="6"/>
      <c r="CR43" s="6"/>
      <c r="CS43" s="6"/>
      <c r="CT43" s="6"/>
      <c r="CU43" s="6"/>
      <c r="CV43" s="6"/>
      <c r="CW43" s="6"/>
      <c r="CX43" s="6"/>
      <c r="CY43" s="6"/>
      <c r="CZ43" s="6"/>
      <c r="DA43" s="6"/>
      <c r="DB43" s="6"/>
      <c r="DC43" s="6"/>
      <c r="DD43" s="6"/>
      <c r="DE43" s="6"/>
      <c r="DF43" s="6"/>
      <c r="DG43" s="6"/>
      <c r="DH43" s="6"/>
    </row>
    <row r="44" spans="1:112" s="176" customFormat="1" ht="35.1" customHeight="1">
      <c r="A44" s="181"/>
      <c r="B44" s="156" t="s">
        <v>16</v>
      </c>
      <c r="C44" s="157" t="s">
        <v>666</v>
      </c>
      <c r="D44" s="157" t="s">
        <v>667</v>
      </c>
      <c r="E44" s="73" t="s">
        <v>11</v>
      </c>
      <c r="F44" s="157" t="s">
        <v>21</v>
      </c>
      <c r="G44" s="157" t="s">
        <v>668</v>
      </c>
      <c r="H44" s="171">
        <v>45986</v>
      </c>
      <c r="I44" s="172" t="s">
        <v>132</v>
      </c>
      <c r="J44" s="172" t="s">
        <v>133</v>
      </c>
      <c r="K44" s="172">
        <v>0</v>
      </c>
      <c r="L44" s="172" t="s">
        <v>266</v>
      </c>
      <c r="M44" s="172" t="s">
        <v>239</v>
      </c>
      <c r="N44" s="157">
        <v>1</v>
      </c>
      <c r="O44" s="160">
        <v>6.9444444444444447E-4</v>
      </c>
      <c r="P44" s="6"/>
      <c r="Q44" s="6"/>
      <c r="R44" s="6"/>
      <c r="S44" s="6"/>
      <c r="T44" s="6"/>
      <c r="U44" s="6"/>
      <c r="V44" s="6"/>
      <c r="W44" s="6"/>
      <c r="X44" s="6"/>
      <c r="Y44" s="6"/>
      <c r="Z44" s="6"/>
      <c r="AA44" s="6"/>
      <c r="AB44" s="6"/>
      <c r="AC44" s="6"/>
      <c r="AD44" s="6"/>
      <c r="AE44" s="6"/>
      <c r="AF44" s="6"/>
      <c r="AG44" s="6"/>
      <c r="AH44" s="6"/>
      <c r="AI44" s="6"/>
      <c r="AJ44" s="6"/>
      <c r="AK44" s="6"/>
      <c r="AL44" s="6"/>
      <c r="AM44" s="6"/>
      <c r="AN44" s="6"/>
      <c r="AO44" s="6"/>
      <c r="AP44" s="6"/>
      <c r="AQ44" s="6"/>
      <c r="AR44" s="6"/>
      <c r="AS44" s="6"/>
      <c r="AT44" s="6"/>
      <c r="AU44" s="6"/>
      <c r="AV44" s="6"/>
      <c r="AW44" s="6"/>
      <c r="AX44" s="6"/>
      <c r="AY44" s="6"/>
      <c r="AZ44" s="6"/>
      <c r="BA44" s="6"/>
      <c r="BB44" s="6"/>
      <c r="BC44" s="6"/>
      <c r="BD44" s="6"/>
      <c r="BE44" s="6"/>
      <c r="BF44" s="6"/>
      <c r="BG44" s="6"/>
      <c r="BH44" s="6"/>
      <c r="BI44" s="6"/>
      <c r="BJ44" s="6"/>
      <c r="BK44" s="6"/>
      <c r="BL44" s="6"/>
      <c r="BM44" s="6"/>
      <c r="BN44" s="6"/>
      <c r="BO44" s="6"/>
      <c r="BP44" s="6"/>
      <c r="BQ44" s="6"/>
      <c r="BR44" s="6"/>
      <c r="BS44" s="6"/>
      <c r="BT44" s="6"/>
      <c r="BU44" s="6"/>
      <c r="BV44" s="6"/>
      <c r="BW44" s="6"/>
      <c r="BX44" s="6"/>
      <c r="BY44" s="6"/>
      <c r="BZ44" s="6"/>
      <c r="CA44" s="6"/>
      <c r="CB44" s="6"/>
      <c r="CC44" s="6"/>
      <c r="CD44" s="6"/>
      <c r="CE44" s="6"/>
      <c r="CF44" s="6"/>
      <c r="CG44" s="6"/>
      <c r="CH44" s="6"/>
      <c r="CI44" s="6"/>
      <c r="CJ44" s="6"/>
      <c r="CK44" s="6"/>
      <c r="CL44" s="6"/>
      <c r="CM44" s="6"/>
      <c r="CN44" s="6"/>
      <c r="CO44" s="6"/>
      <c r="CP44" s="6"/>
      <c r="CQ44" s="6"/>
      <c r="CR44" s="6"/>
      <c r="CS44" s="6"/>
      <c r="CT44" s="6"/>
      <c r="CU44" s="6"/>
      <c r="CV44" s="6"/>
      <c r="CW44" s="6"/>
      <c r="CX44" s="6"/>
      <c r="CY44" s="6"/>
      <c r="CZ44" s="6"/>
      <c r="DA44" s="6"/>
      <c r="DB44" s="6"/>
      <c r="DC44" s="6"/>
      <c r="DD44" s="6"/>
      <c r="DE44" s="6"/>
      <c r="DF44" s="6"/>
      <c r="DG44" s="6"/>
      <c r="DH44" s="6"/>
    </row>
    <row r="45" spans="1:112" ht="35.1" customHeight="1">
      <c r="A45" s="181"/>
      <c r="B45" s="89" t="s">
        <v>16</v>
      </c>
      <c r="C45" s="73" t="s">
        <v>669</v>
      </c>
      <c r="D45" s="73" t="s">
        <v>335</v>
      </c>
      <c r="E45" s="73" t="s">
        <v>11</v>
      </c>
      <c r="F45" s="73" t="s">
        <v>21</v>
      </c>
      <c r="G45" s="73" t="s">
        <v>670</v>
      </c>
      <c r="H45" s="139">
        <v>45394</v>
      </c>
      <c r="I45" s="77" t="s">
        <v>60</v>
      </c>
      <c r="J45" s="77" t="s">
        <v>133</v>
      </c>
      <c r="K45" s="77">
        <v>0</v>
      </c>
      <c r="L45" s="77" t="s">
        <v>269</v>
      </c>
      <c r="M45" s="77" t="s">
        <v>205</v>
      </c>
      <c r="N45" s="73">
        <v>2</v>
      </c>
      <c r="O45" s="80">
        <v>3.4722222222222224E-4</v>
      </c>
      <c r="P45" s="6"/>
      <c r="Q45" s="6"/>
      <c r="R45" s="6"/>
      <c r="S45" s="6"/>
      <c r="T45" s="6"/>
      <c r="U45" s="6"/>
      <c r="V45" s="6"/>
      <c r="W45" s="6"/>
      <c r="X45" s="6"/>
      <c r="Y45" s="6"/>
      <c r="Z45" s="6"/>
      <c r="AA45" s="6"/>
      <c r="AB45" s="6"/>
      <c r="AC45" s="6"/>
      <c r="AD45" s="6"/>
      <c r="AE45" s="6"/>
      <c r="AF45" s="6"/>
      <c r="AG45" s="6"/>
      <c r="AH45" s="6"/>
      <c r="AI45" s="6"/>
      <c r="AJ45" s="6"/>
      <c r="AK45" s="6"/>
      <c r="AL45" s="6"/>
      <c r="AM45" s="6"/>
      <c r="AN45" s="6"/>
      <c r="AO45" s="6"/>
      <c r="AP45" s="6"/>
      <c r="AQ45" s="6"/>
      <c r="AR45" s="6"/>
      <c r="AS45" s="6"/>
      <c r="AT45" s="6"/>
      <c r="AU45" s="6"/>
      <c r="AV45" s="6"/>
      <c r="AW45" s="6"/>
      <c r="AX45" s="6"/>
      <c r="AY45" s="6"/>
      <c r="AZ45" s="6"/>
      <c r="BA45" s="6"/>
      <c r="BB45" s="6"/>
      <c r="BC45" s="6"/>
      <c r="BD45" s="6"/>
      <c r="BE45" s="6"/>
      <c r="BF45" s="6"/>
      <c r="BG45" s="6"/>
      <c r="BH45" s="6"/>
      <c r="BI45" s="6"/>
      <c r="BJ45" s="6"/>
      <c r="BK45" s="6"/>
      <c r="BL45" s="6"/>
      <c r="BM45" s="6"/>
      <c r="BN45" s="6"/>
      <c r="BO45" s="6"/>
      <c r="BP45" s="6"/>
      <c r="BQ45" s="6"/>
      <c r="BR45" s="6"/>
      <c r="BS45" s="6"/>
      <c r="BT45" s="6"/>
      <c r="BU45" s="6"/>
      <c r="BV45" s="6"/>
      <c r="BW45" s="6"/>
      <c r="BX45" s="6"/>
      <c r="BY45" s="6"/>
      <c r="BZ45" s="6"/>
      <c r="CA45" s="6"/>
      <c r="CB45" s="6"/>
      <c r="CC45" s="6"/>
      <c r="CD45" s="6"/>
      <c r="CE45" s="6"/>
      <c r="CF45" s="6"/>
      <c r="CG45" s="6"/>
      <c r="CH45" s="6"/>
      <c r="CI45" s="6"/>
      <c r="CJ45" s="6"/>
      <c r="CK45" s="6"/>
      <c r="CL45" s="6"/>
      <c r="CM45" s="6"/>
      <c r="CN45" s="6"/>
      <c r="CO45" s="6"/>
      <c r="CP45" s="6"/>
      <c r="CQ45" s="6"/>
      <c r="CR45" s="6"/>
      <c r="CS45" s="6"/>
      <c r="CT45" s="6"/>
      <c r="CU45" s="6"/>
      <c r="CV45" s="6"/>
      <c r="CW45" s="6"/>
      <c r="CX45" s="6"/>
      <c r="CY45" s="6"/>
      <c r="CZ45" s="6"/>
      <c r="DA45" s="6"/>
      <c r="DB45" s="6"/>
      <c r="DC45" s="6"/>
      <c r="DD45" s="6"/>
      <c r="DE45" s="6"/>
      <c r="DF45" s="6"/>
      <c r="DG45" s="6"/>
      <c r="DH45" s="6"/>
    </row>
    <row r="46" spans="1:112" ht="35.1" customHeight="1">
      <c r="A46" s="181"/>
      <c r="B46" s="89" t="s">
        <v>16</v>
      </c>
      <c r="C46" s="73" t="s">
        <v>671</v>
      </c>
      <c r="D46" s="73" t="s">
        <v>672</v>
      </c>
      <c r="E46" s="73" t="s">
        <v>11</v>
      </c>
      <c r="F46" s="73" t="s">
        <v>21</v>
      </c>
      <c r="G46" s="73" t="s">
        <v>265</v>
      </c>
      <c r="H46" s="139">
        <v>45391</v>
      </c>
      <c r="I46" s="77" t="s">
        <v>60</v>
      </c>
      <c r="J46" s="77" t="s">
        <v>133</v>
      </c>
      <c r="K46" s="77">
        <v>0</v>
      </c>
      <c r="L46" s="77" t="s">
        <v>273</v>
      </c>
      <c r="M46" s="77" t="s">
        <v>205</v>
      </c>
      <c r="N46" s="73">
        <v>1</v>
      </c>
      <c r="O46" s="80">
        <v>3.4722222222222224E-4</v>
      </c>
      <c r="P46" s="6"/>
      <c r="Q46" s="6"/>
      <c r="R46" s="6"/>
      <c r="S46" s="6"/>
      <c r="T46" s="6"/>
      <c r="U46" s="6"/>
      <c r="V46" s="6"/>
      <c r="W46" s="6"/>
      <c r="X46" s="6"/>
      <c r="Y46" s="6"/>
      <c r="Z46" s="6"/>
      <c r="AA46" s="6"/>
      <c r="AB46" s="6"/>
      <c r="AC46" s="6"/>
      <c r="AD46" s="6"/>
      <c r="AE46" s="6"/>
      <c r="AF46" s="6"/>
      <c r="AG46" s="6"/>
      <c r="AH46" s="6"/>
      <c r="AI46" s="6"/>
      <c r="AJ46" s="6"/>
      <c r="AK46" s="6"/>
      <c r="AL46" s="6"/>
      <c r="AM46" s="6"/>
      <c r="AN46" s="6"/>
      <c r="AO46" s="6"/>
      <c r="AP46" s="6"/>
      <c r="AQ46" s="6"/>
      <c r="AR46" s="6"/>
      <c r="AS46" s="6"/>
      <c r="AT46" s="6"/>
      <c r="AU46" s="6"/>
      <c r="AV46" s="6"/>
      <c r="AW46" s="6"/>
      <c r="AX46" s="6"/>
      <c r="AY46" s="6"/>
      <c r="AZ46" s="6"/>
      <c r="BA46" s="6"/>
      <c r="BB46" s="6"/>
      <c r="BC46" s="6"/>
      <c r="BD46" s="6"/>
      <c r="BE46" s="6"/>
      <c r="BF46" s="6"/>
      <c r="BG46" s="6"/>
      <c r="BH46" s="6"/>
      <c r="BI46" s="6"/>
      <c r="BJ46" s="6"/>
      <c r="BK46" s="6"/>
      <c r="BL46" s="6"/>
      <c r="BM46" s="6"/>
      <c r="BN46" s="6"/>
      <c r="BO46" s="6"/>
      <c r="BP46" s="6"/>
      <c r="BQ46" s="6"/>
      <c r="BR46" s="6"/>
      <c r="BS46" s="6"/>
      <c r="BT46" s="6"/>
      <c r="BU46" s="6"/>
      <c r="BV46" s="6"/>
      <c r="BW46" s="6"/>
      <c r="BX46" s="6"/>
      <c r="BY46" s="6"/>
      <c r="BZ46" s="6"/>
      <c r="CA46" s="6"/>
      <c r="CB46" s="6"/>
      <c r="CC46" s="6"/>
      <c r="CD46" s="6"/>
      <c r="CE46" s="6"/>
      <c r="CF46" s="6"/>
      <c r="CG46" s="6"/>
      <c r="CH46" s="6"/>
      <c r="CI46" s="6"/>
      <c r="CJ46" s="6"/>
      <c r="CK46" s="6"/>
      <c r="CL46" s="6"/>
      <c r="CM46" s="6"/>
      <c r="CN46" s="6"/>
      <c r="CO46" s="6"/>
      <c r="CP46" s="6"/>
      <c r="CQ46" s="6"/>
      <c r="CR46" s="6"/>
      <c r="CS46" s="6"/>
      <c r="CT46" s="6"/>
      <c r="CU46" s="6"/>
      <c r="CV46" s="6"/>
      <c r="CW46" s="6"/>
      <c r="CX46" s="6"/>
      <c r="CY46" s="6"/>
      <c r="CZ46" s="6"/>
      <c r="DA46" s="6"/>
      <c r="DB46" s="6"/>
      <c r="DC46" s="6"/>
      <c r="DD46" s="6"/>
      <c r="DE46" s="6"/>
      <c r="DF46" s="6"/>
      <c r="DG46" s="6"/>
      <c r="DH46" s="6"/>
    </row>
    <row r="47" spans="1:112" ht="35.1" customHeight="1">
      <c r="A47" s="181"/>
      <c r="B47" s="89" t="s">
        <v>16</v>
      </c>
      <c r="C47" s="73" t="s">
        <v>673</v>
      </c>
      <c r="D47" s="73" t="s">
        <v>268</v>
      </c>
      <c r="E47" s="73" t="s">
        <v>11</v>
      </c>
      <c r="F47" s="73" t="s">
        <v>21</v>
      </c>
      <c r="G47" s="73" t="s">
        <v>265</v>
      </c>
      <c r="H47" s="139">
        <v>45391</v>
      </c>
      <c r="I47" s="77" t="s">
        <v>60</v>
      </c>
      <c r="J47" s="77" t="s">
        <v>133</v>
      </c>
      <c r="K47" s="77">
        <v>0</v>
      </c>
      <c r="L47" s="77" t="s">
        <v>276</v>
      </c>
      <c r="M47" s="77" t="s">
        <v>205</v>
      </c>
      <c r="N47" s="73">
        <v>1</v>
      </c>
      <c r="O47" s="80">
        <v>3.4722222222222224E-4</v>
      </c>
      <c r="P47" s="6"/>
      <c r="Q47" s="6"/>
      <c r="R47" s="6"/>
      <c r="S47" s="6"/>
      <c r="T47" s="6"/>
      <c r="U47" s="6"/>
      <c r="V47" s="6"/>
      <c r="W47" s="6"/>
      <c r="X47" s="6"/>
      <c r="Y47" s="6"/>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6"/>
      <c r="BA47" s="6"/>
      <c r="BB47" s="6"/>
      <c r="BC47" s="6"/>
      <c r="BD47" s="6"/>
      <c r="BE47" s="6"/>
      <c r="BF47" s="6"/>
      <c r="BG47" s="6"/>
      <c r="BH47" s="6"/>
      <c r="BI47" s="6"/>
      <c r="BJ47" s="6"/>
      <c r="BK47" s="6"/>
      <c r="BL47" s="6"/>
      <c r="BM47" s="6"/>
      <c r="BN47" s="6"/>
      <c r="BO47" s="6"/>
      <c r="BP47" s="6"/>
      <c r="BQ47" s="6"/>
      <c r="BR47" s="6"/>
      <c r="BS47" s="6"/>
      <c r="BT47" s="6"/>
      <c r="BU47" s="6"/>
      <c r="BV47" s="6"/>
      <c r="BW47" s="6"/>
      <c r="BX47" s="6"/>
      <c r="BY47" s="6"/>
      <c r="BZ47" s="6"/>
      <c r="CA47" s="6"/>
      <c r="CB47" s="6"/>
      <c r="CC47" s="6"/>
      <c r="CD47" s="6"/>
      <c r="CE47" s="6"/>
      <c r="CF47" s="6"/>
      <c r="CG47" s="6"/>
      <c r="CH47" s="6"/>
      <c r="CI47" s="6"/>
      <c r="CJ47" s="6"/>
      <c r="CK47" s="6"/>
      <c r="CL47" s="6"/>
      <c r="CM47" s="6"/>
      <c r="CN47" s="6"/>
      <c r="CO47" s="6"/>
      <c r="CP47" s="6"/>
      <c r="CQ47" s="6"/>
      <c r="CR47" s="6"/>
      <c r="CS47" s="6"/>
      <c r="CT47" s="6"/>
      <c r="CU47" s="6"/>
      <c r="CV47" s="6"/>
      <c r="CW47" s="6"/>
      <c r="CX47" s="6"/>
      <c r="CY47" s="6"/>
      <c r="CZ47" s="6"/>
      <c r="DA47" s="6"/>
      <c r="DB47" s="6"/>
      <c r="DC47" s="6"/>
      <c r="DD47" s="6"/>
      <c r="DE47" s="6"/>
      <c r="DF47" s="6"/>
      <c r="DG47" s="6"/>
      <c r="DH47" s="6"/>
    </row>
    <row r="48" spans="1:112" ht="35.1" customHeight="1">
      <c r="A48" s="181"/>
      <c r="B48" s="89" t="s">
        <v>16</v>
      </c>
      <c r="C48" s="73" t="s">
        <v>674</v>
      </c>
      <c r="D48" s="73" t="s">
        <v>675</v>
      </c>
      <c r="E48" s="73" t="s">
        <v>11</v>
      </c>
      <c r="F48" s="73" t="s">
        <v>21</v>
      </c>
      <c r="G48" s="73" t="s">
        <v>226</v>
      </c>
      <c r="H48" s="139">
        <v>45391</v>
      </c>
      <c r="I48" s="77" t="s">
        <v>60</v>
      </c>
      <c r="J48" s="77" t="s">
        <v>133</v>
      </c>
      <c r="K48" s="77">
        <v>0</v>
      </c>
      <c r="L48" s="77" t="s">
        <v>280</v>
      </c>
      <c r="M48" s="77" t="s">
        <v>205</v>
      </c>
      <c r="N48" s="73">
        <v>1</v>
      </c>
      <c r="O48" s="80">
        <v>3.4722222222222224E-4</v>
      </c>
      <c r="P48" s="6"/>
      <c r="Q48" s="6"/>
      <c r="R48" s="6"/>
      <c r="S48" s="6"/>
      <c r="T48" s="6"/>
      <c r="U48" s="6"/>
      <c r="V48" s="6"/>
      <c r="W48" s="6"/>
      <c r="X48" s="6"/>
      <c r="Y48" s="6"/>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6"/>
      <c r="BA48" s="6"/>
      <c r="BB48" s="6"/>
      <c r="BC48" s="6"/>
      <c r="BD48" s="6"/>
      <c r="BE48" s="6"/>
      <c r="BF48" s="6"/>
      <c r="BG48" s="6"/>
      <c r="BH48" s="6"/>
      <c r="BI48" s="6"/>
      <c r="BJ48" s="6"/>
      <c r="BK48" s="6"/>
      <c r="BL48" s="6"/>
      <c r="BM48" s="6"/>
      <c r="BN48" s="6"/>
      <c r="BO48" s="6"/>
      <c r="BP48" s="6"/>
      <c r="BQ48" s="6"/>
      <c r="BR48" s="6"/>
      <c r="BS48" s="6"/>
      <c r="BT48" s="6"/>
      <c r="BU48" s="6"/>
      <c r="BV48" s="6"/>
      <c r="BW48" s="6"/>
      <c r="BX48" s="6"/>
      <c r="BY48" s="6"/>
      <c r="BZ48" s="6"/>
      <c r="CA48" s="6"/>
      <c r="CB48" s="6"/>
      <c r="CC48" s="6"/>
      <c r="CD48" s="6"/>
      <c r="CE48" s="6"/>
      <c r="CF48" s="6"/>
      <c r="CG48" s="6"/>
      <c r="CH48" s="6"/>
      <c r="CI48" s="6"/>
      <c r="CJ48" s="6"/>
      <c r="CK48" s="6"/>
      <c r="CL48" s="6"/>
      <c r="CM48" s="6"/>
      <c r="CN48" s="6"/>
      <c r="CO48" s="6"/>
      <c r="CP48" s="6"/>
      <c r="CQ48" s="6"/>
      <c r="CR48" s="6"/>
      <c r="CS48" s="6"/>
      <c r="CT48" s="6"/>
      <c r="CU48" s="6"/>
      <c r="CV48" s="6"/>
      <c r="CW48" s="6"/>
      <c r="CX48" s="6"/>
      <c r="CY48" s="6"/>
      <c r="CZ48" s="6"/>
      <c r="DA48" s="6"/>
      <c r="DB48" s="6"/>
      <c r="DC48" s="6"/>
      <c r="DD48" s="6"/>
      <c r="DE48" s="6"/>
      <c r="DF48" s="6"/>
      <c r="DG48" s="6"/>
      <c r="DH48" s="6"/>
    </row>
    <row r="49" spans="1:112" ht="35.1" customHeight="1">
      <c r="A49" s="183"/>
      <c r="B49" s="89" t="s">
        <v>16</v>
      </c>
      <c r="C49" s="73" t="s">
        <v>676</v>
      </c>
      <c r="D49" s="73" t="s">
        <v>536</v>
      </c>
      <c r="E49" s="73" t="s">
        <v>11</v>
      </c>
      <c r="F49" s="72" t="s">
        <v>21</v>
      </c>
      <c r="G49" s="72" t="s">
        <v>279</v>
      </c>
      <c r="H49" s="139">
        <v>45391</v>
      </c>
      <c r="I49" s="77" t="s">
        <v>88</v>
      </c>
      <c r="J49" s="77" t="s">
        <v>133</v>
      </c>
      <c r="K49" s="77">
        <v>0</v>
      </c>
      <c r="L49" s="77" t="s">
        <v>284</v>
      </c>
      <c r="M49" s="77" t="s">
        <v>215</v>
      </c>
      <c r="N49" s="73">
        <v>1</v>
      </c>
      <c r="O49" s="80">
        <v>3.4722222222222224E-4</v>
      </c>
      <c r="P49" s="6"/>
      <c r="Q49" s="6"/>
      <c r="R49" s="6"/>
      <c r="S49" s="6"/>
      <c r="T49" s="6"/>
      <c r="U49" s="6"/>
      <c r="V49" s="6"/>
      <c r="W49" s="6"/>
      <c r="X49" s="6"/>
      <c r="Y49" s="6"/>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6"/>
      <c r="BA49" s="6"/>
      <c r="BB49" s="6"/>
      <c r="BC49" s="6"/>
      <c r="BD49" s="6"/>
      <c r="BE49" s="6"/>
      <c r="BF49" s="6"/>
      <c r="BG49" s="6"/>
      <c r="BH49" s="6"/>
      <c r="BI49" s="6"/>
      <c r="BJ49" s="6"/>
      <c r="BK49" s="6"/>
      <c r="BL49" s="6"/>
      <c r="BM49" s="6"/>
      <c r="BN49" s="6"/>
      <c r="BO49" s="6"/>
      <c r="BP49" s="6"/>
      <c r="BQ49" s="6"/>
      <c r="BR49" s="6"/>
      <c r="BS49" s="6"/>
      <c r="BT49" s="6"/>
      <c r="BU49" s="6"/>
      <c r="BV49" s="6"/>
      <c r="BW49" s="6"/>
      <c r="BX49" s="6"/>
      <c r="BY49" s="6"/>
      <c r="BZ49" s="6"/>
      <c r="CA49" s="6"/>
      <c r="CB49" s="6"/>
      <c r="CC49" s="6"/>
      <c r="CD49" s="6"/>
      <c r="CE49" s="6"/>
      <c r="CF49" s="6"/>
      <c r="CG49" s="6"/>
      <c r="CH49" s="6"/>
      <c r="CI49" s="6"/>
      <c r="CJ49" s="6"/>
      <c r="CK49" s="6"/>
      <c r="CL49" s="6"/>
      <c r="CM49" s="6"/>
      <c r="CN49" s="6"/>
      <c r="CO49" s="6"/>
      <c r="CP49" s="6"/>
      <c r="CQ49" s="6"/>
      <c r="CR49" s="6"/>
      <c r="CS49" s="6"/>
      <c r="CT49" s="6"/>
      <c r="CU49" s="6"/>
      <c r="CV49" s="6"/>
      <c r="CW49" s="6"/>
      <c r="CX49" s="6"/>
      <c r="CY49" s="6"/>
      <c r="CZ49" s="6"/>
      <c r="DA49" s="6"/>
      <c r="DB49" s="6"/>
      <c r="DC49" s="6"/>
      <c r="DD49" s="6"/>
      <c r="DE49" s="6"/>
      <c r="DF49" s="6"/>
      <c r="DG49" s="6"/>
      <c r="DH49" s="6"/>
    </row>
    <row r="50" spans="1:112" ht="35.1" customHeight="1">
      <c r="A50" s="183"/>
      <c r="B50" s="89" t="s">
        <v>16</v>
      </c>
      <c r="C50" s="73" t="s">
        <v>677</v>
      </c>
      <c r="D50" s="73" t="s">
        <v>278</v>
      </c>
      <c r="E50" s="73" t="s">
        <v>11</v>
      </c>
      <c r="F50" s="72" t="s">
        <v>21</v>
      </c>
      <c r="G50" s="72" t="s">
        <v>678</v>
      </c>
      <c r="H50" s="139">
        <v>45391</v>
      </c>
      <c r="I50" s="77" t="s">
        <v>88</v>
      </c>
      <c r="J50" s="77" t="s">
        <v>133</v>
      </c>
      <c r="K50" s="77">
        <v>0</v>
      </c>
      <c r="L50" s="77" t="s">
        <v>288</v>
      </c>
      <c r="M50" s="77" t="s">
        <v>215</v>
      </c>
      <c r="N50" s="73">
        <v>1</v>
      </c>
      <c r="O50" s="80">
        <v>5.2083333333333333E-4</v>
      </c>
      <c r="P50" s="6"/>
      <c r="Q50" s="6"/>
      <c r="R50" s="6"/>
      <c r="S50" s="6"/>
      <c r="T50" s="6"/>
      <c r="U50" s="6"/>
      <c r="V50" s="6"/>
      <c r="W50" s="6"/>
      <c r="X50" s="6"/>
      <c r="Y50" s="6"/>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6"/>
      <c r="BA50" s="6"/>
      <c r="BB50" s="6"/>
      <c r="BC50" s="6"/>
      <c r="BD50" s="6"/>
      <c r="BE50" s="6"/>
      <c r="BF50" s="6"/>
      <c r="BG50" s="6"/>
      <c r="BH50" s="6"/>
      <c r="BI50" s="6"/>
      <c r="BJ50" s="6"/>
      <c r="BK50" s="6"/>
      <c r="BL50" s="6"/>
      <c r="BM50" s="6"/>
      <c r="BN50" s="6"/>
      <c r="BO50" s="6"/>
      <c r="BP50" s="6"/>
      <c r="BQ50" s="6"/>
      <c r="BR50" s="6"/>
      <c r="BS50" s="6"/>
      <c r="BT50" s="6"/>
      <c r="BU50" s="6"/>
      <c r="BV50" s="6"/>
      <c r="BW50" s="6"/>
      <c r="BX50" s="6"/>
      <c r="BY50" s="6"/>
      <c r="BZ50" s="6"/>
      <c r="CA50" s="6"/>
      <c r="CB50" s="6"/>
      <c r="CC50" s="6"/>
      <c r="CD50" s="6"/>
      <c r="CE50" s="6"/>
      <c r="CF50" s="6"/>
      <c r="CG50" s="6"/>
      <c r="CH50" s="6"/>
      <c r="CI50" s="6"/>
      <c r="CJ50" s="6"/>
      <c r="CK50" s="6"/>
      <c r="CL50" s="6"/>
      <c r="CM50" s="6"/>
      <c r="CN50" s="6"/>
      <c r="CO50" s="6"/>
      <c r="CP50" s="6"/>
      <c r="CQ50" s="6"/>
      <c r="CR50" s="6"/>
      <c r="CS50" s="6"/>
      <c r="CT50" s="6"/>
      <c r="CU50" s="6"/>
      <c r="CV50" s="6"/>
      <c r="CW50" s="6"/>
      <c r="CX50" s="6"/>
      <c r="CY50" s="6"/>
      <c r="CZ50" s="6"/>
      <c r="DA50" s="6"/>
      <c r="DB50" s="6"/>
      <c r="DC50" s="6"/>
      <c r="DD50" s="6"/>
      <c r="DE50" s="6"/>
      <c r="DF50" s="6"/>
      <c r="DG50" s="6"/>
      <c r="DH50" s="6"/>
    </row>
    <row r="51" spans="1:112" ht="35.1" customHeight="1">
      <c r="A51" s="183"/>
      <c r="B51" s="89" t="s">
        <v>16</v>
      </c>
      <c r="C51" s="73" t="s">
        <v>679</v>
      </c>
      <c r="D51" s="73" t="s">
        <v>680</v>
      </c>
      <c r="E51" s="73" t="s">
        <v>11</v>
      </c>
      <c r="F51" s="72" t="s">
        <v>21</v>
      </c>
      <c r="G51" s="72" t="s">
        <v>678</v>
      </c>
      <c r="H51" s="139">
        <v>45391</v>
      </c>
      <c r="I51" s="77" t="s">
        <v>88</v>
      </c>
      <c r="J51" s="77" t="s">
        <v>133</v>
      </c>
      <c r="K51" s="77">
        <v>0</v>
      </c>
      <c r="L51" s="77" t="s">
        <v>292</v>
      </c>
      <c r="M51" s="77" t="s">
        <v>215</v>
      </c>
      <c r="N51" s="73">
        <v>1</v>
      </c>
      <c r="O51" s="80">
        <v>6.9444444444444447E-4</v>
      </c>
      <c r="P51" s="6"/>
      <c r="Q51" s="6"/>
      <c r="R51" s="6"/>
      <c r="S51" s="6"/>
      <c r="T51" s="6"/>
      <c r="U51" s="6"/>
      <c r="V51" s="6"/>
      <c r="W51" s="6"/>
      <c r="X51" s="6"/>
      <c r="Y51" s="6"/>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6"/>
      <c r="BA51" s="6"/>
      <c r="BB51" s="6"/>
      <c r="BC51" s="6"/>
      <c r="BD51" s="6"/>
      <c r="BE51" s="6"/>
      <c r="BF51" s="6"/>
      <c r="BG51" s="6"/>
      <c r="BH51" s="6"/>
      <c r="BI51" s="6"/>
      <c r="BJ51" s="6"/>
      <c r="BK51" s="6"/>
      <c r="BL51" s="6"/>
      <c r="BM51" s="6"/>
      <c r="BN51" s="6"/>
      <c r="BO51" s="6"/>
      <c r="BP51" s="6"/>
      <c r="BQ51" s="6"/>
      <c r="BR51" s="6"/>
      <c r="BS51" s="6"/>
      <c r="BT51" s="6"/>
      <c r="BU51" s="6"/>
      <c r="BV51" s="6"/>
      <c r="BW51" s="6"/>
      <c r="BX51" s="6"/>
      <c r="BY51" s="6"/>
      <c r="BZ51" s="6"/>
      <c r="CA51" s="6"/>
      <c r="CB51" s="6"/>
      <c r="CC51" s="6"/>
      <c r="CD51" s="6"/>
      <c r="CE51" s="6"/>
      <c r="CF51" s="6"/>
      <c r="CG51" s="6"/>
      <c r="CH51" s="6"/>
      <c r="CI51" s="6"/>
      <c r="CJ51" s="6"/>
      <c r="CK51" s="6"/>
      <c r="CL51" s="6"/>
      <c r="CM51" s="6"/>
      <c r="CN51" s="6"/>
      <c r="CO51" s="6"/>
      <c r="CP51" s="6"/>
      <c r="CQ51" s="6"/>
      <c r="CR51" s="6"/>
      <c r="CS51" s="6"/>
      <c r="CT51" s="6"/>
      <c r="CU51" s="6"/>
      <c r="CV51" s="6"/>
      <c r="CW51" s="6"/>
      <c r="CX51" s="6"/>
      <c r="CY51" s="6"/>
      <c r="CZ51" s="6"/>
      <c r="DA51" s="6"/>
      <c r="DB51" s="6"/>
      <c r="DC51" s="6"/>
      <c r="DD51" s="6"/>
      <c r="DE51" s="6"/>
      <c r="DF51" s="6"/>
      <c r="DG51" s="6"/>
      <c r="DH51" s="6"/>
    </row>
    <row r="52" spans="1:112" ht="35.1" customHeight="1">
      <c r="A52" s="181"/>
      <c r="B52" s="89" t="s">
        <v>16</v>
      </c>
      <c r="C52" s="73" t="s">
        <v>681</v>
      </c>
      <c r="D52" s="73" t="s">
        <v>286</v>
      </c>
      <c r="E52" s="73" t="s">
        <v>11</v>
      </c>
      <c r="F52" s="73" t="s">
        <v>21</v>
      </c>
      <c r="G52" s="73" t="s">
        <v>287</v>
      </c>
      <c r="H52" s="139">
        <v>45391</v>
      </c>
      <c r="I52" s="77" t="s">
        <v>60</v>
      </c>
      <c r="J52" s="77" t="s">
        <v>133</v>
      </c>
      <c r="K52" s="77">
        <v>0</v>
      </c>
      <c r="L52" s="77" t="s">
        <v>298</v>
      </c>
      <c r="M52" s="77" t="s">
        <v>205</v>
      </c>
      <c r="N52" s="73">
        <v>1</v>
      </c>
      <c r="O52" s="80">
        <v>3.4722222222222224E-4</v>
      </c>
      <c r="P52" s="6"/>
      <c r="Q52" s="6"/>
      <c r="R52" s="6"/>
      <c r="S52" s="6"/>
      <c r="T52" s="6"/>
      <c r="U52" s="6"/>
      <c r="V52" s="6"/>
      <c r="W52" s="6"/>
      <c r="X52" s="6"/>
      <c r="Y52" s="6"/>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6"/>
      <c r="BA52" s="6"/>
      <c r="BB52" s="6"/>
      <c r="BC52" s="6"/>
      <c r="BD52" s="6"/>
      <c r="BE52" s="6"/>
      <c r="BF52" s="6"/>
      <c r="BG52" s="6"/>
      <c r="BH52" s="6"/>
      <c r="BI52" s="6"/>
      <c r="BJ52" s="6"/>
      <c r="BK52" s="6"/>
      <c r="BL52" s="6"/>
      <c r="BM52" s="6"/>
      <c r="BN52" s="6"/>
      <c r="BO52" s="6"/>
      <c r="BP52" s="6"/>
      <c r="BQ52" s="6"/>
      <c r="BR52" s="6"/>
      <c r="BS52" s="6"/>
      <c r="BT52" s="6"/>
      <c r="BU52" s="6"/>
      <c r="BV52" s="6"/>
      <c r="BW52" s="6"/>
      <c r="BX52" s="6"/>
      <c r="BY52" s="6"/>
      <c r="BZ52" s="6"/>
      <c r="CA52" s="6"/>
      <c r="CB52" s="6"/>
      <c r="CC52" s="6"/>
      <c r="CD52" s="6"/>
      <c r="CE52" s="6"/>
      <c r="CF52" s="6"/>
      <c r="CG52" s="6"/>
      <c r="CH52" s="6"/>
      <c r="CI52" s="6"/>
      <c r="CJ52" s="6"/>
      <c r="CK52" s="6"/>
      <c r="CL52" s="6"/>
      <c r="CM52" s="6"/>
      <c r="CN52" s="6"/>
      <c r="CO52" s="6"/>
      <c r="CP52" s="6"/>
      <c r="CQ52" s="6"/>
      <c r="CR52" s="6"/>
      <c r="CS52" s="6"/>
      <c r="CT52" s="6"/>
      <c r="CU52" s="6"/>
      <c r="CV52" s="6"/>
      <c r="CW52" s="6"/>
      <c r="CX52" s="6"/>
      <c r="CY52" s="6"/>
      <c r="CZ52" s="6"/>
      <c r="DA52" s="6"/>
      <c r="DB52" s="6"/>
      <c r="DC52" s="6"/>
      <c r="DD52" s="6"/>
      <c r="DE52" s="6"/>
      <c r="DF52" s="6"/>
      <c r="DG52" s="6"/>
      <c r="DH52" s="6"/>
    </row>
    <row r="53" spans="1:112" ht="35.1" customHeight="1">
      <c r="A53" s="181"/>
      <c r="B53" s="89" t="s">
        <v>16</v>
      </c>
      <c r="C53" s="73" t="s">
        <v>682</v>
      </c>
      <c r="D53" s="73" t="s">
        <v>290</v>
      </c>
      <c r="E53" s="73" t="s">
        <v>11</v>
      </c>
      <c r="F53" s="73" t="s">
        <v>21</v>
      </c>
      <c r="G53" s="73" t="s">
        <v>291</v>
      </c>
      <c r="H53" s="139">
        <v>45390</v>
      </c>
      <c r="I53" s="77" t="s">
        <v>132</v>
      </c>
      <c r="J53" s="77" t="s">
        <v>133</v>
      </c>
      <c r="K53" s="77">
        <v>0</v>
      </c>
      <c r="L53" s="77" t="s">
        <v>298</v>
      </c>
      <c r="M53" s="77" t="s">
        <v>205</v>
      </c>
      <c r="N53" s="73">
        <v>1</v>
      </c>
      <c r="O53" s="80">
        <v>6.9444444444444447E-4</v>
      </c>
      <c r="P53" s="6"/>
      <c r="Q53" s="6"/>
      <c r="R53" s="6"/>
      <c r="S53" s="6"/>
      <c r="T53" s="6"/>
      <c r="U53" s="6"/>
      <c r="V53" s="6"/>
      <c r="W53" s="6"/>
      <c r="X53" s="6"/>
      <c r="Y53" s="6"/>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6"/>
      <c r="BA53" s="6"/>
      <c r="BB53" s="6"/>
      <c r="BC53" s="6"/>
      <c r="BD53" s="6"/>
      <c r="BE53" s="6"/>
      <c r="BF53" s="6"/>
      <c r="BG53" s="6"/>
      <c r="BH53" s="6"/>
      <c r="BI53" s="6"/>
      <c r="BJ53" s="6"/>
      <c r="BK53" s="6"/>
      <c r="BL53" s="6"/>
      <c r="BM53" s="6"/>
      <c r="BN53" s="6"/>
      <c r="BO53" s="6"/>
      <c r="BP53" s="6"/>
      <c r="BQ53" s="6"/>
      <c r="BR53" s="6"/>
      <c r="BS53" s="6"/>
      <c r="BT53" s="6"/>
      <c r="BU53" s="6"/>
      <c r="BV53" s="6"/>
      <c r="BW53" s="6"/>
      <c r="BX53" s="6"/>
      <c r="BY53" s="6"/>
      <c r="BZ53" s="6"/>
      <c r="CA53" s="6"/>
      <c r="CB53" s="6"/>
      <c r="CC53" s="6"/>
      <c r="CD53" s="6"/>
      <c r="CE53" s="6"/>
      <c r="CF53" s="6"/>
      <c r="CG53" s="6"/>
      <c r="CH53" s="6"/>
      <c r="CI53" s="6"/>
      <c r="CJ53" s="6"/>
      <c r="CK53" s="6"/>
      <c r="CL53" s="6"/>
      <c r="CM53" s="6"/>
      <c r="CN53" s="6"/>
      <c r="CO53" s="6"/>
      <c r="CP53" s="6"/>
      <c r="CQ53" s="6"/>
      <c r="CR53" s="6"/>
      <c r="CS53" s="6"/>
      <c r="CT53" s="6"/>
      <c r="CU53" s="6"/>
      <c r="CV53" s="6"/>
      <c r="CW53" s="6"/>
      <c r="CX53" s="6"/>
      <c r="CY53" s="6"/>
      <c r="CZ53" s="6"/>
      <c r="DA53" s="6"/>
      <c r="DB53" s="6"/>
      <c r="DC53" s="6"/>
      <c r="DD53" s="6"/>
      <c r="DE53" s="6"/>
      <c r="DF53" s="6"/>
      <c r="DG53" s="6"/>
      <c r="DH53" s="6"/>
    </row>
    <row r="54" spans="1:112" ht="35.1" customHeight="1">
      <c r="A54" s="181"/>
      <c r="B54" s="89" t="s">
        <v>16</v>
      </c>
      <c r="C54" s="73" t="s">
        <v>683</v>
      </c>
      <c r="D54" s="73" t="s">
        <v>297</v>
      </c>
      <c r="E54" s="73" t="s">
        <v>11</v>
      </c>
      <c r="F54" s="73" t="s">
        <v>21</v>
      </c>
      <c r="G54" s="73" t="s">
        <v>291</v>
      </c>
      <c r="H54" s="139">
        <v>45390</v>
      </c>
      <c r="I54" s="77" t="s">
        <v>132</v>
      </c>
      <c r="J54" s="77" t="s">
        <v>133</v>
      </c>
      <c r="K54" s="77">
        <v>0</v>
      </c>
      <c r="L54" s="77" t="s">
        <v>311</v>
      </c>
      <c r="M54" s="77" t="s">
        <v>205</v>
      </c>
      <c r="N54" s="73">
        <v>1</v>
      </c>
      <c r="O54" s="80">
        <v>3.4722222222222224E-4</v>
      </c>
      <c r="P54" s="6"/>
      <c r="Q54" s="6"/>
      <c r="R54" s="6"/>
      <c r="S54" s="6"/>
      <c r="T54" s="6"/>
      <c r="U54" s="6"/>
      <c r="V54" s="6"/>
      <c r="W54" s="6"/>
      <c r="X54" s="6"/>
      <c r="Y54" s="6"/>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6"/>
      <c r="BA54" s="6"/>
      <c r="BB54" s="6"/>
      <c r="BC54" s="6"/>
      <c r="BD54" s="6"/>
      <c r="BE54" s="6"/>
      <c r="BF54" s="6"/>
      <c r="BG54" s="6"/>
      <c r="BH54" s="6"/>
      <c r="BI54" s="6"/>
      <c r="BJ54" s="6"/>
      <c r="BK54" s="6"/>
      <c r="BL54" s="6"/>
      <c r="BM54" s="6"/>
      <c r="BN54" s="6"/>
      <c r="BO54" s="6"/>
      <c r="BP54" s="6"/>
      <c r="BQ54" s="6"/>
      <c r="BR54" s="6"/>
      <c r="BS54" s="6"/>
      <c r="BT54" s="6"/>
      <c r="BU54" s="6"/>
      <c r="BV54" s="6"/>
      <c r="BW54" s="6"/>
      <c r="BX54" s="6"/>
      <c r="BY54" s="6"/>
      <c r="BZ54" s="6"/>
      <c r="CA54" s="6"/>
      <c r="CB54" s="6"/>
      <c r="CC54" s="6"/>
      <c r="CD54" s="6"/>
      <c r="CE54" s="6"/>
      <c r="CF54" s="6"/>
      <c r="CG54" s="6"/>
      <c r="CH54" s="6"/>
      <c r="CI54" s="6"/>
      <c r="CJ54" s="6"/>
      <c r="CK54" s="6"/>
      <c r="CL54" s="6"/>
      <c r="CM54" s="6"/>
      <c r="CN54" s="6"/>
      <c r="CO54" s="6"/>
      <c r="CP54" s="6"/>
      <c r="CQ54" s="6"/>
      <c r="CR54" s="6"/>
      <c r="CS54" s="6"/>
      <c r="CT54" s="6"/>
      <c r="CU54" s="6"/>
      <c r="CV54" s="6"/>
      <c r="CW54" s="6"/>
      <c r="CX54" s="6"/>
      <c r="CY54" s="6"/>
      <c r="CZ54" s="6"/>
      <c r="DA54" s="6"/>
      <c r="DB54" s="6"/>
      <c r="DC54" s="6"/>
      <c r="DD54" s="6"/>
      <c r="DE54" s="6"/>
      <c r="DF54" s="6"/>
      <c r="DG54" s="6"/>
      <c r="DH54" s="6"/>
    </row>
    <row r="55" spans="1:112" ht="35.1" customHeight="1">
      <c r="A55" s="181"/>
      <c r="B55" s="89" t="s">
        <v>16</v>
      </c>
      <c r="C55" s="73" t="s">
        <v>684</v>
      </c>
      <c r="D55" s="73" t="s">
        <v>300</v>
      </c>
      <c r="E55" s="73" t="s">
        <v>11</v>
      </c>
      <c r="F55" s="73" t="s">
        <v>21</v>
      </c>
      <c r="G55" s="73" t="s">
        <v>291</v>
      </c>
      <c r="H55" s="139">
        <v>45390</v>
      </c>
      <c r="I55" s="77" t="s">
        <v>132</v>
      </c>
      <c r="J55" s="77" t="s">
        <v>133</v>
      </c>
      <c r="K55" s="77">
        <v>0</v>
      </c>
      <c r="L55" s="77" t="s">
        <v>315</v>
      </c>
      <c r="M55" s="77" t="s">
        <v>205</v>
      </c>
      <c r="N55" s="73">
        <v>1</v>
      </c>
      <c r="O55" s="80">
        <v>3.4722222222222224E-4</v>
      </c>
      <c r="P55" s="6"/>
      <c r="Q55" s="6"/>
      <c r="R55" s="6"/>
      <c r="S55" s="6"/>
      <c r="T55" s="6"/>
      <c r="U55" s="6"/>
      <c r="V55" s="6"/>
      <c r="W55" s="6"/>
      <c r="X55" s="6"/>
      <c r="Y55" s="6"/>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6"/>
      <c r="BA55" s="6"/>
      <c r="BB55" s="6"/>
      <c r="BC55" s="6"/>
      <c r="BD55" s="6"/>
      <c r="BE55" s="6"/>
      <c r="BF55" s="6"/>
      <c r="BG55" s="6"/>
      <c r="BH55" s="6"/>
      <c r="BI55" s="6"/>
      <c r="BJ55" s="6"/>
      <c r="BK55" s="6"/>
      <c r="BL55" s="6"/>
      <c r="BM55" s="6"/>
      <c r="BN55" s="6"/>
      <c r="BO55" s="6"/>
      <c r="BP55" s="6"/>
      <c r="BQ55" s="6"/>
      <c r="BR55" s="6"/>
      <c r="BS55" s="6"/>
      <c r="BT55" s="6"/>
      <c r="BU55" s="6"/>
      <c r="BV55" s="6"/>
      <c r="BW55" s="6"/>
      <c r="BX55" s="6"/>
      <c r="BY55" s="6"/>
      <c r="BZ55" s="6"/>
      <c r="CA55" s="6"/>
      <c r="CB55" s="6"/>
      <c r="CC55" s="6"/>
      <c r="CD55" s="6"/>
      <c r="CE55" s="6"/>
      <c r="CF55" s="6"/>
      <c r="CG55" s="6"/>
      <c r="CH55" s="6"/>
      <c r="CI55" s="6"/>
      <c r="CJ55" s="6"/>
      <c r="CK55" s="6"/>
      <c r="CL55" s="6"/>
      <c r="CM55" s="6"/>
      <c r="CN55" s="6"/>
      <c r="CO55" s="6"/>
      <c r="CP55" s="6"/>
      <c r="CQ55" s="6"/>
      <c r="CR55" s="6"/>
      <c r="CS55" s="6"/>
      <c r="CT55" s="6"/>
      <c r="CU55" s="6"/>
      <c r="CV55" s="6"/>
      <c r="CW55" s="6"/>
      <c r="CX55" s="6"/>
      <c r="CY55" s="6"/>
      <c r="CZ55" s="6"/>
      <c r="DA55" s="6"/>
      <c r="DB55" s="6"/>
      <c r="DC55" s="6"/>
      <c r="DD55" s="6"/>
      <c r="DE55" s="6"/>
      <c r="DF55" s="6"/>
      <c r="DG55" s="6"/>
      <c r="DH55" s="6"/>
    </row>
    <row r="56" spans="1:112" ht="35.1" customHeight="1">
      <c r="A56" s="181"/>
      <c r="B56" s="89" t="s">
        <v>16</v>
      </c>
      <c r="C56" s="73" t="s">
        <v>656</v>
      </c>
      <c r="D56" s="73" t="s">
        <v>685</v>
      </c>
      <c r="E56" s="73" t="s">
        <v>11</v>
      </c>
      <c r="F56" s="73" t="s">
        <v>21</v>
      </c>
      <c r="G56" s="73" t="s">
        <v>213</v>
      </c>
      <c r="H56" s="139">
        <v>45391</v>
      </c>
      <c r="I56" s="77" t="s">
        <v>88</v>
      </c>
      <c r="J56" s="77" t="s">
        <v>133</v>
      </c>
      <c r="K56" s="77">
        <v>0</v>
      </c>
      <c r="L56" s="77">
        <v>0</v>
      </c>
      <c r="M56" s="77" t="s">
        <v>215</v>
      </c>
      <c r="N56" s="73">
        <v>1</v>
      </c>
      <c r="O56" s="80">
        <v>3.4722222222222224E-4</v>
      </c>
      <c r="P56" s="6"/>
      <c r="Q56" s="6"/>
      <c r="R56" s="6"/>
      <c r="S56" s="6"/>
      <c r="T56" s="6"/>
      <c r="U56" s="6"/>
      <c r="V56" s="6"/>
      <c r="W56" s="6"/>
      <c r="X56" s="6"/>
      <c r="Y56" s="6"/>
      <c r="Z56" s="6"/>
      <c r="AA56" s="6"/>
      <c r="AB56" s="6"/>
      <c r="AC56" s="6"/>
      <c r="AD56" s="6"/>
      <c r="AE56" s="6"/>
      <c r="AF56" s="6"/>
      <c r="AG56" s="6"/>
      <c r="AH56" s="6"/>
      <c r="AI56" s="6"/>
      <c r="AJ56" s="6"/>
      <c r="AK56" s="6"/>
      <c r="AL56" s="6"/>
      <c r="AM56" s="6"/>
      <c r="AN56" s="6"/>
      <c r="AO56" s="6"/>
      <c r="AP56" s="6"/>
      <c r="AQ56" s="6"/>
      <c r="AR56" s="6"/>
      <c r="AS56" s="6"/>
      <c r="AT56" s="6"/>
      <c r="AU56" s="6"/>
      <c r="AV56" s="6"/>
      <c r="AW56" s="6"/>
      <c r="AX56" s="6"/>
      <c r="AY56" s="6"/>
      <c r="AZ56" s="6"/>
      <c r="BA56" s="6"/>
      <c r="BB56" s="6"/>
      <c r="BC56" s="6"/>
      <c r="BD56" s="6"/>
      <c r="BE56" s="6"/>
      <c r="BF56" s="6"/>
      <c r="BG56" s="6"/>
      <c r="BH56" s="6"/>
      <c r="BI56" s="6"/>
      <c r="BJ56" s="6"/>
      <c r="BK56" s="6"/>
      <c r="BL56" s="6"/>
      <c r="BM56" s="6"/>
      <c r="BN56" s="6"/>
      <c r="BO56" s="6"/>
      <c r="BP56" s="6"/>
      <c r="BQ56" s="6"/>
      <c r="BR56" s="6"/>
      <c r="BS56" s="6"/>
      <c r="BT56" s="6"/>
      <c r="BU56" s="6"/>
      <c r="BV56" s="6"/>
      <c r="BW56" s="6"/>
      <c r="BX56" s="6"/>
      <c r="BY56" s="6"/>
      <c r="BZ56" s="6"/>
      <c r="CA56" s="6"/>
      <c r="CB56" s="6"/>
      <c r="CC56" s="6"/>
      <c r="CD56" s="6"/>
      <c r="CE56" s="6"/>
      <c r="CF56" s="6"/>
      <c r="CG56" s="6"/>
      <c r="CH56" s="6"/>
      <c r="CI56" s="6"/>
      <c r="CJ56" s="6"/>
      <c r="CK56" s="6"/>
      <c r="CL56" s="6"/>
      <c r="CM56" s="6"/>
      <c r="CN56" s="6"/>
      <c r="CO56" s="6"/>
      <c r="CP56" s="6"/>
      <c r="CQ56" s="6"/>
      <c r="CR56" s="6"/>
      <c r="CS56" s="6"/>
      <c r="CT56" s="6"/>
      <c r="CU56" s="6"/>
      <c r="CV56" s="6"/>
      <c r="CW56" s="6"/>
      <c r="CX56" s="6"/>
      <c r="CY56" s="6"/>
      <c r="CZ56" s="6"/>
      <c r="DA56" s="6"/>
      <c r="DB56" s="6"/>
      <c r="DC56" s="6"/>
      <c r="DD56" s="6"/>
      <c r="DE56" s="6"/>
      <c r="DF56" s="6"/>
      <c r="DG56" s="6"/>
      <c r="DH56" s="6"/>
    </row>
    <row r="57" spans="1:112" ht="35.1" customHeight="1">
      <c r="A57" s="181"/>
      <c r="B57" s="89" t="s">
        <v>16</v>
      </c>
      <c r="C57" s="73" t="s">
        <v>686</v>
      </c>
      <c r="D57" s="73" t="s">
        <v>687</v>
      </c>
      <c r="E57" s="73" t="s">
        <v>11</v>
      </c>
      <c r="F57" s="73" t="s">
        <v>21</v>
      </c>
      <c r="G57" s="73" t="s">
        <v>310</v>
      </c>
      <c r="H57" s="139">
        <v>45391</v>
      </c>
      <c r="I57" s="77" t="s">
        <v>60</v>
      </c>
      <c r="J57" s="77" t="s">
        <v>133</v>
      </c>
      <c r="K57" s="77">
        <v>0</v>
      </c>
      <c r="L57" s="77" t="s">
        <v>688</v>
      </c>
      <c r="M57" s="77" t="s">
        <v>205</v>
      </c>
      <c r="N57" s="73">
        <v>1</v>
      </c>
      <c r="O57" s="80">
        <v>8.6805555555555551E-4</v>
      </c>
      <c r="P57" s="6"/>
      <c r="Q57" s="6"/>
      <c r="R57" s="6"/>
      <c r="S57" s="6"/>
      <c r="T57" s="6"/>
      <c r="U57" s="6"/>
      <c r="V57" s="6"/>
      <c r="W57" s="6"/>
      <c r="X57" s="6"/>
      <c r="Y57" s="6"/>
      <c r="Z57" s="6"/>
      <c r="AA57" s="6"/>
      <c r="AB57" s="6"/>
      <c r="AC57" s="6"/>
      <c r="AD57" s="6"/>
      <c r="AE57" s="6"/>
      <c r="AF57" s="6"/>
      <c r="AG57" s="6"/>
      <c r="AH57" s="6"/>
      <c r="AI57" s="6"/>
      <c r="AJ57" s="6"/>
      <c r="AK57" s="6"/>
      <c r="AL57" s="6"/>
      <c r="AM57" s="6"/>
      <c r="AN57" s="6"/>
      <c r="AO57" s="6"/>
      <c r="AP57" s="6"/>
      <c r="AQ57" s="6"/>
      <c r="AR57" s="6"/>
      <c r="AS57" s="6"/>
      <c r="AT57" s="6"/>
      <c r="AU57" s="6"/>
      <c r="AV57" s="6"/>
      <c r="AW57" s="6"/>
      <c r="AX57" s="6"/>
      <c r="AY57" s="6"/>
      <c r="AZ57" s="6"/>
      <c r="BA57" s="6"/>
      <c r="BB57" s="6"/>
      <c r="BC57" s="6"/>
      <c r="BD57" s="6"/>
      <c r="BE57" s="6"/>
      <c r="BF57" s="6"/>
      <c r="BG57" s="6"/>
      <c r="BH57" s="6"/>
      <c r="BI57" s="6"/>
      <c r="BJ57" s="6"/>
      <c r="BK57" s="6"/>
      <c r="BL57" s="6"/>
      <c r="BM57" s="6"/>
      <c r="BN57" s="6"/>
      <c r="BO57" s="6"/>
      <c r="BP57" s="6"/>
      <c r="BQ57" s="6"/>
      <c r="BR57" s="6"/>
      <c r="BS57" s="6"/>
      <c r="BT57" s="6"/>
      <c r="BU57" s="6"/>
      <c r="BV57" s="6"/>
      <c r="BW57" s="6"/>
      <c r="BX57" s="6"/>
      <c r="BY57" s="6"/>
      <c r="BZ57" s="6"/>
      <c r="CA57" s="6"/>
      <c r="CB57" s="6"/>
      <c r="CC57" s="6"/>
      <c r="CD57" s="6"/>
      <c r="CE57" s="6"/>
      <c r="CF57" s="6"/>
      <c r="CG57" s="6"/>
      <c r="CH57" s="6"/>
      <c r="CI57" s="6"/>
      <c r="CJ57" s="6"/>
      <c r="CK57" s="6"/>
      <c r="CL57" s="6"/>
      <c r="CM57" s="6"/>
      <c r="CN57" s="6"/>
      <c r="CO57" s="6"/>
      <c r="CP57" s="6"/>
      <c r="CQ57" s="6"/>
      <c r="CR57" s="6"/>
      <c r="CS57" s="6"/>
      <c r="CT57" s="6"/>
      <c r="CU57" s="6"/>
      <c r="CV57" s="6"/>
      <c r="CW57" s="6"/>
      <c r="CX57" s="6"/>
      <c r="CY57" s="6"/>
      <c r="CZ57" s="6"/>
      <c r="DA57" s="6"/>
      <c r="DB57" s="6"/>
      <c r="DC57" s="6"/>
      <c r="DD57" s="6"/>
      <c r="DE57" s="6"/>
      <c r="DF57" s="6"/>
      <c r="DG57" s="6"/>
      <c r="DH57" s="6"/>
    </row>
    <row r="58" spans="1:112" ht="35.1" customHeight="1">
      <c r="A58" s="181"/>
      <c r="B58" s="89" t="s">
        <v>16</v>
      </c>
      <c r="C58" s="73" t="s">
        <v>689</v>
      </c>
      <c r="D58" s="73" t="s">
        <v>313</v>
      </c>
      <c r="E58" s="73" t="s">
        <v>11</v>
      </c>
      <c r="F58" s="73" t="s">
        <v>21</v>
      </c>
      <c r="G58" s="73" t="s">
        <v>690</v>
      </c>
      <c r="H58" s="139">
        <v>45390</v>
      </c>
      <c r="I58" s="77" t="s">
        <v>132</v>
      </c>
      <c r="J58" s="77" t="s">
        <v>133</v>
      </c>
      <c r="K58" s="77">
        <v>0</v>
      </c>
      <c r="L58" s="77" t="s">
        <v>324</v>
      </c>
      <c r="M58" s="77" t="s">
        <v>205</v>
      </c>
      <c r="N58" s="73">
        <v>1</v>
      </c>
      <c r="O58" s="80">
        <v>6.9444444444444447E-4</v>
      </c>
      <c r="P58" s="6"/>
      <c r="Q58" s="6"/>
      <c r="R58" s="6"/>
      <c r="S58" s="6"/>
      <c r="T58" s="6"/>
      <c r="U58" s="6"/>
      <c r="V58" s="6"/>
      <c r="W58" s="6"/>
      <c r="X58" s="6"/>
      <c r="Y58" s="6"/>
      <c r="Z58" s="6"/>
      <c r="AA58" s="6"/>
      <c r="AB58" s="6"/>
      <c r="AC58" s="6"/>
      <c r="AD58" s="6"/>
      <c r="AE58" s="6"/>
      <c r="AF58" s="6"/>
      <c r="AG58" s="6"/>
      <c r="AH58" s="6"/>
      <c r="AI58" s="6"/>
      <c r="AJ58" s="6"/>
      <c r="AK58" s="6"/>
      <c r="AL58" s="6"/>
      <c r="AM58" s="6"/>
      <c r="AN58" s="6"/>
      <c r="AO58" s="6"/>
      <c r="AP58" s="6"/>
      <c r="AQ58" s="6"/>
      <c r="AR58" s="6"/>
      <c r="AS58" s="6"/>
      <c r="AT58" s="6"/>
      <c r="AU58" s="6"/>
      <c r="AV58" s="6"/>
      <c r="AW58" s="6"/>
      <c r="AX58" s="6"/>
      <c r="AY58" s="6"/>
      <c r="AZ58" s="6"/>
      <c r="BA58" s="6"/>
      <c r="BB58" s="6"/>
      <c r="BC58" s="6"/>
      <c r="BD58" s="6"/>
      <c r="BE58" s="6"/>
      <c r="BF58" s="6"/>
      <c r="BG58" s="6"/>
      <c r="BH58" s="6"/>
      <c r="BI58" s="6"/>
      <c r="BJ58" s="6"/>
      <c r="BK58" s="6"/>
      <c r="BL58" s="6"/>
      <c r="BM58" s="6"/>
      <c r="BN58" s="6"/>
      <c r="BO58" s="6"/>
      <c r="BP58" s="6"/>
      <c r="BQ58" s="6"/>
      <c r="BR58" s="6"/>
      <c r="BS58" s="6"/>
      <c r="BT58" s="6"/>
      <c r="BU58" s="6"/>
      <c r="BV58" s="6"/>
      <c r="BW58" s="6"/>
      <c r="BX58" s="6"/>
      <c r="BY58" s="6"/>
      <c r="BZ58" s="6"/>
      <c r="CA58" s="6"/>
      <c r="CB58" s="6"/>
      <c r="CC58" s="6"/>
      <c r="CD58" s="6"/>
      <c r="CE58" s="6"/>
      <c r="CF58" s="6"/>
      <c r="CG58" s="6"/>
      <c r="CH58" s="6"/>
      <c r="CI58" s="6"/>
      <c r="CJ58" s="6"/>
      <c r="CK58" s="6"/>
      <c r="CL58" s="6"/>
      <c r="CM58" s="6"/>
      <c r="CN58" s="6"/>
      <c r="CO58" s="6"/>
      <c r="CP58" s="6"/>
      <c r="CQ58" s="6"/>
      <c r="CR58" s="6"/>
      <c r="CS58" s="6"/>
      <c r="CT58" s="6"/>
      <c r="CU58" s="6"/>
      <c r="CV58" s="6"/>
      <c r="CW58" s="6"/>
      <c r="CX58" s="6"/>
      <c r="CY58" s="6"/>
      <c r="CZ58" s="6"/>
      <c r="DA58" s="6"/>
      <c r="DB58" s="6"/>
      <c r="DC58" s="6"/>
      <c r="DD58" s="6"/>
      <c r="DE58" s="6"/>
      <c r="DF58" s="6"/>
      <c r="DG58" s="6"/>
      <c r="DH58" s="6"/>
    </row>
    <row r="59" spans="1:112" ht="35.1" customHeight="1">
      <c r="A59" s="181"/>
      <c r="B59" s="89" t="s">
        <v>16</v>
      </c>
      <c r="C59" s="73" t="s">
        <v>691</v>
      </c>
      <c r="D59" s="73" t="s">
        <v>320</v>
      </c>
      <c r="E59" s="73" t="s">
        <v>11</v>
      </c>
      <c r="F59" s="73" t="s">
        <v>21</v>
      </c>
      <c r="G59" s="73" t="s">
        <v>690</v>
      </c>
      <c r="H59" s="139">
        <v>45390</v>
      </c>
      <c r="I59" s="77" t="s">
        <v>132</v>
      </c>
      <c r="J59" s="77" t="s">
        <v>133</v>
      </c>
      <c r="K59" s="77">
        <v>0</v>
      </c>
      <c r="L59" s="77" t="s">
        <v>692</v>
      </c>
      <c r="M59" s="77" t="s">
        <v>205</v>
      </c>
      <c r="N59" s="73">
        <v>1</v>
      </c>
      <c r="O59" s="80">
        <v>6.9444444444444447E-4</v>
      </c>
      <c r="P59" s="6"/>
      <c r="Q59" s="6"/>
      <c r="R59" s="6"/>
      <c r="S59" s="6"/>
      <c r="T59" s="6"/>
      <c r="U59" s="6"/>
      <c r="V59" s="6"/>
      <c r="W59" s="6"/>
      <c r="X59" s="6"/>
      <c r="Y59" s="6"/>
      <c r="Z59" s="6"/>
      <c r="AA59" s="6"/>
      <c r="AB59" s="6"/>
      <c r="AC59" s="6"/>
      <c r="AD59" s="6"/>
      <c r="AE59" s="6"/>
      <c r="AF59" s="6"/>
      <c r="AG59" s="6"/>
      <c r="AH59" s="6"/>
      <c r="AI59" s="6"/>
      <c r="AJ59" s="6"/>
      <c r="AK59" s="6"/>
      <c r="AL59" s="6"/>
      <c r="AM59" s="6"/>
      <c r="AN59" s="6"/>
      <c r="AO59" s="6"/>
      <c r="AP59" s="6"/>
      <c r="AQ59" s="6"/>
      <c r="AR59" s="6"/>
      <c r="AS59" s="6"/>
      <c r="AT59" s="6"/>
      <c r="AU59" s="6"/>
      <c r="AV59" s="6"/>
      <c r="AW59" s="6"/>
      <c r="AX59" s="6"/>
      <c r="AY59" s="6"/>
      <c r="AZ59" s="6"/>
      <c r="BA59" s="6"/>
      <c r="BB59" s="6"/>
      <c r="BC59" s="6"/>
      <c r="BD59" s="6"/>
      <c r="BE59" s="6"/>
      <c r="BF59" s="6"/>
      <c r="BG59" s="6"/>
      <c r="BH59" s="6"/>
      <c r="BI59" s="6"/>
      <c r="BJ59" s="6"/>
      <c r="BK59" s="6"/>
      <c r="BL59" s="6"/>
      <c r="BM59" s="6"/>
      <c r="BN59" s="6"/>
      <c r="BO59" s="6"/>
      <c r="BP59" s="6"/>
      <c r="BQ59" s="6"/>
      <c r="BR59" s="6"/>
      <c r="BS59" s="6"/>
      <c r="BT59" s="6"/>
      <c r="BU59" s="6"/>
      <c r="BV59" s="6"/>
      <c r="BW59" s="6"/>
      <c r="BX59" s="6"/>
      <c r="BY59" s="6"/>
      <c r="BZ59" s="6"/>
      <c r="CA59" s="6"/>
      <c r="CB59" s="6"/>
      <c r="CC59" s="6"/>
      <c r="CD59" s="6"/>
      <c r="CE59" s="6"/>
      <c r="CF59" s="6"/>
      <c r="CG59" s="6"/>
      <c r="CH59" s="6"/>
      <c r="CI59" s="6"/>
      <c r="CJ59" s="6"/>
      <c r="CK59" s="6"/>
      <c r="CL59" s="6"/>
      <c r="CM59" s="6"/>
      <c r="CN59" s="6"/>
      <c r="CO59" s="6"/>
      <c r="CP59" s="6"/>
      <c r="CQ59" s="6"/>
      <c r="CR59" s="6"/>
      <c r="CS59" s="6"/>
      <c r="CT59" s="6"/>
      <c r="CU59" s="6"/>
      <c r="CV59" s="6"/>
      <c r="CW59" s="6"/>
      <c r="CX59" s="6"/>
      <c r="CY59" s="6"/>
      <c r="CZ59" s="6"/>
      <c r="DA59" s="6"/>
      <c r="DB59" s="6"/>
      <c r="DC59" s="6"/>
      <c r="DD59" s="6"/>
      <c r="DE59" s="6"/>
      <c r="DF59" s="6"/>
      <c r="DG59" s="6"/>
      <c r="DH59" s="6"/>
    </row>
    <row r="60" spans="1:112" ht="35.1" customHeight="1">
      <c r="A60" s="181"/>
      <c r="B60" s="106" t="s">
        <v>16</v>
      </c>
      <c r="C60" s="100" t="s">
        <v>693</v>
      </c>
      <c r="D60" s="100" t="s">
        <v>694</v>
      </c>
      <c r="E60" s="100"/>
      <c r="F60" s="100"/>
      <c r="G60" s="100"/>
      <c r="H60" s="130"/>
      <c r="I60" s="77" t="s">
        <v>88</v>
      </c>
      <c r="J60" s="77" t="s">
        <v>61</v>
      </c>
      <c r="K60" s="77">
        <v>0</v>
      </c>
      <c r="L60" s="77">
        <v>0</v>
      </c>
      <c r="M60" s="77" t="s">
        <v>123</v>
      </c>
      <c r="N60" s="100">
        <v>1</v>
      </c>
      <c r="O60" s="109">
        <v>6.9444444444444447E-4</v>
      </c>
      <c r="P60" s="6"/>
      <c r="Q60" s="6"/>
      <c r="R60" s="6"/>
      <c r="S60" s="6"/>
      <c r="T60" s="6"/>
      <c r="U60" s="6"/>
      <c r="V60" s="6"/>
      <c r="W60" s="6"/>
      <c r="X60" s="6"/>
      <c r="Y60" s="6"/>
      <c r="Z60" s="6"/>
      <c r="AA60" s="6"/>
      <c r="AB60" s="6"/>
      <c r="AC60" s="6"/>
      <c r="AD60" s="6"/>
      <c r="AE60" s="6"/>
      <c r="AF60" s="6"/>
      <c r="AG60" s="6"/>
      <c r="AH60" s="6"/>
      <c r="AI60" s="6"/>
      <c r="AJ60" s="6"/>
      <c r="AK60" s="6"/>
      <c r="AL60" s="6"/>
      <c r="AM60" s="6"/>
      <c r="AN60" s="6"/>
      <c r="AO60" s="6"/>
      <c r="AP60" s="6"/>
      <c r="AQ60" s="6"/>
      <c r="AR60" s="6"/>
      <c r="AS60" s="6"/>
      <c r="AT60" s="6"/>
      <c r="AU60" s="6"/>
      <c r="AV60" s="6"/>
      <c r="AW60" s="6"/>
      <c r="AX60" s="6"/>
      <c r="AY60" s="6"/>
      <c r="AZ60" s="6"/>
      <c r="BA60" s="6"/>
      <c r="BB60" s="6"/>
      <c r="BC60" s="6"/>
      <c r="BD60" s="6"/>
      <c r="BE60" s="6"/>
      <c r="BF60" s="6"/>
      <c r="BG60" s="6"/>
      <c r="BH60" s="6"/>
      <c r="BI60" s="6"/>
      <c r="BJ60" s="6"/>
      <c r="BK60" s="6"/>
      <c r="BL60" s="6"/>
      <c r="BM60" s="6"/>
      <c r="BN60" s="6"/>
      <c r="BO60" s="6"/>
      <c r="BP60" s="6"/>
      <c r="BQ60" s="6"/>
      <c r="BR60" s="6"/>
      <c r="BS60" s="6"/>
      <c r="BT60" s="6"/>
      <c r="BU60" s="6"/>
      <c r="BV60" s="6"/>
      <c r="BW60" s="6"/>
      <c r="BX60" s="6"/>
      <c r="BY60" s="6"/>
      <c r="BZ60" s="6"/>
      <c r="CA60" s="6"/>
      <c r="CB60" s="6"/>
      <c r="CC60" s="6"/>
      <c r="CD60" s="6"/>
      <c r="CE60" s="6"/>
      <c r="CF60" s="6"/>
      <c r="CG60" s="6"/>
      <c r="CH60" s="6"/>
      <c r="CI60" s="6"/>
      <c r="CJ60" s="6"/>
      <c r="CK60" s="6"/>
      <c r="CL60" s="6"/>
      <c r="CM60" s="6"/>
      <c r="CN60" s="6"/>
      <c r="CO60" s="6"/>
      <c r="CP60" s="6"/>
      <c r="CQ60" s="6"/>
      <c r="CR60" s="6"/>
      <c r="CS60" s="6"/>
      <c r="CT60" s="6"/>
      <c r="CU60" s="6"/>
      <c r="CV60" s="6"/>
      <c r="CW60" s="6"/>
      <c r="CX60" s="6"/>
      <c r="CY60" s="6"/>
      <c r="CZ60" s="6"/>
      <c r="DA60" s="6"/>
      <c r="DB60" s="6"/>
      <c r="DC60" s="6"/>
      <c r="DD60" s="6"/>
      <c r="DE60" s="6"/>
      <c r="DF60" s="6"/>
      <c r="DG60" s="6"/>
      <c r="DH60" s="6"/>
    </row>
    <row r="61" spans="1:112" ht="35.1" customHeight="1">
      <c r="A61" s="181"/>
      <c r="B61" s="156" t="s">
        <v>16</v>
      </c>
      <c r="C61" s="157" t="s">
        <v>695</v>
      </c>
      <c r="D61" s="157" t="s">
        <v>322</v>
      </c>
      <c r="E61" s="157" t="s">
        <v>360</v>
      </c>
      <c r="F61" s="157" t="s">
        <v>696</v>
      </c>
      <c r="G61" s="157" t="s">
        <v>697</v>
      </c>
      <c r="H61" s="171">
        <v>45986</v>
      </c>
      <c r="I61" s="77" t="s">
        <v>60</v>
      </c>
      <c r="J61" s="77" t="s">
        <v>61</v>
      </c>
      <c r="K61" s="77">
        <v>0</v>
      </c>
      <c r="L61" s="77">
        <v>0</v>
      </c>
      <c r="M61" s="77" t="s">
        <v>147</v>
      </c>
      <c r="N61" s="100">
        <v>1</v>
      </c>
      <c r="O61" s="109">
        <v>1.7361111111111112E-4</v>
      </c>
      <c r="P61" s="6"/>
      <c r="Q61" s="6"/>
      <c r="R61" s="6"/>
      <c r="S61" s="6"/>
      <c r="T61" s="6"/>
      <c r="U61" s="6"/>
      <c r="V61" s="6"/>
      <c r="W61" s="6"/>
      <c r="X61" s="6"/>
      <c r="Y61" s="6"/>
      <c r="Z61" s="6"/>
      <c r="AA61" s="6"/>
      <c r="AB61" s="6"/>
      <c r="AC61" s="6"/>
      <c r="AD61" s="6"/>
      <c r="AE61" s="6"/>
      <c r="AF61" s="6"/>
      <c r="AG61" s="6"/>
      <c r="AH61" s="6"/>
      <c r="AI61" s="6"/>
      <c r="AJ61" s="6"/>
      <c r="AK61" s="6"/>
      <c r="AL61" s="6"/>
      <c r="AM61" s="6"/>
      <c r="AN61" s="6"/>
      <c r="AO61" s="6"/>
      <c r="AP61" s="6"/>
      <c r="AQ61" s="6"/>
      <c r="AR61" s="6"/>
      <c r="AS61" s="6"/>
      <c r="AT61" s="6"/>
      <c r="AU61" s="6"/>
      <c r="AV61" s="6"/>
      <c r="AW61" s="6"/>
      <c r="AX61" s="6"/>
      <c r="AY61" s="6"/>
      <c r="AZ61" s="6"/>
      <c r="BA61" s="6"/>
      <c r="BB61" s="6"/>
      <c r="BC61" s="6"/>
      <c r="BD61" s="6"/>
      <c r="BE61" s="6"/>
      <c r="BF61" s="6"/>
      <c r="BG61" s="6"/>
      <c r="BH61" s="6"/>
      <c r="BI61" s="6"/>
      <c r="BJ61" s="6"/>
      <c r="BK61" s="6"/>
      <c r="BL61" s="6"/>
      <c r="BM61" s="6"/>
      <c r="BN61" s="6"/>
      <c r="BO61" s="6"/>
      <c r="BP61" s="6"/>
      <c r="BQ61" s="6"/>
      <c r="BR61" s="6"/>
      <c r="BS61" s="6"/>
      <c r="BT61" s="6"/>
      <c r="BU61" s="6"/>
      <c r="BV61" s="6"/>
      <c r="BW61" s="6"/>
      <c r="BX61" s="6"/>
      <c r="BY61" s="6"/>
      <c r="BZ61" s="6"/>
      <c r="CA61" s="6"/>
      <c r="CB61" s="6"/>
      <c r="CC61" s="6"/>
      <c r="CD61" s="6"/>
      <c r="CE61" s="6"/>
      <c r="CF61" s="6"/>
      <c r="CG61" s="6"/>
      <c r="CH61" s="6"/>
      <c r="CI61" s="6"/>
      <c r="CJ61" s="6"/>
      <c r="CK61" s="6"/>
      <c r="CL61" s="6"/>
      <c r="CM61" s="6"/>
      <c r="CN61" s="6"/>
      <c r="CO61" s="6"/>
      <c r="CP61" s="6"/>
      <c r="CQ61" s="6"/>
      <c r="CR61" s="6"/>
      <c r="CS61" s="6"/>
      <c r="CT61" s="6"/>
      <c r="CU61" s="6"/>
      <c r="CV61" s="6"/>
      <c r="CW61" s="6"/>
      <c r="CX61" s="6"/>
      <c r="CY61" s="6"/>
      <c r="CZ61" s="6"/>
      <c r="DA61" s="6"/>
      <c r="DB61" s="6"/>
      <c r="DC61" s="6"/>
      <c r="DD61" s="6"/>
      <c r="DE61" s="6"/>
      <c r="DF61" s="6"/>
      <c r="DG61" s="6"/>
      <c r="DH61" s="6"/>
    </row>
    <row r="62" spans="1:112" ht="35.1" customHeight="1" thickTop="1" thickBot="1">
      <c r="A62" s="181"/>
      <c r="B62" s="106" t="s">
        <v>16</v>
      </c>
      <c r="C62" s="100" t="s">
        <v>698</v>
      </c>
      <c r="D62" s="100" t="s">
        <v>326</v>
      </c>
      <c r="E62" s="100"/>
      <c r="F62" s="100"/>
      <c r="G62" s="100"/>
      <c r="H62" s="130"/>
      <c r="I62" s="77" t="s">
        <v>60</v>
      </c>
      <c r="J62" s="77" t="s">
        <v>133</v>
      </c>
      <c r="K62" s="77">
        <v>0</v>
      </c>
      <c r="L62" s="77">
        <v>0</v>
      </c>
      <c r="M62" s="77" t="s">
        <v>239</v>
      </c>
      <c r="N62" s="100">
        <v>2</v>
      </c>
      <c r="O62" s="109">
        <v>5.2083333333333333E-4</v>
      </c>
      <c r="P62" s="6"/>
      <c r="Q62" s="6"/>
      <c r="R62" s="6"/>
      <c r="S62" s="6"/>
      <c r="T62" s="6"/>
      <c r="U62" s="6"/>
      <c r="V62" s="6"/>
      <c r="W62" s="6"/>
      <c r="X62" s="6"/>
      <c r="Y62" s="6"/>
      <c r="Z62" s="6"/>
      <c r="AA62" s="6"/>
      <c r="AB62" s="6"/>
      <c r="AC62" s="6"/>
      <c r="AD62" s="6"/>
      <c r="AE62" s="6"/>
      <c r="AF62" s="6"/>
      <c r="AG62" s="6"/>
      <c r="AH62" s="6"/>
      <c r="AI62" s="6"/>
      <c r="AJ62" s="6"/>
      <c r="AK62" s="6"/>
      <c r="AL62" s="6"/>
      <c r="AM62" s="6"/>
      <c r="AN62" s="6"/>
      <c r="AO62" s="6"/>
      <c r="AP62" s="6"/>
      <c r="AQ62" s="6"/>
      <c r="AR62" s="6"/>
      <c r="AS62" s="6"/>
      <c r="AT62" s="6"/>
      <c r="AU62" s="6"/>
      <c r="AV62" s="6"/>
      <c r="AW62" s="6"/>
      <c r="AX62" s="6"/>
      <c r="AY62" s="6"/>
      <c r="AZ62" s="6"/>
      <c r="BA62" s="6"/>
      <c r="BB62" s="6"/>
      <c r="BC62" s="6"/>
      <c r="BD62" s="6"/>
      <c r="BE62" s="6"/>
      <c r="BF62" s="6"/>
      <c r="BG62" s="6"/>
      <c r="BH62" s="6"/>
      <c r="BI62" s="6"/>
      <c r="BJ62" s="6"/>
      <c r="BK62" s="6"/>
      <c r="BL62" s="6"/>
      <c r="BM62" s="6"/>
      <c r="BN62" s="6"/>
      <c r="BO62" s="6"/>
      <c r="BP62" s="6"/>
      <c r="BQ62" s="6"/>
      <c r="BR62" s="6"/>
      <c r="BS62" s="6"/>
      <c r="BT62" s="6"/>
      <c r="BU62" s="6"/>
      <c r="BV62" s="6"/>
      <c r="BW62" s="6"/>
      <c r="BX62" s="6"/>
      <c r="BY62" s="6"/>
      <c r="BZ62" s="6"/>
      <c r="CA62" s="6"/>
      <c r="CB62" s="6"/>
      <c r="CC62" s="6"/>
      <c r="CD62" s="6"/>
      <c r="CE62" s="6"/>
      <c r="CF62" s="6"/>
      <c r="CG62" s="6"/>
      <c r="CH62" s="6"/>
      <c r="CI62" s="6"/>
      <c r="CJ62" s="6"/>
      <c r="CK62" s="6"/>
      <c r="CL62" s="6"/>
      <c r="CM62" s="6"/>
      <c r="CN62" s="6"/>
      <c r="CO62" s="6"/>
      <c r="CP62" s="6"/>
      <c r="CQ62" s="6"/>
      <c r="CR62" s="6"/>
      <c r="CS62" s="6"/>
      <c r="CT62" s="6"/>
      <c r="CU62" s="6"/>
      <c r="CV62" s="6"/>
      <c r="CW62" s="6"/>
      <c r="CX62" s="6"/>
      <c r="CY62" s="6"/>
      <c r="CZ62" s="6"/>
      <c r="DA62" s="6"/>
      <c r="DB62" s="6"/>
      <c r="DC62" s="6"/>
      <c r="DD62" s="6"/>
      <c r="DE62" s="6"/>
      <c r="DF62" s="6"/>
      <c r="DG62" s="6"/>
      <c r="DH62" s="6"/>
    </row>
    <row r="63" spans="1:112" ht="35.1" customHeight="1">
      <c r="A63" s="181"/>
      <c r="B63" s="156" t="s">
        <v>16</v>
      </c>
      <c r="C63" s="157" t="s">
        <v>699</v>
      </c>
      <c r="D63" s="157" t="s">
        <v>700</v>
      </c>
      <c r="E63" s="157" t="s">
        <v>360</v>
      </c>
      <c r="F63" s="157" t="s">
        <v>696</v>
      </c>
      <c r="G63" s="157" t="s">
        <v>330</v>
      </c>
      <c r="H63" s="171">
        <v>45983</v>
      </c>
      <c r="I63" s="77" t="s">
        <v>60</v>
      </c>
      <c r="J63" s="77" t="s">
        <v>61</v>
      </c>
      <c r="K63" s="77">
        <v>0</v>
      </c>
      <c r="L63" s="77" t="s">
        <v>327</v>
      </c>
      <c r="M63" s="77" t="s">
        <v>147</v>
      </c>
      <c r="N63" s="100">
        <v>3</v>
      </c>
      <c r="O63" s="109">
        <v>5.2083333333333333E-4</v>
      </c>
      <c r="P63" s="6"/>
      <c r="Q63" s="6"/>
      <c r="R63" s="6"/>
      <c r="S63" s="6"/>
      <c r="T63" s="6"/>
      <c r="U63" s="6"/>
      <c r="V63" s="6"/>
      <c r="W63" s="6"/>
      <c r="X63" s="6"/>
      <c r="Y63" s="6"/>
      <c r="Z63" s="6"/>
      <c r="AA63" s="6"/>
      <c r="AB63" s="6"/>
      <c r="AC63" s="6"/>
      <c r="AD63" s="6"/>
      <c r="AE63" s="6"/>
      <c r="AF63" s="6"/>
      <c r="AG63" s="6"/>
      <c r="AH63" s="6"/>
      <c r="AI63" s="6"/>
      <c r="AJ63" s="6"/>
      <c r="AK63" s="6"/>
      <c r="AL63" s="6"/>
      <c r="AM63" s="6"/>
      <c r="AN63" s="6"/>
      <c r="AO63" s="6"/>
      <c r="AP63" s="6"/>
      <c r="AQ63" s="6"/>
      <c r="AR63" s="6"/>
      <c r="AS63" s="6"/>
      <c r="AT63" s="6"/>
      <c r="AU63" s="6"/>
      <c r="AV63" s="6"/>
      <c r="AW63" s="6"/>
      <c r="AX63" s="6"/>
      <c r="AY63" s="6"/>
      <c r="AZ63" s="6"/>
      <c r="BA63" s="6"/>
      <c r="BB63" s="6"/>
      <c r="BC63" s="6"/>
      <c r="BD63" s="6"/>
      <c r="BE63" s="6"/>
      <c r="BF63" s="6"/>
      <c r="BG63" s="6"/>
      <c r="BH63" s="6"/>
      <c r="BI63" s="6"/>
      <c r="BJ63" s="6"/>
      <c r="BK63" s="6"/>
      <c r="BL63" s="6"/>
      <c r="BM63" s="6"/>
      <c r="BN63" s="6"/>
      <c r="BO63" s="6"/>
      <c r="BP63" s="6"/>
      <c r="BQ63" s="6"/>
      <c r="BR63" s="6"/>
      <c r="BS63" s="6"/>
      <c r="BT63" s="6"/>
      <c r="BU63" s="6"/>
      <c r="BV63" s="6"/>
      <c r="BW63" s="6"/>
      <c r="BX63" s="6"/>
      <c r="BY63" s="6"/>
      <c r="BZ63" s="6"/>
      <c r="CA63" s="6"/>
      <c r="CB63" s="6"/>
      <c r="CC63" s="6"/>
      <c r="CD63" s="6"/>
      <c r="CE63" s="6"/>
      <c r="CF63" s="6"/>
      <c r="CG63" s="6"/>
      <c r="CH63" s="6"/>
      <c r="CI63" s="6"/>
      <c r="CJ63" s="6"/>
      <c r="CK63" s="6"/>
      <c r="CL63" s="6"/>
      <c r="CM63" s="6"/>
      <c r="CN63" s="6"/>
      <c r="CO63" s="6"/>
      <c r="CP63" s="6"/>
      <c r="CQ63" s="6"/>
      <c r="CR63" s="6"/>
      <c r="CS63" s="6"/>
      <c r="CT63" s="6"/>
      <c r="CU63" s="6"/>
      <c r="CV63" s="6"/>
      <c r="CW63" s="6"/>
      <c r="CX63" s="6"/>
      <c r="CY63" s="6"/>
      <c r="CZ63" s="6"/>
      <c r="DA63" s="6"/>
      <c r="DB63" s="6"/>
      <c r="DC63" s="6"/>
      <c r="DD63" s="6"/>
      <c r="DE63" s="6"/>
      <c r="DF63" s="6"/>
      <c r="DG63" s="6"/>
      <c r="DH63" s="6"/>
    </row>
    <row r="64" spans="1:112" ht="35.1" customHeight="1">
      <c r="A64" s="180"/>
      <c r="B64" s="170" t="s">
        <v>16</v>
      </c>
      <c r="C64" s="112" t="s">
        <v>701</v>
      </c>
      <c r="D64" s="112" t="s">
        <v>332</v>
      </c>
      <c r="E64" s="112" t="s">
        <v>11</v>
      </c>
      <c r="F64" s="112" t="s">
        <v>21</v>
      </c>
      <c r="G64" s="112" t="s">
        <v>330</v>
      </c>
      <c r="H64" s="131">
        <v>45983</v>
      </c>
      <c r="I64" s="77" t="s">
        <v>60</v>
      </c>
      <c r="J64" s="77" t="s">
        <v>61</v>
      </c>
      <c r="K64" s="77">
        <v>0</v>
      </c>
      <c r="L64" s="77" t="s">
        <v>702</v>
      </c>
      <c r="M64" s="77" t="s">
        <v>147</v>
      </c>
      <c r="N64" s="112">
        <v>4</v>
      </c>
      <c r="O64" s="116">
        <v>5.2083333333333333E-4</v>
      </c>
      <c r="P64" s="189"/>
      <c r="Q64" s="6"/>
      <c r="R64" s="6"/>
      <c r="S64" s="6"/>
      <c r="T64" s="6"/>
      <c r="U64" s="6"/>
      <c r="V64" s="6"/>
      <c r="W64" s="6"/>
      <c r="X64" s="6"/>
      <c r="Y64" s="6"/>
      <c r="Z64" s="6"/>
      <c r="AA64" s="6"/>
      <c r="AB64" s="6"/>
      <c r="AC64" s="6"/>
      <c r="AD64" s="6"/>
      <c r="AE64" s="6"/>
      <c r="AF64" s="6"/>
      <c r="AG64" s="6"/>
      <c r="AH64" s="6"/>
      <c r="AI64" s="6"/>
      <c r="AJ64" s="6"/>
      <c r="AK64" s="6"/>
      <c r="AL64" s="6"/>
      <c r="AM64" s="6"/>
      <c r="AN64" s="6"/>
      <c r="AO64" s="6"/>
      <c r="AP64" s="6"/>
      <c r="AQ64" s="6"/>
      <c r="AR64" s="6"/>
      <c r="AS64" s="6"/>
      <c r="AT64" s="6"/>
      <c r="AU64" s="6"/>
      <c r="AV64" s="6"/>
      <c r="AW64" s="6"/>
      <c r="AX64" s="6"/>
      <c r="AY64" s="6"/>
      <c r="AZ64" s="6"/>
      <c r="BA64" s="6"/>
      <c r="BB64" s="6"/>
      <c r="BC64" s="6"/>
      <c r="BD64" s="6"/>
      <c r="BE64" s="6"/>
      <c r="BF64" s="6"/>
      <c r="BG64" s="6"/>
      <c r="BH64" s="6"/>
      <c r="BI64" s="6"/>
      <c r="BJ64" s="6"/>
      <c r="BK64" s="6"/>
      <c r="BL64" s="6"/>
      <c r="BM64" s="6"/>
      <c r="BN64" s="6"/>
      <c r="BO64" s="6"/>
      <c r="BP64" s="6"/>
      <c r="BQ64" s="6"/>
      <c r="BR64" s="6"/>
      <c r="BS64" s="6"/>
      <c r="BT64" s="6"/>
      <c r="BU64" s="6"/>
      <c r="BV64" s="6"/>
      <c r="BW64" s="6"/>
      <c r="BX64" s="6"/>
      <c r="BY64" s="6"/>
      <c r="BZ64" s="6"/>
      <c r="CA64" s="6"/>
      <c r="CB64" s="6"/>
      <c r="CC64" s="6"/>
      <c r="CD64" s="6"/>
      <c r="CE64" s="6"/>
      <c r="CF64" s="6"/>
      <c r="CG64" s="6"/>
      <c r="CH64" s="6"/>
      <c r="CI64" s="6"/>
      <c r="CJ64" s="6"/>
      <c r="CK64" s="6"/>
      <c r="CL64" s="6"/>
      <c r="CM64" s="6"/>
      <c r="CN64" s="6"/>
      <c r="CO64" s="6"/>
      <c r="CP64" s="6"/>
      <c r="CQ64" s="6"/>
      <c r="CR64" s="6"/>
      <c r="CS64" s="6"/>
      <c r="CT64" s="6"/>
      <c r="CU64" s="6"/>
      <c r="CV64" s="6"/>
      <c r="CW64" s="6"/>
      <c r="CX64" s="6"/>
      <c r="CY64" s="6"/>
      <c r="CZ64" s="6"/>
      <c r="DA64" s="6"/>
      <c r="DB64" s="6"/>
      <c r="DC64" s="6"/>
      <c r="DD64" s="6"/>
      <c r="DE64" s="6"/>
      <c r="DF64" s="6"/>
      <c r="DG64" s="6"/>
      <c r="DH64" s="6"/>
    </row>
    <row r="65" spans="1:112" ht="59.25" customHeight="1">
      <c r="A65" s="181"/>
      <c r="B65" s="163" t="s">
        <v>20</v>
      </c>
      <c r="C65" s="164" t="s">
        <v>703</v>
      </c>
      <c r="D65" s="164" t="s">
        <v>704</v>
      </c>
      <c r="E65" s="164" t="s">
        <v>696</v>
      </c>
      <c r="F65" s="164" t="s">
        <v>11</v>
      </c>
      <c r="G65" s="164" t="s">
        <v>705</v>
      </c>
      <c r="H65" s="166">
        <v>45986</v>
      </c>
      <c r="I65" s="161" t="s">
        <v>132</v>
      </c>
      <c r="J65" s="161" t="s">
        <v>133</v>
      </c>
      <c r="K65" s="161">
        <v>0</v>
      </c>
      <c r="L65" s="161" t="s">
        <v>345</v>
      </c>
      <c r="M65" s="161" t="s">
        <v>340</v>
      </c>
      <c r="N65" s="164">
        <v>4</v>
      </c>
      <c r="O65" s="165">
        <v>4.1666666666666666E-3</v>
      </c>
      <c r="P65" s="189"/>
      <c r="Q65" s="6"/>
      <c r="R65" s="6"/>
      <c r="S65" s="6"/>
      <c r="T65" s="6"/>
      <c r="U65" s="6"/>
      <c r="V65" s="6"/>
      <c r="W65" s="6"/>
      <c r="X65" s="6"/>
      <c r="Y65" s="6"/>
      <c r="Z65" s="6"/>
      <c r="AA65" s="6"/>
      <c r="AB65" s="6"/>
      <c r="AC65" s="6"/>
      <c r="AD65" s="6"/>
      <c r="AE65" s="6"/>
      <c r="AF65" s="6"/>
      <c r="AG65" s="6"/>
      <c r="AH65" s="6"/>
      <c r="AI65" s="6"/>
      <c r="AJ65" s="6"/>
      <c r="AK65" s="6"/>
      <c r="AL65" s="6"/>
      <c r="AM65" s="6"/>
      <c r="AN65" s="6"/>
      <c r="AO65" s="6"/>
      <c r="AP65" s="6"/>
      <c r="AQ65" s="6"/>
      <c r="AR65" s="6"/>
      <c r="AS65" s="6"/>
      <c r="AT65" s="6"/>
      <c r="AU65" s="6"/>
      <c r="AV65" s="6"/>
      <c r="AW65" s="6"/>
      <c r="AX65" s="6"/>
      <c r="AY65" s="6"/>
      <c r="AZ65" s="6"/>
      <c r="BA65" s="6"/>
      <c r="BB65" s="6"/>
      <c r="BC65" s="6"/>
      <c r="BD65" s="6"/>
      <c r="BE65" s="6"/>
      <c r="BF65" s="6"/>
      <c r="BG65" s="6"/>
      <c r="BH65" s="6"/>
      <c r="BI65" s="6"/>
      <c r="BJ65" s="6"/>
      <c r="BK65" s="6"/>
      <c r="BL65" s="6"/>
      <c r="BM65" s="6"/>
      <c r="BN65" s="6"/>
      <c r="BO65" s="6"/>
      <c r="BP65" s="6"/>
      <c r="BQ65" s="6"/>
      <c r="BR65" s="6"/>
      <c r="BS65" s="6"/>
      <c r="BT65" s="6"/>
      <c r="BU65" s="6"/>
      <c r="BV65" s="6"/>
      <c r="BW65" s="6"/>
      <c r="BX65" s="6"/>
      <c r="BY65" s="6"/>
      <c r="BZ65" s="6"/>
      <c r="CA65" s="6"/>
      <c r="CB65" s="6"/>
      <c r="CC65" s="6"/>
      <c r="CD65" s="6"/>
      <c r="CE65" s="6"/>
      <c r="CF65" s="6"/>
      <c r="CG65" s="6"/>
      <c r="CH65" s="6"/>
      <c r="CI65" s="6"/>
      <c r="CJ65" s="6"/>
      <c r="CK65" s="6"/>
      <c r="CL65" s="6"/>
      <c r="CM65" s="6"/>
      <c r="CN65" s="6"/>
      <c r="CO65" s="6"/>
      <c r="CP65" s="6"/>
      <c r="CQ65" s="6"/>
      <c r="CR65" s="6"/>
      <c r="CS65" s="6"/>
      <c r="CT65" s="6"/>
      <c r="CU65" s="6"/>
      <c r="CV65" s="6"/>
      <c r="CW65" s="6"/>
      <c r="CX65" s="6"/>
      <c r="CY65" s="6"/>
      <c r="CZ65" s="6"/>
      <c r="DA65" s="6"/>
      <c r="DB65" s="6"/>
      <c r="DC65" s="6"/>
      <c r="DD65" s="6"/>
      <c r="DE65" s="6"/>
      <c r="DF65" s="6"/>
      <c r="DG65" s="6"/>
      <c r="DH65" s="6"/>
    </row>
    <row r="66" spans="1:112" s="176" customFormat="1" ht="45.75" customHeight="1">
      <c r="A66" s="181"/>
      <c r="B66" s="156" t="s">
        <v>20</v>
      </c>
      <c r="C66" s="157" t="s">
        <v>706</v>
      </c>
      <c r="D66" s="157" t="s">
        <v>707</v>
      </c>
      <c r="E66" s="157" t="s">
        <v>11</v>
      </c>
      <c r="F66" s="157" t="s">
        <v>21</v>
      </c>
      <c r="G66" s="157" t="s">
        <v>708</v>
      </c>
      <c r="H66" s="171">
        <v>45986</v>
      </c>
      <c r="I66" s="172" t="s">
        <v>132</v>
      </c>
      <c r="J66" s="172" t="s">
        <v>133</v>
      </c>
      <c r="K66" s="172">
        <v>0</v>
      </c>
      <c r="L66" s="172" t="s">
        <v>709</v>
      </c>
      <c r="M66" s="172" t="s">
        <v>340</v>
      </c>
      <c r="N66" s="157">
        <v>4</v>
      </c>
      <c r="O66" s="160">
        <v>1.3888888888888889E-3</v>
      </c>
      <c r="P66" s="189"/>
      <c r="Q66" s="6"/>
      <c r="R66" s="6"/>
      <c r="S66" s="6"/>
      <c r="T66" s="6"/>
      <c r="U66" s="6"/>
      <c r="V66" s="6"/>
      <c r="W66" s="6"/>
      <c r="X66" s="6"/>
      <c r="Y66" s="6"/>
      <c r="Z66" s="6"/>
      <c r="AA66" s="6"/>
      <c r="AB66" s="6"/>
      <c r="AC66" s="6"/>
      <c r="AD66" s="6"/>
      <c r="AE66" s="6"/>
      <c r="AF66" s="6"/>
      <c r="AG66" s="6"/>
      <c r="AH66" s="6"/>
      <c r="AI66" s="6"/>
      <c r="AJ66" s="6"/>
      <c r="AK66" s="6"/>
      <c r="AL66" s="6"/>
      <c r="AM66" s="6"/>
      <c r="AN66" s="6"/>
      <c r="AO66" s="6"/>
      <c r="AP66" s="6"/>
      <c r="AQ66" s="6"/>
      <c r="AR66" s="6"/>
      <c r="AS66" s="6"/>
      <c r="AT66" s="6"/>
      <c r="AU66" s="6"/>
      <c r="AV66" s="6"/>
      <c r="AW66" s="6"/>
      <c r="AX66" s="6"/>
      <c r="AY66" s="6"/>
      <c r="AZ66" s="6"/>
      <c r="BA66" s="6"/>
      <c r="BB66" s="6"/>
      <c r="BC66" s="6"/>
      <c r="BD66" s="6"/>
      <c r="BE66" s="6"/>
      <c r="BF66" s="6"/>
      <c r="BG66" s="6"/>
      <c r="BH66" s="6"/>
      <c r="BI66" s="6"/>
      <c r="BJ66" s="6"/>
      <c r="BK66" s="6"/>
      <c r="BL66" s="6"/>
      <c r="BM66" s="6"/>
      <c r="BN66" s="6"/>
      <c r="BO66" s="6"/>
      <c r="BP66" s="6"/>
      <c r="BQ66" s="6"/>
      <c r="BR66" s="6"/>
      <c r="BS66" s="6"/>
      <c r="BT66" s="6"/>
      <c r="BU66" s="6"/>
      <c r="BV66" s="6"/>
      <c r="BW66" s="6"/>
      <c r="BX66" s="6"/>
      <c r="BY66" s="6"/>
      <c r="BZ66" s="6"/>
      <c r="CA66" s="6"/>
      <c r="CB66" s="6"/>
      <c r="CC66" s="6"/>
      <c r="CD66" s="6"/>
      <c r="CE66" s="6"/>
      <c r="CF66" s="6"/>
      <c r="CG66" s="6"/>
      <c r="CH66" s="6"/>
      <c r="CI66" s="6"/>
      <c r="CJ66" s="6"/>
      <c r="CK66" s="6"/>
      <c r="CL66" s="6"/>
      <c r="CM66" s="6"/>
      <c r="CN66" s="6"/>
      <c r="CO66" s="6"/>
      <c r="CP66" s="6"/>
      <c r="CQ66" s="6"/>
      <c r="CR66" s="6"/>
      <c r="CS66" s="6"/>
      <c r="CT66" s="6"/>
      <c r="CU66" s="6"/>
      <c r="CV66" s="6"/>
      <c r="CW66" s="6"/>
      <c r="CX66" s="6"/>
      <c r="CY66" s="6"/>
      <c r="CZ66" s="6"/>
      <c r="DA66" s="6"/>
      <c r="DB66" s="6"/>
      <c r="DC66" s="6"/>
      <c r="DD66" s="6"/>
      <c r="DE66" s="6"/>
      <c r="DF66" s="6"/>
      <c r="DG66" s="6"/>
      <c r="DH66" s="6"/>
    </row>
    <row r="67" spans="1:112" ht="35.1" customHeight="1">
      <c r="A67" s="181"/>
      <c r="B67" s="156" t="s">
        <v>20</v>
      </c>
      <c r="C67" s="154" t="s">
        <v>710</v>
      </c>
      <c r="D67" s="154" t="s">
        <v>347</v>
      </c>
      <c r="E67" s="154" t="s">
        <v>11</v>
      </c>
      <c r="F67" s="154" t="s">
        <v>21</v>
      </c>
      <c r="G67" s="154" t="s">
        <v>711</v>
      </c>
      <c r="H67" s="155">
        <v>45983</v>
      </c>
      <c r="I67" s="172" t="s">
        <v>132</v>
      </c>
      <c r="J67" s="172" t="s">
        <v>133</v>
      </c>
      <c r="K67" s="172">
        <v>0</v>
      </c>
      <c r="L67" s="172" t="s">
        <v>354</v>
      </c>
      <c r="M67" s="172" t="s">
        <v>350</v>
      </c>
      <c r="N67" s="154">
        <v>2</v>
      </c>
      <c r="O67" s="162">
        <v>2.0833333333333333E-3</v>
      </c>
      <c r="P67" s="189"/>
      <c r="Q67" s="6"/>
      <c r="R67" s="6"/>
      <c r="S67" s="6"/>
      <c r="T67" s="6"/>
      <c r="U67" s="6"/>
      <c r="V67" s="6"/>
      <c r="W67" s="6"/>
      <c r="X67" s="6"/>
      <c r="Y67" s="6"/>
      <c r="Z67" s="6"/>
      <c r="AA67" s="6"/>
      <c r="AB67" s="6"/>
      <c r="AC67" s="6"/>
      <c r="AD67" s="6"/>
      <c r="AE67" s="6"/>
      <c r="AF67" s="6"/>
      <c r="AG67" s="6"/>
      <c r="AH67" s="6"/>
      <c r="AI67" s="6"/>
      <c r="AJ67" s="6"/>
      <c r="AK67" s="6"/>
      <c r="AL67" s="6"/>
      <c r="AM67" s="6"/>
      <c r="AN67" s="6"/>
      <c r="AO67" s="6"/>
      <c r="AP67" s="6"/>
      <c r="AQ67" s="6"/>
      <c r="AR67" s="6"/>
      <c r="AS67" s="6"/>
      <c r="AT67" s="6"/>
      <c r="AU67" s="6"/>
      <c r="AV67" s="6"/>
      <c r="AW67" s="6"/>
      <c r="AX67" s="6"/>
      <c r="AY67" s="6"/>
      <c r="AZ67" s="6"/>
      <c r="BA67" s="6"/>
      <c r="BB67" s="6"/>
      <c r="BC67" s="6"/>
      <c r="BD67" s="6"/>
      <c r="BE67" s="6"/>
      <c r="BF67" s="6"/>
      <c r="BG67" s="6"/>
      <c r="BH67" s="6"/>
      <c r="BI67" s="6"/>
      <c r="BJ67" s="6"/>
      <c r="BK67" s="6"/>
      <c r="BL67" s="6"/>
      <c r="BM67" s="6"/>
      <c r="BN67" s="6"/>
      <c r="BO67" s="6"/>
      <c r="BP67" s="6"/>
      <c r="BQ67" s="6"/>
      <c r="BR67" s="6"/>
      <c r="BS67" s="6"/>
      <c r="BT67" s="6"/>
      <c r="BU67" s="6"/>
      <c r="BV67" s="6"/>
      <c r="BW67" s="6"/>
      <c r="BX67" s="6"/>
      <c r="BY67" s="6"/>
      <c r="BZ67" s="6"/>
      <c r="CA67" s="6"/>
      <c r="CB67" s="6"/>
      <c r="CC67" s="6"/>
      <c r="CD67" s="6"/>
      <c r="CE67" s="6"/>
      <c r="CF67" s="6"/>
      <c r="CG67" s="6"/>
      <c r="CH67" s="6"/>
      <c r="CI67" s="6"/>
      <c r="CJ67" s="6"/>
      <c r="CK67" s="6"/>
      <c r="CL67" s="6"/>
      <c r="CM67" s="6"/>
      <c r="CN67" s="6"/>
      <c r="CO67" s="6"/>
      <c r="CP67" s="6"/>
      <c r="CQ67" s="6"/>
      <c r="CR67" s="6"/>
      <c r="CS67" s="6"/>
      <c r="CT67" s="6"/>
      <c r="CU67" s="6"/>
      <c r="CV67" s="6"/>
      <c r="CW67" s="6"/>
      <c r="CX67" s="6"/>
      <c r="CY67" s="6"/>
      <c r="CZ67" s="6"/>
      <c r="DA67" s="6"/>
      <c r="DB67" s="6"/>
      <c r="DC67" s="6"/>
      <c r="DD67" s="6"/>
      <c r="DE67" s="6"/>
      <c r="DF67" s="6"/>
      <c r="DG67" s="6"/>
      <c r="DH67" s="6"/>
    </row>
    <row r="68" spans="1:112" ht="35.1" customHeight="1">
      <c r="A68" s="181"/>
      <c r="B68" s="156" t="s">
        <v>20</v>
      </c>
      <c r="C68" s="154" t="s">
        <v>712</v>
      </c>
      <c r="D68" s="154" t="s">
        <v>352</v>
      </c>
      <c r="E68" s="154" t="s">
        <v>11</v>
      </c>
      <c r="F68" s="154" t="s">
        <v>21</v>
      </c>
      <c r="G68" s="154" t="s">
        <v>711</v>
      </c>
      <c r="H68" s="155">
        <v>45983</v>
      </c>
      <c r="I68" s="172" t="s">
        <v>132</v>
      </c>
      <c r="J68" s="172" t="s">
        <v>133</v>
      </c>
      <c r="K68" s="172">
        <v>0</v>
      </c>
      <c r="L68" s="172" t="s">
        <v>357</v>
      </c>
      <c r="M68" s="172" t="s">
        <v>350</v>
      </c>
      <c r="N68" s="154">
        <v>2</v>
      </c>
      <c r="O68" s="162">
        <v>2.0833333333333333E-3</v>
      </c>
      <c r="P68" s="189"/>
      <c r="Q68" s="6"/>
      <c r="R68" s="6"/>
      <c r="S68" s="6"/>
      <c r="T68" s="6"/>
      <c r="U68" s="6"/>
      <c r="V68" s="6"/>
      <c r="W68" s="6"/>
      <c r="X68" s="6"/>
      <c r="Y68" s="6"/>
      <c r="Z68" s="6"/>
      <c r="AA68" s="6"/>
      <c r="AB68" s="6"/>
      <c r="AC68" s="6"/>
      <c r="AD68" s="6"/>
      <c r="AE68" s="6"/>
      <c r="AF68" s="6"/>
      <c r="AG68" s="6"/>
      <c r="AH68" s="6"/>
      <c r="AI68" s="6"/>
      <c r="AJ68" s="6"/>
      <c r="AK68" s="6"/>
      <c r="AL68" s="6"/>
      <c r="AM68" s="6"/>
      <c r="AN68" s="6"/>
      <c r="AO68" s="6"/>
      <c r="AP68" s="6"/>
      <c r="AQ68" s="6"/>
      <c r="AR68" s="6"/>
      <c r="AS68" s="6"/>
      <c r="AT68" s="6"/>
      <c r="AU68" s="6"/>
      <c r="AV68" s="6"/>
      <c r="AW68" s="6"/>
      <c r="AX68" s="6"/>
      <c r="AY68" s="6"/>
      <c r="AZ68" s="6"/>
      <c r="BA68" s="6"/>
      <c r="BB68" s="6"/>
      <c r="BC68" s="6"/>
      <c r="BD68" s="6"/>
      <c r="BE68" s="6"/>
      <c r="BF68" s="6"/>
      <c r="BG68" s="6"/>
      <c r="BH68" s="6"/>
      <c r="BI68" s="6"/>
      <c r="BJ68" s="6"/>
      <c r="BK68" s="6"/>
      <c r="BL68" s="6"/>
      <c r="BM68" s="6"/>
      <c r="BN68" s="6"/>
      <c r="BO68" s="6"/>
      <c r="BP68" s="6"/>
      <c r="BQ68" s="6"/>
      <c r="BR68" s="6"/>
      <c r="BS68" s="6"/>
      <c r="BT68" s="6"/>
      <c r="BU68" s="6"/>
      <c r="BV68" s="6"/>
      <c r="BW68" s="6"/>
      <c r="BX68" s="6"/>
      <c r="BY68" s="6"/>
      <c r="BZ68" s="6"/>
      <c r="CA68" s="6"/>
      <c r="CB68" s="6"/>
      <c r="CC68" s="6"/>
      <c r="CD68" s="6"/>
      <c r="CE68" s="6"/>
      <c r="CF68" s="6"/>
      <c r="CG68" s="6"/>
      <c r="CH68" s="6"/>
      <c r="CI68" s="6"/>
      <c r="CJ68" s="6"/>
      <c r="CK68" s="6"/>
      <c r="CL68" s="6"/>
      <c r="CM68" s="6"/>
      <c r="CN68" s="6"/>
      <c r="CO68" s="6"/>
      <c r="CP68" s="6"/>
      <c r="CQ68" s="6"/>
      <c r="CR68" s="6"/>
      <c r="CS68" s="6"/>
      <c r="CT68" s="6"/>
      <c r="CU68" s="6"/>
      <c r="CV68" s="6"/>
      <c r="CW68" s="6"/>
      <c r="CX68" s="6"/>
      <c r="CY68" s="6"/>
      <c r="CZ68" s="6"/>
      <c r="DA68" s="6"/>
      <c r="DB68" s="6"/>
      <c r="DC68" s="6"/>
      <c r="DD68" s="6"/>
      <c r="DE68" s="6"/>
      <c r="DF68" s="6"/>
      <c r="DG68" s="6"/>
      <c r="DH68" s="6"/>
    </row>
    <row r="69" spans="1:112" ht="35.1" customHeight="1">
      <c r="A69" s="181"/>
      <c r="B69" s="106" t="s">
        <v>20</v>
      </c>
      <c r="C69" s="100" t="s">
        <v>713</v>
      </c>
      <c r="D69" s="100" t="s">
        <v>356</v>
      </c>
      <c r="E69" s="100" t="s">
        <v>11</v>
      </c>
      <c r="F69" s="100" t="s">
        <v>21</v>
      </c>
      <c r="G69" s="100" t="s">
        <v>714</v>
      </c>
      <c r="H69" s="130">
        <v>45985</v>
      </c>
      <c r="I69" s="77" t="s">
        <v>60</v>
      </c>
      <c r="J69" s="77" t="s">
        <v>61</v>
      </c>
      <c r="K69" s="77">
        <v>0</v>
      </c>
      <c r="L69" s="77" t="s">
        <v>374</v>
      </c>
      <c r="M69" s="77" t="s">
        <v>147</v>
      </c>
      <c r="N69" s="100">
        <v>2</v>
      </c>
      <c r="O69" s="109">
        <v>6.9444444444444447E-4</v>
      </c>
      <c r="P69" s="189"/>
      <c r="Q69" s="6"/>
      <c r="R69" s="6"/>
      <c r="S69" s="6"/>
      <c r="T69" s="6"/>
      <c r="U69" s="6"/>
      <c r="V69" s="6"/>
      <c r="W69" s="6"/>
      <c r="X69" s="6"/>
      <c r="Y69" s="6"/>
      <c r="Z69" s="6"/>
      <c r="AA69" s="6"/>
      <c r="AB69" s="6"/>
      <c r="AC69" s="6"/>
      <c r="AD69" s="6"/>
      <c r="AE69" s="6"/>
      <c r="AF69" s="6"/>
      <c r="AG69" s="6"/>
      <c r="AH69" s="6"/>
      <c r="AI69" s="6"/>
      <c r="AJ69" s="6"/>
      <c r="AK69" s="6"/>
      <c r="AL69" s="6"/>
      <c r="AM69" s="6"/>
      <c r="AN69" s="6"/>
      <c r="AO69" s="6"/>
      <c r="AP69" s="6"/>
      <c r="AQ69" s="6"/>
      <c r="AR69" s="6"/>
      <c r="AS69" s="6"/>
      <c r="AT69" s="6"/>
      <c r="AU69" s="6"/>
      <c r="AV69" s="6"/>
      <c r="AW69" s="6"/>
      <c r="AX69" s="6"/>
      <c r="AY69" s="6"/>
      <c r="AZ69" s="6"/>
      <c r="BA69" s="6"/>
      <c r="BB69" s="6"/>
      <c r="BC69" s="6"/>
      <c r="BD69" s="6"/>
      <c r="BE69" s="6"/>
      <c r="BF69" s="6"/>
      <c r="BG69" s="6"/>
      <c r="BH69" s="6"/>
      <c r="BI69" s="6"/>
      <c r="BJ69" s="6"/>
      <c r="BK69" s="6"/>
      <c r="BL69" s="6"/>
      <c r="BM69" s="6"/>
      <c r="BN69" s="6"/>
      <c r="BO69" s="6"/>
      <c r="BP69" s="6"/>
      <c r="BQ69" s="6"/>
      <c r="BR69" s="6"/>
      <c r="BS69" s="6"/>
      <c r="BT69" s="6"/>
      <c r="BU69" s="6"/>
      <c r="BV69" s="6"/>
      <c r="BW69" s="6"/>
      <c r="BX69" s="6"/>
      <c r="BY69" s="6"/>
      <c r="BZ69" s="6"/>
      <c r="CA69" s="6"/>
      <c r="CB69" s="6"/>
      <c r="CC69" s="6"/>
      <c r="CD69" s="6"/>
      <c r="CE69" s="6"/>
      <c r="CF69" s="6"/>
      <c r="CG69" s="6"/>
      <c r="CH69" s="6"/>
      <c r="CI69" s="6"/>
      <c r="CJ69" s="6"/>
      <c r="CK69" s="6"/>
      <c r="CL69" s="6"/>
      <c r="CM69" s="6"/>
      <c r="CN69" s="6"/>
      <c r="CO69" s="6"/>
      <c r="CP69" s="6"/>
      <c r="CQ69" s="6"/>
      <c r="CR69" s="6"/>
      <c r="CS69" s="6"/>
      <c r="CT69" s="6"/>
      <c r="CU69" s="6"/>
      <c r="CV69" s="6"/>
      <c r="CW69" s="6"/>
      <c r="CX69" s="6"/>
      <c r="CY69" s="6"/>
      <c r="CZ69" s="6"/>
      <c r="DA69" s="6"/>
      <c r="DB69" s="6"/>
      <c r="DC69" s="6"/>
      <c r="DD69" s="6"/>
      <c r="DE69" s="6"/>
      <c r="DF69" s="6"/>
      <c r="DG69" s="6"/>
      <c r="DH69" s="6"/>
    </row>
    <row r="70" spans="1:112" ht="35.1" customHeight="1" thickTop="1" thickBot="1">
      <c r="A70" s="181"/>
      <c r="B70" s="106" t="s">
        <v>20</v>
      </c>
      <c r="C70" s="100" t="s">
        <v>715</v>
      </c>
      <c r="D70" s="100" t="s">
        <v>373</v>
      </c>
      <c r="E70" s="100"/>
      <c r="F70" s="100"/>
      <c r="G70" s="100"/>
      <c r="H70" s="130"/>
      <c r="I70" s="77" t="s">
        <v>132</v>
      </c>
      <c r="J70" s="77" t="s">
        <v>133</v>
      </c>
      <c r="K70" s="77">
        <v>0</v>
      </c>
      <c r="L70" s="77" t="s">
        <v>380</v>
      </c>
      <c r="M70" s="77" t="s">
        <v>205</v>
      </c>
      <c r="N70" s="100">
        <v>2</v>
      </c>
      <c r="O70" s="109">
        <v>1.736111111111111E-3</v>
      </c>
      <c r="P70" s="189"/>
      <c r="Q70" s="6"/>
      <c r="R70" s="6"/>
      <c r="S70" s="6"/>
      <c r="T70" s="6"/>
      <c r="U70" s="6"/>
      <c r="V70" s="6"/>
      <c r="W70" s="6"/>
      <c r="X70" s="6"/>
      <c r="Y70" s="6"/>
      <c r="Z70" s="6"/>
      <c r="AA70" s="6"/>
      <c r="AB70" s="6"/>
      <c r="AC70" s="6"/>
      <c r="AD70" s="6"/>
      <c r="AE70" s="6"/>
      <c r="AF70" s="6"/>
      <c r="AG70" s="6"/>
      <c r="AH70" s="6"/>
      <c r="AI70" s="6"/>
      <c r="AJ70" s="6"/>
      <c r="AK70" s="6"/>
      <c r="AL70" s="6"/>
      <c r="AM70" s="6"/>
      <c r="AN70" s="6"/>
      <c r="AO70" s="6"/>
      <c r="AP70" s="6"/>
      <c r="AQ70" s="6"/>
      <c r="AR70" s="6"/>
      <c r="AS70" s="6"/>
      <c r="AT70" s="6"/>
      <c r="AU70" s="6"/>
      <c r="AV70" s="6"/>
      <c r="AW70" s="6"/>
      <c r="AX70" s="6"/>
      <c r="AY70" s="6"/>
      <c r="AZ70" s="6"/>
      <c r="BA70" s="6"/>
      <c r="BB70" s="6"/>
      <c r="BC70" s="6"/>
      <c r="BD70" s="6"/>
      <c r="BE70" s="6"/>
      <c r="BF70" s="6"/>
      <c r="BG70" s="6"/>
      <c r="BH70" s="6"/>
      <c r="BI70" s="6"/>
      <c r="BJ70" s="6"/>
      <c r="BK70" s="6"/>
      <c r="BL70" s="6"/>
      <c r="BM70" s="6"/>
      <c r="BN70" s="6"/>
      <c r="BO70" s="6"/>
      <c r="BP70" s="6"/>
      <c r="BQ70" s="6"/>
      <c r="BR70" s="6"/>
      <c r="BS70" s="6"/>
      <c r="BT70" s="6"/>
      <c r="BU70" s="6"/>
      <c r="BV70" s="6"/>
      <c r="BW70" s="6"/>
      <c r="BX70" s="6"/>
      <c r="BY70" s="6"/>
      <c r="BZ70" s="6"/>
      <c r="CA70" s="6"/>
      <c r="CB70" s="6"/>
      <c r="CC70" s="6"/>
      <c r="CD70" s="6"/>
      <c r="CE70" s="6"/>
      <c r="CF70" s="6"/>
      <c r="CG70" s="6"/>
      <c r="CH70" s="6"/>
      <c r="CI70" s="6"/>
      <c r="CJ70" s="6"/>
      <c r="CK70" s="6"/>
      <c r="CL70" s="6"/>
      <c r="CM70" s="6"/>
      <c r="CN70" s="6"/>
      <c r="CO70" s="6"/>
      <c r="CP70" s="6"/>
      <c r="CQ70" s="6"/>
      <c r="CR70" s="6"/>
      <c r="CS70" s="6"/>
      <c r="CT70" s="6"/>
      <c r="CU70" s="6"/>
      <c r="CV70" s="6"/>
      <c r="CW70" s="6"/>
      <c r="CX70" s="6"/>
      <c r="CY70" s="6"/>
      <c r="CZ70" s="6"/>
      <c r="DA70" s="6"/>
      <c r="DB70" s="6"/>
      <c r="DC70" s="6"/>
      <c r="DD70" s="6"/>
      <c r="DE70" s="6"/>
      <c r="DF70" s="6"/>
      <c r="DG70" s="6"/>
      <c r="DH70" s="6"/>
    </row>
    <row r="71" spans="1:112" ht="35.1" customHeight="1" thickTop="1" thickBot="1">
      <c r="A71" s="181"/>
      <c r="B71" s="106" t="s">
        <v>20</v>
      </c>
      <c r="C71" s="100" t="s">
        <v>716</v>
      </c>
      <c r="D71" s="100" t="s">
        <v>717</v>
      </c>
      <c r="E71" s="100"/>
      <c r="F71" s="100"/>
      <c r="G71" s="100"/>
      <c r="H71" s="130"/>
      <c r="I71" s="77" t="s">
        <v>60</v>
      </c>
      <c r="J71" s="77" t="s">
        <v>133</v>
      </c>
      <c r="K71" s="77">
        <v>0</v>
      </c>
      <c r="L71" s="77" t="s">
        <v>377</v>
      </c>
      <c r="M71" s="77" t="s">
        <v>164</v>
      </c>
      <c r="N71" s="100">
        <v>1</v>
      </c>
      <c r="O71" s="109">
        <v>9.2592592592592585E-4</v>
      </c>
      <c r="P71" s="189"/>
      <c r="Q71" s="6"/>
      <c r="R71" s="6"/>
      <c r="S71" s="6"/>
      <c r="T71" s="6"/>
      <c r="U71" s="6"/>
      <c r="V71" s="6"/>
      <c r="W71" s="6"/>
      <c r="X71" s="6"/>
      <c r="Y71" s="6"/>
      <c r="Z71" s="6"/>
      <c r="AA71" s="6"/>
      <c r="AB71" s="6"/>
      <c r="AC71" s="6"/>
      <c r="AD71" s="6"/>
      <c r="AE71" s="6"/>
      <c r="AF71" s="6"/>
      <c r="AG71" s="6"/>
      <c r="AH71" s="6"/>
      <c r="AI71" s="6"/>
      <c r="AJ71" s="6"/>
      <c r="AK71" s="6"/>
      <c r="AL71" s="6"/>
      <c r="AM71" s="6"/>
      <c r="AN71" s="6"/>
      <c r="AO71" s="6"/>
      <c r="AP71" s="6"/>
      <c r="AQ71" s="6"/>
      <c r="AR71" s="6"/>
      <c r="AS71" s="6"/>
      <c r="AT71" s="6"/>
      <c r="AU71" s="6"/>
      <c r="AV71" s="6"/>
      <c r="AW71" s="6"/>
      <c r="AX71" s="6"/>
      <c r="AY71" s="6"/>
      <c r="AZ71" s="6"/>
      <c r="BA71" s="6"/>
      <c r="BB71" s="6"/>
      <c r="BC71" s="6"/>
      <c r="BD71" s="6"/>
      <c r="BE71" s="6"/>
      <c r="BF71" s="6"/>
      <c r="BG71" s="6"/>
      <c r="BH71" s="6"/>
      <c r="BI71" s="6"/>
      <c r="BJ71" s="6"/>
      <c r="BK71" s="6"/>
      <c r="BL71" s="6"/>
      <c r="BM71" s="6"/>
      <c r="BN71" s="6"/>
      <c r="BO71" s="6"/>
      <c r="BP71" s="6"/>
      <c r="BQ71" s="6"/>
      <c r="BR71" s="6"/>
      <c r="BS71" s="6"/>
      <c r="BT71" s="6"/>
      <c r="BU71" s="6"/>
      <c r="BV71" s="6"/>
      <c r="BW71" s="6"/>
      <c r="BX71" s="6"/>
      <c r="BY71" s="6"/>
      <c r="BZ71" s="6"/>
      <c r="CA71" s="6"/>
      <c r="CB71" s="6"/>
      <c r="CC71" s="6"/>
      <c r="CD71" s="6"/>
      <c r="CE71" s="6"/>
      <c r="CF71" s="6"/>
      <c r="CG71" s="6"/>
      <c r="CH71" s="6"/>
      <c r="CI71" s="6"/>
      <c r="CJ71" s="6"/>
      <c r="CK71" s="6"/>
      <c r="CL71" s="6"/>
      <c r="CM71" s="6"/>
      <c r="CN71" s="6"/>
      <c r="CO71" s="6"/>
      <c r="CP71" s="6"/>
      <c r="CQ71" s="6"/>
      <c r="CR71" s="6"/>
      <c r="CS71" s="6"/>
      <c r="CT71" s="6"/>
      <c r="CU71" s="6"/>
      <c r="CV71" s="6"/>
      <c r="CW71" s="6"/>
      <c r="CX71" s="6"/>
      <c r="CY71" s="6"/>
      <c r="CZ71" s="6"/>
      <c r="DA71" s="6"/>
      <c r="DB71" s="6"/>
      <c r="DC71" s="6"/>
      <c r="DD71" s="6"/>
      <c r="DE71" s="6"/>
      <c r="DF71" s="6"/>
      <c r="DG71" s="6"/>
      <c r="DH71" s="6"/>
    </row>
    <row r="72" spans="1:112" ht="35.1" customHeight="1" thickTop="1" thickBot="1">
      <c r="A72" s="181"/>
      <c r="B72" s="106" t="s">
        <v>20</v>
      </c>
      <c r="C72" s="100" t="s">
        <v>718</v>
      </c>
      <c r="D72" s="100" t="s">
        <v>719</v>
      </c>
      <c r="E72" s="100"/>
      <c r="F72" s="100"/>
      <c r="H72" s="130"/>
      <c r="I72" s="77" t="s">
        <v>60</v>
      </c>
      <c r="J72" s="77" t="s">
        <v>133</v>
      </c>
      <c r="K72" s="77">
        <v>0</v>
      </c>
      <c r="L72" s="77" t="s">
        <v>383</v>
      </c>
      <c r="M72" s="77" t="s">
        <v>164</v>
      </c>
      <c r="N72" s="100">
        <v>2</v>
      </c>
      <c r="O72" s="109">
        <v>9.2592592592592585E-4</v>
      </c>
      <c r="P72" s="189"/>
      <c r="Q72" s="6"/>
      <c r="R72" s="6"/>
      <c r="S72" s="6"/>
      <c r="T72" s="6"/>
      <c r="U72" s="6"/>
      <c r="V72" s="6"/>
      <c r="W72" s="6"/>
      <c r="X72" s="6"/>
      <c r="Y72" s="6"/>
      <c r="Z72" s="6"/>
      <c r="AA72" s="6"/>
      <c r="AB72" s="6"/>
      <c r="AC72" s="6"/>
      <c r="AD72" s="6"/>
      <c r="AE72" s="6"/>
      <c r="AF72" s="6"/>
      <c r="AG72" s="6"/>
      <c r="AH72" s="6"/>
      <c r="AI72" s="6"/>
      <c r="AJ72" s="6"/>
      <c r="AK72" s="6"/>
      <c r="AL72" s="6"/>
      <c r="AM72" s="6"/>
      <c r="AN72" s="6"/>
      <c r="AO72" s="6"/>
      <c r="AP72" s="6"/>
      <c r="AQ72" s="6"/>
      <c r="AR72" s="6"/>
      <c r="AS72" s="6"/>
      <c r="AT72" s="6"/>
      <c r="AU72" s="6"/>
      <c r="AV72" s="6"/>
      <c r="AW72" s="6"/>
      <c r="AX72" s="6"/>
      <c r="AY72" s="6"/>
      <c r="AZ72" s="6"/>
      <c r="BA72" s="6"/>
      <c r="BB72" s="6"/>
      <c r="BC72" s="6"/>
      <c r="BD72" s="6"/>
      <c r="BE72" s="6"/>
      <c r="BF72" s="6"/>
      <c r="BG72" s="6"/>
      <c r="BH72" s="6"/>
      <c r="BI72" s="6"/>
      <c r="BJ72" s="6"/>
      <c r="BK72" s="6"/>
      <c r="BL72" s="6"/>
      <c r="BM72" s="6"/>
      <c r="BN72" s="6"/>
      <c r="BO72" s="6"/>
      <c r="BP72" s="6"/>
      <c r="BQ72" s="6"/>
      <c r="BR72" s="6"/>
      <c r="BS72" s="6"/>
      <c r="BT72" s="6"/>
      <c r="BU72" s="6"/>
      <c r="BV72" s="6"/>
      <c r="BW72" s="6"/>
      <c r="BX72" s="6"/>
      <c r="BY72" s="6"/>
      <c r="BZ72" s="6"/>
      <c r="CA72" s="6"/>
      <c r="CB72" s="6"/>
      <c r="CC72" s="6"/>
      <c r="CD72" s="6"/>
      <c r="CE72" s="6"/>
      <c r="CF72" s="6"/>
      <c r="CG72" s="6"/>
      <c r="CH72" s="6"/>
      <c r="CI72" s="6"/>
      <c r="CJ72" s="6"/>
      <c r="CK72" s="6"/>
      <c r="CL72" s="6"/>
      <c r="CM72" s="6"/>
      <c r="CN72" s="6"/>
      <c r="CO72" s="6"/>
      <c r="CP72" s="6"/>
      <c r="CQ72" s="6"/>
      <c r="CR72" s="6"/>
      <c r="CS72" s="6"/>
      <c r="CT72" s="6"/>
      <c r="CU72" s="6"/>
      <c r="CV72" s="6"/>
      <c r="CW72" s="6"/>
      <c r="CX72" s="6"/>
      <c r="CY72" s="6"/>
      <c r="CZ72" s="6"/>
      <c r="DA72" s="6"/>
      <c r="DB72" s="6"/>
      <c r="DC72" s="6"/>
      <c r="DD72" s="6"/>
      <c r="DE72" s="6"/>
      <c r="DF72" s="6"/>
      <c r="DG72" s="6"/>
      <c r="DH72" s="6"/>
    </row>
    <row r="73" spans="1:112" ht="35.1" customHeight="1" thickTop="1" thickBot="1">
      <c r="A73" s="181"/>
      <c r="B73" s="106" t="s">
        <v>20</v>
      </c>
      <c r="C73" s="100" t="s">
        <v>720</v>
      </c>
      <c r="D73" s="100" t="s">
        <v>382</v>
      </c>
      <c r="E73" s="100"/>
      <c r="F73" s="100"/>
      <c r="G73" s="100"/>
      <c r="H73" s="130"/>
      <c r="I73" s="77" t="s">
        <v>60</v>
      </c>
      <c r="J73" s="77" t="s">
        <v>61</v>
      </c>
      <c r="K73" s="77">
        <v>0</v>
      </c>
      <c r="L73" s="77" t="s">
        <v>386</v>
      </c>
      <c r="M73" s="77" t="s">
        <v>363</v>
      </c>
      <c r="N73" s="100">
        <v>1</v>
      </c>
      <c r="O73" s="109">
        <v>1.1574074074074073E-4</v>
      </c>
      <c r="P73" s="189"/>
      <c r="Q73" s="6"/>
      <c r="R73" s="6"/>
      <c r="S73" s="6"/>
      <c r="T73" s="6"/>
      <c r="U73" s="6"/>
      <c r="V73" s="6"/>
      <c r="W73" s="6"/>
      <c r="X73" s="6"/>
      <c r="Y73" s="6"/>
      <c r="Z73" s="6"/>
      <c r="AA73" s="6"/>
      <c r="AB73" s="6"/>
      <c r="AC73" s="6"/>
      <c r="AD73" s="6"/>
      <c r="AE73" s="6"/>
      <c r="AF73" s="6"/>
      <c r="AG73" s="6"/>
      <c r="AH73" s="6"/>
      <c r="AI73" s="6"/>
      <c r="AJ73" s="6"/>
      <c r="AK73" s="6"/>
      <c r="AL73" s="6"/>
      <c r="AM73" s="6"/>
      <c r="AN73" s="6"/>
      <c r="AO73" s="6"/>
      <c r="AP73" s="6"/>
      <c r="AQ73" s="6"/>
      <c r="AR73" s="6"/>
      <c r="AS73" s="6"/>
      <c r="AT73" s="6"/>
      <c r="AU73" s="6"/>
      <c r="AV73" s="6"/>
      <c r="AW73" s="6"/>
      <c r="AX73" s="6"/>
      <c r="AY73" s="6"/>
      <c r="AZ73" s="6"/>
      <c r="BA73" s="6"/>
      <c r="BB73" s="6"/>
      <c r="BC73" s="6"/>
      <c r="BD73" s="6"/>
      <c r="BE73" s="6"/>
      <c r="BF73" s="6"/>
      <c r="BG73" s="6"/>
      <c r="BH73" s="6"/>
      <c r="BI73" s="6"/>
      <c r="BJ73" s="6"/>
      <c r="BK73" s="6"/>
      <c r="BL73" s="6"/>
      <c r="BM73" s="6"/>
      <c r="BN73" s="6"/>
      <c r="BO73" s="6"/>
      <c r="BP73" s="6"/>
      <c r="BQ73" s="6"/>
      <c r="BR73" s="6"/>
      <c r="BS73" s="6"/>
      <c r="BT73" s="6"/>
      <c r="BU73" s="6"/>
      <c r="BV73" s="6"/>
      <c r="BW73" s="6"/>
      <c r="BX73" s="6"/>
      <c r="BY73" s="6"/>
      <c r="BZ73" s="6"/>
      <c r="CA73" s="6"/>
      <c r="CB73" s="6"/>
      <c r="CC73" s="6"/>
      <c r="CD73" s="6"/>
      <c r="CE73" s="6"/>
      <c r="CF73" s="6"/>
      <c r="CG73" s="6"/>
      <c r="CH73" s="6"/>
      <c r="CI73" s="6"/>
      <c r="CJ73" s="6"/>
      <c r="CK73" s="6"/>
      <c r="CL73" s="6"/>
      <c r="CM73" s="6"/>
      <c r="CN73" s="6"/>
      <c r="CO73" s="6"/>
      <c r="CP73" s="6"/>
      <c r="CQ73" s="6"/>
      <c r="CR73" s="6"/>
      <c r="CS73" s="6"/>
      <c r="CT73" s="6"/>
      <c r="CU73" s="6"/>
      <c r="CV73" s="6"/>
      <c r="CW73" s="6"/>
      <c r="CX73" s="6"/>
      <c r="CY73" s="6"/>
      <c r="CZ73" s="6"/>
      <c r="DA73" s="6"/>
      <c r="DB73" s="6"/>
      <c r="DC73" s="6"/>
      <c r="DD73" s="6"/>
      <c r="DE73" s="6"/>
      <c r="DF73" s="6"/>
      <c r="DG73" s="6"/>
      <c r="DH73" s="6"/>
    </row>
    <row r="74" spans="1:112" ht="35.1" customHeight="1" thickTop="1" thickBot="1">
      <c r="A74" s="181"/>
      <c r="B74" s="106" t="s">
        <v>20</v>
      </c>
      <c r="C74" s="100" t="s">
        <v>721</v>
      </c>
      <c r="D74" s="100" t="s">
        <v>385</v>
      </c>
      <c r="E74" s="100"/>
      <c r="F74" s="100"/>
      <c r="G74" s="100"/>
      <c r="H74" s="130"/>
      <c r="I74" s="77" t="s">
        <v>88</v>
      </c>
      <c r="J74" s="77" t="s">
        <v>61</v>
      </c>
      <c r="K74" s="77">
        <v>0</v>
      </c>
      <c r="L74" s="77" t="s">
        <v>122</v>
      </c>
      <c r="M74" s="77" t="s">
        <v>123</v>
      </c>
      <c r="N74" s="100">
        <v>1</v>
      </c>
      <c r="O74" s="109">
        <v>6.9444444444444447E-4</v>
      </c>
      <c r="P74" s="189"/>
      <c r="Q74" s="6"/>
      <c r="R74" s="6"/>
      <c r="S74" s="6"/>
      <c r="T74" s="6"/>
      <c r="U74" s="6"/>
      <c r="V74" s="6"/>
      <c r="W74" s="6"/>
      <c r="X74" s="6"/>
      <c r="Y74" s="6"/>
      <c r="Z74" s="6"/>
      <c r="AA74" s="6"/>
      <c r="AB74" s="6"/>
      <c r="AC74" s="6"/>
      <c r="AD74" s="6"/>
      <c r="AE74" s="6"/>
      <c r="AF74" s="6"/>
      <c r="AG74" s="6"/>
      <c r="AH74" s="6"/>
      <c r="AI74" s="6"/>
      <c r="AJ74" s="6"/>
      <c r="AK74" s="6"/>
      <c r="AL74" s="6"/>
      <c r="AM74" s="6"/>
      <c r="AN74" s="6"/>
      <c r="AO74" s="6"/>
      <c r="AP74" s="6"/>
      <c r="AQ74" s="6"/>
      <c r="AR74" s="6"/>
      <c r="AS74" s="6"/>
      <c r="AT74" s="6"/>
      <c r="AU74" s="6"/>
      <c r="AV74" s="6"/>
      <c r="AW74" s="6"/>
      <c r="AX74" s="6"/>
      <c r="AY74" s="6"/>
      <c r="AZ74" s="6"/>
      <c r="BA74" s="6"/>
      <c r="BB74" s="6"/>
      <c r="BC74" s="6"/>
      <c r="BD74" s="6"/>
      <c r="BE74" s="6"/>
      <c r="BF74" s="6"/>
      <c r="BG74" s="6"/>
      <c r="BH74" s="6"/>
      <c r="BI74" s="6"/>
      <c r="BJ74" s="6"/>
      <c r="BK74" s="6"/>
      <c r="BL74" s="6"/>
      <c r="BM74" s="6"/>
      <c r="BN74" s="6"/>
      <c r="BO74" s="6"/>
      <c r="BP74" s="6"/>
      <c r="BQ74" s="6"/>
      <c r="BR74" s="6"/>
      <c r="BS74" s="6"/>
      <c r="BT74" s="6"/>
      <c r="BU74" s="6"/>
      <c r="BV74" s="6"/>
      <c r="BW74" s="6"/>
      <c r="BX74" s="6"/>
      <c r="BY74" s="6"/>
      <c r="BZ74" s="6"/>
      <c r="CA74" s="6"/>
      <c r="CB74" s="6"/>
      <c r="CC74" s="6"/>
      <c r="CD74" s="6"/>
      <c r="CE74" s="6"/>
      <c r="CF74" s="6"/>
      <c r="CG74" s="6"/>
      <c r="CH74" s="6"/>
      <c r="CI74" s="6"/>
      <c r="CJ74" s="6"/>
      <c r="CK74" s="6"/>
      <c r="CL74" s="6"/>
      <c r="CM74" s="6"/>
      <c r="CN74" s="6"/>
      <c r="CO74" s="6"/>
      <c r="CP74" s="6"/>
      <c r="CQ74" s="6"/>
      <c r="CR74" s="6"/>
      <c r="CS74" s="6"/>
      <c r="CT74" s="6"/>
      <c r="CU74" s="6"/>
      <c r="CV74" s="6"/>
      <c r="CW74" s="6"/>
      <c r="CX74" s="6"/>
      <c r="CY74" s="6"/>
      <c r="CZ74" s="6"/>
      <c r="DA74" s="6"/>
      <c r="DB74" s="6"/>
      <c r="DC74" s="6"/>
      <c r="DD74" s="6"/>
      <c r="DE74" s="6"/>
      <c r="DF74" s="6"/>
      <c r="DG74" s="6"/>
      <c r="DH74" s="6"/>
    </row>
    <row r="75" spans="1:112" ht="35.1" customHeight="1" thickTop="1" thickBot="1">
      <c r="A75" s="181"/>
      <c r="B75" s="106" t="s">
        <v>20</v>
      </c>
      <c r="C75" s="100" t="s">
        <v>722</v>
      </c>
      <c r="D75" s="100" t="s">
        <v>723</v>
      </c>
      <c r="E75" s="100"/>
      <c r="F75" s="100"/>
      <c r="G75" s="100"/>
      <c r="H75" s="130"/>
      <c r="I75" s="77" t="s">
        <v>60</v>
      </c>
      <c r="J75" s="77" t="s">
        <v>61</v>
      </c>
      <c r="K75" s="77">
        <v>0</v>
      </c>
      <c r="L75" s="77" t="s">
        <v>115</v>
      </c>
      <c r="M75" s="77" t="s">
        <v>147</v>
      </c>
      <c r="N75" s="100">
        <v>2</v>
      </c>
      <c r="O75" s="109">
        <v>3.4722222222222224E-4</v>
      </c>
      <c r="P75" s="189"/>
      <c r="Q75" s="6"/>
      <c r="R75" s="6"/>
      <c r="S75" s="6"/>
      <c r="T75" s="6"/>
      <c r="U75" s="6"/>
      <c r="V75" s="6"/>
      <c r="W75" s="6"/>
      <c r="X75" s="6"/>
      <c r="Y75" s="6"/>
      <c r="Z75" s="6"/>
      <c r="AA75" s="6"/>
      <c r="AB75" s="6"/>
      <c r="AC75" s="6"/>
      <c r="AD75" s="6"/>
      <c r="AE75" s="6"/>
      <c r="AF75" s="6"/>
      <c r="AG75" s="6"/>
      <c r="AH75" s="6"/>
      <c r="AI75" s="6"/>
      <c r="AJ75" s="6"/>
      <c r="AK75" s="6"/>
      <c r="AL75" s="6"/>
      <c r="AM75" s="6"/>
      <c r="AN75" s="6"/>
      <c r="AO75" s="6"/>
      <c r="AP75" s="6"/>
      <c r="AQ75" s="6"/>
      <c r="AR75" s="6"/>
      <c r="AS75" s="6"/>
      <c r="AT75" s="6"/>
      <c r="AU75" s="6"/>
      <c r="AV75" s="6"/>
      <c r="AW75" s="6"/>
      <c r="AX75" s="6"/>
      <c r="AY75" s="6"/>
      <c r="AZ75" s="6"/>
      <c r="BA75" s="6"/>
      <c r="BB75" s="6"/>
      <c r="BC75" s="6"/>
      <c r="BD75" s="6"/>
      <c r="BE75" s="6"/>
      <c r="BF75" s="6"/>
      <c r="BG75" s="6"/>
      <c r="BH75" s="6"/>
      <c r="BI75" s="6"/>
      <c r="BJ75" s="6"/>
      <c r="BK75" s="6"/>
      <c r="BL75" s="6"/>
      <c r="BM75" s="6"/>
      <c r="BN75" s="6"/>
      <c r="BO75" s="6"/>
      <c r="BP75" s="6"/>
      <c r="BQ75" s="6"/>
      <c r="BR75" s="6"/>
      <c r="BS75" s="6"/>
      <c r="BT75" s="6"/>
      <c r="BU75" s="6"/>
      <c r="BV75" s="6"/>
      <c r="BW75" s="6"/>
      <c r="BX75" s="6"/>
      <c r="BY75" s="6"/>
      <c r="BZ75" s="6"/>
      <c r="CA75" s="6"/>
      <c r="CB75" s="6"/>
      <c r="CC75" s="6"/>
      <c r="CD75" s="6"/>
      <c r="CE75" s="6"/>
      <c r="CF75" s="6"/>
      <c r="CG75" s="6"/>
      <c r="CH75" s="6"/>
      <c r="CI75" s="6"/>
      <c r="CJ75" s="6"/>
      <c r="CK75" s="6"/>
      <c r="CL75" s="6"/>
      <c r="CM75" s="6"/>
      <c r="CN75" s="6"/>
      <c r="CO75" s="6"/>
      <c r="CP75" s="6"/>
      <c r="CQ75" s="6"/>
      <c r="CR75" s="6"/>
      <c r="CS75" s="6"/>
      <c r="CT75" s="6"/>
      <c r="CU75" s="6"/>
      <c r="CV75" s="6"/>
      <c r="CW75" s="6"/>
      <c r="CX75" s="6"/>
      <c r="CY75" s="6"/>
      <c r="CZ75" s="6"/>
      <c r="DA75" s="6"/>
      <c r="DB75" s="6"/>
      <c r="DC75" s="6"/>
      <c r="DD75" s="6"/>
      <c r="DE75" s="6"/>
      <c r="DF75" s="6"/>
      <c r="DG75" s="6"/>
      <c r="DH75" s="6"/>
    </row>
    <row r="76" spans="1:112" ht="35.1" customHeight="1" thickTop="1" thickBot="1">
      <c r="A76" s="181"/>
      <c r="B76" s="106" t="s">
        <v>20</v>
      </c>
      <c r="C76" s="100" t="s">
        <v>724</v>
      </c>
      <c r="D76" s="100" t="s">
        <v>725</v>
      </c>
      <c r="E76" s="100"/>
      <c r="F76" s="100"/>
      <c r="G76" s="100"/>
      <c r="H76" s="130"/>
      <c r="I76" s="77" t="s">
        <v>60</v>
      </c>
      <c r="J76" s="77" t="s">
        <v>61</v>
      </c>
      <c r="K76" s="77">
        <v>0</v>
      </c>
      <c r="L76" s="77" t="s">
        <v>118</v>
      </c>
      <c r="M76" s="77" t="s">
        <v>147</v>
      </c>
      <c r="N76" s="100">
        <v>2</v>
      </c>
      <c r="O76" s="109">
        <v>6.9444444444444447E-4</v>
      </c>
      <c r="P76" s="189"/>
      <c r="Q76" s="6"/>
      <c r="R76" s="6"/>
      <c r="S76" s="6"/>
      <c r="T76" s="6"/>
      <c r="U76" s="6"/>
      <c r="V76" s="6"/>
      <c r="W76" s="6"/>
      <c r="X76" s="6"/>
      <c r="Y76" s="6"/>
      <c r="Z76" s="6"/>
      <c r="AA76" s="6"/>
      <c r="AB76" s="6"/>
      <c r="AC76" s="6"/>
      <c r="AD76" s="6"/>
      <c r="AE76" s="6"/>
      <c r="AF76" s="6"/>
      <c r="AG76" s="6"/>
      <c r="AH76" s="6"/>
      <c r="AI76" s="6"/>
      <c r="AJ76" s="6"/>
      <c r="AK76" s="6"/>
      <c r="AL76" s="6"/>
      <c r="AM76" s="6"/>
      <c r="AN76" s="6"/>
      <c r="AO76" s="6"/>
      <c r="AP76" s="6"/>
      <c r="AQ76" s="6"/>
      <c r="AR76" s="6"/>
      <c r="AS76" s="6"/>
      <c r="AT76" s="6"/>
      <c r="AU76" s="6"/>
      <c r="AV76" s="6"/>
      <c r="AW76" s="6"/>
      <c r="AX76" s="6"/>
      <c r="AY76" s="6"/>
      <c r="AZ76" s="6"/>
      <c r="BA76" s="6"/>
      <c r="BB76" s="6"/>
      <c r="BC76" s="6"/>
      <c r="BD76" s="6"/>
      <c r="BE76" s="6"/>
      <c r="BF76" s="6"/>
      <c r="BG76" s="6"/>
      <c r="BH76" s="6"/>
      <c r="BI76" s="6"/>
      <c r="BJ76" s="6"/>
      <c r="BK76" s="6"/>
      <c r="BL76" s="6"/>
      <c r="BM76" s="6"/>
      <c r="BN76" s="6"/>
      <c r="BO76" s="6"/>
      <c r="BP76" s="6"/>
      <c r="BQ76" s="6"/>
      <c r="BR76" s="6"/>
      <c r="BS76" s="6"/>
      <c r="BT76" s="6"/>
      <c r="BU76" s="6"/>
      <c r="BV76" s="6"/>
      <c r="BW76" s="6"/>
      <c r="BX76" s="6"/>
      <c r="BY76" s="6"/>
      <c r="BZ76" s="6"/>
      <c r="CA76" s="6"/>
      <c r="CB76" s="6"/>
      <c r="CC76" s="6"/>
      <c r="CD76" s="6"/>
      <c r="CE76" s="6"/>
      <c r="CF76" s="6"/>
      <c r="CG76" s="6"/>
      <c r="CH76" s="6"/>
      <c r="CI76" s="6"/>
      <c r="CJ76" s="6"/>
      <c r="CK76" s="6"/>
      <c r="CL76" s="6"/>
      <c r="CM76" s="6"/>
      <c r="CN76" s="6"/>
      <c r="CO76" s="6"/>
      <c r="CP76" s="6"/>
      <c r="CQ76" s="6"/>
      <c r="CR76" s="6"/>
      <c r="CS76" s="6"/>
      <c r="CT76" s="6"/>
      <c r="CU76" s="6"/>
      <c r="CV76" s="6"/>
      <c r="CW76" s="6"/>
      <c r="CX76" s="6"/>
      <c r="CY76" s="6"/>
      <c r="CZ76" s="6"/>
      <c r="DA76" s="6"/>
      <c r="DB76" s="6"/>
      <c r="DC76" s="6"/>
      <c r="DD76" s="6"/>
      <c r="DE76" s="6"/>
      <c r="DF76" s="6"/>
      <c r="DG76" s="6"/>
      <c r="DH76" s="6"/>
    </row>
    <row r="77" spans="1:112" ht="35.1" customHeight="1">
      <c r="A77" s="181"/>
      <c r="B77" s="106" t="s">
        <v>20</v>
      </c>
      <c r="C77" s="100" t="s">
        <v>726</v>
      </c>
      <c r="D77" s="100" t="s">
        <v>423</v>
      </c>
      <c r="E77" s="100"/>
      <c r="F77" s="100"/>
      <c r="G77" s="100"/>
      <c r="H77" s="130"/>
      <c r="I77" s="77" t="s">
        <v>88</v>
      </c>
      <c r="J77" s="77" t="s">
        <v>133</v>
      </c>
      <c r="K77" s="77">
        <v>0</v>
      </c>
      <c r="L77" s="77" t="s">
        <v>415</v>
      </c>
      <c r="M77" s="77" t="s">
        <v>107</v>
      </c>
      <c r="N77" s="100">
        <v>2</v>
      </c>
      <c r="O77" s="109">
        <v>1.3888888888888889E-3</v>
      </c>
      <c r="P77" s="189"/>
      <c r="Q77" s="6"/>
      <c r="R77" s="6"/>
      <c r="S77" s="6"/>
      <c r="T77" s="6"/>
      <c r="U77" s="6"/>
      <c r="V77" s="6"/>
      <c r="W77" s="6"/>
      <c r="X77" s="6"/>
      <c r="Y77" s="6"/>
      <c r="Z77" s="6"/>
      <c r="AA77" s="6"/>
      <c r="AB77" s="6"/>
      <c r="AC77" s="6"/>
      <c r="AD77" s="6"/>
      <c r="AE77" s="6"/>
      <c r="AF77" s="6"/>
      <c r="AG77" s="6"/>
      <c r="AH77" s="6"/>
      <c r="AI77" s="6"/>
      <c r="AJ77" s="6"/>
      <c r="AK77" s="6"/>
      <c r="AL77" s="6"/>
      <c r="AM77" s="6"/>
      <c r="AN77" s="6"/>
      <c r="AO77" s="6"/>
      <c r="AP77" s="6"/>
      <c r="AQ77" s="6"/>
      <c r="AR77" s="6"/>
      <c r="AS77" s="6"/>
      <c r="AT77" s="6"/>
      <c r="AU77" s="6"/>
      <c r="AV77" s="6"/>
      <c r="AW77" s="6"/>
      <c r="AX77" s="6"/>
      <c r="AY77" s="6"/>
      <c r="AZ77" s="6"/>
      <c r="BA77" s="6"/>
      <c r="BB77" s="6"/>
      <c r="BC77" s="6"/>
      <c r="BD77" s="6"/>
      <c r="BE77" s="6"/>
      <c r="BF77" s="6"/>
      <c r="BG77" s="6"/>
      <c r="BH77" s="6"/>
      <c r="BI77" s="6"/>
      <c r="BJ77" s="6"/>
      <c r="BK77" s="6"/>
      <c r="BL77" s="6"/>
      <c r="BM77" s="6"/>
      <c r="BN77" s="6"/>
      <c r="BO77" s="6"/>
      <c r="BP77" s="6"/>
      <c r="BQ77" s="6"/>
      <c r="BR77" s="6"/>
      <c r="BS77" s="6"/>
      <c r="BT77" s="6"/>
      <c r="BU77" s="6"/>
      <c r="BV77" s="6"/>
      <c r="BW77" s="6"/>
      <c r="BX77" s="6"/>
      <c r="BY77" s="6"/>
      <c r="BZ77" s="6"/>
      <c r="CA77" s="6"/>
      <c r="CB77" s="6"/>
      <c r="CC77" s="6"/>
      <c r="CD77" s="6"/>
      <c r="CE77" s="6"/>
      <c r="CF77" s="6"/>
      <c r="CG77" s="6"/>
      <c r="CH77" s="6"/>
      <c r="CI77" s="6"/>
      <c r="CJ77" s="6"/>
      <c r="CK77" s="6"/>
      <c r="CL77" s="6"/>
      <c r="CM77" s="6"/>
      <c r="CN77" s="6"/>
      <c r="CO77" s="6"/>
      <c r="CP77" s="6"/>
      <c r="CQ77" s="6"/>
      <c r="CR77" s="6"/>
      <c r="CS77" s="6"/>
      <c r="CT77" s="6"/>
      <c r="CU77" s="6"/>
      <c r="CV77" s="6"/>
      <c r="CW77" s="6"/>
      <c r="CX77" s="6"/>
      <c r="CY77" s="6"/>
      <c r="CZ77" s="6"/>
      <c r="DA77" s="6"/>
      <c r="DB77" s="6"/>
      <c r="DC77" s="6"/>
      <c r="DD77" s="6"/>
      <c r="DE77" s="6"/>
      <c r="DF77" s="6"/>
      <c r="DG77" s="6"/>
      <c r="DH77" s="6"/>
    </row>
    <row r="78" spans="1:112" s="176" customFormat="1" ht="35.1" customHeight="1">
      <c r="A78" s="181"/>
      <c r="B78" s="156" t="s">
        <v>20</v>
      </c>
      <c r="C78" s="157" t="s">
        <v>727</v>
      </c>
      <c r="D78" s="157" t="s">
        <v>728</v>
      </c>
      <c r="E78" s="157" t="s">
        <v>11</v>
      </c>
      <c r="F78" s="157" t="s">
        <v>21</v>
      </c>
      <c r="G78" s="157" t="s">
        <v>330</v>
      </c>
      <c r="H78" s="171">
        <v>45985</v>
      </c>
      <c r="I78" s="172" t="s">
        <v>60</v>
      </c>
      <c r="J78" s="172" t="s">
        <v>61</v>
      </c>
      <c r="K78" s="172">
        <v>0</v>
      </c>
      <c r="L78" s="172" t="s">
        <v>729</v>
      </c>
      <c r="M78" s="172" t="s">
        <v>147</v>
      </c>
      <c r="N78" s="157">
        <v>1</v>
      </c>
      <c r="O78" s="160">
        <v>6.9444444444444447E-4</v>
      </c>
      <c r="P78" s="189"/>
      <c r="Q78" s="6"/>
      <c r="R78" s="6"/>
      <c r="S78" s="6"/>
      <c r="T78" s="6"/>
      <c r="U78" s="6"/>
      <c r="V78" s="6"/>
      <c r="W78" s="6"/>
      <c r="X78" s="6"/>
      <c r="Y78" s="6"/>
      <c r="Z78" s="6"/>
      <c r="AA78" s="6"/>
      <c r="AB78" s="6"/>
      <c r="AC78" s="6"/>
      <c r="AD78" s="6"/>
      <c r="AE78" s="6"/>
      <c r="AF78" s="6"/>
      <c r="AG78" s="6"/>
      <c r="AH78" s="6"/>
      <c r="AI78" s="6"/>
      <c r="AJ78" s="6"/>
      <c r="AK78" s="6"/>
      <c r="AL78" s="6"/>
      <c r="AM78" s="6"/>
      <c r="AN78" s="6"/>
      <c r="AO78" s="6"/>
      <c r="AP78" s="6"/>
      <c r="AQ78" s="6"/>
      <c r="AR78" s="6"/>
      <c r="AS78" s="6"/>
      <c r="AT78" s="6"/>
      <c r="AU78" s="6"/>
      <c r="AV78" s="6"/>
      <c r="AW78" s="6"/>
      <c r="AX78" s="6"/>
      <c r="AY78" s="6"/>
      <c r="AZ78" s="6"/>
      <c r="BA78" s="6"/>
      <c r="BB78" s="6"/>
      <c r="BC78" s="6"/>
      <c r="BD78" s="6"/>
      <c r="BE78" s="6"/>
      <c r="BF78" s="6"/>
      <c r="BG78" s="6"/>
      <c r="BH78" s="6"/>
      <c r="BI78" s="6"/>
      <c r="BJ78" s="6"/>
      <c r="BK78" s="6"/>
      <c r="BL78" s="6"/>
      <c r="BM78" s="6"/>
      <c r="BN78" s="6"/>
      <c r="BO78" s="6"/>
      <c r="BP78" s="6"/>
      <c r="BQ78" s="6"/>
      <c r="BR78" s="6"/>
      <c r="BS78" s="6"/>
      <c r="BT78" s="6"/>
      <c r="BU78" s="6"/>
      <c r="BV78" s="6"/>
      <c r="BW78" s="6"/>
      <c r="BX78" s="6"/>
      <c r="BY78" s="6"/>
      <c r="BZ78" s="6"/>
      <c r="CA78" s="6"/>
      <c r="CB78" s="6"/>
      <c r="CC78" s="6"/>
      <c r="CD78" s="6"/>
      <c r="CE78" s="6"/>
      <c r="CF78" s="6"/>
      <c r="CG78" s="6"/>
      <c r="CH78" s="6"/>
      <c r="CI78" s="6"/>
      <c r="CJ78" s="6"/>
      <c r="CK78" s="6"/>
      <c r="CL78" s="6"/>
      <c r="CM78" s="6"/>
      <c r="CN78" s="6"/>
      <c r="CO78" s="6"/>
      <c r="CP78" s="6"/>
      <c r="CQ78" s="6"/>
      <c r="CR78" s="6"/>
      <c r="CS78" s="6"/>
      <c r="CT78" s="6"/>
      <c r="CU78" s="6"/>
      <c r="CV78" s="6"/>
      <c r="CW78" s="6"/>
      <c r="CX78" s="6"/>
      <c r="CY78" s="6"/>
      <c r="CZ78" s="6"/>
      <c r="DA78" s="6"/>
      <c r="DB78" s="6"/>
      <c r="DC78" s="6"/>
      <c r="DD78" s="6"/>
      <c r="DE78" s="6"/>
      <c r="DF78" s="6"/>
      <c r="DG78" s="6"/>
      <c r="DH78" s="6"/>
    </row>
    <row r="79" spans="1:112" ht="35.1" customHeight="1" thickTop="1" thickBot="1">
      <c r="A79" s="181"/>
      <c r="B79" s="106" t="s">
        <v>20</v>
      </c>
      <c r="C79" s="100" t="s">
        <v>730</v>
      </c>
      <c r="D79" s="100" t="s">
        <v>414</v>
      </c>
      <c r="E79" s="100"/>
      <c r="F79" s="100"/>
      <c r="G79" s="100"/>
      <c r="H79" s="130"/>
      <c r="I79" s="77" t="s">
        <v>88</v>
      </c>
      <c r="J79" s="77" t="s">
        <v>61</v>
      </c>
      <c r="K79" s="77">
        <v>0</v>
      </c>
      <c r="L79" s="77" t="s">
        <v>126</v>
      </c>
      <c r="M79" s="77" t="s">
        <v>107</v>
      </c>
      <c r="N79" s="100">
        <v>4</v>
      </c>
      <c r="O79" s="109">
        <v>2.0833333333333333E-3</v>
      </c>
      <c r="P79" s="140"/>
    </row>
    <row r="80" spans="1:112" ht="35.1" customHeight="1" thickTop="1" thickBot="1">
      <c r="A80" s="117"/>
      <c r="B80" s="111" t="s">
        <v>20</v>
      </c>
      <c r="C80" s="112" t="s">
        <v>731</v>
      </c>
      <c r="D80" s="112" t="s">
        <v>426</v>
      </c>
      <c r="E80" s="112"/>
      <c r="F80" s="112"/>
      <c r="G80" s="112"/>
      <c r="H80" s="131"/>
      <c r="I80" s="77" t="s">
        <v>88</v>
      </c>
      <c r="J80" s="77" t="s">
        <v>61</v>
      </c>
      <c r="K80" s="77">
        <v>0</v>
      </c>
      <c r="L80" s="77" t="s">
        <v>427</v>
      </c>
      <c r="M80" s="77" t="s">
        <v>107</v>
      </c>
      <c r="N80" s="112">
        <v>2</v>
      </c>
      <c r="O80" s="116">
        <v>6.9444444444444447E-4</v>
      </c>
      <c r="P80" s="140"/>
    </row>
    <row r="81" spans="1:16" ht="35.1" customHeight="1" thickTop="1" thickBot="1">
      <c r="A81" s="141"/>
      <c r="B81" s="101" t="s">
        <v>24</v>
      </c>
      <c r="C81" s="102" t="s">
        <v>732</v>
      </c>
      <c r="D81" s="102" t="s">
        <v>445</v>
      </c>
      <c r="E81" s="102"/>
      <c r="F81" s="102"/>
      <c r="G81" s="102"/>
      <c r="H81" s="129"/>
      <c r="I81" s="77" t="s">
        <v>132</v>
      </c>
      <c r="J81" s="77" t="s">
        <v>61</v>
      </c>
      <c r="K81" s="77">
        <v>0</v>
      </c>
      <c r="L81" s="77" t="s">
        <v>439</v>
      </c>
      <c r="M81" s="77" t="s">
        <v>107</v>
      </c>
      <c r="N81" s="102">
        <v>1</v>
      </c>
      <c r="O81" s="105">
        <v>3.4722222222222224E-4</v>
      </c>
      <c r="P81" s="140"/>
    </row>
    <row r="82" spans="1:16" ht="35.1" customHeight="1" thickTop="1" thickBot="1">
      <c r="A82" s="128"/>
      <c r="B82" s="106" t="s">
        <v>24</v>
      </c>
      <c r="C82" s="100" t="s">
        <v>733</v>
      </c>
      <c r="D82" s="100" t="s">
        <v>438</v>
      </c>
      <c r="E82" s="100"/>
      <c r="F82" s="100"/>
      <c r="G82" s="100"/>
      <c r="H82" s="130"/>
      <c r="I82" s="77" t="s">
        <v>132</v>
      </c>
      <c r="J82" s="77" t="s">
        <v>61</v>
      </c>
      <c r="K82" s="77">
        <v>0</v>
      </c>
      <c r="L82" s="77" t="s">
        <v>436</v>
      </c>
      <c r="M82" s="77" t="s">
        <v>107</v>
      </c>
      <c r="N82" s="100">
        <v>1</v>
      </c>
      <c r="O82" s="109">
        <v>6.9444444444444447E-4</v>
      </c>
    </row>
    <row r="83" spans="1:16" ht="35.1" customHeight="1" thickTop="1" thickBot="1">
      <c r="A83" s="128"/>
      <c r="B83" s="106" t="s">
        <v>24</v>
      </c>
      <c r="C83" s="100" t="s">
        <v>734</v>
      </c>
      <c r="D83" s="100" t="s">
        <v>435</v>
      </c>
      <c r="E83" s="100"/>
      <c r="F83" s="100"/>
      <c r="G83" s="100"/>
      <c r="H83" s="130"/>
      <c r="I83" s="77" t="s">
        <v>132</v>
      </c>
      <c r="J83" s="77" t="s">
        <v>61</v>
      </c>
      <c r="K83" s="77">
        <v>0</v>
      </c>
      <c r="L83" s="77" t="s">
        <v>449</v>
      </c>
      <c r="M83" s="77" t="s">
        <v>239</v>
      </c>
      <c r="N83" s="100">
        <v>1</v>
      </c>
      <c r="O83" s="109">
        <v>6.9444444444444447E-4</v>
      </c>
    </row>
    <row r="84" spans="1:16" ht="35.1" customHeight="1" thickTop="1" thickBot="1">
      <c r="A84" s="128"/>
      <c r="B84" s="106" t="s">
        <v>24</v>
      </c>
      <c r="C84" s="100" t="s">
        <v>735</v>
      </c>
      <c r="D84" s="100" t="s">
        <v>736</v>
      </c>
      <c r="E84" s="100"/>
      <c r="F84" s="100"/>
      <c r="G84" s="100"/>
      <c r="H84" s="130"/>
      <c r="I84" s="77" t="s">
        <v>132</v>
      </c>
      <c r="J84" s="77" t="s">
        <v>61</v>
      </c>
      <c r="K84" s="77">
        <v>0</v>
      </c>
      <c r="L84" s="77" t="s">
        <v>452</v>
      </c>
      <c r="M84" s="77" t="s">
        <v>239</v>
      </c>
      <c r="N84" s="100">
        <v>1</v>
      </c>
      <c r="O84" s="109">
        <v>0</v>
      </c>
    </row>
    <row r="85" spans="1:16" ht="35.1" customHeight="1" thickTop="1" thickBot="1">
      <c r="A85" s="128"/>
      <c r="B85" s="106" t="s">
        <v>24</v>
      </c>
      <c r="C85" s="100" t="s">
        <v>737</v>
      </c>
      <c r="D85" s="100" t="s">
        <v>451</v>
      </c>
      <c r="E85" s="100"/>
      <c r="F85" s="100"/>
      <c r="G85" s="100"/>
      <c r="H85" s="130"/>
      <c r="I85" s="77" t="s">
        <v>132</v>
      </c>
      <c r="J85" s="77" t="s">
        <v>61</v>
      </c>
      <c r="K85" s="77">
        <v>0</v>
      </c>
      <c r="L85" s="77" t="s">
        <v>395</v>
      </c>
      <c r="M85" s="77" t="s">
        <v>239</v>
      </c>
      <c r="N85" s="100">
        <v>2</v>
      </c>
      <c r="O85" s="109">
        <v>1.0416666666666667E-3</v>
      </c>
    </row>
    <row r="86" spans="1:16" ht="35.1" customHeight="1" thickTop="1" thickBot="1">
      <c r="A86" s="128"/>
      <c r="B86" s="106" t="s">
        <v>24</v>
      </c>
      <c r="C86" s="100" t="s">
        <v>738</v>
      </c>
      <c r="D86" s="100" t="s">
        <v>739</v>
      </c>
      <c r="E86" s="100"/>
      <c r="F86" s="100"/>
      <c r="G86" s="100"/>
      <c r="H86" s="130"/>
      <c r="I86" s="77" t="s">
        <v>60</v>
      </c>
      <c r="J86" s="77" t="s">
        <v>61</v>
      </c>
      <c r="K86" s="77">
        <v>0</v>
      </c>
      <c r="L86" s="77" t="s">
        <v>446</v>
      </c>
      <c r="M86" s="77" t="s">
        <v>470</v>
      </c>
      <c r="N86" s="100">
        <v>2</v>
      </c>
      <c r="O86" s="109">
        <v>5.2083333333333333E-4</v>
      </c>
    </row>
    <row r="87" spans="1:16" ht="35.1" customHeight="1" thickTop="1" thickBot="1">
      <c r="A87" s="117"/>
      <c r="B87" s="142" t="s">
        <v>24</v>
      </c>
      <c r="C87" s="113" t="s">
        <v>740</v>
      </c>
      <c r="D87" s="113" t="s">
        <v>460</v>
      </c>
      <c r="E87" s="112"/>
      <c r="F87" s="112"/>
      <c r="G87" s="112"/>
      <c r="H87" s="131"/>
      <c r="I87" s="77" t="s">
        <v>88</v>
      </c>
      <c r="J87" s="77" t="s">
        <v>61</v>
      </c>
      <c r="K87" s="77">
        <v>0</v>
      </c>
      <c r="L87" s="77" t="s">
        <v>461</v>
      </c>
      <c r="M87" s="77" t="s">
        <v>462</v>
      </c>
      <c r="N87" s="112">
        <v>2</v>
      </c>
      <c r="O87" s="116">
        <v>6.9444444444444447E-4</v>
      </c>
    </row>
    <row r="88" spans="1:16" ht="53.25" customHeight="1" thickTop="1" thickBot="1">
      <c r="A88" s="118"/>
      <c r="B88" s="119" t="s">
        <v>741</v>
      </c>
      <c r="C88" s="120" t="s">
        <v>742</v>
      </c>
      <c r="D88" s="120" t="s">
        <v>473</v>
      </c>
      <c r="E88" s="123"/>
      <c r="F88" s="123"/>
      <c r="G88" s="123"/>
      <c r="H88" s="143"/>
      <c r="I88" s="77" t="s">
        <v>88</v>
      </c>
      <c r="J88" s="77" t="s">
        <v>133</v>
      </c>
      <c r="K88" s="77">
        <v>0</v>
      </c>
      <c r="L88" s="77" t="s">
        <v>743</v>
      </c>
      <c r="M88" s="77" t="s">
        <v>475</v>
      </c>
      <c r="N88" s="123">
        <v>2</v>
      </c>
      <c r="O88" s="144">
        <v>2.0013888888888891</v>
      </c>
    </row>
    <row r="128" ht="66" customHeight="1"/>
  </sheetData>
  <autoFilter ref="A2:J88" xr:uid="{142B8B72-3655-4553-88C5-F7018C9CD4CE}"/>
  <phoneticPr fontId="7" type="noConversion"/>
  <conditionalFormatting sqref="C3:H12 E15:H27 C15:D35 F29:H33 C37:D55 C36 C56 C76:D86 C75 F52:G59 F45:G48 F44:H44 F34:G43 N73:O88 N64:O70 E60:H70 E73:H88 H71 C73:D74 C57:D70 E29:E59">
    <cfRule type="expression" dxfId="112" priority="44">
      <formula>AND(OR($F3="No",$F3=""), $E3= "Yes",$G3&lt;&gt;"",$H3&lt;&gt;"")</formula>
    </cfRule>
  </conditionalFormatting>
  <conditionalFormatting sqref="N3:O12 N29:O62 N15:O27">
    <cfRule type="expression" dxfId="111" priority="21">
      <formula>AND(OR($F3="No",$F3=""), $E3= "Yes",$G3&lt;&gt;"",$H3&lt;&gt;"")</formula>
    </cfRule>
  </conditionalFormatting>
  <conditionalFormatting sqref="N63:O63">
    <cfRule type="expression" dxfId="110" priority="20">
      <formula>AND(OR($E63="No",$E63=""), $D63= "Yes",$F63&lt;&gt;"",$G63&lt;&gt;"")</formula>
    </cfRule>
  </conditionalFormatting>
  <conditionalFormatting sqref="N28:O28">
    <cfRule type="expression" dxfId="109" priority="19">
      <formula>AND(OR($F28="No",$F28=""), $E28= "Yes",$G28&lt;&gt;"",$H28&lt;&gt;"")</formula>
    </cfRule>
  </conditionalFormatting>
  <conditionalFormatting sqref="C13:H14">
    <cfRule type="expression" dxfId="108" priority="17">
      <formula>AND(OR($F13="No",$F13=""), $E13= "Yes",$G13&lt;&gt;"",$H13&lt;&gt;"")</formula>
    </cfRule>
  </conditionalFormatting>
  <conditionalFormatting sqref="N13:O14">
    <cfRule type="expression" dxfId="107" priority="16">
      <formula>AND(OR($E13="No",$E13=""), $D13= "Yes",$F13&lt;&gt;"",$G13&lt;&gt;"")</formula>
    </cfRule>
  </conditionalFormatting>
  <conditionalFormatting sqref="G49:H51">
    <cfRule type="expression" dxfId="106" priority="14">
      <formula>AND(OR($F49="No",$F49=""), $E49= "Yes",$G49&lt;&gt;"",$H49&lt;&gt;"")</formula>
    </cfRule>
    <cfRule type="expression" dxfId="105" priority="15">
      <formula>AND(OR($E49="No",$E49=""), $F49= "Yes",$G49&lt;&gt;"",$H49&lt;&gt;"")</formula>
    </cfRule>
  </conditionalFormatting>
  <conditionalFormatting sqref="F49:F51">
    <cfRule type="expression" dxfId="104" priority="12">
      <formula>AND(OR($E49="No",$E49=""), $F49= "Yes",$G49&lt;&gt;"",$H49&lt;&gt;"")</formula>
    </cfRule>
    <cfRule type="expression" dxfId="103" priority="13">
      <formula>AND(OR($F49="No",$F49=""), $E49= "Yes",$G49&lt;&gt;"",$H49&lt;&gt;"")</formula>
    </cfRule>
  </conditionalFormatting>
  <conditionalFormatting sqref="I73:M88 I3:M70">
    <cfRule type="expression" dxfId="102" priority="11">
      <formula>AND(OR($E4="No",$E4=""), $D3= "Yes",$F3&lt;&gt;"",$G3&lt;&gt;"")</formula>
    </cfRule>
  </conditionalFormatting>
  <conditionalFormatting sqref="D36">
    <cfRule type="expression" dxfId="101" priority="10">
      <formula>AND(OR($F36="No",$F36=""), $E36= "Yes",$G36&lt;&gt;"",$H36&lt;&gt;"")</formula>
    </cfRule>
  </conditionalFormatting>
  <conditionalFormatting sqref="D56">
    <cfRule type="expression" dxfId="100" priority="9">
      <formula>AND(OR($F56="No",$F56=""), $E56= "Yes",$G56&lt;&gt;"",$H56&lt;&gt;"")</formula>
    </cfRule>
  </conditionalFormatting>
  <conditionalFormatting sqref="D75">
    <cfRule type="expression" dxfId="99" priority="8">
      <formula>AND(OR($F75="No",$F75=""), $E75= "Yes",$G75&lt;&gt;"",$H75&lt;&gt;"")</formula>
    </cfRule>
  </conditionalFormatting>
  <conditionalFormatting sqref="H52:H59">
    <cfRule type="expression" dxfId="98" priority="6">
      <formula>AND(OR($F52="No",$F52=""), $E52= "Yes",$G52&lt;&gt;"",$H52&lt;&gt;"")</formula>
    </cfRule>
    <cfRule type="expression" dxfId="97" priority="7">
      <formula>AND(OR($E52="No",$E52=""), $F52= "Yes",$G52&lt;&gt;"",$H52&lt;&gt;"")</formula>
    </cfRule>
  </conditionalFormatting>
  <conditionalFormatting sqref="H45:H48">
    <cfRule type="expression" dxfId="96" priority="4">
      <formula>AND(OR($F45="No",$F45=""), $E45= "Yes",$G45&lt;&gt;"",$H45&lt;&gt;"")</formula>
    </cfRule>
    <cfRule type="expression" dxfId="95" priority="5">
      <formula>AND(OR($E45="No",$E45=""), $F45= "Yes",$G45&lt;&gt;"",$H45&lt;&gt;"")</formula>
    </cfRule>
  </conditionalFormatting>
  <conditionalFormatting sqref="H34:H43">
    <cfRule type="expression" dxfId="94" priority="2">
      <formula>AND(OR($F34="No",$F34=""), $E34= "Yes",$G34&lt;&gt;"",$H34&lt;&gt;"")</formula>
    </cfRule>
    <cfRule type="expression" dxfId="93" priority="3">
      <formula>AND(OR($E34="No",$E34=""), $F34= "Yes",$G34&lt;&gt;"",$H34&lt;&gt;"")</formula>
    </cfRule>
  </conditionalFormatting>
  <conditionalFormatting sqref="N72:O72 H72 C72:F72">
    <cfRule type="expression" dxfId="92" priority="162">
      <formula>AND(OR($F72="No",$F72=""), $E72= "Yes",$G71&lt;&gt;"",$H72&lt;&gt;"")</formula>
    </cfRule>
  </conditionalFormatting>
  <conditionalFormatting sqref="N71:O71 C71:F71">
    <cfRule type="expression" dxfId="91" priority="163">
      <formula>AND(OR($F71="No",$F71=""), $E71= "Yes",#REF!&lt;&gt;"",$H71&lt;&gt;"")</formula>
    </cfRule>
  </conditionalFormatting>
  <conditionalFormatting sqref="G71">
    <cfRule type="expression" dxfId="90" priority="165">
      <formula>AND(OR($F72="No",$F72=""), $E72= "Yes",$G71&lt;&gt;"",$H72&lt;&gt;"")</formula>
    </cfRule>
  </conditionalFormatting>
  <conditionalFormatting sqref="I72:M72">
    <cfRule type="expression" dxfId="89" priority="173">
      <formula>AND(OR($E73="No",$E73=""), $D72= "Yes",$F72&lt;&gt;"",$G71&lt;&gt;"")</formula>
    </cfRule>
  </conditionalFormatting>
  <conditionalFormatting sqref="I71:M71">
    <cfRule type="expression" dxfId="88" priority="174">
      <formula>AND(OR($E72="No",$E72=""), $D71= "Yes",$F71&lt;&gt;"",#REF!&lt;&gt;"")</formula>
    </cfRule>
  </conditionalFormatting>
  <conditionalFormatting sqref="E28">
    <cfRule type="expression" dxfId="87" priority="1">
      <formula>AND(OR($F28="No",$F28=""), $E28= "Yes",$G28&lt;&gt;"",$H28&lt;&gt;"")</formula>
    </cfRule>
  </conditionalFormatting>
  <dataValidations count="2">
    <dataValidation type="list" allowBlank="1" showInputMessage="1" showErrorMessage="1" sqref="B3:B27" xr:uid="{FB0C3310-70B6-4CD7-9D0E-711DCBEAF3BE}">
      <formula1>"Phase 1, Phase 2, Phase 3, Phase 4, "</formula1>
    </dataValidation>
    <dataValidation type="list" allowBlank="1" showInputMessage="1" showErrorMessage="1" sqref="E13:E14 K89:K1048576 K1:K2 F49:F51" xr:uid="{19AFA7F1-2931-4B63-8375-F75E42C1ACAA}">
      <formula1>"Yes, No"</formula1>
    </dataValidation>
  </dataValidations>
  <pageMargins left="0.25" right="0.25" top="0.75" bottom="0.75" header="0.3" footer="0.3"/>
  <pageSetup paperSize="8" scale="74" fitToHeight="0"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pageSetUpPr fitToPage="1"/>
  </sheetPr>
  <dimension ref="A1:BX128"/>
  <sheetViews>
    <sheetView zoomScale="55" zoomScaleNormal="55" workbookViewId="0">
      <pane ySplit="2" topLeftCell="A60" activePane="bottomLeft" state="frozen"/>
      <selection pane="bottomLeft" activeCell="E65" sqref="E65"/>
    </sheetView>
  </sheetViews>
  <sheetFormatPr defaultColWidth="8.88671875" defaultRowHeight="15"/>
  <cols>
    <col min="1" max="1" width="8.88671875" style="2" customWidth="1"/>
    <col min="2" max="2" width="7.77734375" style="18" customWidth="1"/>
    <col min="3" max="3" width="60.77734375" style="45" customWidth="1"/>
    <col min="4" max="4" width="38.77734375" style="45" customWidth="1"/>
    <col min="5" max="5" width="11.6640625" style="18" customWidth="1"/>
    <col min="6" max="6" width="11.21875" style="18" customWidth="1"/>
    <col min="7" max="7" width="66.33203125" style="18" customWidth="1"/>
    <col min="8" max="8" width="14.77734375" style="18" customWidth="1"/>
    <col min="9" max="10" width="10.33203125" style="18" customWidth="1"/>
    <col min="11" max="11" width="10.5546875" style="2" customWidth="1"/>
    <col min="12" max="12" width="15.5546875" style="2" customWidth="1"/>
    <col min="13" max="13" width="27.33203125" style="2" customWidth="1"/>
    <col min="14" max="14" width="10.109375" style="2" customWidth="1"/>
    <col min="15" max="15" width="8.88671875" style="2" customWidth="1"/>
    <col min="16" max="16384" width="8.88671875" style="2"/>
  </cols>
  <sheetData>
    <row r="1" spans="1:16" ht="16.5" thickBot="1">
      <c r="A1" s="21"/>
      <c r="B1" s="69" t="s">
        <v>47</v>
      </c>
      <c r="C1" s="57" t="s">
        <v>744</v>
      </c>
      <c r="D1" s="44"/>
      <c r="E1" s="19"/>
      <c r="F1" s="19"/>
      <c r="G1" s="19"/>
      <c r="H1" s="19"/>
      <c r="I1" s="19"/>
      <c r="J1" s="19"/>
      <c r="K1" s="5"/>
      <c r="L1" s="5"/>
    </row>
    <row r="2" spans="1:16" s="6" customFormat="1" ht="89.25" thickBot="1">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6" ht="35.1" customHeight="1" thickTop="1" thickBot="1">
      <c r="A3" s="181"/>
      <c r="B3" s="92" t="s">
        <v>10</v>
      </c>
      <c r="C3" s="78" t="s">
        <v>604</v>
      </c>
      <c r="D3" s="78" t="s">
        <v>605</v>
      </c>
      <c r="E3" s="78" t="s">
        <v>11</v>
      </c>
      <c r="F3" s="78" t="s">
        <v>21</v>
      </c>
      <c r="G3" s="78" t="s">
        <v>58</v>
      </c>
      <c r="H3" s="87" t="s">
        <v>59</v>
      </c>
      <c r="I3" s="77" t="s">
        <v>60</v>
      </c>
      <c r="J3" s="77" t="s">
        <v>61</v>
      </c>
      <c r="K3" s="77">
        <v>0</v>
      </c>
      <c r="L3" s="77" t="s">
        <v>479</v>
      </c>
      <c r="M3" s="77" t="s">
        <v>63</v>
      </c>
      <c r="N3" s="78">
        <v>2</v>
      </c>
      <c r="O3" s="79">
        <v>5.2083333333333333E-4</v>
      </c>
    </row>
    <row r="4" spans="1:16" ht="35.1" customHeight="1" thickTop="1" thickBot="1">
      <c r="A4" s="181"/>
      <c r="B4" s="89" t="s">
        <v>10</v>
      </c>
      <c r="C4" s="73" t="s">
        <v>606</v>
      </c>
      <c r="D4" s="73" t="s">
        <v>607</v>
      </c>
      <c r="E4" s="73" t="s">
        <v>11</v>
      </c>
      <c r="F4" s="73" t="s">
        <v>21</v>
      </c>
      <c r="G4" s="73" t="s">
        <v>58</v>
      </c>
      <c r="H4" s="86" t="s">
        <v>59</v>
      </c>
      <c r="I4" s="77" t="s">
        <v>60</v>
      </c>
      <c r="J4" s="77" t="s">
        <v>61</v>
      </c>
      <c r="K4" s="77">
        <v>0</v>
      </c>
      <c r="L4" s="77" t="s">
        <v>62</v>
      </c>
      <c r="M4" s="77" t="s">
        <v>63</v>
      </c>
      <c r="N4" s="73">
        <v>1</v>
      </c>
      <c r="O4" s="80">
        <v>2.4305555555555556E-3</v>
      </c>
    </row>
    <row r="5" spans="1:16" ht="35.1" customHeight="1" thickTop="1" thickBot="1">
      <c r="A5" s="181"/>
      <c r="B5" s="89" t="s">
        <v>10</v>
      </c>
      <c r="C5" s="73" t="s">
        <v>608</v>
      </c>
      <c r="D5" s="73" t="s">
        <v>481</v>
      </c>
      <c r="E5" s="73" t="s">
        <v>11</v>
      </c>
      <c r="F5" s="73" t="s">
        <v>21</v>
      </c>
      <c r="G5" s="73" t="s">
        <v>58</v>
      </c>
      <c r="H5" s="86" t="s">
        <v>59</v>
      </c>
      <c r="I5" s="77" t="s">
        <v>60</v>
      </c>
      <c r="J5" s="77" t="s">
        <v>61</v>
      </c>
      <c r="K5" s="77">
        <v>0</v>
      </c>
      <c r="L5" s="77" t="s">
        <v>66</v>
      </c>
      <c r="M5" s="77" t="s">
        <v>67</v>
      </c>
      <c r="N5" s="73">
        <v>1</v>
      </c>
      <c r="O5" s="80">
        <v>1.3888888888888889E-3</v>
      </c>
    </row>
    <row r="6" spans="1:16" ht="35.1" customHeight="1" thickTop="1" thickBot="1">
      <c r="A6" s="181"/>
      <c r="B6" s="89" t="s">
        <v>10</v>
      </c>
      <c r="C6" s="73" t="s">
        <v>609</v>
      </c>
      <c r="D6" s="73" t="s">
        <v>103</v>
      </c>
      <c r="E6" s="73" t="s">
        <v>11</v>
      </c>
      <c r="F6" s="73" t="s">
        <v>21</v>
      </c>
      <c r="G6" s="73" t="s">
        <v>58</v>
      </c>
      <c r="H6" s="86" t="s">
        <v>59</v>
      </c>
      <c r="I6" s="77" t="s">
        <v>60</v>
      </c>
      <c r="J6" s="77" t="s">
        <v>61</v>
      </c>
      <c r="K6" s="77">
        <v>0</v>
      </c>
      <c r="L6" s="77" t="s">
        <v>73</v>
      </c>
      <c r="M6" s="77" t="s">
        <v>74</v>
      </c>
      <c r="N6" s="73">
        <v>1</v>
      </c>
      <c r="O6" s="80">
        <v>3.4722222222222224E-4</v>
      </c>
    </row>
    <row r="7" spans="1:16" ht="35.1" customHeight="1" thickTop="1" thickBot="1">
      <c r="A7" s="181"/>
      <c r="B7" s="89" t="s">
        <v>10</v>
      </c>
      <c r="C7" s="73" t="s">
        <v>610</v>
      </c>
      <c r="D7" s="73" t="s">
        <v>611</v>
      </c>
      <c r="E7" s="73" t="s">
        <v>11</v>
      </c>
      <c r="F7" s="73" t="s">
        <v>21</v>
      </c>
      <c r="G7" s="73" t="s">
        <v>58</v>
      </c>
      <c r="H7" s="86" t="s">
        <v>59</v>
      </c>
      <c r="I7" s="77" t="s">
        <v>60</v>
      </c>
      <c r="J7" s="77" t="s">
        <v>61</v>
      </c>
      <c r="K7" s="77">
        <v>0</v>
      </c>
      <c r="L7" s="77" t="s">
        <v>94</v>
      </c>
      <c r="M7" s="77" t="s">
        <v>63</v>
      </c>
      <c r="N7" s="73">
        <v>1</v>
      </c>
      <c r="O7" s="80">
        <v>3.1249999999999997E-3</v>
      </c>
    </row>
    <row r="8" spans="1:16" ht="35.1" customHeight="1" thickTop="1" thickBot="1">
      <c r="A8" s="181"/>
      <c r="B8" s="89" t="s">
        <v>10</v>
      </c>
      <c r="C8" s="73" t="s">
        <v>612</v>
      </c>
      <c r="D8" s="73" t="s">
        <v>613</v>
      </c>
      <c r="E8" s="73" t="s">
        <v>11</v>
      </c>
      <c r="F8" s="73" t="s">
        <v>21</v>
      </c>
      <c r="G8" s="73" t="s">
        <v>58</v>
      </c>
      <c r="H8" s="86" t="s">
        <v>59</v>
      </c>
      <c r="I8" s="77" t="s">
        <v>60</v>
      </c>
      <c r="J8" s="77" t="s">
        <v>61</v>
      </c>
      <c r="K8" s="77">
        <v>0</v>
      </c>
      <c r="L8" s="77" t="s">
        <v>99</v>
      </c>
      <c r="M8" s="77" t="s">
        <v>63</v>
      </c>
      <c r="N8" s="73">
        <v>1</v>
      </c>
      <c r="O8" s="80">
        <v>8.1018518518518516E-4</v>
      </c>
    </row>
    <row r="9" spans="1:16" ht="35.1" customHeight="1" thickTop="1" thickBot="1">
      <c r="A9" s="181"/>
      <c r="B9" s="89" t="s">
        <v>10</v>
      </c>
      <c r="C9" s="73" t="s">
        <v>614</v>
      </c>
      <c r="D9" s="73" t="s">
        <v>105</v>
      </c>
      <c r="E9" s="73" t="s">
        <v>11</v>
      </c>
      <c r="F9" s="73" t="s">
        <v>21</v>
      </c>
      <c r="G9" s="73" t="s">
        <v>58</v>
      </c>
      <c r="H9" s="86" t="s">
        <v>59</v>
      </c>
      <c r="I9" s="77" t="s">
        <v>88</v>
      </c>
      <c r="J9" s="77" t="s">
        <v>61</v>
      </c>
      <c r="K9" s="77">
        <v>0</v>
      </c>
      <c r="L9" s="77" t="s">
        <v>106</v>
      </c>
      <c r="M9" s="77" t="s">
        <v>107</v>
      </c>
      <c r="N9" s="73">
        <v>1</v>
      </c>
      <c r="O9" s="80">
        <v>6.9444444444444447E-4</v>
      </c>
    </row>
    <row r="10" spans="1:16" ht="35.1" customHeight="1" thickTop="1" thickBot="1">
      <c r="A10" s="181"/>
      <c r="B10" s="89" t="s">
        <v>10</v>
      </c>
      <c r="C10" s="73" t="s">
        <v>615</v>
      </c>
      <c r="D10" s="73" t="s">
        <v>109</v>
      </c>
      <c r="E10" s="73" t="s">
        <v>11</v>
      </c>
      <c r="F10" s="73" t="s">
        <v>21</v>
      </c>
      <c r="G10" s="73" t="s">
        <v>58</v>
      </c>
      <c r="H10" s="86" t="s">
        <v>59</v>
      </c>
      <c r="I10" s="77" t="s">
        <v>88</v>
      </c>
      <c r="J10" s="77" t="s">
        <v>61</v>
      </c>
      <c r="K10" s="77">
        <v>0</v>
      </c>
      <c r="L10" s="77" t="s">
        <v>110</v>
      </c>
      <c r="M10" s="77" t="s">
        <v>107</v>
      </c>
      <c r="N10" s="73">
        <v>1</v>
      </c>
      <c r="O10" s="80">
        <v>6.9444444444444447E-4</v>
      </c>
    </row>
    <row r="11" spans="1:16" ht="35.1" customHeight="1" thickTop="1" thickBot="1">
      <c r="A11" s="181"/>
      <c r="B11" s="89" t="s">
        <v>10</v>
      </c>
      <c r="C11" s="73" t="s">
        <v>616</v>
      </c>
      <c r="D11" s="73" t="s">
        <v>117</v>
      </c>
      <c r="E11" s="73" t="s">
        <v>11</v>
      </c>
      <c r="F11" s="73" t="s">
        <v>21</v>
      </c>
      <c r="G11" s="73" t="s">
        <v>58</v>
      </c>
      <c r="H11" s="86" t="s">
        <v>59</v>
      </c>
      <c r="I11" s="77" t="s">
        <v>88</v>
      </c>
      <c r="J11" s="77" t="s">
        <v>61</v>
      </c>
      <c r="K11" s="77">
        <v>0</v>
      </c>
      <c r="L11" s="77" t="s">
        <v>118</v>
      </c>
      <c r="M11" s="77" t="s">
        <v>107</v>
      </c>
      <c r="N11" s="73">
        <v>2</v>
      </c>
      <c r="O11" s="80">
        <v>45.042187499999997</v>
      </c>
      <c r="P11" s="145"/>
    </row>
    <row r="12" spans="1:16" ht="35.1" customHeight="1" thickTop="1" thickBot="1">
      <c r="A12" s="180"/>
      <c r="B12" s="89" t="s">
        <v>10</v>
      </c>
      <c r="C12" s="73" t="s">
        <v>617</v>
      </c>
      <c r="D12" s="73" t="s">
        <v>114</v>
      </c>
      <c r="E12" s="73" t="s">
        <v>11</v>
      </c>
      <c r="F12" s="73" t="s">
        <v>21</v>
      </c>
      <c r="G12" s="73" t="s">
        <v>58</v>
      </c>
      <c r="H12" s="86" t="s">
        <v>59</v>
      </c>
      <c r="I12" s="77" t="s">
        <v>88</v>
      </c>
      <c r="J12" s="77" t="s">
        <v>61</v>
      </c>
      <c r="K12" s="77">
        <v>0</v>
      </c>
      <c r="L12" s="77" t="s">
        <v>115</v>
      </c>
      <c r="M12" s="77" t="s">
        <v>107</v>
      </c>
      <c r="N12" s="73">
        <v>2</v>
      </c>
      <c r="O12" s="80">
        <v>45.000520833333333</v>
      </c>
      <c r="P12" s="145"/>
    </row>
    <row r="13" spans="1:16" ht="35.1" customHeight="1" thickTop="1" thickBot="1">
      <c r="A13" s="183"/>
      <c r="B13" s="89" t="s">
        <v>10</v>
      </c>
      <c r="C13" s="73" t="s">
        <v>618</v>
      </c>
      <c r="D13" s="73" t="s">
        <v>120</v>
      </c>
      <c r="E13" s="73" t="s">
        <v>11</v>
      </c>
      <c r="F13" s="73" t="s">
        <v>21</v>
      </c>
      <c r="G13" s="73" t="s">
        <v>58</v>
      </c>
      <c r="H13" s="86" t="s">
        <v>59</v>
      </c>
      <c r="I13" s="77" t="s">
        <v>88</v>
      </c>
      <c r="J13" s="77" t="s">
        <v>61</v>
      </c>
      <c r="K13" s="77">
        <v>0</v>
      </c>
      <c r="L13" s="77" t="s">
        <v>122</v>
      </c>
      <c r="M13" s="77" t="s">
        <v>123</v>
      </c>
      <c r="N13" s="73">
        <v>1</v>
      </c>
      <c r="O13" s="80">
        <v>5.2083333333333333E-4</v>
      </c>
    </row>
    <row r="14" spans="1:16" ht="35.1" customHeight="1" thickTop="1" thickBot="1">
      <c r="A14" s="183"/>
      <c r="B14" s="91" t="s">
        <v>10</v>
      </c>
      <c r="C14" s="84" t="s">
        <v>619</v>
      </c>
      <c r="D14" s="84" t="s">
        <v>125</v>
      </c>
      <c r="E14" s="84" t="s">
        <v>11</v>
      </c>
      <c r="F14" s="84" t="s">
        <v>21</v>
      </c>
      <c r="G14" s="84" t="s">
        <v>58</v>
      </c>
      <c r="H14" s="88" t="s">
        <v>59</v>
      </c>
      <c r="I14" s="77" t="s">
        <v>88</v>
      </c>
      <c r="J14" s="77" t="s">
        <v>61</v>
      </c>
      <c r="K14" s="77">
        <v>0</v>
      </c>
      <c r="L14" s="77" t="s">
        <v>126</v>
      </c>
      <c r="M14" s="77" t="s">
        <v>123</v>
      </c>
      <c r="N14" s="84">
        <v>2</v>
      </c>
      <c r="O14" s="85">
        <v>6.9444444444444447E-4</v>
      </c>
    </row>
    <row r="15" spans="1:16" ht="35.1" customHeight="1" thickTop="1" thickBot="1">
      <c r="A15" s="181"/>
      <c r="B15" s="92" t="s">
        <v>13</v>
      </c>
      <c r="C15" s="78" t="s">
        <v>620</v>
      </c>
      <c r="D15" s="78" t="s">
        <v>621</v>
      </c>
      <c r="E15" s="78" t="s">
        <v>11</v>
      </c>
      <c r="F15" s="78" t="s">
        <v>21</v>
      </c>
      <c r="G15" s="78" t="s">
        <v>137</v>
      </c>
      <c r="H15" s="87">
        <v>45389</v>
      </c>
      <c r="I15" s="77" t="s">
        <v>132</v>
      </c>
      <c r="J15" s="77" t="s">
        <v>133</v>
      </c>
      <c r="K15" s="77">
        <v>0</v>
      </c>
      <c r="L15" s="77" t="s">
        <v>134</v>
      </c>
      <c r="M15" s="77" t="s">
        <v>107</v>
      </c>
      <c r="N15" s="78">
        <v>4</v>
      </c>
      <c r="O15" s="79">
        <v>1.736111111111111E-3</v>
      </c>
      <c r="P15" s="145"/>
    </row>
    <row r="16" spans="1:16" ht="35.1" customHeight="1" thickTop="1" thickBot="1">
      <c r="A16" s="181"/>
      <c r="B16" s="89" t="s">
        <v>13</v>
      </c>
      <c r="C16" s="73" t="s">
        <v>622</v>
      </c>
      <c r="D16" s="73" t="s">
        <v>623</v>
      </c>
      <c r="E16" s="73" t="s">
        <v>11</v>
      </c>
      <c r="F16" s="73" t="s">
        <v>21</v>
      </c>
      <c r="G16" s="73" t="s">
        <v>142</v>
      </c>
      <c r="H16" s="86">
        <v>45393</v>
      </c>
      <c r="I16" s="77" t="s">
        <v>132</v>
      </c>
      <c r="J16" s="77" t="s">
        <v>133</v>
      </c>
      <c r="K16" s="77">
        <v>0</v>
      </c>
      <c r="L16" s="77" t="s">
        <v>134</v>
      </c>
      <c r="M16" s="77" t="s">
        <v>107</v>
      </c>
      <c r="N16" s="73">
        <v>4</v>
      </c>
      <c r="O16" s="80">
        <v>1.736111111111111E-3</v>
      </c>
      <c r="P16" s="145"/>
    </row>
    <row r="17" spans="1:16" ht="35.1" customHeight="1" thickTop="1" thickBot="1">
      <c r="A17" s="181"/>
      <c r="B17" s="89" t="s">
        <v>13</v>
      </c>
      <c r="C17" s="73" t="s">
        <v>624</v>
      </c>
      <c r="D17" s="73" t="s">
        <v>625</v>
      </c>
      <c r="E17" s="73" t="s">
        <v>11</v>
      </c>
      <c r="F17" s="73" t="s">
        <v>21</v>
      </c>
      <c r="G17" s="73" t="s">
        <v>137</v>
      </c>
      <c r="H17" s="86">
        <v>45389</v>
      </c>
      <c r="I17" s="77" t="s">
        <v>132</v>
      </c>
      <c r="J17" s="77" t="s">
        <v>133</v>
      </c>
      <c r="K17" s="77">
        <v>0</v>
      </c>
      <c r="L17" s="77" t="s">
        <v>134</v>
      </c>
      <c r="M17" s="77" t="s">
        <v>107</v>
      </c>
      <c r="N17" s="73">
        <v>4</v>
      </c>
      <c r="O17" s="80">
        <v>1.736111111111111E-3</v>
      </c>
      <c r="P17" s="145"/>
    </row>
    <row r="18" spans="1:16" ht="35.1" customHeight="1" thickTop="1" thickBot="1">
      <c r="A18" s="181"/>
      <c r="B18" s="89" t="s">
        <v>13</v>
      </c>
      <c r="C18" s="73" t="s">
        <v>626</v>
      </c>
      <c r="D18" s="73" t="s">
        <v>627</v>
      </c>
      <c r="E18" s="73" t="s">
        <v>11</v>
      </c>
      <c r="F18" s="73" t="s">
        <v>21</v>
      </c>
      <c r="G18" s="73" t="s">
        <v>137</v>
      </c>
      <c r="H18" s="86">
        <v>45393</v>
      </c>
      <c r="I18" s="77" t="s">
        <v>132</v>
      </c>
      <c r="J18" s="77" t="s">
        <v>133</v>
      </c>
      <c r="K18" s="77">
        <v>0</v>
      </c>
      <c r="L18" s="77" t="s">
        <v>134</v>
      </c>
      <c r="M18" s="77" t="s">
        <v>107</v>
      </c>
      <c r="N18" s="73">
        <v>4</v>
      </c>
      <c r="O18" s="80">
        <v>1.736111111111111E-3</v>
      </c>
      <c r="P18" s="145"/>
    </row>
    <row r="19" spans="1:16" ht="35.1" customHeight="1" thickTop="1" thickBot="1">
      <c r="A19" s="181"/>
      <c r="B19" s="89" t="s">
        <v>13</v>
      </c>
      <c r="C19" s="73" t="s">
        <v>628</v>
      </c>
      <c r="D19" s="73" t="s">
        <v>144</v>
      </c>
      <c r="E19" s="73" t="s">
        <v>11</v>
      </c>
      <c r="F19" s="73" t="s">
        <v>21</v>
      </c>
      <c r="G19" s="73" t="s">
        <v>745</v>
      </c>
      <c r="H19" s="86">
        <v>45394</v>
      </c>
      <c r="I19" s="77" t="s">
        <v>132</v>
      </c>
      <c r="J19" s="77" t="s">
        <v>61</v>
      </c>
      <c r="K19" s="77">
        <v>0</v>
      </c>
      <c r="L19" s="77" t="s">
        <v>146</v>
      </c>
      <c r="M19" s="77" t="s">
        <v>147</v>
      </c>
      <c r="N19" s="73">
        <v>2</v>
      </c>
      <c r="O19" s="80">
        <v>5.2083333333333333E-4</v>
      </c>
      <c r="P19" s="145"/>
    </row>
    <row r="20" spans="1:16" ht="35.1" customHeight="1" thickTop="1" thickBot="1">
      <c r="A20" s="181"/>
      <c r="B20" s="89" t="s">
        <v>13</v>
      </c>
      <c r="C20" s="73" t="s">
        <v>629</v>
      </c>
      <c r="D20" s="73" t="s">
        <v>144</v>
      </c>
      <c r="E20" s="73" t="s">
        <v>11</v>
      </c>
      <c r="F20" s="73" t="s">
        <v>21</v>
      </c>
      <c r="G20" s="73" t="s">
        <v>745</v>
      </c>
      <c r="H20" s="86">
        <v>45394</v>
      </c>
      <c r="I20" s="77" t="s">
        <v>132</v>
      </c>
      <c r="J20" s="77" t="s">
        <v>61</v>
      </c>
      <c r="K20" s="77">
        <v>0</v>
      </c>
      <c r="L20" s="77" t="s">
        <v>146</v>
      </c>
      <c r="M20" s="77" t="s">
        <v>147</v>
      </c>
      <c r="N20" s="73">
        <v>2</v>
      </c>
      <c r="O20" s="80">
        <v>5.2083333333333333E-4</v>
      </c>
      <c r="P20" s="145"/>
    </row>
    <row r="21" spans="1:16" ht="35.1" customHeight="1" thickTop="1" thickBot="1">
      <c r="A21" s="181"/>
      <c r="B21" s="89" t="s">
        <v>13</v>
      </c>
      <c r="C21" s="73" t="s">
        <v>630</v>
      </c>
      <c r="D21" s="73" t="s">
        <v>150</v>
      </c>
      <c r="E21" s="73" t="s">
        <v>11</v>
      </c>
      <c r="F21" s="73" t="s">
        <v>21</v>
      </c>
      <c r="G21" s="73" t="s">
        <v>746</v>
      </c>
      <c r="H21" s="86">
        <v>45394</v>
      </c>
      <c r="I21" s="77" t="s">
        <v>132</v>
      </c>
      <c r="J21" s="77" t="s">
        <v>61</v>
      </c>
      <c r="K21" s="77">
        <v>0</v>
      </c>
      <c r="L21" s="77" t="s">
        <v>152</v>
      </c>
      <c r="M21" s="77" t="s">
        <v>147</v>
      </c>
      <c r="N21" s="73">
        <v>1</v>
      </c>
      <c r="O21" s="80">
        <v>2.3148148148148146E-4</v>
      </c>
      <c r="P21" s="145"/>
    </row>
    <row r="22" spans="1:16" ht="35.1" customHeight="1" thickTop="1" thickBot="1">
      <c r="A22" s="181"/>
      <c r="B22" s="89" t="s">
        <v>13</v>
      </c>
      <c r="C22" s="73" t="s">
        <v>632</v>
      </c>
      <c r="D22" s="73" t="s">
        <v>154</v>
      </c>
      <c r="E22" s="73" t="s">
        <v>11</v>
      </c>
      <c r="F22" s="73" t="s">
        <v>21</v>
      </c>
      <c r="G22" s="73" t="s">
        <v>747</v>
      </c>
      <c r="H22" s="86">
        <v>45394</v>
      </c>
      <c r="I22" s="77" t="s">
        <v>132</v>
      </c>
      <c r="J22" s="77" t="s">
        <v>61</v>
      </c>
      <c r="K22" s="77">
        <v>0</v>
      </c>
      <c r="L22" s="77" t="s">
        <v>156</v>
      </c>
      <c r="M22" s="77" t="s">
        <v>147</v>
      </c>
      <c r="N22" s="73">
        <v>2</v>
      </c>
      <c r="O22" s="80">
        <v>2.3148148148148146E-4</v>
      </c>
      <c r="P22" s="145"/>
    </row>
    <row r="23" spans="1:16" ht="35.1" customHeight="1" thickTop="1" thickBot="1">
      <c r="A23" s="181"/>
      <c r="B23" s="89" t="s">
        <v>13</v>
      </c>
      <c r="C23" s="73" t="s">
        <v>633</v>
      </c>
      <c r="D23" s="73" t="s">
        <v>498</v>
      </c>
      <c r="E23" s="73" t="s">
        <v>11</v>
      </c>
      <c r="F23" s="73" t="s">
        <v>21</v>
      </c>
      <c r="G23" s="73" t="s">
        <v>142</v>
      </c>
      <c r="H23" s="86">
        <v>45393</v>
      </c>
      <c r="I23" s="77" t="s">
        <v>132</v>
      </c>
      <c r="J23" s="77" t="s">
        <v>133</v>
      </c>
      <c r="K23" s="77">
        <v>0</v>
      </c>
      <c r="L23" s="77" t="s">
        <v>163</v>
      </c>
      <c r="M23" s="77" t="s">
        <v>164</v>
      </c>
      <c r="N23" s="73">
        <v>2</v>
      </c>
      <c r="O23" s="80">
        <v>4.6296296296296293E-4</v>
      </c>
      <c r="P23" s="145"/>
    </row>
    <row r="24" spans="1:16" ht="35.1" customHeight="1" thickTop="1" thickBot="1">
      <c r="A24" s="181"/>
      <c r="B24" s="89" t="s">
        <v>13</v>
      </c>
      <c r="C24" s="73" t="s">
        <v>634</v>
      </c>
      <c r="D24" s="73" t="s">
        <v>635</v>
      </c>
      <c r="E24" s="73" t="s">
        <v>11</v>
      </c>
      <c r="F24" s="73" t="s">
        <v>21</v>
      </c>
      <c r="G24" s="73" t="s">
        <v>142</v>
      </c>
      <c r="H24" s="86">
        <v>45393</v>
      </c>
      <c r="I24" s="77" t="s">
        <v>132</v>
      </c>
      <c r="J24" s="77" t="s">
        <v>133</v>
      </c>
      <c r="K24" s="77">
        <v>0</v>
      </c>
      <c r="L24" s="77" t="s">
        <v>163</v>
      </c>
      <c r="M24" s="77" t="s">
        <v>164</v>
      </c>
      <c r="N24" s="73">
        <v>2</v>
      </c>
      <c r="O24" s="80">
        <v>4.6296296296296293E-4</v>
      </c>
      <c r="P24" s="145"/>
    </row>
    <row r="25" spans="1:16" ht="35.1" customHeight="1" thickTop="1" thickBot="1">
      <c r="A25" s="181"/>
      <c r="B25" s="89" t="s">
        <v>13</v>
      </c>
      <c r="C25" s="73" t="s">
        <v>636</v>
      </c>
      <c r="D25" s="73" t="s">
        <v>500</v>
      </c>
      <c r="E25" s="73" t="s">
        <v>11</v>
      </c>
      <c r="F25" s="73" t="s">
        <v>21</v>
      </c>
      <c r="G25" s="73" t="s">
        <v>137</v>
      </c>
      <c r="H25" s="86">
        <v>45393</v>
      </c>
      <c r="I25" s="77" t="s">
        <v>60</v>
      </c>
      <c r="J25" s="77" t="s">
        <v>133</v>
      </c>
      <c r="K25" s="77">
        <v>0</v>
      </c>
      <c r="L25" s="77" t="s">
        <v>163</v>
      </c>
      <c r="M25" s="77" t="s">
        <v>164</v>
      </c>
      <c r="N25" s="73">
        <v>2</v>
      </c>
      <c r="O25" s="80">
        <v>4.6296296296296293E-4</v>
      </c>
      <c r="P25" s="145"/>
    </row>
    <row r="26" spans="1:16" ht="35.1" customHeight="1" thickTop="1" thickBot="1">
      <c r="A26" s="181"/>
      <c r="B26" s="89" t="s">
        <v>13</v>
      </c>
      <c r="C26" s="73" t="s">
        <v>637</v>
      </c>
      <c r="D26" s="73" t="s">
        <v>638</v>
      </c>
      <c r="E26" s="73" t="s">
        <v>11</v>
      </c>
      <c r="F26" s="73" t="s">
        <v>21</v>
      </c>
      <c r="G26" s="73" t="s">
        <v>137</v>
      </c>
      <c r="H26" s="86">
        <v>45393</v>
      </c>
      <c r="I26" s="77" t="s">
        <v>60</v>
      </c>
      <c r="J26" s="77" t="s">
        <v>133</v>
      </c>
      <c r="K26" s="77">
        <v>0</v>
      </c>
      <c r="L26" s="77" t="s">
        <v>163</v>
      </c>
      <c r="M26" s="77" t="s">
        <v>164</v>
      </c>
      <c r="N26" s="73">
        <v>2</v>
      </c>
      <c r="O26" s="80">
        <v>4.6296296296296293E-4</v>
      </c>
      <c r="P26" s="145"/>
    </row>
    <row r="27" spans="1:16" ht="35.1" customHeight="1">
      <c r="A27" s="181"/>
      <c r="B27" s="106" t="s">
        <v>13</v>
      </c>
      <c r="C27" s="100" t="s">
        <v>639</v>
      </c>
      <c r="D27" s="100" t="s">
        <v>181</v>
      </c>
      <c r="E27" s="100"/>
      <c r="F27" s="100"/>
      <c r="G27" s="100"/>
      <c r="H27" s="130"/>
      <c r="I27" s="77" t="s">
        <v>60</v>
      </c>
      <c r="J27" s="77" t="s">
        <v>61</v>
      </c>
      <c r="K27" s="77">
        <v>0</v>
      </c>
      <c r="L27" s="77" t="s">
        <v>182</v>
      </c>
      <c r="M27" s="77" t="s">
        <v>147</v>
      </c>
      <c r="N27" s="100">
        <v>2</v>
      </c>
      <c r="O27" s="109">
        <v>6.9444444444444447E-4</v>
      </c>
      <c r="P27" s="145"/>
    </row>
    <row r="28" spans="1:16" ht="35.1" customHeight="1">
      <c r="A28" s="180"/>
      <c r="B28" s="91" t="s">
        <v>13</v>
      </c>
      <c r="C28" s="84" t="s">
        <v>641</v>
      </c>
      <c r="D28" s="84" t="s">
        <v>177</v>
      </c>
      <c r="E28" s="73" t="s">
        <v>11</v>
      </c>
      <c r="F28" s="82" t="s">
        <v>21</v>
      </c>
      <c r="G28" s="82" t="s">
        <v>178</v>
      </c>
      <c r="H28" s="83">
        <v>45397</v>
      </c>
      <c r="I28" s="77" t="s">
        <v>60</v>
      </c>
      <c r="J28" s="77" t="s">
        <v>61</v>
      </c>
      <c r="K28" s="77">
        <v>0</v>
      </c>
      <c r="L28" s="77" t="s">
        <v>179</v>
      </c>
      <c r="M28" s="77" t="s">
        <v>107</v>
      </c>
      <c r="N28" s="84">
        <v>1</v>
      </c>
      <c r="O28" s="85">
        <v>6.9444444444444447E-4</v>
      </c>
    </row>
    <row r="29" spans="1:16" ht="35.1" customHeight="1">
      <c r="A29" s="181"/>
      <c r="B29" s="92" t="s">
        <v>16</v>
      </c>
      <c r="C29" s="78" t="s">
        <v>642</v>
      </c>
      <c r="D29" s="78" t="s">
        <v>184</v>
      </c>
      <c r="E29" s="73" t="s">
        <v>11</v>
      </c>
      <c r="F29" s="78" t="s">
        <v>21</v>
      </c>
      <c r="G29" s="78" t="s">
        <v>748</v>
      </c>
      <c r="H29" s="87">
        <v>45391</v>
      </c>
      <c r="I29" s="77" t="s">
        <v>60</v>
      </c>
      <c r="J29" s="77" t="s">
        <v>61</v>
      </c>
      <c r="K29" s="77">
        <v>0</v>
      </c>
      <c r="L29" s="77" t="s">
        <v>640</v>
      </c>
      <c r="M29" s="77" t="s">
        <v>187</v>
      </c>
      <c r="N29" s="78">
        <v>2</v>
      </c>
      <c r="O29" s="79">
        <v>1.0416666666666667E-3</v>
      </c>
    </row>
    <row r="30" spans="1:16" ht="35.1" customHeight="1">
      <c r="A30" s="181"/>
      <c r="B30" s="89" t="s">
        <v>16</v>
      </c>
      <c r="C30" s="73" t="s">
        <v>644</v>
      </c>
      <c r="D30" s="73" t="s">
        <v>189</v>
      </c>
      <c r="E30" s="73" t="s">
        <v>11</v>
      </c>
      <c r="F30" s="73" t="s">
        <v>21</v>
      </c>
      <c r="G30" s="73" t="s">
        <v>749</v>
      </c>
      <c r="H30" s="86">
        <v>45393</v>
      </c>
      <c r="I30" s="77" t="s">
        <v>132</v>
      </c>
      <c r="J30" s="77" t="s">
        <v>61</v>
      </c>
      <c r="K30" s="77">
        <v>0</v>
      </c>
      <c r="L30" s="77" t="s">
        <v>191</v>
      </c>
      <c r="M30" s="77" t="s">
        <v>147</v>
      </c>
      <c r="N30" s="73">
        <v>2</v>
      </c>
      <c r="O30" s="80">
        <v>1.5624999999999999E-3</v>
      </c>
    </row>
    <row r="31" spans="1:16" ht="35.1" customHeight="1">
      <c r="A31" s="181"/>
      <c r="B31" s="89" t="s">
        <v>16</v>
      </c>
      <c r="C31" s="73" t="s">
        <v>647</v>
      </c>
      <c r="D31" s="73" t="s">
        <v>648</v>
      </c>
      <c r="E31" s="73" t="s">
        <v>11</v>
      </c>
      <c r="F31" s="73" t="s">
        <v>21</v>
      </c>
      <c r="G31" s="73" t="s">
        <v>749</v>
      </c>
      <c r="H31" s="86">
        <v>45393</v>
      </c>
      <c r="I31" s="77" t="s">
        <v>132</v>
      </c>
      <c r="J31" s="77" t="s">
        <v>133</v>
      </c>
      <c r="K31" s="77">
        <v>0</v>
      </c>
      <c r="L31" s="77" t="s">
        <v>643</v>
      </c>
      <c r="M31" s="77" t="s">
        <v>147</v>
      </c>
      <c r="N31" s="73">
        <v>2</v>
      </c>
      <c r="O31" s="80">
        <v>5.2083333333333333E-4</v>
      </c>
    </row>
    <row r="32" spans="1:16" ht="35.1" customHeight="1">
      <c r="A32" s="181"/>
      <c r="B32" s="89" t="s">
        <v>16</v>
      </c>
      <c r="C32" s="73" t="s">
        <v>649</v>
      </c>
      <c r="D32" s="73" t="s">
        <v>650</v>
      </c>
      <c r="E32" s="73" t="s">
        <v>11</v>
      </c>
      <c r="F32" s="73" t="s">
        <v>21</v>
      </c>
      <c r="G32" s="73" t="s">
        <v>750</v>
      </c>
      <c r="H32" s="86">
        <v>45394</v>
      </c>
      <c r="I32" s="77" t="s">
        <v>132</v>
      </c>
      <c r="J32" s="77" t="s">
        <v>61</v>
      </c>
      <c r="K32" s="77">
        <v>0</v>
      </c>
      <c r="L32" s="77" t="s">
        <v>646</v>
      </c>
      <c r="M32" s="77" t="s">
        <v>147</v>
      </c>
      <c r="N32" s="73">
        <v>2</v>
      </c>
      <c r="O32" s="80">
        <v>6.9444444444444447E-4</v>
      </c>
    </row>
    <row r="33" spans="1:76" ht="35.1" customHeight="1">
      <c r="A33" s="181"/>
      <c r="B33" s="89" t="s">
        <v>16</v>
      </c>
      <c r="C33" s="73" t="s">
        <v>651</v>
      </c>
      <c r="D33" s="73" t="s">
        <v>652</v>
      </c>
      <c r="E33" s="73" t="s">
        <v>11</v>
      </c>
      <c r="F33" s="73" t="s">
        <v>21</v>
      </c>
      <c r="G33" s="73" t="s">
        <v>751</v>
      </c>
      <c r="H33" s="86">
        <v>45394</v>
      </c>
      <c r="I33" s="77" t="s">
        <v>132</v>
      </c>
      <c r="J33" s="77" t="s">
        <v>61</v>
      </c>
      <c r="K33" s="77">
        <v>0</v>
      </c>
      <c r="L33" s="77" t="s">
        <v>194</v>
      </c>
      <c r="M33" s="77" t="s">
        <v>147</v>
      </c>
      <c r="N33" s="73">
        <v>2</v>
      </c>
      <c r="O33" s="80">
        <v>6.9444444444444447E-4</v>
      </c>
    </row>
    <row r="34" spans="1:76" ht="35.1" customHeight="1">
      <c r="A34" s="181"/>
      <c r="B34" s="89" t="s">
        <v>16</v>
      </c>
      <c r="C34" s="73" t="s">
        <v>653</v>
      </c>
      <c r="D34" s="73" t="s">
        <v>207</v>
      </c>
      <c r="E34" s="73" t="s">
        <v>11</v>
      </c>
      <c r="F34" s="73" t="s">
        <v>21</v>
      </c>
      <c r="G34" s="73" t="s">
        <v>752</v>
      </c>
      <c r="H34" s="86">
        <v>45390</v>
      </c>
      <c r="I34" s="77" t="s">
        <v>132</v>
      </c>
      <c r="J34" s="77" t="s">
        <v>133</v>
      </c>
      <c r="K34" s="77">
        <v>0</v>
      </c>
      <c r="L34" s="77" t="s">
        <v>209</v>
      </c>
      <c r="M34" s="77" t="s">
        <v>205</v>
      </c>
      <c r="N34" s="73">
        <v>1</v>
      </c>
      <c r="O34" s="80">
        <v>3.4722222222222224E-4</v>
      </c>
    </row>
    <row r="35" spans="1:76" ht="35.1" customHeight="1">
      <c r="A35" s="181"/>
      <c r="B35" s="89" t="s">
        <v>16</v>
      </c>
      <c r="C35" s="73" t="s">
        <v>655</v>
      </c>
      <c r="D35" s="73" t="s">
        <v>207</v>
      </c>
      <c r="E35" s="73" t="s">
        <v>11</v>
      </c>
      <c r="F35" s="73" t="s">
        <v>21</v>
      </c>
      <c r="G35" s="73" t="s">
        <v>752</v>
      </c>
      <c r="H35" s="86">
        <v>45390</v>
      </c>
      <c r="I35" s="77" t="s">
        <v>132</v>
      </c>
      <c r="J35" s="77" t="s">
        <v>133</v>
      </c>
      <c r="K35" s="77">
        <v>0</v>
      </c>
      <c r="L35" s="77" t="s">
        <v>209</v>
      </c>
      <c r="M35" s="77" t="s">
        <v>205</v>
      </c>
      <c r="N35" s="73">
        <v>1</v>
      </c>
      <c r="O35" s="80">
        <v>3.4722222222222224E-4</v>
      </c>
    </row>
    <row r="36" spans="1:76" ht="35.1" customHeight="1">
      <c r="A36" s="181"/>
      <c r="B36" s="89" t="s">
        <v>16</v>
      </c>
      <c r="C36" s="73" t="s">
        <v>656</v>
      </c>
      <c r="D36" s="73" t="s">
        <v>212</v>
      </c>
      <c r="E36" s="73" t="s">
        <v>11</v>
      </c>
      <c r="F36" s="73" t="s">
        <v>21</v>
      </c>
      <c r="G36" s="73" t="s">
        <v>213</v>
      </c>
      <c r="H36" s="86">
        <v>45391</v>
      </c>
      <c r="I36" s="77" t="s">
        <v>132</v>
      </c>
      <c r="J36" s="77" t="s">
        <v>133</v>
      </c>
      <c r="K36" s="77">
        <v>0</v>
      </c>
      <c r="L36" s="77" t="s">
        <v>214</v>
      </c>
      <c r="M36" s="77" t="s">
        <v>215</v>
      </c>
      <c r="N36" s="73">
        <v>1</v>
      </c>
      <c r="O36" s="80">
        <v>3.4722222222222224E-4</v>
      </c>
    </row>
    <row r="37" spans="1:76" ht="35.1" customHeight="1">
      <c r="A37" s="181"/>
      <c r="B37" s="89" t="s">
        <v>16</v>
      </c>
      <c r="C37" s="73" t="s">
        <v>657</v>
      </c>
      <c r="D37" s="73" t="s">
        <v>217</v>
      </c>
      <c r="E37" s="73" t="s">
        <v>11</v>
      </c>
      <c r="F37" s="73" t="s">
        <v>21</v>
      </c>
      <c r="G37" s="73" t="s">
        <v>753</v>
      </c>
      <c r="H37" s="86">
        <v>45395</v>
      </c>
      <c r="I37" s="77" t="s">
        <v>132</v>
      </c>
      <c r="J37" s="77" t="s">
        <v>133</v>
      </c>
      <c r="K37" s="77">
        <v>0</v>
      </c>
      <c r="L37" s="77" t="s">
        <v>219</v>
      </c>
      <c r="M37" s="77" t="s">
        <v>205</v>
      </c>
      <c r="N37" s="73">
        <v>1</v>
      </c>
      <c r="O37" s="80">
        <v>5.7870370370370378E-4</v>
      </c>
    </row>
    <row r="38" spans="1:76" ht="35.1" customHeight="1">
      <c r="A38" s="181"/>
      <c r="B38" s="89" t="s">
        <v>16</v>
      </c>
      <c r="C38" s="73" t="s">
        <v>658</v>
      </c>
      <c r="D38" s="73" t="s">
        <v>221</v>
      </c>
      <c r="E38" s="73" t="s">
        <v>11</v>
      </c>
      <c r="F38" s="73" t="s">
        <v>21</v>
      </c>
      <c r="G38" s="73" t="s">
        <v>754</v>
      </c>
      <c r="H38" s="86">
        <v>45390</v>
      </c>
      <c r="I38" s="77" t="s">
        <v>132</v>
      </c>
      <c r="J38" s="77" t="s">
        <v>133</v>
      </c>
      <c r="K38" s="77">
        <v>0</v>
      </c>
      <c r="L38" s="77" t="s">
        <v>223</v>
      </c>
      <c r="M38" s="77" t="s">
        <v>205</v>
      </c>
      <c r="N38" s="73">
        <v>2</v>
      </c>
      <c r="O38" s="80">
        <v>6.9444444444444447E-4</v>
      </c>
    </row>
    <row r="39" spans="1:76" ht="35.1" customHeight="1">
      <c r="A39" s="181"/>
      <c r="B39" s="89" t="s">
        <v>16</v>
      </c>
      <c r="C39" s="73" t="s">
        <v>659</v>
      </c>
      <c r="D39" s="73" t="s">
        <v>225</v>
      </c>
      <c r="E39" s="73" t="s">
        <v>11</v>
      </c>
      <c r="F39" s="73" t="s">
        <v>21</v>
      </c>
      <c r="G39" s="73" t="s">
        <v>226</v>
      </c>
      <c r="H39" s="86">
        <v>45391</v>
      </c>
      <c r="I39" s="77" t="s">
        <v>132</v>
      </c>
      <c r="J39" s="77" t="s">
        <v>133</v>
      </c>
      <c r="K39" s="77">
        <v>0</v>
      </c>
      <c r="L39" s="77" t="s">
        <v>227</v>
      </c>
      <c r="M39" s="77" t="s">
        <v>205</v>
      </c>
      <c r="N39" s="73">
        <v>1</v>
      </c>
      <c r="O39" s="80">
        <v>3.4722222222222224E-4</v>
      </c>
    </row>
    <row r="40" spans="1:76" ht="35.1" customHeight="1">
      <c r="A40" s="181"/>
      <c r="B40" s="89" t="s">
        <v>16</v>
      </c>
      <c r="C40" s="73" t="s">
        <v>660</v>
      </c>
      <c r="D40" s="73" t="s">
        <v>229</v>
      </c>
      <c r="E40" s="73" t="s">
        <v>11</v>
      </c>
      <c r="F40" s="73" t="s">
        <v>21</v>
      </c>
      <c r="G40" s="73" t="s">
        <v>755</v>
      </c>
      <c r="H40" s="86">
        <v>45390</v>
      </c>
      <c r="I40" s="77" t="s">
        <v>132</v>
      </c>
      <c r="J40" s="77" t="s">
        <v>61</v>
      </c>
      <c r="K40" s="77">
        <v>0</v>
      </c>
      <c r="L40" s="77" t="s">
        <v>219</v>
      </c>
      <c r="M40" s="77" t="s">
        <v>205</v>
      </c>
      <c r="N40" s="73">
        <v>1</v>
      </c>
      <c r="O40" s="80">
        <v>1.0416666666666667E-3</v>
      </c>
    </row>
    <row r="41" spans="1:76" ht="35.1" customHeight="1">
      <c r="A41" s="181"/>
      <c r="B41" s="89" t="s">
        <v>16</v>
      </c>
      <c r="C41" s="73" t="s">
        <v>661</v>
      </c>
      <c r="D41" s="73" t="s">
        <v>232</v>
      </c>
      <c r="E41" s="73" t="s">
        <v>11</v>
      </c>
      <c r="F41" s="73" t="s">
        <v>21</v>
      </c>
      <c r="G41" s="73" t="s">
        <v>756</v>
      </c>
      <c r="H41" s="86">
        <v>45394</v>
      </c>
      <c r="I41" s="77" t="s">
        <v>60</v>
      </c>
      <c r="J41" s="77" t="s">
        <v>133</v>
      </c>
      <c r="K41" s="77">
        <v>0</v>
      </c>
      <c r="L41" s="77" t="s">
        <v>234</v>
      </c>
      <c r="M41" s="77" t="s">
        <v>205</v>
      </c>
      <c r="N41" s="73">
        <v>1</v>
      </c>
      <c r="O41" s="80">
        <v>1.1574074074074073E-4</v>
      </c>
    </row>
    <row r="42" spans="1:76" ht="35.1" customHeight="1">
      <c r="A42" s="181"/>
      <c r="B42" s="156" t="s">
        <v>16</v>
      </c>
      <c r="C42" s="100" t="s">
        <v>663</v>
      </c>
      <c r="D42" s="100" t="s">
        <v>236</v>
      </c>
      <c r="E42" s="73" t="s">
        <v>11</v>
      </c>
      <c r="F42" s="100" t="s">
        <v>21</v>
      </c>
      <c r="G42" s="100" t="s">
        <v>237</v>
      </c>
      <c r="H42" s="130">
        <v>45982</v>
      </c>
      <c r="I42" s="77" t="s">
        <v>132</v>
      </c>
      <c r="J42" s="77" t="s">
        <v>133</v>
      </c>
      <c r="K42" s="77">
        <v>0</v>
      </c>
      <c r="L42" s="77" t="s">
        <v>238</v>
      </c>
      <c r="M42" s="77" t="s">
        <v>239</v>
      </c>
      <c r="N42" s="157">
        <v>2</v>
      </c>
      <c r="O42" s="160">
        <v>3.4722222222222224E-4</v>
      </c>
    </row>
    <row r="43" spans="1:76" ht="35.1" customHeight="1">
      <c r="A43" s="181"/>
      <c r="B43" s="89" t="s">
        <v>16</v>
      </c>
      <c r="C43" s="73" t="s">
        <v>664</v>
      </c>
      <c r="D43" s="73" t="s">
        <v>245</v>
      </c>
      <c r="E43" s="73" t="s">
        <v>11</v>
      </c>
      <c r="F43" s="73" t="s">
        <v>21</v>
      </c>
      <c r="G43" s="73" t="s">
        <v>757</v>
      </c>
      <c r="H43" s="86">
        <v>45393</v>
      </c>
      <c r="I43" s="77" t="s">
        <v>132</v>
      </c>
      <c r="J43" s="77" t="s">
        <v>133</v>
      </c>
      <c r="K43" s="77">
        <v>0</v>
      </c>
      <c r="L43" s="77" t="s">
        <v>247</v>
      </c>
      <c r="M43" s="77" t="s">
        <v>205</v>
      </c>
      <c r="N43" s="73">
        <v>1</v>
      </c>
      <c r="O43" s="80">
        <v>6.9444444444444447E-4</v>
      </c>
    </row>
    <row r="44" spans="1:76" s="176" customFormat="1" ht="35.1" customHeight="1">
      <c r="A44" s="181"/>
      <c r="B44" s="156" t="s">
        <v>16</v>
      </c>
      <c r="C44" s="157" t="s">
        <v>666</v>
      </c>
      <c r="D44" s="157" t="s">
        <v>667</v>
      </c>
      <c r="E44" s="73" t="s">
        <v>11</v>
      </c>
      <c r="F44" s="157" t="s">
        <v>21</v>
      </c>
      <c r="G44" s="157" t="s">
        <v>758</v>
      </c>
      <c r="H44" s="171">
        <v>45986</v>
      </c>
      <c r="I44" s="172" t="s">
        <v>132</v>
      </c>
      <c r="J44" s="172" t="s">
        <v>133</v>
      </c>
      <c r="K44" s="172">
        <v>0</v>
      </c>
      <c r="L44" s="172" t="s">
        <v>759</v>
      </c>
      <c r="M44" s="172" t="s">
        <v>239</v>
      </c>
      <c r="N44" s="157">
        <v>1</v>
      </c>
      <c r="O44" s="160">
        <v>6.9444444444444447E-4</v>
      </c>
      <c r="P44" s="6"/>
      <c r="Q44" s="6"/>
      <c r="R44" s="6"/>
      <c r="S44" s="6"/>
      <c r="T44" s="6"/>
      <c r="U44" s="6"/>
      <c r="V44" s="6"/>
      <c r="W44" s="6"/>
      <c r="X44" s="6"/>
      <c r="Y44" s="6"/>
      <c r="Z44" s="6"/>
      <c r="AA44" s="6"/>
      <c r="AB44" s="6"/>
      <c r="AC44" s="6"/>
      <c r="AD44" s="6"/>
      <c r="AE44" s="6"/>
      <c r="AF44" s="6"/>
      <c r="AG44" s="6"/>
      <c r="AH44" s="6"/>
      <c r="AI44" s="6"/>
      <c r="AJ44" s="6"/>
      <c r="AK44" s="6"/>
      <c r="AL44" s="6"/>
      <c r="AM44" s="6"/>
      <c r="AN44" s="6"/>
      <c r="AO44" s="6"/>
      <c r="AP44" s="6"/>
      <c r="AQ44" s="6"/>
      <c r="AR44" s="6"/>
      <c r="AS44" s="6"/>
      <c r="AT44" s="6"/>
      <c r="AU44" s="6"/>
      <c r="AV44" s="6"/>
      <c r="AW44" s="6"/>
      <c r="AX44" s="6"/>
      <c r="AY44" s="6"/>
      <c r="AZ44" s="6"/>
      <c r="BA44" s="6"/>
      <c r="BB44" s="6"/>
      <c r="BC44" s="6"/>
      <c r="BD44" s="6"/>
      <c r="BE44" s="6"/>
      <c r="BF44" s="6"/>
      <c r="BG44" s="6"/>
      <c r="BH44" s="6"/>
      <c r="BI44" s="6"/>
      <c r="BJ44" s="6"/>
      <c r="BK44" s="6"/>
      <c r="BL44" s="6"/>
      <c r="BM44" s="6"/>
      <c r="BN44" s="6"/>
      <c r="BO44" s="6"/>
      <c r="BP44" s="6"/>
      <c r="BQ44" s="6"/>
      <c r="BR44" s="6"/>
      <c r="BS44" s="6"/>
      <c r="BT44" s="6"/>
      <c r="BU44" s="6"/>
      <c r="BV44" s="6"/>
      <c r="BW44" s="6"/>
      <c r="BX44" s="6"/>
    </row>
    <row r="45" spans="1:76" ht="35.1" customHeight="1">
      <c r="A45" s="181"/>
      <c r="B45" s="89" t="s">
        <v>16</v>
      </c>
      <c r="C45" s="73" t="s">
        <v>669</v>
      </c>
      <c r="D45" s="73" t="s">
        <v>335</v>
      </c>
      <c r="E45" s="73" t="s">
        <v>11</v>
      </c>
      <c r="F45" s="138" t="s">
        <v>21</v>
      </c>
      <c r="G45" s="72" t="s">
        <v>760</v>
      </c>
      <c r="H45" s="139">
        <v>45391</v>
      </c>
      <c r="I45" s="77" t="s">
        <v>132</v>
      </c>
      <c r="J45" s="77" t="s">
        <v>133</v>
      </c>
      <c r="K45" s="77">
        <v>0</v>
      </c>
      <c r="L45" s="77" t="s">
        <v>665</v>
      </c>
      <c r="M45" s="77" t="s">
        <v>205</v>
      </c>
      <c r="N45" s="73">
        <v>2</v>
      </c>
      <c r="O45" s="80">
        <v>3.4722222222222224E-4</v>
      </c>
    </row>
    <row r="46" spans="1:76" ht="35.1" customHeight="1">
      <c r="A46" s="181"/>
      <c r="B46" s="89" t="s">
        <v>16</v>
      </c>
      <c r="C46" s="73" t="s">
        <v>671</v>
      </c>
      <c r="D46" s="73" t="s">
        <v>672</v>
      </c>
      <c r="E46" s="73" t="s">
        <v>11</v>
      </c>
      <c r="F46" s="73" t="s">
        <v>21</v>
      </c>
      <c r="G46" s="73" t="s">
        <v>265</v>
      </c>
      <c r="H46" s="86">
        <v>45391</v>
      </c>
      <c r="I46" s="77" t="s">
        <v>132</v>
      </c>
      <c r="J46" s="77" t="s">
        <v>133</v>
      </c>
      <c r="K46" s="77">
        <v>0</v>
      </c>
      <c r="L46" s="77" t="s">
        <v>266</v>
      </c>
      <c r="M46" s="77" t="s">
        <v>205</v>
      </c>
      <c r="N46" s="73">
        <v>1</v>
      </c>
      <c r="O46" s="80">
        <v>3.4722222222222224E-4</v>
      </c>
    </row>
    <row r="47" spans="1:76" ht="35.1" customHeight="1">
      <c r="A47" s="181"/>
      <c r="B47" s="89" t="s">
        <v>16</v>
      </c>
      <c r="C47" s="73" t="s">
        <v>673</v>
      </c>
      <c r="D47" s="73" t="s">
        <v>268</v>
      </c>
      <c r="E47" s="73" t="s">
        <v>11</v>
      </c>
      <c r="F47" s="73" t="s">
        <v>21</v>
      </c>
      <c r="G47" s="73" t="s">
        <v>265</v>
      </c>
      <c r="H47" s="86">
        <v>45391</v>
      </c>
      <c r="I47" s="77" t="s">
        <v>60</v>
      </c>
      <c r="J47" s="77" t="s">
        <v>133</v>
      </c>
      <c r="K47" s="77">
        <v>0</v>
      </c>
      <c r="L47" s="77" t="s">
        <v>269</v>
      </c>
      <c r="M47" s="77" t="s">
        <v>205</v>
      </c>
      <c r="N47" s="73">
        <v>1</v>
      </c>
      <c r="O47" s="80">
        <v>3.4722222222222224E-4</v>
      </c>
    </row>
    <row r="48" spans="1:76" ht="35.1" customHeight="1">
      <c r="A48" s="181"/>
      <c r="B48" s="89" t="s">
        <v>16</v>
      </c>
      <c r="C48" s="73" t="s">
        <v>674</v>
      </c>
      <c r="D48" s="73" t="s">
        <v>675</v>
      </c>
      <c r="E48" s="73" t="s">
        <v>11</v>
      </c>
      <c r="F48" s="73" t="s">
        <v>21</v>
      </c>
      <c r="G48" s="73" t="s">
        <v>226</v>
      </c>
      <c r="H48" s="86">
        <v>45391</v>
      </c>
      <c r="I48" s="77" t="s">
        <v>60</v>
      </c>
      <c r="J48" s="77" t="s">
        <v>133</v>
      </c>
      <c r="K48" s="77">
        <v>0</v>
      </c>
      <c r="L48" s="77" t="s">
        <v>273</v>
      </c>
      <c r="M48" s="77" t="s">
        <v>205</v>
      </c>
      <c r="N48" s="73">
        <v>1</v>
      </c>
      <c r="O48" s="80">
        <v>3.4722222222222224E-4</v>
      </c>
    </row>
    <row r="49" spans="1:15" ht="35.1" customHeight="1">
      <c r="A49" s="183"/>
      <c r="B49" s="89" t="s">
        <v>16</v>
      </c>
      <c r="C49" s="73" t="s">
        <v>676</v>
      </c>
      <c r="D49" s="73" t="s">
        <v>536</v>
      </c>
      <c r="E49" s="73" t="s">
        <v>11</v>
      </c>
      <c r="F49" s="138" t="s">
        <v>21</v>
      </c>
      <c r="G49" s="72" t="s">
        <v>279</v>
      </c>
      <c r="H49" s="90">
        <v>45391</v>
      </c>
      <c r="I49" s="77" t="s">
        <v>88</v>
      </c>
      <c r="J49" s="77" t="s">
        <v>133</v>
      </c>
      <c r="K49" s="77">
        <v>0</v>
      </c>
      <c r="L49" s="77" t="s">
        <v>276</v>
      </c>
      <c r="M49" s="77" t="s">
        <v>215</v>
      </c>
      <c r="N49" s="73">
        <v>1</v>
      </c>
      <c r="O49" s="80">
        <v>3.4722222222222224E-4</v>
      </c>
    </row>
    <row r="50" spans="1:15" ht="35.1" customHeight="1">
      <c r="A50" s="183"/>
      <c r="B50" s="89" t="s">
        <v>16</v>
      </c>
      <c r="C50" s="73" t="s">
        <v>677</v>
      </c>
      <c r="D50" s="73" t="s">
        <v>278</v>
      </c>
      <c r="E50" s="73" t="s">
        <v>11</v>
      </c>
      <c r="F50" s="138" t="s">
        <v>21</v>
      </c>
      <c r="G50" s="72" t="s">
        <v>678</v>
      </c>
      <c r="H50" s="90">
        <v>45391</v>
      </c>
      <c r="I50" s="77" t="s">
        <v>88</v>
      </c>
      <c r="J50" s="77" t="s">
        <v>133</v>
      </c>
      <c r="K50" s="77">
        <v>0</v>
      </c>
      <c r="L50" s="77" t="s">
        <v>280</v>
      </c>
      <c r="M50" s="77" t="s">
        <v>215</v>
      </c>
      <c r="N50" s="73">
        <v>1</v>
      </c>
      <c r="O50" s="80">
        <v>5.2083333333333333E-4</v>
      </c>
    </row>
    <row r="51" spans="1:15" ht="35.1" customHeight="1">
      <c r="A51" s="183"/>
      <c r="B51" s="89" t="s">
        <v>16</v>
      </c>
      <c r="C51" s="73" t="s">
        <v>679</v>
      </c>
      <c r="D51" s="73" t="s">
        <v>680</v>
      </c>
      <c r="E51" s="73" t="s">
        <v>11</v>
      </c>
      <c r="F51" s="138" t="s">
        <v>21</v>
      </c>
      <c r="G51" s="72" t="s">
        <v>283</v>
      </c>
      <c r="H51" s="90">
        <v>45391</v>
      </c>
      <c r="I51" s="77" t="s">
        <v>88</v>
      </c>
      <c r="J51" s="77" t="s">
        <v>133</v>
      </c>
      <c r="K51" s="77">
        <v>0</v>
      </c>
      <c r="L51" s="77" t="s">
        <v>284</v>
      </c>
      <c r="M51" s="77" t="s">
        <v>215</v>
      </c>
      <c r="N51" s="73">
        <v>1</v>
      </c>
      <c r="O51" s="80">
        <v>6.9444444444444447E-4</v>
      </c>
    </row>
    <row r="52" spans="1:15" ht="35.1" customHeight="1">
      <c r="A52" s="181"/>
      <c r="B52" s="89" t="s">
        <v>16</v>
      </c>
      <c r="C52" s="73" t="s">
        <v>681</v>
      </c>
      <c r="D52" s="73" t="s">
        <v>286</v>
      </c>
      <c r="E52" s="73" t="s">
        <v>11</v>
      </c>
      <c r="F52" s="73" t="s">
        <v>21</v>
      </c>
      <c r="G52" s="73" t="s">
        <v>287</v>
      </c>
      <c r="H52" s="86">
        <v>45391</v>
      </c>
      <c r="I52" s="77" t="s">
        <v>60</v>
      </c>
      <c r="J52" s="77" t="s">
        <v>133</v>
      </c>
      <c r="K52" s="77">
        <v>0</v>
      </c>
      <c r="L52" s="77" t="s">
        <v>288</v>
      </c>
      <c r="M52" s="77" t="s">
        <v>205</v>
      </c>
      <c r="N52" s="73">
        <v>1</v>
      </c>
      <c r="O52" s="80">
        <v>3.4722222222222224E-4</v>
      </c>
    </row>
    <row r="53" spans="1:15" ht="35.1" customHeight="1">
      <c r="A53" s="181"/>
      <c r="B53" s="89" t="s">
        <v>16</v>
      </c>
      <c r="C53" s="73" t="s">
        <v>682</v>
      </c>
      <c r="D53" s="73" t="s">
        <v>290</v>
      </c>
      <c r="E53" s="73" t="s">
        <v>11</v>
      </c>
      <c r="F53" s="73" t="s">
        <v>21</v>
      </c>
      <c r="G53" s="73" t="s">
        <v>291</v>
      </c>
      <c r="H53" s="86">
        <v>45390</v>
      </c>
      <c r="I53" s="77" t="s">
        <v>132</v>
      </c>
      <c r="J53" s="77" t="s">
        <v>133</v>
      </c>
      <c r="K53" s="77">
        <v>0</v>
      </c>
      <c r="L53" s="77" t="s">
        <v>292</v>
      </c>
      <c r="M53" s="77" t="s">
        <v>205</v>
      </c>
      <c r="N53" s="73">
        <v>1</v>
      </c>
      <c r="O53" s="80">
        <v>6.9444444444444447E-4</v>
      </c>
    </row>
    <row r="54" spans="1:15" ht="35.1" customHeight="1">
      <c r="A54" s="181"/>
      <c r="B54" s="89" t="s">
        <v>16</v>
      </c>
      <c r="C54" s="73" t="s">
        <v>683</v>
      </c>
      <c r="D54" s="73" t="s">
        <v>297</v>
      </c>
      <c r="E54" s="73" t="s">
        <v>11</v>
      </c>
      <c r="F54" s="73" t="s">
        <v>21</v>
      </c>
      <c r="G54" s="73" t="s">
        <v>291</v>
      </c>
      <c r="H54" s="86">
        <v>45390</v>
      </c>
      <c r="I54" s="77" t="s">
        <v>132</v>
      </c>
      <c r="J54" s="77" t="s">
        <v>133</v>
      </c>
      <c r="K54" s="77">
        <v>0</v>
      </c>
      <c r="L54" s="77" t="s">
        <v>298</v>
      </c>
      <c r="M54" s="77" t="s">
        <v>205</v>
      </c>
      <c r="N54" s="73">
        <v>1</v>
      </c>
      <c r="O54" s="80">
        <v>3.4722222222222224E-4</v>
      </c>
    </row>
    <row r="55" spans="1:15" ht="35.1" customHeight="1">
      <c r="A55" s="181"/>
      <c r="B55" s="89" t="s">
        <v>16</v>
      </c>
      <c r="C55" s="73" t="s">
        <v>684</v>
      </c>
      <c r="D55" s="73" t="s">
        <v>300</v>
      </c>
      <c r="E55" s="73" t="s">
        <v>11</v>
      </c>
      <c r="F55" s="73" t="s">
        <v>21</v>
      </c>
      <c r="G55" s="73" t="s">
        <v>291</v>
      </c>
      <c r="H55" s="86">
        <v>45390</v>
      </c>
      <c r="I55" s="77" t="s">
        <v>132</v>
      </c>
      <c r="J55" s="77" t="s">
        <v>133</v>
      </c>
      <c r="K55" s="77">
        <v>0</v>
      </c>
      <c r="L55" s="77" t="s">
        <v>298</v>
      </c>
      <c r="M55" s="77" t="s">
        <v>205</v>
      </c>
      <c r="N55" s="73">
        <v>1</v>
      </c>
      <c r="O55" s="80">
        <v>3.4722222222222224E-4</v>
      </c>
    </row>
    <row r="56" spans="1:15" ht="35.1" customHeight="1">
      <c r="A56" s="181"/>
      <c r="B56" s="89" t="s">
        <v>16</v>
      </c>
      <c r="C56" s="73" t="s">
        <v>656</v>
      </c>
      <c r="D56" s="73" t="s">
        <v>761</v>
      </c>
      <c r="E56" s="73" t="s">
        <v>11</v>
      </c>
      <c r="F56" s="73" t="s">
        <v>21</v>
      </c>
      <c r="G56" s="73" t="s">
        <v>213</v>
      </c>
      <c r="H56" s="86">
        <v>45391</v>
      </c>
      <c r="I56" s="77" t="s">
        <v>132</v>
      </c>
      <c r="J56" s="77" t="s">
        <v>133</v>
      </c>
      <c r="K56" s="77">
        <v>0</v>
      </c>
      <c r="L56" s="77" t="s">
        <v>214</v>
      </c>
      <c r="M56" s="77" t="s">
        <v>215</v>
      </c>
      <c r="N56" s="73">
        <v>1</v>
      </c>
      <c r="O56" s="80">
        <v>3.4722222222222224E-4</v>
      </c>
    </row>
    <row r="57" spans="1:15" ht="35.1" customHeight="1">
      <c r="A57" s="181"/>
      <c r="B57" s="89" t="s">
        <v>16</v>
      </c>
      <c r="C57" s="73" t="s">
        <v>686</v>
      </c>
      <c r="D57" s="73" t="s">
        <v>687</v>
      </c>
      <c r="E57" s="73" t="s">
        <v>11</v>
      </c>
      <c r="F57" s="73" t="s">
        <v>21</v>
      </c>
      <c r="G57" s="73" t="s">
        <v>310</v>
      </c>
      <c r="H57" s="86">
        <v>45391</v>
      </c>
      <c r="I57" s="77" t="s">
        <v>60</v>
      </c>
      <c r="J57" s="77" t="s">
        <v>133</v>
      </c>
      <c r="K57" s="77">
        <v>0</v>
      </c>
      <c r="L57" s="77" t="s">
        <v>311</v>
      </c>
      <c r="M57" s="77" t="s">
        <v>205</v>
      </c>
      <c r="N57" s="73">
        <v>1</v>
      </c>
      <c r="O57" s="80">
        <v>8.6805555555555551E-4</v>
      </c>
    </row>
    <row r="58" spans="1:15" ht="35.1" customHeight="1">
      <c r="A58" s="181"/>
      <c r="B58" s="89" t="s">
        <v>16</v>
      </c>
      <c r="C58" s="73" t="s">
        <v>689</v>
      </c>
      <c r="D58" s="73" t="s">
        <v>313</v>
      </c>
      <c r="E58" s="73" t="s">
        <v>11</v>
      </c>
      <c r="F58" s="73" t="s">
        <v>21</v>
      </c>
      <c r="G58" s="73" t="s">
        <v>314</v>
      </c>
      <c r="H58" s="86">
        <v>45390</v>
      </c>
      <c r="I58" s="77" t="s">
        <v>132</v>
      </c>
      <c r="J58" s="77" t="s">
        <v>133</v>
      </c>
      <c r="K58" s="77">
        <v>0</v>
      </c>
      <c r="L58" s="77" t="s">
        <v>315</v>
      </c>
      <c r="M58" s="77" t="s">
        <v>205</v>
      </c>
      <c r="N58" s="73">
        <v>1</v>
      </c>
      <c r="O58" s="80">
        <v>6.9444444444444447E-4</v>
      </c>
    </row>
    <row r="59" spans="1:15" ht="35.1" customHeight="1">
      <c r="A59" s="181"/>
      <c r="B59" s="89" t="s">
        <v>16</v>
      </c>
      <c r="C59" s="73" t="s">
        <v>691</v>
      </c>
      <c r="D59" s="73" t="s">
        <v>320</v>
      </c>
      <c r="E59" s="73" t="s">
        <v>11</v>
      </c>
      <c r="F59" s="73" t="s">
        <v>21</v>
      </c>
      <c r="G59" s="73" t="s">
        <v>314</v>
      </c>
      <c r="H59" s="86">
        <v>45390</v>
      </c>
      <c r="I59" s="77" t="s">
        <v>132</v>
      </c>
      <c r="J59" s="77" t="s">
        <v>133</v>
      </c>
      <c r="K59" s="77">
        <v>0</v>
      </c>
      <c r="L59" s="77" t="s">
        <v>315</v>
      </c>
      <c r="M59" s="77" t="s">
        <v>205</v>
      </c>
      <c r="N59" s="73">
        <v>1</v>
      </c>
      <c r="O59" s="80">
        <v>6.9444444444444447E-4</v>
      </c>
    </row>
    <row r="60" spans="1:15" ht="35.1" customHeight="1">
      <c r="A60" s="181"/>
      <c r="B60" s="156" t="s">
        <v>16</v>
      </c>
      <c r="C60" s="158" t="s">
        <v>693</v>
      </c>
      <c r="D60" s="157" t="s">
        <v>762</v>
      </c>
      <c r="E60" s="157" t="s">
        <v>11</v>
      </c>
      <c r="F60" s="157" t="s">
        <v>21</v>
      </c>
      <c r="G60" s="157" t="s">
        <v>763</v>
      </c>
      <c r="H60" s="130">
        <v>45983</v>
      </c>
      <c r="I60" s="77" t="s">
        <v>132</v>
      </c>
      <c r="J60" s="77" t="s">
        <v>61</v>
      </c>
      <c r="K60" s="77">
        <v>0</v>
      </c>
      <c r="L60" s="77" t="s">
        <v>688</v>
      </c>
      <c r="M60" s="77" t="s">
        <v>123</v>
      </c>
      <c r="N60" s="157">
        <v>1</v>
      </c>
      <c r="O60" s="160">
        <v>6.9444444444444447E-4</v>
      </c>
    </row>
    <row r="61" spans="1:15" ht="35.1" customHeight="1">
      <c r="A61" s="181"/>
      <c r="B61" s="156" t="s">
        <v>16</v>
      </c>
      <c r="C61" s="100" t="s">
        <v>695</v>
      </c>
      <c r="D61" s="100" t="s">
        <v>322</v>
      </c>
      <c r="E61" s="100" t="s">
        <v>11</v>
      </c>
      <c r="F61" s="73" t="s">
        <v>21</v>
      </c>
      <c r="G61" s="100" t="s">
        <v>763</v>
      </c>
      <c r="H61" s="130">
        <v>45983</v>
      </c>
      <c r="I61" s="77" t="s">
        <v>132</v>
      </c>
      <c r="J61" s="77" t="s">
        <v>61</v>
      </c>
      <c r="K61" s="77">
        <v>0</v>
      </c>
      <c r="L61" s="77" t="s">
        <v>324</v>
      </c>
      <c r="M61" s="77" t="s">
        <v>147</v>
      </c>
      <c r="N61" s="157">
        <v>1</v>
      </c>
      <c r="O61" s="160">
        <v>1.7361111111111112E-4</v>
      </c>
    </row>
    <row r="62" spans="1:15" ht="35.1" customHeight="1" thickTop="1" thickBot="1">
      <c r="A62" s="181"/>
      <c r="B62" s="106" t="s">
        <v>16</v>
      </c>
      <c r="C62" s="100" t="s">
        <v>698</v>
      </c>
      <c r="D62" s="100" t="s">
        <v>326</v>
      </c>
      <c r="E62" s="100"/>
      <c r="F62" s="100"/>
      <c r="G62" s="100"/>
      <c r="H62" s="130"/>
      <c r="I62" s="77" t="s">
        <v>132</v>
      </c>
      <c r="J62" s="77" t="s">
        <v>133</v>
      </c>
      <c r="K62" s="77">
        <v>0</v>
      </c>
      <c r="L62" s="77" t="s">
        <v>327</v>
      </c>
      <c r="M62" s="77" t="s">
        <v>239</v>
      </c>
      <c r="N62" s="100">
        <v>2</v>
      </c>
      <c r="O62" s="109">
        <v>5.2083333333333333E-4</v>
      </c>
    </row>
    <row r="63" spans="1:15" ht="35.1" customHeight="1" thickTop="1" thickBot="1">
      <c r="A63" s="181"/>
      <c r="B63" s="156" t="s">
        <v>16</v>
      </c>
      <c r="C63" s="100" t="s">
        <v>699</v>
      </c>
      <c r="D63" s="100" t="s">
        <v>700</v>
      </c>
      <c r="E63" s="100" t="s">
        <v>11</v>
      </c>
      <c r="F63" s="157" t="s">
        <v>21</v>
      </c>
      <c r="G63" s="100" t="s">
        <v>763</v>
      </c>
      <c r="H63" s="130">
        <v>45983</v>
      </c>
      <c r="I63" s="77" t="s">
        <v>60</v>
      </c>
      <c r="J63" s="77" t="s">
        <v>61</v>
      </c>
      <c r="K63" s="77">
        <v>0</v>
      </c>
      <c r="L63" s="77">
        <v>0</v>
      </c>
      <c r="M63" s="77" t="s">
        <v>147</v>
      </c>
      <c r="N63" s="157">
        <v>3</v>
      </c>
      <c r="O63" s="160">
        <v>5.2083333333333333E-4</v>
      </c>
    </row>
    <row r="64" spans="1:15" ht="35.1" customHeight="1" thickTop="1" thickBot="1">
      <c r="A64" s="180"/>
      <c r="B64" s="170" t="s">
        <v>16</v>
      </c>
      <c r="C64" s="112" t="s">
        <v>701</v>
      </c>
      <c r="D64" s="112" t="s">
        <v>332</v>
      </c>
      <c r="E64" s="100" t="s">
        <v>11</v>
      </c>
      <c r="F64" s="157" t="s">
        <v>21</v>
      </c>
      <c r="G64" s="100" t="s">
        <v>764</v>
      </c>
      <c r="H64" s="130">
        <v>45983</v>
      </c>
      <c r="I64" s="77" t="s">
        <v>60</v>
      </c>
      <c r="J64" s="77" t="s">
        <v>61</v>
      </c>
      <c r="K64" s="77">
        <v>0</v>
      </c>
      <c r="L64" s="77">
        <v>0</v>
      </c>
      <c r="M64" s="77" t="s">
        <v>147</v>
      </c>
      <c r="N64" s="174">
        <v>4</v>
      </c>
      <c r="O64" s="175">
        <v>5.2083333333333333E-4</v>
      </c>
    </row>
    <row r="65" spans="1:46" ht="69.75" customHeight="1">
      <c r="A65" s="181"/>
      <c r="B65" s="163" t="s">
        <v>20</v>
      </c>
      <c r="C65" s="164" t="s">
        <v>765</v>
      </c>
      <c r="D65" s="164" t="s">
        <v>766</v>
      </c>
      <c r="E65" s="164" t="s">
        <v>21</v>
      </c>
      <c r="F65" s="164" t="s">
        <v>11</v>
      </c>
      <c r="G65" s="164" t="s">
        <v>705</v>
      </c>
      <c r="H65" s="166">
        <v>45986</v>
      </c>
      <c r="I65" s="161" t="s">
        <v>60</v>
      </c>
      <c r="J65" s="161" t="s">
        <v>133</v>
      </c>
      <c r="K65" s="161">
        <v>0</v>
      </c>
      <c r="L65" s="161" t="s">
        <v>702</v>
      </c>
      <c r="M65" s="161" t="s">
        <v>340</v>
      </c>
      <c r="N65" s="164">
        <v>4</v>
      </c>
      <c r="O65" s="165">
        <v>4.1666666666666666E-3</v>
      </c>
    </row>
    <row r="66" spans="1:46" s="179" customFormat="1" ht="35.1" customHeight="1">
      <c r="A66" s="181"/>
      <c r="B66" s="153" t="s">
        <v>20</v>
      </c>
      <c r="C66" s="154" t="s">
        <v>706</v>
      </c>
      <c r="D66" s="154" t="s">
        <v>707</v>
      </c>
      <c r="E66" s="154" t="s">
        <v>11</v>
      </c>
      <c r="F66" s="154" t="s">
        <v>21</v>
      </c>
      <c r="G66" s="154" t="s">
        <v>767</v>
      </c>
      <c r="H66" s="155">
        <v>45987</v>
      </c>
      <c r="I66" s="172" t="s">
        <v>60</v>
      </c>
      <c r="J66" s="172" t="s">
        <v>133</v>
      </c>
      <c r="K66" s="172">
        <v>0</v>
      </c>
      <c r="L66" s="172" t="s">
        <v>345</v>
      </c>
      <c r="M66" s="172" t="s">
        <v>340</v>
      </c>
      <c r="N66" s="157">
        <v>4</v>
      </c>
      <c r="O66" s="160">
        <v>1.3888888888888889E-3</v>
      </c>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row>
    <row r="67" spans="1:46" ht="35.1" customHeight="1">
      <c r="A67" s="181"/>
      <c r="B67" s="156" t="s">
        <v>20</v>
      </c>
      <c r="C67" s="154" t="s">
        <v>710</v>
      </c>
      <c r="D67" s="154" t="s">
        <v>347</v>
      </c>
      <c r="E67" s="154" t="s">
        <v>11</v>
      </c>
      <c r="F67" s="154" t="s">
        <v>21</v>
      </c>
      <c r="G67" s="154" t="s">
        <v>768</v>
      </c>
      <c r="H67" s="155">
        <v>45983</v>
      </c>
      <c r="I67" s="172" t="s">
        <v>132</v>
      </c>
      <c r="J67" s="172" t="s">
        <v>133</v>
      </c>
      <c r="K67" s="172">
        <v>0</v>
      </c>
      <c r="L67" s="172" t="s">
        <v>709</v>
      </c>
      <c r="M67" s="172" t="s">
        <v>350</v>
      </c>
      <c r="N67" s="157">
        <v>2</v>
      </c>
      <c r="O67" s="160">
        <v>2.0833333333333333E-3</v>
      </c>
    </row>
    <row r="68" spans="1:46" ht="35.1" customHeight="1">
      <c r="A68" s="181"/>
      <c r="B68" s="156" t="s">
        <v>20</v>
      </c>
      <c r="C68" s="154" t="s">
        <v>712</v>
      </c>
      <c r="D68" s="154" t="s">
        <v>352</v>
      </c>
      <c r="E68" s="154" t="s">
        <v>11</v>
      </c>
      <c r="F68" s="154" t="s">
        <v>21</v>
      </c>
      <c r="G68" s="154" t="s">
        <v>768</v>
      </c>
      <c r="H68" s="155">
        <v>45983</v>
      </c>
      <c r="I68" s="172" t="s">
        <v>132</v>
      </c>
      <c r="J68" s="172" t="s">
        <v>133</v>
      </c>
      <c r="K68" s="172">
        <v>0</v>
      </c>
      <c r="L68" s="172" t="s">
        <v>354</v>
      </c>
      <c r="M68" s="172" t="s">
        <v>350</v>
      </c>
      <c r="N68" s="157">
        <v>2</v>
      </c>
      <c r="O68" s="160">
        <v>2.0833333333333333E-3</v>
      </c>
    </row>
    <row r="69" spans="1:46" ht="35.1" customHeight="1">
      <c r="A69" s="181"/>
      <c r="B69" s="156" t="s">
        <v>20</v>
      </c>
      <c r="C69" s="100" t="s">
        <v>713</v>
      </c>
      <c r="D69" s="100" t="s">
        <v>356</v>
      </c>
      <c r="E69" s="100" t="s">
        <v>11</v>
      </c>
      <c r="F69" s="73" t="s">
        <v>21</v>
      </c>
      <c r="G69" s="100" t="s">
        <v>763</v>
      </c>
      <c r="H69" s="130">
        <v>45983</v>
      </c>
      <c r="I69" s="77" t="s">
        <v>132</v>
      </c>
      <c r="J69" s="77" t="s">
        <v>61</v>
      </c>
      <c r="K69" s="77">
        <v>0</v>
      </c>
      <c r="L69" s="77" t="s">
        <v>357</v>
      </c>
      <c r="M69" s="77" t="s">
        <v>147</v>
      </c>
      <c r="N69" s="157">
        <v>2</v>
      </c>
      <c r="O69" s="160">
        <v>6.9444444444444447E-4</v>
      </c>
    </row>
    <row r="70" spans="1:46" ht="35.1" customHeight="1" thickTop="1" thickBot="1">
      <c r="A70" s="181"/>
      <c r="B70" s="106" t="s">
        <v>20</v>
      </c>
      <c r="C70" s="100" t="s">
        <v>715</v>
      </c>
      <c r="D70" s="100" t="s">
        <v>373</v>
      </c>
      <c r="E70" s="100"/>
      <c r="F70" s="100"/>
      <c r="G70" s="100"/>
      <c r="H70" s="130"/>
      <c r="I70" s="77" t="s">
        <v>132</v>
      </c>
      <c r="J70" s="77" t="s">
        <v>133</v>
      </c>
      <c r="K70" s="77">
        <v>0</v>
      </c>
      <c r="L70" s="77" t="s">
        <v>374</v>
      </c>
      <c r="M70" s="77" t="s">
        <v>205</v>
      </c>
      <c r="N70" s="100">
        <v>2</v>
      </c>
      <c r="O70" s="109">
        <v>1.736111111111111E-3</v>
      </c>
    </row>
    <row r="71" spans="1:46" ht="35.1" customHeight="1" thickTop="1" thickBot="1">
      <c r="A71" s="181"/>
      <c r="B71" s="106" t="s">
        <v>20</v>
      </c>
      <c r="C71" s="100" t="s">
        <v>716</v>
      </c>
      <c r="D71" s="100" t="s">
        <v>717</v>
      </c>
      <c r="E71" s="100"/>
      <c r="F71" s="100"/>
      <c r="G71" s="100"/>
      <c r="H71" s="130"/>
      <c r="I71" s="77" t="s">
        <v>60</v>
      </c>
      <c r="J71" s="77" t="s">
        <v>133</v>
      </c>
      <c r="K71" s="77">
        <v>0</v>
      </c>
      <c r="L71" s="77" t="s">
        <v>380</v>
      </c>
      <c r="M71" s="77" t="s">
        <v>164</v>
      </c>
      <c r="N71" s="100">
        <v>1</v>
      </c>
      <c r="O71" s="109">
        <v>9.2592592592592585E-4</v>
      </c>
    </row>
    <row r="72" spans="1:46" ht="35.1" customHeight="1" thickTop="1" thickBot="1">
      <c r="A72" s="181"/>
      <c r="B72" s="106" t="s">
        <v>20</v>
      </c>
      <c r="C72" s="100" t="s">
        <v>718</v>
      </c>
      <c r="D72" s="100" t="s">
        <v>719</v>
      </c>
      <c r="E72" s="100"/>
      <c r="F72" s="100"/>
      <c r="G72" s="100"/>
      <c r="H72" s="130"/>
      <c r="I72" s="77" t="s">
        <v>132</v>
      </c>
      <c r="J72" s="77" t="s">
        <v>133</v>
      </c>
      <c r="K72" s="77">
        <v>0</v>
      </c>
      <c r="L72" s="77" t="s">
        <v>377</v>
      </c>
      <c r="M72" s="77" t="s">
        <v>164</v>
      </c>
      <c r="N72" s="100">
        <v>2</v>
      </c>
      <c r="O72" s="109">
        <v>9.2592592592592585E-4</v>
      </c>
    </row>
    <row r="73" spans="1:46" ht="35.1" customHeight="1" thickTop="1" thickBot="1">
      <c r="A73" s="181"/>
      <c r="B73" s="106" t="s">
        <v>20</v>
      </c>
      <c r="C73" s="100" t="s">
        <v>720</v>
      </c>
      <c r="D73" s="100" t="s">
        <v>382</v>
      </c>
      <c r="E73" s="100"/>
      <c r="F73" s="100"/>
      <c r="G73" s="100"/>
      <c r="H73" s="130"/>
      <c r="I73" s="77" t="s">
        <v>60</v>
      </c>
      <c r="J73" s="77" t="s">
        <v>61</v>
      </c>
      <c r="K73" s="77">
        <v>0</v>
      </c>
      <c r="L73" s="77" t="s">
        <v>383</v>
      </c>
      <c r="M73" s="77" t="s">
        <v>363</v>
      </c>
      <c r="N73" s="100">
        <v>1</v>
      </c>
      <c r="O73" s="109">
        <v>1.1574074074074073E-4</v>
      </c>
    </row>
    <row r="74" spans="1:46" ht="35.1" customHeight="1">
      <c r="A74" s="181"/>
      <c r="B74" s="106" t="s">
        <v>20</v>
      </c>
      <c r="C74" s="100" t="s">
        <v>721</v>
      </c>
      <c r="D74" s="100" t="s">
        <v>385</v>
      </c>
      <c r="E74" s="100"/>
      <c r="F74" s="100"/>
      <c r="G74" s="100"/>
      <c r="H74" s="130"/>
      <c r="I74" s="77" t="s">
        <v>60</v>
      </c>
      <c r="J74" s="77" t="s">
        <v>61</v>
      </c>
      <c r="K74" s="77">
        <v>0</v>
      </c>
      <c r="L74" s="77" t="s">
        <v>386</v>
      </c>
      <c r="M74" s="77" t="s">
        <v>123</v>
      </c>
      <c r="N74" s="100">
        <v>1</v>
      </c>
      <c r="O74" s="109">
        <v>6.9444444444444447E-4</v>
      </c>
    </row>
    <row r="75" spans="1:46" ht="35.1" customHeight="1" thickTop="1" thickBot="1">
      <c r="A75" s="181"/>
      <c r="B75" s="106" t="s">
        <v>20</v>
      </c>
      <c r="C75" s="100" t="s">
        <v>722</v>
      </c>
      <c r="D75" s="100" t="s">
        <v>723</v>
      </c>
      <c r="E75" s="100"/>
      <c r="F75" s="100"/>
      <c r="G75" s="100"/>
      <c r="H75" s="130"/>
      <c r="I75" s="77" t="s">
        <v>60</v>
      </c>
      <c r="J75" s="77" t="s">
        <v>61</v>
      </c>
      <c r="K75" s="77">
        <v>0</v>
      </c>
      <c r="L75" s="77" t="s">
        <v>406</v>
      </c>
      <c r="M75" s="77" t="s">
        <v>147</v>
      </c>
      <c r="N75" s="100">
        <v>2</v>
      </c>
      <c r="O75" s="109">
        <v>3.4722222222222224E-4</v>
      </c>
    </row>
    <row r="76" spans="1:46" ht="35.1" customHeight="1" thickTop="1" thickBot="1">
      <c r="A76" s="181"/>
      <c r="B76" s="106" t="s">
        <v>20</v>
      </c>
      <c r="C76" s="100" t="s">
        <v>724</v>
      </c>
      <c r="D76" s="100" t="s">
        <v>725</v>
      </c>
      <c r="E76" s="100"/>
      <c r="F76" s="100"/>
      <c r="G76" s="100"/>
      <c r="H76" s="130"/>
      <c r="I76" s="77" t="s">
        <v>60</v>
      </c>
      <c r="J76" s="77" t="s">
        <v>61</v>
      </c>
      <c r="K76" s="77">
        <v>0</v>
      </c>
      <c r="L76" s="77" t="s">
        <v>409</v>
      </c>
      <c r="M76" s="77" t="s">
        <v>147</v>
      </c>
      <c r="N76" s="100">
        <v>2</v>
      </c>
      <c r="O76" s="109">
        <v>6.9444444444444447E-4</v>
      </c>
    </row>
    <row r="77" spans="1:46" ht="35.1" customHeight="1" thickTop="1" thickBot="1">
      <c r="A77" s="181"/>
      <c r="B77" s="106" t="s">
        <v>20</v>
      </c>
      <c r="C77" s="100" t="s">
        <v>726</v>
      </c>
      <c r="D77" s="100" t="s">
        <v>423</v>
      </c>
      <c r="E77" s="100"/>
      <c r="F77" s="100"/>
      <c r="G77" s="100"/>
      <c r="H77" s="130"/>
      <c r="I77" s="77" t="s">
        <v>60</v>
      </c>
      <c r="J77" s="77" t="s">
        <v>133</v>
      </c>
      <c r="K77" s="77">
        <v>0</v>
      </c>
      <c r="L77" s="77" t="s">
        <v>729</v>
      </c>
      <c r="M77" s="77" t="s">
        <v>107</v>
      </c>
      <c r="N77" s="100">
        <v>2</v>
      </c>
      <c r="O77" s="109">
        <v>1.3888888888888889E-3</v>
      </c>
    </row>
    <row r="78" spans="1:46" ht="35.1" customHeight="1">
      <c r="A78" s="181"/>
      <c r="B78" s="156" t="s">
        <v>20</v>
      </c>
      <c r="C78" s="100" t="s">
        <v>727</v>
      </c>
      <c r="D78" s="100" t="s">
        <v>728</v>
      </c>
      <c r="E78" s="100" t="s">
        <v>11</v>
      </c>
      <c r="F78" s="154" t="s">
        <v>21</v>
      </c>
      <c r="G78" s="100" t="s">
        <v>769</v>
      </c>
      <c r="H78" s="130">
        <v>45983</v>
      </c>
      <c r="I78" s="77" t="s">
        <v>60</v>
      </c>
      <c r="J78" s="77" t="s">
        <v>61</v>
      </c>
      <c r="K78" s="77">
        <v>0</v>
      </c>
      <c r="L78" s="77" t="s">
        <v>403</v>
      </c>
      <c r="M78" s="77" t="s">
        <v>147</v>
      </c>
      <c r="N78" s="157">
        <v>1</v>
      </c>
      <c r="O78" s="160">
        <v>6.9444444444444447E-4</v>
      </c>
    </row>
    <row r="79" spans="1:46" ht="48" customHeight="1" thickTop="1" thickBot="1">
      <c r="A79" s="181"/>
      <c r="B79" s="106" t="s">
        <v>20</v>
      </c>
      <c r="C79" s="100" t="s">
        <v>730</v>
      </c>
      <c r="D79" s="100" t="s">
        <v>414</v>
      </c>
      <c r="E79" s="100"/>
      <c r="F79" s="100"/>
      <c r="G79" s="100"/>
      <c r="H79" s="130"/>
      <c r="I79" s="77" t="s">
        <v>88</v>
      </c>
      <c r="J79" s="77" t="s">
        <v>61</v>
      </c>
      <c r="K79" s="77">
        <v>0</v>
      </c>
      <c r="L79" s="77" t="s">
        <v>415</v>
      </c>
      <c r="M79" s="77" t="s">
        <v>107</v>
      </c>
      <c r="N79" s="100">
        <v>4</v>
      </c>
      <c r="O79" s="109">
        <v>2.0833333333333333E-3</v>
      </c>
    </row>
    <row r="80" spans="1:46" ht="51" customHeight="1" thickTop="1" thickBot="1">
      <c r="A80" s="181"/>
      <c r="B80" s="111" t="s">
        <v>20</v>
      </c>
      <c r="C80" s="112" t="s">
        <v>731</v>
      </c>
      <c r="D80" s="112" t="s">
        <v>426</v>
      </c>
      <c r="E80" s="112"/>
      <c r="F80" s="112"/>
      <c r="G80" s="112"/>
      <c r="H80" s="131"/>
      <c r="I80" s="77" t="s">
        <v>88</v>
      </c>
      <c r="J80" s="77" t="s">
        <v>61</v>
      </c>
      <c r="K80" s="77">
        <v>0</v>
      </c>
      <c r="L80" s="77" t="s">
        <v>427</v>
      </c>
      <c r="M80" s="77" t="s">
        <v>107</v>
      </c>
      <c r="N80" s="112">
        <v>2</v>
      </c>
      <c r="O80" s="116">
        <v>6.9444444444444447E-4</v>
      </c>
    </row>
    <row r="81" spans="1:16" ht="35.1" customHeight="1" thickTop="1" thickBot="1">
      <c r="A81" s="190"/>
      <c r="B81" s="101" t="s">
        <v>24</v>
      </c>
      <c r="C81" s="102" t="s">
        <v>732</v>
      </c>
      <c r="D81" s="102" t="s">
        <v>445</v>
      </c>
      <c r="E81" s="102"/>
      <c r="F81" s="102"/>
      <c r="G81" s="102"/>
      <c r="H81" s="129"/>
      <c r="I81" s="77" t="s">
        <v>132</v>
      </c>
      <c r="J81" s="77" t="s">
        <v>61</v>
      </c>
      <c r="K81" s="77">
        <v>0</v>
      </c>
      <c r="L81" s="77" t="s">
        <v>446</v>
      </c>
      <c r="M81" s="77" t="s">
        <v>107</v>
      </c>
      <c r="N81" s="102">
        <v>1</v>
      </c>
      <c r="O81" s="105">
        <v>3.4722222222222224E-4</v>
      </c>
      <c r="P81" s="145"/>
    </row>
    <row r="82" spans="1:16" ht="35.1" customHeight="1" thickTop="1" thickBot="1">
      <c r="A82" s="181"/>
      <c r="B82" s="106" t="s">
        <v>24</v>
      </c>
      <c r="C82" s="100" t="s">
        <v>733</v>
      </c>
      <c r="D82" s="100" t="s">
        <v>438</v>
      </c>
      <c r="E82" s="100"/>
      <c r="F82" s="100"/>
      <c r="G82" s="100"/>
      <c r="H82" s="130"/>
      <c r="I82" s="77" t="s">
        <v>132</v>
      </c>
      <c r="J82" s="77" t="s">
        <v>61</v>
      </c>
      <c r="K82" s="77">
        <v>0</v>
      </c>
      <c r="L82" s="77" t="s">
        <v>439</v>
      </c>
      <c r="M82" s="77" t="s">
        <v>107</v>
      </c>
      <c r="N82" s="100">
        <v>1</v>
      </c>
      <c r="O82" s="109">
        <v>6.9444444444444447E-4</v>
      </c>
      <c r="P82" s="145"/>
    </row>
    <row r="83" spans="1:16" ht="35.1" customHeight="1" thickTop="1" thickBot="1">
      <c r="A83" s="181"/>
      <c r="B83" s="106" t="s">
        <v>24</v>
      </c>
      <c r="C83" s="100" t="s">
        <v>734</v>
      </c>
      <c r="D83" s="100" t="s">
        <v>435</v>
      </c>
      <c r="E83" s="100"/>
      <c r="F83" s="100"/>
      <c r="G83" s="100"/>
      <c r="H83" s="130"/>
      <c r="I83" s="77" t="s">
        <v>132</v>
      </c>
      <c r="J83" s="77" t="s">
        <v>61</v>
      </c>
      <c r="K83" s="77">
        <v>0</v>
      </c>
      <c r="L83" s="77" t="s">
        <v>436</v>
      </c>
      <c r="M83" s="77" t="s">
        <v>239</v>
      </c>
      <c r="N83" s="100">
        <v>1</v>
      </c>
      <c r="O83" s="109">
        <v>6.9444444444444447E-4</v>
      </c>
      <c r="P83" s="145"/>
    </row>
    <row r="84" spans="1:16" ht="35.1" customHeight="1" thickTop="1" thickBot="1">
      <c r="A84" s="181"/>
      <c r="B84" s="106" t="s">
        <v>24</v>
      </c>
      <c r="C84" s="100" t="s">
        <v>735</v>
      </c>
      <c r="D84" s="100" t="s">
        <v>736</v>
      </c>
      <c r="E84" s="100"/>
      <c r="F84" s="100"/>
      <c r="G84" s="100"/>
      <c r="H84" s="130"/>
      <c r="I84" s="77" t="s">
        <v>132</v>
      </c>
      <c r="J84" s="77" t="s">
        <v>61</v>
      </c>
      <c r="K84" s="77">
        <v>0</v>
      </c>
      <c r="L84" s="77" t="s">
        <v>449</v>
      </c>
      <c r="M84" s="77" t="s">
        <v>239</v>
      </c>
      <c r="N84" s="100">
        <v>1</v>
      </c>
      <c r="O84" s="109">
        <v>0</v>
      </c>
      <c r="P84" s="145"/>
    </row>
    <row r="85" spans="1:16" ht="35.1" customHeight="1" thickTop="1" thickBot="1">
      <c r="A85" s="128"/>
      <c r="B85" s="106" t="s">
        <v>24</v>
      </c>
      <c r="C85" s="100" t="s">
        <v>737</v>
      </c>
      <c r="D85" s="100" t="s">
        <v>451</v>
      </c>
      <c r="E85" s="100"/>
      <c r="F85" s="100"/>
      <c r="G85" s="100"/>
      <c r="H85" s="130"/>
      <c r="I85" s="77" t="s">
        <v>132</v>
      </c>
      <c r="J85" s="77" t="s">
        <v>61</v>
      </c>
      <c r="K85" s="77">
        <v>0</v>
      </c>
      <c r="L85" s="77" t="s">
        <v>452</v>
      </c>
      <c r="M85" s="77" t="s">
        <v>239</v>
      </c>
      <c r="N85" s="100">
        <v>2</v>
      </c>
      <c r="O85" s="109">
        <v>1.0416666666666667E-3</v>
      </c>
      <c r="P85" s="145"/>
    </row>
    <row r="86" spans="1:16" ht="35.1" customHeight="1" thickTop="1" thickBot="1">
      <c r="A86" s="128"/>
      <c r="B86" s="106" t="s">
        <v>24</v>
      </c>
      <c r="C86" s="100" t="s">
        <v>738</v>
      </c>
      <c r="D86" s="100" t="s">
        <v>739</v>
      </c>
      <c r="E86" s="100"/>
      <c r="F86" s="100"/>
      <c r="G86" s="100"/>
      <c r="H86" s="130"/>
      <c r="I86" s="77" t="s">
        <v>60</v>
      </c>
      <c r="J86" s="77" t="s">
        <v>61</v>
      </c>
      <c r="K86" s="77">
        <v>0</v>
      </c>
      <c r="L86" s="77" t="s">
        <v>395</v>
      </c>
      <c r="M86" s="77" t="s">
        <v>470</v>
      </c>
      <c r="N86" s="100">
        <v>2</v>
      </c>
      <c r="O86" s="109">
        <v>5.2083333333333333E-4</v>
      </c>
      <c r="P86" s="145"/>
    </row>
    <row r="87" spans="1:16" ht="35.1" customHeight="1" thickTop="1" thickBot="1">
      <c r="A87" s="117"/>
      <c r="B87" s="111" t="s">
        <v>24</v>
      </c>
      <c r="C87" s="112" t="s">
        <v>740</v>
      </c>
      <c r="D87" s="112" t="s">
        <v>460</v>
      </c>
      <c r="E87" s="112"/>
      <c r="F87" s="112"/>
      <c r="G87" s="112"/>
      <c r="H87" s="131"/>
      <c r="I87" s="77" t="s">
        <v>88</v>
      </c>
      <c r="J87" s="77" t="s">
        <v>61</v>
      </c>
      <c r="K87" s="77">
        <v>0</v>
      </c>
      <c r="L87" s="77" t="s">
        <v>461</v>
      </c>
      <c r="M87" s="77" t="s">
        <v>462</v>
      </c>
      <c r="N87" s="112">
        <v>2</v>
      </c>
      <c r="O87" s="116">
        <v>6.9444444444444447E-4</v>
      </c>
      <c r="P87" s="145"/>
    </row>
    <row r="88" spans="1:16" ht="35.1" customHeight="1" thickTop="1" thickBot="1">
      <c r="A88" s="118"/>
      <c r="B88" s="119" t="s">
        <v>741</v>
      </c>
      <c r="C88" s="120" t="s">
        <v>742</v>
      </c>
      <c r="D88" s="120" t="s">
        <v>473</v>
      </c>
      <c r="E88" s="123"/>
      <c r="F88" s="123"/>
      <c r="G88" s="123"/>
      <c r="H88" s="143"/>
      <c r="I88" s="77" t="s">
        <v>88</v>
      </c>
      <c r="J88" s="77" t="s">
        <v>133</v>
      </c>
      <c r="K88" s="77">
        <v>0</v>
      </c>
      <c r="L88" s="77" t="s">
        <v>743</v>
      </c>
      <c r="M88" s="77" t="s">
        <v>475</v>
      </c>
      <c r="N88" s="123">
        <v>2</v>
      </c>
      <c r="O88" s="144">
        <v>2.0013888888888891</v>
      </c>
      <c r="P88" s="93"/>
    </row>
    <row r="128" ht="66" customHeight="1"/>
  </sheetData>
  <autoFilter ref="A2:J88" xr:uid="{1F478E64-C5A9-4A43-89AA-045599EB1EC1}"/>
  <conditionalFormatting sqref="C3:H12 C15:D35 C61:D74 E15:H27 F29:H44 F46:H48 F52:H59 C37:D55 C36 C57:D59 C56 C76:D87 C75 E29:E59 E61:H62 E65:H88">
    <cfRule type="expression" dxfId="86" priority="37">
      <formula>AND(OR($F3="No",$F3=""), $E3= "Yes",$G3&lt;&gt;"",$H3&lt;&gt;"")</formula>
    </cfRule>
  </conditionalFormatting>
  <conditionalFormatting sqref="N66:O88">
    <cfRule type="expression" dxfId="85" priority="36">
      <formula>AND(OR($E66="No",$E66=""), $D66= "Yes",$F66&lt;&gt;"",$G66&lt;&gt;"")</formula>
    </cfRule>
  </conditionalFormatting>
  <conditionalFormatting sqref="N3:O12 N29:O64 N15:O27">
    <cfRule type="expression" dxfId="84" priority="20">
      <formula>AND(OR($E3="No",$E3=""), $D3= "Yes",$F3&lt;&gt;"",$G3&lt;&gt;"")</formula>
    </cfRule>
  </conditionalFormatting>
  <conditionalFormatting sqref="N65:O65">
    <cfRule type="expression" dxfId="83" priority="19">
      <formula>AND(OR($F65="No",$F65=""), $E65= "Yes",$G65&lt;&gt;"",$H65&lt;&gt;"")</formula>
    </cfRule>
  </conditionalFormatting>
  <conditionalFormatting sqref="N28:O28">
    <cfRule type="expression" dxfId="82" priority="18">
      <formula>AND(OR($F28="No",$F28=""), $E28= "Yes",$G28&lt;&gt;"",$H28&lt;&gt;"")</formula>
    </cfRule>
  </conditionalFormatting>
  <conditionalFormatting sqref="C13:H14">
    <cfRule type="expression" dxfId="81" priority="16">
      <formula>AND(OR($F13="No",$F13=""), $E13= "Yes",$G13&lt;&gt;"",$H13&lt;&gt;"")</formula>
    </cfRule>
  </conditionalFormatting>
  <conditionalFormatting sqref="N13:O14">
    <cfRule type="expression" dxfId="80" priority="15">
      <formula>AND(OR($E13="No",$E13=""), $D13= "Yes",$F13&lt;&gt;"",$G13&lt;&gt;"")</formula>
    </cfRule>
  </conditionalFormatting>
  <conditionalFormatting sqref="F45">
    <cfRule type="expression" dxfId="79" priority="13">
      <formula>AND(OR($E45="No",$E45=""), $F45= "Yes",$G45&lt;&gt;"",$H45&lt;&gt;"")</formula>
    </cfRule>
    <cfRule type="expression" dxfId="78" priority="14">
      <formula>AND(OR($F45="No",$F45=""), $E45= "Yes",$G45&lt;&gt;"",$H45&lt;&gt;"")</formula>
    </cfRule>
  </conditionalFormatting>
  <conditionalFormatting sqref="G45:H45">
    <cfRule type="expression" dxfId="77" priority="11">
      <formula>AND(OR($F45="No",$F45=""), $E45= "Yes",$G45&lt;&gt;"",$H45&lt;&gt;"")</formula>
    </cfRule>
    <cfRule type="expression" dxfId="76" priority="12">
      <formula>AND(OR($E45="No",$E45=""), $F45= "Yes",$G45&lt;&gt;"",$H45&lt;&gt;"")</formula>
    </cfRule>
  </conditionalFormatting>
  <conditionalFormatting sqref="H49:H51 G50:G51 F49:F51">
    <cfRule type="expression" dxfId="75" priority="7">
      <formula>AND(OR($E49="No",$E49=""), $F49= "Yes",$G49&lt;&gt;"",$H49&lt;&gt;"")</formula>
    </cfRule>
    <cfRule type="expression" dxfId="74" priority="8">
      <formula>AND(OR($F49="No",$F49=""), $E49= "Yes",$G49&lt;&gt;"",$H49&lt;&gt;"")</formula>
    </cfRule>
  </conditionalFormatting>
  <conditionalFormatting sqref="G49">
    <cfRule type="expression" dxfId="73" priority="9">
      <formula>AND(OR($E49="No",$E49=""), $F48= "Yes",$G49&lt;&gt;"",$H49&lt;&gt;"")</formula>
    </cfRule>
    <cfRule type="expression" dxfId="72" priority="10">
      <formula>AND(OR($F48="No",$F48=""), $E49= "Yes",$G49&lt;&gt;"",$H49&lt;&gt;"")</formula>
    </cfRule>
  </conditionalFormatting>
  <conditionalFormatting sqref="I3:M88">
    <cfRule type="expression" dxfId="71" priority="6">
      <formula>AND(OR($E4="No",$E4=""), $D3= "Yes",$F3&lt;&gt;"",$G3&lt;&gt;"")</formula>
    </cfRule>
  </conditionalFormatting>
  <conditionalFormatting sqref="D75">
    <cfRule type="expression" dxfId="70" priority="5">
      <formula>AND(OR($F75="No",$F75=""), $E75= "Yes",$G75&lt;&gt;"",$H75&lt;&gt;"")</formula>
    </cfRule>
  </conditionalFormatting>
  <conditionalFormatting sqref="E63:H63">
    <cfRule type="expression" dxfId="69" priority="4">
      <formula>AND(OR($F63="No",$F63=""), $E63= "Yes",$G63&lt;&gt;"",$H63&lt;&gt;"")</formula>
    </cfRule>
  </conditionalFormatting>
  <conditionalFormatting sqref="E60:H60">
    <cfRule type="expression" dxfId="68" priority="3">
      <formula>AND(OR($F60="No",$F60=""), $E60= "Yes",$G60&lt;&gt;"",$H60&lt;&gt;"")</formula>
    </cfRule>
  </conditionalFormatting>
  <conditionalFormatting sqref="E64:H64">
    <cfRule type="expression" dxfId="67" priority="2">
      <formula>AND(OR($F64="No",$F64=""), $E64= "Yes",$G64&lt;&gt;"",$H64&lt;&gt;"")</formula>
    </cfRule>
  </conditionalFormatting>
  <conditionalFormatting sqref="E28">
    <cfRule type="expression" dxfId="66" priority="1">
      <formula>AND(OR($F28="No",$F28=""), $E28= "Yes",$G28&lt;&gt;"",$H28&lt;&gt;"")</formula>
    </cfRule>
  </conditionalFormatting>
  <dataValidations count="2">
    <dataValidation type="list" allowBlank="1" showInputMessage="1" showErrorMessage="1" sqref="B3:B28" xr:uid="{7440A30A-DB6C-42D9-A74A-83096DA13796}">
      <formula1>"Phase 1, Phase 2, Phase 3, Phase 4, "</formula1>
    </dataValidation>
    <dataValidation type="list" allowBlank="1" showInputMessage="1" showErrorMessage="1" sqref="F45 K1:K2 E3:E88 K89:K1048576 F49:F51" xr:uid="{DC18D1DE-4330-45F8-AA50-116294833802}">
      <formula1>"Yes, No"</formula1>
    </dataValidation>
  </dataValidations>
  <pageMargins left="0.25" right="0.25" top="0.75" bottom="0.75" header="0.3" footer="0.3"/>
  <pageSetup paperSize="8" fitToHeight="0" orientation="landscape"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pageSetUpPr fitToPage="1"/>
  </sheetPr>
  <dimension ref="A1:O128"/>
  <sheetViews>
    <sheetView zoomScale="60" zoomScaleNormal="60" workbookViewId="0">
      <pane ySplit="2" topLeftCell="C3" activePane="bottomLeft" state="frozen"/>
      <selection pane="bottomLeft" activeCell="C34" sqref="C34"/>
    </sheetView>
  </sheetViews>
  <sheetFormatPr defaultColWidth="8.88671875" defaultRowHeight="15"/>
  <cols>
    <col min="1" max="1" width="8.88671875" style="2" customWidth="1"/>
    <col min="2" max="2" width="7.77734375" style="18" customWidth="1"/>
    <col min="3" max="3" width="60.77734375" style="2" customWidth="1"/>
    <col min="4" max="4" width="38.77734375" style="2" customWidth="1"/>
    <col min="5" max="5" width="11.33203125" style="18" customWidth="1"/>
    <col min="6" max="6" width="12" style="18" customWidth="1"/>
    <col min="7" max="7" width="67.5546875" style="18" customWidth="1"/>
    <col min="8" max="8" width="14.77734375" style="18" customWidth="1"/>
    <col min="9" max="10" width="10.33203125" style="18" customWidth="1"/>
    <col min="11" max="11" width="10.5546875" style="2" customWidth="1"/>
    <col min="12" max="12" width="16.88671875" style="2" customWidth="1"/>
    <col min="13" max="13" width="27.33203125" style="2" customWidth="1"/>
    <col min="14" max="14" width="10" style="2" customWidth="1"/>
    <col min="15" max="15" width="8.88671875" style="2" customWidth="1"/>
    <col min="16" max="16384" width="8.88671875" style="2"/>
  </cols>
  <sheetData>
    <row r="1" spans="1:15" ht="16.5" thickBot="1">
      <c r="A1" s="21"/>
      <c r="B1" s="69" t="s">
        <v>47</v>
      </c>
      <c r="C1" s="56" t="s">
        <v>770</v>
      </c>
      <c r="D1" s="5"/>
      <c r="E1" s="19"/>
      <c r="F1" s="19"/>
      <c r="G1" s="19"/>
      <c r="H1" s="19"/>
      <c r="I1" s="19"/>
      <c r="J1" s="19"/>
      <c r="K1" s="5"/>
      <c r="L1" s="5"/>
    </row>
    <row r="2" spans="1:15" s="6" customFormat="1" ht="90" thickBot="1">
      <c r="A2" s="51" t="s">
        <v>41</v>
      </c>
      <c r="B2" s="62"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ht="35.1" customHeight="1" thickTop="1" thickBot="1">
      <c r="A3" s="128"/>
      <c r="B3" s="92" t="s">
        <v>10</v>
      </c>
      <c r="C3" s="78" t="s">
        <v>771</v>
      </c>
      <c r="D3" s="78" t="s">
        <v>481</v>
      </c>
      <c r="E3" s="78" t="s">
        <v>11</v>
      </c>
      <c r="F3" s="78" t="s">
        <v>21</v>
      </c>
      <c r="G3" s="78" t="s">
        <v>58</v>
      </c>
      <c r="H3" s="87" t="s">
        <v>59</v>
      </c>
      <c r="I3" s="78" t="s">
        <v>60</v>
      </c>
      <c r="J3" s="78" t="s">
        <v>61</v>
      </c>
      <c r="K3" s="78">
        <v>0</v>
      </c>
      <c r="L3" s="78" t="s">
        <v>66</v>
      </c>
      <c r="M3" s="78" t="s">
        <v>67</v>
      </c>
      <c r="N3" s="78">
        <v>1</v>
      </c>
      <c r="O3" s="79">
        <v>1.3888888888888889E-3</v>
      </c>
    </row>
    <row r="4" spans="1:15" ht="35.1" customHeight="1" thickTop="1" thickBot="1">
      <c r="A4" s="128"/>
      <c r="B4" s="89" t="s">
        <v>10</v>
      </c>
      <c r="C4" s="73" t="s">
        <v>772</v>
      </c>
      <c r="D4" s="73" t="s">
        <v>773</v>
      </c>
      <c r="E4" s="73" t="s">
        <v>11</v>
      </c>
      <c r="F4" s="73" t="s">
        <v>21</v>
      </c>
      <c r="G4" s="73" t="s">
        <v>58</v>
      </c>
      <c r="H4" s="86" t="s">
        <v>59</v>
      </c>
      <c r="I4" s="78" t="s">
        <v>60</v>
      </c>
      <c r="J4" s="78" t="s">
        <v>61</v>
      </c>
      <c r="K4" s="78">
        <v>0</v>
      </c>
      <c r="L4" s="78" t="s">
        <v>94</v>
      </c>
      <c r="M4" s="78" t="s">
        <v>63</v>
      </c>
      <c r="N4" s="73">
        <v>1</v>
      </c>
      <c r="O4" s="80">
        <v>2.0833333333333333E-3</v>
      </c>
    </row>
    <row r="5" spans="1:15" ht="35.1" customHeight="1" thickTop="1" thickBot="1">
      <c r="A5" s="128"/>
      <c r="B5" s="91" t="s">
        <v>10</v>
      </c>
      <c r="C5" s="84" t="s">
        <v>774</v>
      </c>
      <c r="D5" s="84" t="s">
        <v>485</v>
      </c>
      <c r="E5" s="84" t="s">
        <v>11</v>
      </c>
      <c r="F5" s="84" t="s">
        <v>21</v>
      </c>
      <c r="G5" s="84" t="s">
        <v>58</v>
      </c>
      <c r="H5" s="88" t="s">
        <v>59</v>
      </c>
      <c r="I5" s="78" t="s">
        <v>60</v>
      </c>
      <c r="J5" s="78" t="s">
        <v>61</v>
      </c>
      <c r="K5" s="78">
        <v>0</v>
      </c>
      <c r="L5" s="78" t="s">
        <v>99</v>
      </c>
      <c r="M5" s="78" t="s">
        <v>63</v>
      </c>
      <c r="N5" s="84">
        <v>1</v>
      </c>
      <c r="O5" s="85">
        <v>1.0416666666666667E-3</v>
      </c>
    </row>
    <row r="6" spans="1:15" ht="35.1" customHeight="1" thickTop="1" thickBot="1">
      <c r="A6" s="146"/>
      <c r="B6" s="92" t="s">
        <v>13</v>
      </c>
      <c r="C6" s="78" t="s">
        <v>775</v>
      </c>
      <c r="D6" s="78" t="s">
        <v>776</v>
      </c>
      <c r="E6" s="78" t="s">
        <v>11</v>
      </c>
      <c r="F6" s="78" t="s">
        <v>21</v>
      </c>
      <c r="G6" s="78" t="s">
        <v>137</v>
      </c>
      <c r="H6" s="87">
        <v>45389</v>
      </c>
      <c r="I6" s="78" t="s">
        <v>132</v>
      </c>
      <c r="J6" s="78" t="s">
        <v>133</v>
      </c>
      <c r="K6" s="78">
        <v>0</v>
      </c>
      <c r="L6" s="78" t="s">
        <v>134</v>
      </c>
      <c r="M6" s="78" t="s">
        <v>107</v>
      </c>
      <c r="N6" s="78">
        <v>4</v>
      </c>
      <c r="O6" s="79">
        <v>1.736111111111111E-3</v>
      </c>
    </row>
    <row r="7" spans="1:15" ht="35.1" customHeight="1" thickTop="1" thickBot="1">
      <c r="A7" s="128"/>
      <c r="B7" s="89" t="s">
        <v>13</v>
      </c>
      <c r="C7" s="73" t="s">
        <v>777</v>
      </c>
      <c r="D7" s="73" t="s">
        <v>778</v>
      </c>
      <c r="E7" s="73" t="s">
        <v>11</v>
      </c>
      <c r="F7" s="73" t="s">
        <v>21</v>
      </c>
      <c r="G7" s="73" t="s">
        <v>142</v>
      </c>
      <c r="H7" s="86">
        <v>45392</v>
      </c>
      <c r="I7" s="78" t="s">
        <v>132</v>
      </c>
      <c r="J7" s="78" t="s">
        <v>133</v>
      </c>
      <c r="K7" s="78">
        <v>0</v>
      </c>
      <c r="L7" s="78" t="s">
        <v>134</v>
      </c>
      <c r="M7" s="78" t="s">
        <v>107</v>
      </c>
      <c r="N7" s="73">
        <v>4</v>
      </c>
      <c r="O7" s="80">
        <v>1.736111111111111E-3</v>
      </c>
    </row>
    <row r="8" spans="1:15" ht="35.1" customHeight="1" thickTop="1" thickBot="1">
      <c r="A8" s="128"/>
      <c r="B8" s="89" t="s">
        <v>13</v>
      </c>
      <c r="C8" s="73" t="s">
        <v>779</v>
      </c>
      <c r="D8" s="73" t="s">
        <v>780</v>
      </c>
      <c r="E8" s="73" t="s">
        <v>11</v>
      </c>
      <c r="F8" s="73" t="s">
        <v>21</v>
      </c>
      <c r="G8" s="73" t="s">
        <v>137</v>
      </c>
      <c r="H8" s="86">
        <v>45389</v>
      </c>
      <c r="I8" s="78" t="s">
        <v>132</v>
      </c>
      <c r="J8" s="78" t="s">
        <v>133</v>
      </c>
      <c r="K8" s="78">
        <v>0</v>
      </c>
      <c r="L8" s="78" t="s">
        <v>134</v>
      </c>
      <c r="M8" s="78" t="s">
        <v>107</v>
      </c>
      <c r="N8" s="73">
        <v>4</v>
      </c>
      <c r="O8" s="80">
        <v>1.736111111111111E-3</v>
      </c>
    </row>
    <row r="9" spans="1:15" ht="35.1" customHeight="1" thickTop="1" thickBot="1">
      <c r="A9" s="128"/>
      <c r="B9" s="89" t="s">
        <v>13</v>
      </c>
      <c r="C9" s="73" t="s">
        <v>781</v>
      </c>
      <c r="D9" s="73" t="s">
        <v>782</v>
      </c>
      <c r="E9" s="73" t="s">
        <v>11</v>
      </c>
      <c r="F9" s="73" t="s">
        <v>21</v>
      </c>
      <c r="G9" s="73" t="s">
        <v>142</v>
      </c>
      <c r="H9" s="86">
        <v>45392</v>
      </c>
      <c r="I9" s="78" t="s">
        <v>132</v>
      </c>
      <c r="J9" s="78" t="s">
        <v>133</v>
      </c>
      <c r="K9" s="78">
        <v>0</v>
      </c>
      <c r="L9" s="78" t="s">
        <v>134</v>
      </c>
      <c r="M9" s="78" t="s">
        <v>107</v>
      </c>
      <c r="N9" s="73">
        <v>4</v>
      </c>
      <c r="O9" s="80">
        <v>1.736111111111111E-3</v>
      </c>
    </row>
    <row r="10" spans="1:15" ht="35.1" customHeight="1" thickTop="1" thickBot="1">
      <c r="A10" s="128"/>
      <c r="B10" s="89" t="s">
        <v>13</v>
      </c>
      <c r="C10" s="73" t="s">
        <v>783</v>
      </c>
      <c r="D10" s="73" t="s">
        <v>495</v>
      </c>
      <c r="E10" s="73" t="s">
        <v>11</v>
      </c>
      <c r="F10" s="73" t="s">
        <v>21</v>
      </c>
      <c r="G10" s="73" t="s">
        <v>784</v>
      </c>
      <c r="H10" s="86">
        <v>45394</v>
      </c>
      <c r="I10" s="78" t="s">
        <v>132</v>
      </c>
      <c r="J10" s="78" t="s">
        <v>61</v>
      </c>
      <c r="K10" s="78">
        <v>0</v>
      </c>
      <c r="L10" s="78" t="s">
        <v>496</v>
      </c>
      <c r="M10" s="78" t="s">
        <v>147</v>
      </c>
      <c r="N10" s="73">
        <v>1</v>
      </c>
      <c r="O10" s="80">
        <v>6.9444444444444447E-4</v>
      </c>
    </row>
    <row r="11" spans="1:15" ht="35.1" customHeight="1" thickTop="1" thickBot="1">
      <c r="A11" s="128"/>
      <c r="B11" s="89" t="s">
        <v>13</v>
      </c>
      <c r="C11" s="73" t="s">
        <v>785</v>
      </c>
      <c r="D11" s="73" t="s">
        <v>498</v>
      </c>
      <c r="E11" s="73" t="s">
        <v>11</v>
      </c>
      <c r="F11" s="73" t="s">
        <v>21</v>
      </c>
      <c r="G11" s="73" t="s">
        <v>142</v>
      </c>
      <c r="H11" s="86">
        <v>45392</v>
      </c>
      <c r="I11" s="78" t="s">
        <v>60</v>
      </c>
      <c r="J11" s="78" t="s">
        <v>133</v>
      </c>
      <c r="K11" s="78">
        <v>0</v>
      </c>
      <c r="L11" s="78" t="s">
        <v>163</v>
      </c>
      <c r="M11" s="78" t="s">
        <v>164</v>
      </c>
      <c r="N11" s="73">
        <v>2</v>
      </c>
      <c r="O11" s="80">
        <v>4.6296296296296293E-4</v>
      </c>
    </row>
    <row r="12" spans="1:15" ht="35.1" customHeight="1" thickTop="1" thickBot="1">
      <c r="A12" s="128"/>
      <c r="B12" s="89" t="s">
        <v>13</v>
      </c>
      <c r="C12" s="73" t="s">
        <v>786</v>
      </c>
      <c r="D12" s="73" t="s">
        <v>500</v>
      </c>
      <c r="E12" s="73" t="s">
        <v>11</v>
      </c>
      <c r="F12" s="73" t="s">
        <v>21</v>
      </c>
      <c r="G12" s="73" t="s">
        <v>142</v>
      </c>
      <c r="H12" s="86">
        <v>45392</v>
      </c>
      <c r="I12" s="78" t="s">
        <v>60</v>
      </c>
      <c r="J12" s="78" t="s">
        <v>133</v>
      </c>
      <c r="K12" s="78">
        <v>0</v>
      </c>
      <c r="L12" s="78" t="s">
        <v>163</v>
      </c>
      <c r="M12" s="78" t="s">
        <v>164</v>
      </c>
      <c r="N12" s="73">
        <v>2</v>
      </c>
      <c r="O12" s="80">
        <v>4.6296296296296293E-4</v>
      </c>
    </row>
    <row r="13" spans="1:15" ht="35.1" customHeight="1" thickTop="1" thickBot="1">
      <c r="A13" s="128"/>
      <c r="B13" s="91" t="s">
        <v>13</v>
      </c>
      <c r="C13" s="84" t="s">
        <v>787</v>
      </c>
      <c r="D13" s="84" t="s">
        <v>502</v>
      </c>
      <c r="E13" s="82" t="s">
        <v>11</v>
      </c>
      <c r="F13" s="82" t="s">
        <v>21</v>
      </c>
      <c r="G13" s="82" t="s">
        <v>178</v>
      </c>
      <c r="H13" s="83">
        <v>45397</v>
      </c>
      <c r="I13" s="78" t="s">
        <v>88</v>
      </c>
      <c r="J13" s="78" t="s">
        <v>61</v>
      </c>
      <c r="K13" s="78">
        <v>0</v>
      </c>
      <c r="L13" s="78" t="s">
        <v>503</v>
      </c>
      <c r="M13" s="78" t="s">
        <v>107</v>
      </c>
      <c r="N13" s="84">
        <v>1</v>
      </c>
      <c r="O13" s="85">
        <v>6.9444444444444447E-4</v>
      </c>
    </row>
    <row r="14" spans="1:15" ht="35.1" customHeight="1" thickTop="1" thickBot="1">
      <c r="A14" s="146"/>
      <c r="B14" s="92" t="s">
        <v>16</v>
      </c>
      <c r="C14" s="78" t="s">
        <v>788</v>
      </c>
      <c r="D14" s="78" t="s">
        <v>207</v>
      </c>
      <c r="E14" s="78" t="s">
        <v>11</v>
      </c>
      <c r="F14" s="78" t="s">
        <v>21</v>
      </c>
      <c r="G14" s="78" t="s">
        <v>789</v>
      </c>
      <c r="H14" s="87">
        <v>45394</v>
      </c>
      <c r="I14" s="78" t="s">
        <v>132</v>
      </c>
      <c r="J14" s="78" t="s">
        <v>133</v>
      </c>
      <c r="K14" s="78">
        <v>0</v>
      </c>
      <c r="L14" s="78" t="s">
        <v>209</v>
      </c>
      <c r="M14" s="78" t="s">
        <v>205</v>
      </c>
      <c r="N14" s="78">
        <v>1</v>
      </c>
      <c r="O14" s="79">
        <v>3.4722222222222224E-4</v>
      </c>
    </row>
    <row r="15" spans="1:15" ht="35.1" customHeight="1" thickTop="1" thickBot="1">
      <c r="A15" s="128"/>
      <c r="B15" s="89" t="s">
        <v>16</v>
      </c>
      <c r="C15" s="73" t="s">
        <v>790</v>
      </c>
      <c r="D15" s="73" t="s">
        <v>207</v>
      </c>
      <c r="E15" s="73" t="s">
        <v>11</v>
      </c>
      <c r="F15" s="73" t="s">
        <v>21</v>
      </c>
      <c r="G15" s="73" t="s">
        <v>789</v>
      </c>
      <c r="H15" s="86">
        <v>45394</v>
      </c>
      <c r="I15" s="78" t="s">
        <v>132</v>
      </c>
      <c r="J15" s="78" t="s">
        <v>133</v>
      </c>
      <c r="K15" s="78">
        <v>0</v>
      </c>
      <c r="L15" s="78" t="s">
        <v>209</v>
      </c>
      <c r="M15" s="78" t="s">
        <v>205</v>
      </c>
      <c r="N15" s="73">
        <v>1</v>
      </c>
      <c r="O15" s="80">
        <v>3.4722222222222224E-4</v>
      </c>
    </row>
    <row r="16" spans="1:15" ht="35.1" customHeight="1" thickTop="1" thickBot="1">
      <c r="A16" s="128"/>
      <c r="B16" s="89" t="s">
        <v>16</v>
      </c>
      <c r="C16" s="73" t="s">
        <v>791</v>
      </c>
      <c r="D16" s="73" t="s">
        <v>792</v>
      </c>
      <c r="E16" s="73" t="s">
        <v>11</v>
      </c>
      <c r="F16" s="73" t="s">
        <v>21</v>
      </c>
      <c r="G16" s="73" t="s">
        <v>213</v>
      </c>
      <c r="H16" s="86">
        <v>45391</v>
      </c>
      <c r="I16" s="78" t="s">
        <v>88</v>
      </c>
      <c r="J16" s="78" t="s">
        <v>133</v>
      </c>
      <c r="K16" s="78">
        <v>0</v>
      </c>
      <c r="L16" s="78" t="s">
        <v>214</v>
      </c>
      <c r="M16" s="78" t="s">
        <v>215</v>
      </c>
      <c r="N16" s="73">
        <v>1</v>
      </c>
      <c r="O16" s="80">
        <v>3.4722222222222224E-4</v>
      </c>
    </row>
    <row r="17" spans="1:15" ht="35.1" customHeight="1" thickTop="1" thickBot="1">
      <c r="A17" s="128"/>
      <c r="B17" s="89" t="s">
        <v>16</v>
      </c>
      <c r="C17" s="73" t="s">
        <v>793</v>
      </c>
      <c r="D17" s="73" t="s">
        <v>217</v>
      </c>
      <c r="E17" s="73" t="s">
        <v>11</v>
      </c>
      <c r="F17" s="73" t="s">
        <v>21</v>
      </c>
      <c r="G17" s="73" t="s">
        <v>218</v>
      </c>
      <c r="H17" s="86">
        <v>45390</v>
      </c>
      <c r="I17" s="78" t="s">
        <v>132</v>
      </c>
      <c r="J17" s="78" t="s">
        <v>133</v>
      </c>
      <c r="K17" s="78">
        <v>0</v>
      </c>
      <c r="L17" s="78" t="s">
        <v>219</v>
      </c>
      <c r="M17" s="78" t="s">
        <v>215</v>
      </c>
      <c r="N17" s="73">
        <v>1</v>
      </c>
      <c r="O17" s="80">
        <v>5.7870370370370378E-4</v>
      </c>
    </row>
    <row r="18" spans="1:15" ht="35.1" customHeight="1" thickTop="1" thickBot="1">
      <c r="A18" s="128"/>
      <c r="B18" s="89" t="s">
        <v>16</v>
      </c>
      <c r="C18" s="73" t="s">
        <v>794</v>
      </c>
      <c r="D18" s="73" t="s">
        <v>221</v>
      </c>
      <c r="E18" s="73" t="s">
        <v>11</v>
      </c>
      <c r="F18" s="73" t="s">
        <v>21</v>
      </c>
      <c r="G18" s="73" t="s">
        <v>754</v>
      </c>
      <c r="H18" s="86">
        <v>45394</v>
      </c>
      <c r="I18" s="78" t="s">
        <v>132</v>
      </c>
      <c r="J18" s="78" t="s">
        <v>133</v>
      </c>
      <c r="K18" s="78">
        <v>0</v>
      </c>
      <c r="L18" s="78" t="s">
        <v>223</v>
      </c>
      <c r="M18" s="78" t="s">
        <v>205</v>
      </c>
      <c r="N18" s="73">
        <v>2</v>
      </c>
      <c r="O18" s="80">
        <v>6.9444444444444447E-4</v>
      </c>
    </row>
    <row r="19" spans="1:15" ht="35.1" customHeight="1" thickTop="1" thickBot="1">
      <c r="A19" s="128"/>
      <c r="B19" s="89" t="s">
        <v>16</v>
      </c>
      <c r="C19" s="73" t="s">
        <v>795</v>
      </c>
      <c r="D19" s="73" t="s">
        <v>225</v>
      </c>
      <c r="E19" s="73" t="s">
        <v>11</v>
      </c>
      <c r="F19" s="73" t="s">
        <v>21</v>
      </c>
      <c r="G19" s="73" t="s">
        <v>226</v>
      </c>
      <c r="H19" s="86">
        <v>45391</v>
      </c>
      <c r="I19" s="78" t="s">
        <v>60</v>
      </c>
      <c r="J19" s="78" t="s">
        <v>133</v>
      </c>
      <c r="K19" s="78">
        <v>0</v>
      </c>
      <c r="L19" s="78" t="s">
        <v>227</v>
      </c>
      <c r="M19" s="78" t="s">
        <v>205</v>
      </c>
      <c r="N19" s="73">
        <v>1</v>
      </c>
      <c r="O19" s="80">
        <v>3.4722222222222224E-4</v>
      </c>
    </row>
    <row r="20" spans="1:15" ht="35.1" customHeight="1" thickTop="1" thickBot="1">
      <c r="A20" s="128"/>
      <c r="B20" s="89" t="s">
        <v>16</v>
      </c>
      <c r="C20" s="73" t="s">
        <v>796</v>
      </c>
      <c r="D20" s="73" t="s">
        <v>229</v>
      </c>
      <c r="E20" s="73" t="s">
        <v>11</v>
      </c>
      <c r="F20" s="73" t="s">
        <v>21</v>
      </c>
      <c r="G20" s="73" t="s">
        <v>230</v>
      </c>
      <c r="H20" s="86">
        <v>45390</v>
      </c>
      <c r="I20" s="78" t="s">
        <v>132</v>
      </c>
      <c r="J20" s="78" t="s">
        <v>61</v>
      </c>
      <c r="K20" s="78">
        <v>0</v>
      </c>
      <c r="L20" s="78" t="s">
        <v>219</v>
      </c>
      <c r="M20" s="78" t="s">
        <v>205</v>
      </c>
      <c r="N20" s="73">
        <v>1</v>
      </c>
      <c r="O20" s="80">
        <v>1.0416666666666667E-3</v>
      </c>
    </row>
    <row r="21" spans="1:15" ht="35.1" customHeight="1" thickTop="1" thickBot="1">
      <c r="A21" s="128"/>
      <c r="B21" s="89" t="s">
        <v>16</v>
      </c>
      <c r="C21" s="73" t="s">
        <v>797</v>
      </c>
      <c r="D21" s="73" t="s">
        <v>232</v>
      </c>
      <c r="E21" s="73" t="s">
        <v>11</v>
      </c>
      <c r="F21" s="73" t="s">
        <v>21</v>
      </c>
      <c r="G21" s="73" t="s">
        <v>756</v>
      </c>
      <c r="H21" s="86">
        <v>45394</v>
      </c>
      <c r="I21" s="78" t="s">
        <v>132</v>
      </c>
      <c r="J21" s="78" t="s">
        <v>133</v>
      </c>
      <c r="K21" s="78">
        <v>0</v>
      </c>
      <c r="L21" s="78" t="s">
        <v>234</v>
      </c>
      <c r="M21" s="78" t="s">
        <v>205</v>
      </c>
      <c r="N21" s="73">
        <v>1</v>
      </c>
      <c r="O21" s="80">
        <v>1.1574074074074073E-4</v>
      </c>
    </row>
    <row r="22" spans="1:15" ht="35.1" customHeight="1" thickTop="1" thickBot="1">
      <c r="A22" s="128"/>
      <c r="B22" s="89" t="s">
        <v>16</v>
      </c>
      <c r="C22" s="73" t="s">
        <v>798</v>
      </c>
      <c r="D22" s="73" t="s">
        <v>516</v>
      </c>
      <c r="E22" s="73" t="s">
        <v>11</v>
      </c>
      <c r="F22" s="73" t="s">
        <v>21</v>
      </c>
      <c r="G22" s="73" t="s">
        <v>213</v>
      </c>
      <c r="H22" s="86">
        <v>45391</v>
      </c>
      <c r="I22" s="78" t="s">
        <v>88</v>
      </c>
      <c r="J22" s="78" t="s">
        <v>133</v>
      </c>
      <c r="K22" s="78">
        <v>0</v>
      </c>
      <c r="L22" s="78" t="s">
        <v>517</v>
      </c>
      <c r="M22" s="78" t="s">
        <v>215</v>
      </c>
      <c r="N22" s="73">
        <v>1</v>
      </c>
      <c r="O22" s="80">
        <v>3.4722222222222224E-4</v>
      </c>
    </row>
    <row r="23" spans="1:15" ht="35.1" customHeight="1" thickTop="1" thickBot="1">
      <c r="A23" s="128"/>
      <c r="B23" s="89" t="s">
        <v>16</v>
      </c>
      <c r="C23" s="73" t="s">
        <v>799</v>
      </c>
      <c r="D23" s="73" t="s">
        <v>245</v>
      </c>
      <c r="E23" s="73" t="s">
        <v>11</v>
      </c>
      <c r="F23" s="73" t="s">
        <v>21</v>
      </c>
      <c r="G23" s="73" t="s">
        <v>800</v>
      </c>
      <c r="H23" s="86">
        <v>45393</v>
      </c>
      <c r="I23" s="78" t="s">
        <v>132</v>
      </c>
      <c r="J23" s="78" t="s">
        <v>133</v>
      </c>
      <c r="K23" s="78">
        <v>0</v>
      </c>
      <c r="L23" s="78" t="s">
        <v>247</v>
      </c>
      <c r="M23" s="78" t="s">
        <v>205</v>
      </c>
      <c r="N23" s="73">
        <v>1</v>
      </c>
      <c r="O23" s="80">
        <v>6.9444444444444447E-4</v>
      </c>
    </row>
    <row r="24" spans="1:15" ht="35.1" customHeight="1" thickTop="1" thickBot="1">
      <c r="A24" s="128"/>
      <c r="B24" s="89" t="s">
        <v>16</v>
      </c>
      <c r="C24" s="73" t="s">
        <v>801</v>
      </c>
      <c r="D24" s="73" t="s">
        <v>268</v>
      </c>
      <c r="E24" s="73" t="s">
        <v>11</v>
      </c>
      <c r="F24" s="73" t="s">
        <v>21</v>
      </c>
      <c r="G24" s="73" t="s">
        <v>265</v>
      </c>
      <c r="H24" s="86">
        <v>45391</v>
      </c>
      <c r="I24" s="78" t="s">
        <v>60</v>
      </c>
      <c r="J24" s="78" t="s">
        <v>133</v>
      </c>
      <c r="K24" s="78">
        <v>0</v>
      </c>
      <c r="L24" s="78" t="s">
        <v>269</v>
      </c>
      <c r="M24" s="78" t="s">
        <v>205</v>
      </c>
      <c r="N24" s="73">
        <v>1</v>
      </c>
      <c r="O24" s="80">
        <v>3.4722222222222224E-4</v>
      </c>
    </row>
    <row r="25" spans="1:15" ht="35.1" customHeight="1" thickTop="1" thickBot="1">
      <c r="A25" s="128"/>
      <c r="B25" s="89" t="s">
        <v>16</v>
      </c>
      <c r="C25" s="73" t="s">
        <v>802</v>
      </c>
      <c r="D25" s="73" t="s">
        <v>536</v>
      </c>
      <c r="E25" s="73" t="s">
        <v>11</v>
      </c>
      <c r="F25" s="73" t="s">
        <v>21</v>
      </c>
      <c r="G25" s="73">
        <v>0</v>
      </c>
      <c r="H25" s="86">
        <v>0</v>
      </c>
      <c r="I25" s="78" t="s">
        <v>88</v>
      </c>
      <c r="J25" s="78" t="s">
        <v>133</v>
      </c>
      <c r="K25" s="78">
        <v>0</v>
      </c>
      <c r="L25" s="78" t="s">
        <v>276</v>
      </c>
      <c r="M25" s="78" t="s">
        <v>215</v>
      </c>
      <c r="N25" s="73">
        <v>1</v>
      </c>
      <c r="O25" s="80">
        <v>3.4722222222222224E-4</v>
      </c>
    </row>
    <row r="26" spans="1:15" ht="35.1" customHeight="1" thickTop="1" thickBot="1">
      <c r="A26" s="128"/>
      <c r="B26" s="89" t="s">
        <v>16</v>
      </c>
      <c r="C26" s="73" t="s">
        <v>803</v>
      </c>
      <c r="D26" s="73" t="s">
        <v>538</v>
      </c>
      <c r="E26" s="73" t="s">
        <v>11</v>
      </c>
      <c r="F26" s="73" t="s">
        <v>21</v>
      </c>
      <c r="G26" s="73">
        <v>0</v>
      </c>
      <c r="H26" s="86">
        <v>0</v>
      </c>
      <c r="I26" s="78" t="s">
        <v>88</v>
      </c>
      <c r="J26" s="78" t="s">
        <v>133</v>
      </c>
      <c r="K26" s="78">
        <v>0</v>
      </c>
      <c r="L26" s="78" t="s">
        <v>284</v>
      </c>
      <c r="M26" s="78" t="s">
        <v>215</v>
      </c>
      <c r="N26" s="73">
        <v>1</v>
      </c>
      <c r="O26" s="80">
        <v>6.9444444444444447E-4</v>
      </c>
    </row>
    <row r="27" spans="1:15" ht="35.1" customHeight="1" thickTop="1" thickBot="1">
      <c r="A27" s="128"/>
      <c r="B27" s="89" t="s">
        <v>16</v>
      </c>
      <c r="C27" s="73" t="s">
        <v>804</v>
      </c>
      <c r="D27" s="73" t="s">
        <v>286</v>
      </c>
      <c r="E27" s="73" t="s">
        <v>11</v>
      </c>
      <c r="F27" s="73" t="s">
        <v>21</v>
      </c>
      <c r="G27" s="73" t="s">
        <v>287</v>
      </c>
      <c r="H27" s="86">
        <v>45391</v>
      </c>
      <c r="I27" s="78" t="s">
        <v>60</v>
      </c>
      <c r="J27" s="78" t="s">
        <v>133</v>
      </c>
      <c r="K27" s="78">
        <v>0</v>
      </c>
      <c r="L27" s="78" t="s">
        <v>288</v>
      </c>
      <c r="M27" s="78" t="s">
        <v>205</v>
      </c>
      <c r="N27" s="73">
        <v>1</v>
      </c>
      <c r="O27" s="80">
        <v>3.4722222222222224E-4</v>
      </c>
    </row>
    <row r="28" spans="1:15" ht="35.1" customHeight="1" thickTop="1" thickBot="1">
      <c r="A28" s="128"/>
      <c r="B28" s="89" t="s">
        <v>16</v>
      </c>
      <c r="C28" s="73" t="s">
        <v>805</v>
      </c>
      <c r="D28" s="73" t="s">
        <v>290</v>
      </c>
      <c r="E28" s="73" t="s">
        <v>11</v>
      </c>
      <c r="F28" s="73" t="s">
        <v>21</v>
      </c>
      <c r="G28" s="73" t="s">
        <v>291</v>
      </c>
      <c r="H28" s="86">
        <v>45390</v>
      </c>
      <c r="I28" s="78" t="s">
        <v>132</v>
      </c>
      <c r="J28" s="78" t="s">
        <v>133</v>
      </c>
      <c r="K28" s="78">
        <v>0</v>
      </c>
      <c r="L28" s="78" t="s">
        <v>292</v>
      </c>
      <c r="M28" s="78" t="s">
        <v>205</v>
      </c>
      <c r="N28" s="73">
        <v>1</v>
      </c>
      <c r="O28" s="80">
        <v>6.9444444444444447E-4</v>
      </c>
    </row>
    <row r="29" spans="1:15" ht="35.1" customHeight="1" thickTop="1" thickBot="1">
      <c r="A29" s="128"/>
      <c r="B29" s="89" t="s">
        <v>16</v>
      </c>
      <c r="C29" s="73" t="s">
        <v>806</v>
      </c>
      <c r="D29" s="73" t="s">
        <v>807</v>
      </c>
      <c r="E29" s="73" t="s">
        <v>11</v>
      </c>
      <c r="F29" s="73" t="s">
        <v>21</v>
      </c>
      <c r="G29" s="73" t="s">
        <v>310</v>
      </c>
      <c r="H29" s="86">
        <v>45391</v>
      </c>
      <c r="I29" s="78" t="s">
        <v>60</v>
      </c>
      <c r="J29" s="78" t="s">
        <v>133</v>
      </c>
      <c r="K29" s="78">
        <v>0</v>
      </c>
      <c r="L29" s="78" t="s">
        <v>311</v>
      </c>
      <c r="M29" s="78" t="s">
        <v>205</v>
      </c>
      <c r="N29" s="73">
        <v>1</v>
      </c>
      <c r="O29" s="80">
        <v>8.6805555555555551E-4</v>
      </c>
    </row>
    <row r="30" spans="1:15" ht="35.1" customHeight="1" thickTop="1" thickBot="1">
      <c r="A30" s="128"/>
      <c r="B30" s="89" t="s">
        <v>16</v>
      </c>
      <c r="C30" s="73" t="s">
        <v>808</v>
      </c>
      <c r="D30" s="73" t="s">
        <v>551</v>
      </c>
      <c r="E30" s="73" t="s">
        <v>11</v>
      </c>
      <c r="F30" s="73" t="s">
        <v>21</v>
      </c>
      <c r="G30" s="73" t="s">
        <v>552</v>
      </c>
      <c r="H30" s="86">
        <v>45390</v>
      </c>
      <c r="I30" s="78" t="s">
        <v>132</v>
      </c>
      <c r="J30" s="78" t="s">
        <v>133</v>
      </c>
      <c r="K30" s="78">
        <v>0</v>
      </c>
      <c r="L30" s="78" t="s">
        <v>315</v>
      </c>
      <c r="M30" s="78" t="s">
        <v>205</v>
      </c>
      <c r="N30" s="73">
        <v>1</v>
      </c>
      <c r="O30" s="80">
        <v>6.9444444444444447E-4</v>
      </c>
    </row>
    <row r="31" spans="1:15" ht="35.1" customHeight="1" thickTop="1" thickBot="1">
      <c r="A31" s="128"/>
      <c r="B31" s="91" t="s">
        <v>16</v>
      </c>
      <c r="C31" s="84" t="s">
        <v>809</v>
      </c>
      <c r="D31" s="84" t="s">
        <v>554</v>
      </c>
      <c r="E31" s="84" t="s">
        <v>11</v>
      </c>
      <c r="F31" s="84" t="s">
        <v>21</v>
      </c>
      <c r="G31" s="84" t="s">
        <v>552</v>
      </c>
      <c r="H31" s="88">
        <v>45390</v>
      </c>
      <c r="I31" s="78" t="s">
        <v>132</v>
      </c>
      <c r="J31" s="78" t="s">
        <v>133</v>
      </c>
      <c r="K31" s="78">
        <v>0</v>
      </c>
      <c r="L31" s="78" t="s">
        <v>315</v>
      </c>
      <c r="M31" s="78" t="s">
        <v>205</v>
      </c>
      <c r="N31" s="84">
        <v>1</v>
      </c>
      <c r="O31" s="85">
        <v>6.9444444444444447E-4</v>
      </c>
    </row>
    <row r="32" spans="1:15" ht="35.1" customHeight="1" thickTop="1" thickBot="1">
      <c r="A32" s="146"/>
      <c r="B32" s="173" t="s">
        <v>20</v>
      </c>
      <c r="C32" s="164" t="s">
        <v>810</v>
      </c>
      <c r="D32" s="164" t="s">
        <v>811</v>
      </c>
      <c r="E32" s="164" t="s">
        <v>11</v>
      </c>
      <c r="F32" s="164" t="s">
        <v>21</v>
      </c>
      <c r="G32" s="164" t="s">
        <v>768</v>
      </c>
      <c r="H32" s="166">
        <v>45983</v>
      </c>
      <c r="I32" s="164" t="s">
        <v>132</v>
      </c>
      <c r="J32" s="164" t="s">
        <v>133</v>
      </c>
      <c r="K32" s="164">
        <v>0</v>
      </c>
      <c r="L32" s="164" t="s">
        <v>354</v>
      </c>
      <c r="M32" s="164" t="s">
        <v>350</v>
      </c>
      <c r="N32" s="164">
        <v>2</v>
      </c>
      <c r="O32" s="165">
        <v>2.0833333333333333E-3</v>
      </c>
    </row>
    <row r="33" spans="1:15" ht="35.1" customHeight="1" thickTop="1" thickBot="1">
      <c r="A33" s="128"/>
      <c r="B33" s="156" t="s">
        <v>20</v>
      </c>
      <c r="C33" s="154" t="s">
        <v>812</v>
      </c>
      <c r="D33" s="154" t="s">
        <v>813</v>
      </c>
      <c r="E33" s="154" t="s">
        <v>11</v>
      </c>
      <c r="F33" s="154" t="s">
        <v>21</v>
      </c>
      <c r="G33" s="154" t="s">
        <v>768</v>
      </c>
      <c r="H33" s="155">
        <v>45983</v>
      </c>
      <c r="I33" s="164" t="s">
        <v>132</v>
      </c>
      <c r="J33" s="164" t="s">
        <v>133</v>
      </c>
      <c r="K33" s="164">
        <v>0</v>
      </c>
      <c r="L33" s="164" t="s">
        <v>354</v>
      </c>
      <c r="M33" s="164" t="s">
        <v>350</v>
      </c>
      <c r="N33" s="154">
        <v>2</v>
      </c>
      <c r="O33" s="162">
        <v>2.0833333333333333E-3</v>
      </c>
    </row>
    <row r="34" spans="1:15" ht="43.5" customHeight="1">
      <c r="A34" s="128"/>
      <c r="B34" s="156" t="s">
        <v>20</v>
      </c>
      <c r="C34" s="100" t="s">
        <v>814</v>
      </c>
      <c r="D34" s="100" t="s">
        <v>815</v>
      </c>
      <c r="E34" s="100" t="s">
        <v>11</v>
      </c>
      <c r="F34" s="100" t="s">
        <v>21</v>
      </c>
      <c r="G34" s="100" t="s">
        <v>767</v>
      </c>
      <c r="H34" s="100">
        <f>'UNDM 4 Car'!H66</f>
        <v>45987</v>
      </c>
      <c r="I34" s="78" t="s">
        <v>132</v>
      </c>
      <c r="J34" s="78" t="s">
        <v>133</v>
      </c>
      <c r="K34" s="78">
        <v>0</v>
      </c>
      <c r="L34" s="78" t="s">
        <v>345</v>
      </c>
      <c r="M34" s="78" t="s">
        <v>340</v>
      </c>
      <c r="N34" s="100">
        <v>4</v>
      </c>
      <c r="O34" s="109">
        <v>5.208333333333333E-3</v>
      </c>
    </row>
    <row r="35" spans="1:15" ht="43.5" customHeight="1">
      <c r="A35" s="128"/>
      <c r="B35" s="156" t="s">
        <v>20</v>
      </c>
      <c r="C35" s="100" t="s">
        <v>816</v>
      </c>
      <c r="D35" s="100" t="s">
        <v>561</v>
      </c>
      <c r="E35" s="100" t="s">
        <v>11</v>
      </c>
      <c r="F35" s="100" t="str">
        <f>'Trailer 4 Car'!F44</f>
        <v>No</v>
      </c>
      <c r="G35" s="100" t="str">
        <f>'Trailer 4 Car'!G44</f>
        <v>AD, BV,KA,AS,ASS,MAA</v>
      </c>
      <c r="H35" s="100">
        <f>'Trailer 4 Car'!H44</f>
        <v>45986</v>
      </c>
      <c r="I35" s="78" t="s">
        <v>132</v>
      </c>
      <c r="J35" s="78" t="s">
        <v>133</v>
      </c>
      <c r="K35" s="78">
        <v>0</v>
      </c>
      <c r="L35" s="78" t="s">
        <v>345</v>
      </c>
      <c r="M35" s="78" t="s">
        <v>340</v>
      </c>
      <c r="N35" s="100">
        <v>4</v>
      </c>
      <c r="O35" s="109">
        <v>5.208333333333333E-3</v>
      </c>
    </row>
    <row r="36" spans="1:15" ht="35.1" customHeight="1" thickTop="1" thickBot="1">
      <c r="A36" s="128"/>
      <c r="B36" s="106" t="s">
        <v>20</v>
      </c>
      <c r="C36" s="100" t="s">
        <v>817</v>
      </c>
      <c r="D36" s="100" t="s">
        <v>373</v>
      </c>
      <c r="E36" s="100"/>
      <c r="F36" s="100"/>
      <c r="G36" s="100"/>
      <c r="H36" s="130"/>
      <c r="I36" s="78" t="s">
        <v>132</v>
      </c>
      <c r="J36" s="78" t="s">
        <v>133</v>
      </c>
      <c r="K36" s="78">
        <v>0</v>
      </c>
      <c r="L36" s="78" t="s">
        <v>374</v>
      </c>
      <c r="M36" s="78" t="s">
        <v>205</v>
      </c>
      <c r="N36" s="100">
        <v>2</v>
      </c>
      <c r="O36" s="109">
        <v>1.736111111111111E-3</v>
      </c>
    </row>
    <row r="37" spans="1:15" ht="35.1" customHeight="1" thickTop="1" thickBot="1">
      <c r="A37" s="128"/>
      <c r="B37" s="106" t="s">
        <v>20</v>
      </c>
      <c r="C37" s="100" t="s">
        <v>818</v>
      </c>
      <c r="D37" s="100" t="s">
        <v>819</v>
      </c>
      <c r="E37" s="100"/>
      <c r="F37" s="100"/>
      <c r="G37" s="100"/>
      <c r="H37" s="130"/>
      <c r="I37" s="78" t="s">
        <v>60</v>
      </c>
      <c r="J37" s="78" t="s">
        <v>133</v>
      </c>
      <c r="K37" s="78">
        <v>0</v>
      </c>
      <c r="L37" s="78" t="s">
        <v>377</v>
      </c>
      <c r="M37" s="78" t="s">
        <v>164</v>
      </c>
      <c r="N37" s="100">
        <v>2</v>
      </c>
      <c r="O37" s="109">
        <v>4.6296296296296293E-4</v>
      </c>
    </row>
    <row r="38" spans="1:15" ht="35.1" customHeight="1">
      <c r="A38" s="128"/>
      <c r="B38" s="106" t="s">
        <v>20</v>
      </c>
      <c r="C38" s="100" t="s">
        <v>820</v>
      </c>
      <c r="D38" s="100" t="s">
        <v>414</v>
      </c>
      <c r="E38" s="100"/>
      <c r="F38" s="100"/>
      <c r="G38" s="100"/>
      <c r="H38" s="130"/>
      <c r="I38" s="78" t="s">
        <v>88</v>
      </c>
      <c r="J38" s="78" t="s">
        <v>61</v>
      </c>
      <c r="K38" s="78">
        <v>0</v>
      </c>
      <c r="L38" s="78" t="s">
        <v>415</v>
      </c>
      <c r="M38" s="78" t="s">
        <v>107</v>
      </c>
      <c r="N38" s="100">
        <v>4</v>
      </c>
      <c r="O38" s="109">
        <v>2.0833333333333333E-3</v>
      </c>
    </row>
    <row r="39" spans="1:15" ht="35.1" customHeight="1" thickTop="1" thickBot="1">
      <c r="A39" s="128"/>
      <c r="B39" s="111" t="s">
        <v>20</v>
      </c>
      <c r="C39" s="112" t="s">
        <v>821</v>
      </c>
      <c r="D39" s="112" t="s">
        <v>426</v>
      </c>
      <c r="E39" s="112"/>
      <c r="F39" s="112"/>
      <c r="G39" s="112"/>
      <c r="H39" s="131"/>
      <c r="I39" s="78" t="s">
        <v>60</v>
      </c>
      <c r="J39" s="78" t="s">
        <v>61</v>
      </c>
      <c r="K39" s="78">
        <v>0</v>
      </c>
      <c r="L39" s="78" t="s">
        <v>427</v>
      </c>
      <c r="M39" s="78" t="s">
        <v>107</v>
      </c>
      <c r="N39" s="112">
        <v>2</v>
      </c>
      <c r="O39" s="116">
        <v>6.9444444444444447E-4</v>
      </c>
    </row>
    <row r="40" spans="1:15" ht="35.1" customHeight="1" thickTop="1" thickBot="1">
      <c r="A40" s="146"/>
      <c r="B40" s="101" t="s">
        <v>24</v>
      </c>
      <c r="C40" s="102" t="s">
        <v>822</v>
      </c>
      <c r="D40" s="102" t="s">
        <v>435</v>
      </c>
      <c r="E40" s="102"/>
      <c r="F40" s="102"/>
      <c r="G40" s="102"/>
      <c r="H40" s="129"/>
      <c r="I40" s="78" t="s">
        <v>132</v>
      </c>
      <c r="J40" s="78" t="s">
        <v>61</v>
      </c>
      <c r="K40" s="78">
        <v>0</v>
      </c>
      <c r="L40" s="78" t="s">
        <v>436</v>
      </c>
      <c r="M40" s="78" t="s">
        <v>239</v>
      </c>
      <c r="N40" s="102">
        <v>1</v>
      </c>
      <c r="O40" s="105">
        <v>6.9444444444444447E-4</v>
      </c>
    </row>
    <row r="41" spans="1:15" ht="35.1" customHeight="1" thickTop="1" thickBot="1">
      <c r="A41" s="117"/>
      <c r="B41" s="106" t="s">
        <v>24</v>
      </c>
      <c r="C41" s="100" t="s">
        <v>823</v>
      </c>
      <c r="D41" s="100" t="s">
        <v>824</v>
      </c>
      <c r="E41" s="100"/>
      <c r="F41" s="100"/>
      <c r="G41" s="100"/>
      <c r="H41" s="130"/>
      <c r="I41" s="78" t="s">
        <v>132</v>
      </c>
      <c r="J41" s="78" t="s">
        <v>61</v>
      </c>
      <c r="K41" s="78">
        <v>0</v>
      </c>
      <c r="L41" s="78">
        <v>0</v>
      </c>
      <c r="M41" s="78" t="s">
        <v>440</v>
      </c>
      <c r="N41" s="100">
        <v>1</v>
      </c>
      <c r="O41" s="109">
        <v>3.4722222222222224E-4</v>
      </c>
    </row>
    <row r="42" spans="1:15" ht="35.1" customHeight="1" thickTop="1" thickBot="1">
      <c r="B42" s="149" t="s">
        <v>599</v>
      </c>
      <c r="C42" s="150" t="s">
        <v>600</v>
      </c>
      <c r="D42" s="150" t="s">
        <v>601</v>
      </c>
      <c r="E42" s="115"/>
      <c r="F42" s="115"/>
      <c r="G42" s="115"/>
      <c r="H42" s="115"/>
      <c r="I42" s="78" t="s">
        <v>60</v>
      </c>
      <c r="J42" s="78" t="s">
        <v>133</v>
      </c>
      <c r="K42" s="78">
        <v>0</v>
      </c>
      <c r="L42" s="78">
        <v>0</v>
      </c>
      <c r="M42" s="78" t="s">
        <v>107</v>
      </c>
      <c r="N42" s="136"/>
      <c r="O42" s="137"/>
    </row>
    <row r="43" spans="1:15" ht="15.75" thickTop="1"/>
    <row r="88" ht="66" customHeight="1"/>
    <row r="128" ht="66" customHeight="1"/>
  </sheetData>
  <autoFilter ref="A2:J42" xr:uid="{A1F54CA9-D850-4C56-9250-200AD4095B93}"/>
  <conditionalFormatting sqref="C3:D9 C11:D15 E3:H12 C36:D41 D34:D35 C17:D21 C16 C23:D33 C22 E14:H41">
    <cfRule type="expression" dxfId="65" priority="21">
      <formula>AND(OR($F3="No",$F3=""), $E3= "Yes",$G3&lt;&gt;"",$H3&lt;&gt;"")</formula>
    </cfRule>
  </conditionalFormatting>
  <conditionalFormatting sqref="C10:D10">
    <cfRule type="expression" dxfId="64" priority="131">
      <formula>AND(OR($F10="No",$F10=""), $E10= "Yes",#REF!&lt;&gt;"",$H10&lt;&gt;"")</formula>
    </cfRule>
  </conditionalFormatting>
  <conditionalFormatting sqref="N3:O3 N5:O12 N35:O36 N38:O40 N14:O31">
    <cfRule type="expression" dxfId="63" priority="12">
      <formula>AND(OR($F3="No",$F3=""), $E3= "Yes",$G3&lt;&gt;"",$H3&lt;&gt;"")</formula>
    </cfRule>
  </conditionalFormatting>
  <conditionalFormatting sqref="N4:O4">
    <cfRule type="expression" dxfId="62" priority="11">
      <formula>AND(OR($F4="No",$F4=""), $E4= "Yes",$G4&lt;&gt;"",$H4&lt;&gt;"")</formula>
    </cfRule>
  </conditionalFormatting>
  <conditionalFormatting sqref="N32:O32">
    <cfRule type="expression" dxfId="61" priority="10">
      <formula>AND(OR($F32="No",$F32=""), $E32= "Yes",$G32&lt;&gt;"",$H32&lt;&gt;"")</formula>
    </cfRule>
  </conditionalFormatting>
  <conditionalFormatting sqref="N33:O33">
    <cfRule type="expression" dxfId="60" priority="9">
      <formula>AND(OR($F33="No",$F33=""), $E33= "Yes",$G33&lt;&gt;"",$H33&lt;&gt;"")</formula>
    </cfRule>
  </conditionalFormatting>
  <conditionalFormatting sqref="N34:O34">
    <cfRule type="expression" dxfId="59" priority="8">
      <formula>AND(OR($F34="No",$F34=""), $E34= "Yes",$G34&lt;&gt;"",$H34&lt;&gt;"")</formula>
    </cfRule>
  </conditionalFormatting>
  <conditionalFormatting sqref="N37:O37">
    <cfRule type="expression" dxfId="58" priority="7">
      <formula>AND(OR($F37="No",$F37=""), $E37= "Yes",$G37&lt;&gt;"",$H37&lt;&gt;"")</formula>
    </cfRule>
  </conditionalFormatting>
  <conditionalFormatting sqref="N41:O41">
    <cfRule type="expression" dxfId="57" priority="6">
      <formula>AND(OR($E41="No",$E41=""), $D41= "Yes",$F41&lt;&gt;"",$G41&lt;&gt;"")</formula>
    </cfRule>
  </conditionalFormatting>
  <conditionalFormatting sqref="N13:O13">
    <cfRule type="expression" dxfId="56" priority="5">
      <formula>AND(OR($F13="No",$F13=""), $E13= "Yes",$G13&lt;&gt;"",$H13&lt;&gt;"")</formula>
    </cfRule>
  </conditionalFormatting>
  <conditionalFormatting sqref="C34:C35">
    <cfRule type="expression" dxfId="55" priority="4">
      <formula>AND(OR($F34="No",$F34=""), $E34= "Yes",$G34&lt;&gt;"",$H34&lt;&gt;"")</formula>
    </cfRule>
  </conditionalFormatting>
  <conditionalFormatting sqref="I3:M42">
    <cfRule type="expression" dxfId="54" priority="3">
      <formula>AND(OR($F3="No",$F3=""), $E3= "Yes",$G3&lt;&gt;"",$H3&lt;&gt;"")</formula>
    </cfRule>
  </conditionalFormatting>
  <conditionalFormatting sqref="D16">
    <cfRule type="expression" dxfId="53" priority="2">
      <formula>AND(OR($F16="No",$F16=""), $E16= "Yes",$G16&lt;&gt;"",$H16&lt;&gt;"")</formula>
    </cfRule>
  </conditionalFormatting>
  <conditionalFormatting sqref="D22">
    <cfRule type="expression" dxfId="52" priority="1">
      <formula>AND(OR($F22="No",$F22=""), $E22= "Yes",$G22&lt;&gt;"",$H22&lt;&gt;"")</formula>
    </cfRule>
  </conditionalFormatting>
  <dataValidations count="1">
    <dataValidation type="list" allowBlank="1" showInputMessage="1" showErrorMessage="1" sqref="E36:E41 E3:E12 E14:E33 K1:K2 K43:K1048576" xr:uid="{63B66D06-6651-4924-98D9-F3C7F6C19769}">
      <formula1>"Yes, No"</formula1>
    </dataValidation>
  </dataValidations>
  <pageMargins left="0.25" right="0.25" top="0.75" bottom="0.75" header="0.3" footer="0.3"/>
  <pageSetup paperSize="8"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pageSetUpPr fitToPage="1"/>
  </sheetPr>
  <dimension ref="A1:P128"/>
  <sheetViews>
    <sheetView zoomScale="60" zoomScaleNormal="60" workbookViewId="0">
      <pane ySplit="2" topLeftCell="A45" activePane="bottomLeft" state="frozen"/>
      <selection pane="bottomLeft" activeCell="G31" sqref="G31"/>
    </sheetView>
  </sheetViews>
  <sheetFormatPr defaultColWidth="8.88671875" defaultRowHeight="15"/>
  <cols>
    <col min="1" max="1" width="8.88671875" style="2" customWidth="1"/>
    <col min="2" max="2" width="7.77734375" style="18" customWidth="1"/>
    <col min="3" max="3" width="60.77734375" style="2" customWidth="1"/>
    <col min="4" max="4" width="38.77734375" style="2" customWidth="1"/>
    <col min="5" max="5" width="8.88671875" style="2" customWidth="1"/>
    <col min="6" max="6" width="7.77734375" style="2" customWidth="1"/>
    <col min="7" max="7" width="63.33203125" style="2" customWidth="1"/>
    <col min="8" max="8" width="16.21875" style="2" customWidth="1"/>
    <col min="9" max="10" width="10.33203125" style="18" customWidth="1"/>
    <col min="11" max="11" width="10.5546875" style="2" customWidth="1"/>
    <col min="12" max="12" width="15.88671875" style="2" customWidth="1"/>
    <col min="13" max="13" width="27.33203125" style="2" customWidth="1"/>
    <col min="14" max="14" width="10.33203125" style="2" customWidth="1"/>
    <col min="15" max="15" width="8.88671875" style="2" customWidth="1"/>
    <col min="16" max="16384" width="8.88671875" style="2"/>
  </cols>
  <sheetData>
    <row r="1" spans="1:15" ht="16.5" thickBot="1">
      <c r="A1" s="21"/>
      <c r="B1" s="69" t="s">
        <v>47</v>
      </c>
      <c r="C1" s="56" t="s">
        <v>825</v>
      </c>
      <c r="D1" s="5"/>
      <c r="E1" s="5"/>
      <c r="F1" s="5"/>
      <c r="G1" s="5"/>
      <c r="H1" s="5"/>
      <c r="I1" s="19"/>
      <c r="J1" s="19"/>
      <c r="K1" s="5"/>
      <c r="L1" s="5"/>
    </row>
    <row r="2" spans="1:15" s="6" customFormat="1" ht="90" thickBot="1">
      <c r="A2" s="51" t="s">
        <v>41</v>
      </c>
      <c r="B2" s="62"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ht="35.1" customHeight="1" thickTop="1" thickBot="1">
      <c r="A3" s="128"/>
      <c r="B3" s="92" t="s">
        <v>10</v>
      </c>
      <c r="C3" s="78" t="s">
        <v>477</v>
      </c>
      <c r="D3" s="78" t="s">
        <v>478</v>
      </c>
      <c r="E3" s="78" t="s">
        <v>11</v>
      </c>
      <c r="F3" s="78" t="s">
        <v>21</v>
      </c>
      <c r="G3" s="78" t="s">
        <v>58</v>
      </c>
      <c r="H3" s="87" t="s">
        <v>59</v>
      </c>
      <c r="I3" s="78" t="s">
        <v>60</v>
      </c>
      <c r="J3" s="78" t="s">
        <v>61</v>
      </c>
      <c r="K3" s="78">
        <v>0</v>
      </c>
      <c r="L3" s="78" t="s">
        <v>479</v>
      </c>
      <c r="M3" s="78" t="s">
        <v>63</v>
      </c>
      <c r="N3" s="78">
        <v>2</v>
      </c>
      <c r="O3" s="79">
        <v>5.2083333333333333E-4</v>
      </c>
    </row>
    <row r="4" spans="1:15" ht="35.1" customHeight="1" thickTop="1" thickBot="1">
      <c r="A4" s="128"/>
      <c r="B4" s="89" t="s">
        <v>10</v>
      </c>
      <c r="C4" s="73" t="s">
        <v>480</v>
      </c>
      <c r="D4" s="73" t="s">
        <v>481</v>
      </c>
      <c r="E4" s="73" t="s">
        <v>11</v>
      </c>
      <c r="F4" s="73" t="s">
        <v>21</v>
      </c>
      <c r="G4" s="73" t="s">
        <v>58</v>
      </c>
      <c r="H4" s="86" t="s">
        <v>59</v>
      </c>
      <c r="I4" s="78" t="s">
        <v>60</v>
      </c>
      <c r="J4" s="78" t="s">
        <v>61</v>
      </c>
      <c r="K4" s="78">
        <v>0</v>
      </c>
      <c r="L4" s="78" t="s">
        <v>66</v>
      </c>
      <c r="M4" s="78" t="s">
        <v>67</v>
      </c>
      <c r="N4" s="73">
        <v>1</v>
      </c>
      <c r="O4" s="80">
        <v>1.3888888888888889E-3</v>
      </c>
    </row>
    <row r="5" spans="1:15" ht="35.1" customHeight="1" thickTop="1" thickBot="1">
      <c r="A5" s="128"/>
      <c r="B5" s="89" t="s">
        <v>10</v>
      </c>
      <c r="C5" s="73" t="s">
        <v>482</v>
      </c>
      <c r="D5" s="73" t="s">
        <v>483</v>
      </c>
      <c r="E5" s="73" t="s">
        <v>11</v>
      </c>
      <c r="F5" s="73" t="s">
        <v>21</v>
      </c>
      <c r="G5" s="73" t="s">
        <v>58</v>
      </c>
      <c r="H5" s="86" t="s">
        <v>59</v>
      </c>
      <c r="I5" s="78" t="s">
        <v>60</v>
      </c>
      <c r="J5" s="78" t="s">
        <v>61</v>
      </c>
      <c r="K5" s="78">
        <v>0</v>
      </c>
      <c r="L5" s="78" t="s">
        <v>94</v>
      </c>
      <c r="M5" s="78" t="s">
        <v>63</v>
      </c>
      <c r="N5" s="73">
        <v>1</v>
      </c>
      <c r="O5" s="80">
        <v>2.0833333333333333E-3</v>
      </c>
    </row>
    <row r="6" spans="1:15" ht="35.1" customHeight="1" thickTop="1" thickBot="1">
      <c r="A6" s="117"/>
      <c r="B6" s="91" t="s">
        <v>10</v>
      </c>
      <c r="C6" s="84" t="s">
        <v>484</v>
      </c>
      <c r="D6" s="84" t="s">
        <v>485</v>
      </c>
      <c r="E6" s="84" t="s">
        <v>11</v>
      </c>
      <c r="F6" s="84" t="s">
        <v>21</v>
      </c>
      <c r="G6" s="84" t="s">
        <v>58</v>
      </c>
      <c r="H6" s="88" t="s">
        <v>59</v>
      </c>
      <c r="I6" s="78" t="s">
        <v>60</v>
      </c>
      <c r="J6" s="78" t="s">
        <v>61</v>
      </c>
      <c r="K6" s="78">
        <v>0</v>
      </c>
      <c r="L6" s="78" t="s">
        <v>99</v>
      </c>
      <c r="M6" s="78" t="s">
        <v>63</v>
      </c>
      <c r="N6" s="84">
        <v>1</v>
      </c>
      <c r="O6" s="85">
        <v>1.0416666666666667E-3</v>
      </c>
    </row>
    <row r="7" spans="1:15" ht="35.1" customHeight="1" thickTop="1" thickBot="1">
      <c r="A7" s="128"/>
      <c r="B7" s="92" t="s">
        <v>13</v>
      </c>
      <c r="C7" s="78" t="s">
        <v>486</v>
      </c>
      <c r="D7" s="78" t="s">
        <v>487</v>
      </c>
      <c r="E7" s="78" t="s">
        <v>11</v>
      </c>
      <c r="F7" s="78" t="s">
        <v>21</v>
      </c>
      <c r="G7" s="78" t="s">
        <v>137</v>
      </c>
      <c r="H7" s="87">
        <v>45389</v>
      </c>
      <c r="I7" s="78" t="s">
        <v>132</v>
      </c>
      <c r="J7" s="78" t="s">
        <v>133</v>
      </c>
      <c r="K7" s="78">
        <v>0</v>
      </c>
      <c r="L7" s="78" t="s">
        <v>134</v>
      </c>
      <c r="M7" s="78" t="s">
        <v>107</v>
      </c>
      <c r="N7" s="78">
        <v>4</v>
      </c>
      <c r="O7" s="79">
        <v>1.736111111111111E-3</v>
      </c>
    </row>
    <row r="8" spans="1:15" ht="35.1" customHeight="1" thickTop="1" thickBot="1">
      <c r="A8" s="128"/>
      <c r="B8" s="89" t="s">
        <v>13</v>
      </c>
      <c r="C8" s="73" t="s">
        <v>488</v>
      </c>
      <c r="D8" s="73" t="s">
        <v>489</v>
      </c>
      <c r="E8" s="73" t="s">
        <v>11</v>
      </c>
      <c r="F8" s="73" t="s">
        <v>21</v>
      </c>
      <c r="G8" s="73" t="s">
        <v>142</v>
      </c>
      <c r="H8" s="86">
        <v>45392</v>
      </c>
      <c r="I8" s="78" t="s">
        <v>132</v>
      </c>
      <c r="J8" s="78" t="s">
        <v>133</v>
      </c>
      <c r="K8" s="78">
        <v>0</v>
      </c>
      <c r="L8" s="78" t="s">
        <v>134</v>
      </c>
      <c r="M8" s="78" t="s">
        <v>107</v>
      </c>
      <c r="N8" s="73">
        <v>4</v>
      </c>
      <c r="O8" s="80">
        <v>1.736111111111111E-3</v>
      </c>
    </row>
    <row r="9" spans="1:15" ht="35.1" customHeight="1" thickTop="1" thickBot="1">
      <c r="A9" s="128"/>
      <c r="B9" s="89" t="s">
        <v>13</v>
      </c>
      <c r="C9" s="73" t="s">
        <v>490</v>
      </c>
      <c r="D9" s="73" t="s">
        <v>491</v>
      </c>
      <c r="E9" s="73" t="s">
        <v>11</v>
      </c>
      <c r="F9" s="73" t="s">
        <v>21</v>
      </c>
      <c r="G9" s="73" t="s">
        <v>137</v>
      </c>
      <c r="H9" s="86">
        <v>45389</v>
      </c>
      <c r="I9" s="78" t="s">
        <v>132</v>
      </c>
      <c r="J9" s="78" t="s">
        <v>133</v>
      </c>
      <c r="K9" s="78">
        <v>0</v>
      </c>
      <c r="L9" s="78" t="s">
        <v>134</v>
      </c>
      <c r="M9" s="78" t="s">
        <v>107</v>
      </c>
      <c r="N9" s="73">
        <v>4</v>
      </c>
      <c r="O9" s="80">
        <v>1.736111111111111E-3</v>
      </c>
    </row>
    <row r="10" spans="1:15" ht="35.1" customHeight="1" thickTop="1" thickBot="1">
      <c r="A10" s="128"/>
      <c r="B10" s="89" t="s">
        <v>13</v>
      </c>
      <c r="C10" s="73" t="s">
        <v>492</v>
      </c>
      <c r="D10" s="73" t="s">
        <v>493</v>
      </c>
      <c r="E10" s="73" t="s">
        <v>11</v>
      </c>
      <c r="F10" s="73" t="s">
        <v>21</v>
      </c>
      <c r="G10" s="73" t="s">
        <v>137</v>
      </c>
      <c r="H10" s="86">
        <v>45390</v>
      </c>
      <c r="I10" s="78" t="s">
        <v>132</v>
      </c>
      <c r="J10" s="78" t="s">
        <v>133</v>
      </c>
      <c r="K10" s="78">
        <v>0</v>
      </c>
      <c r="L10" s="78" t="s">
        <v>134</v>
      </c>
      <c r="M10" s="78" t="s">
        <v>107</v>
      </c>
      <c r="N10" s="73">
        <v>4</v>
      </c>
      <c r="O10" s="80">
        <v>1.736111111111111E-3</v>
      </c>
    </row>
    <row r="11" spans="1:15" ht="35.1" customHeight="1" thickTop="1" thickBot="1">
      <c r="A11" s="128"/>
      <c r="B11" s="89" t="s">
        <v>13</v>
      </c>
      <c r="C11" s="73" t="s">
        <v>494</v>
      </c>
      <c r="D11" s="73" t="s">
        <v>495</v>
      </c>
      <c r="E11" s="73" t="s">
        <v>11</v>
      </c>
      <c r="F11" s="73" t="s">
        <v>21</v>
      </c>
      <c r="G11" s="73" t="s">
        <v>784</v>
      </c>
      <c r="H11" s="86">
        <v>45394</v>
      </c>
      <c r="I11" s="78" t="s">
        <v>132</v>
      </c>
      <c r="J11" s="78" t="s">
        <v>61</v>
      </c>
      <c r="K11" s="78">
        <v>0</v>
      </c>
      <c r="L11" s="78" t="s">
        <v>496</v>
      </c>
      <c r="M11" s="78" t="s">
        <v>147</v>
      </c>
      <c r="N11" s="73">
        <v>1</v>
      </c>
      <c r="O11" s="80">
        <v>6.9444444444444447E-4</v>
      </c>
    </row>
    <row r="12" spans="1:15" ht="35.1" customHeight="1" thickTop="1" thickBot="1">
      <c r="A12" s="128"/>
      <c r="B12" s="89" t="s">
        <v>13</v>
      </c>
      <c r="C12" s="73" t="s">
        <v>497</v>
      </c>
      <c r="D12" s="73" t="s">
        <v>498</v>
      </c>
      <c r="E12" s="73" t="s">
        <v>11</v>
      </c>
      <c r="F12" s="73" t="s">
        <v>21</v>
      </c>
      <c r="G12" s="73" t="s">
        <v>142</v>
      </c>
      <c r="H12" s="86">
        <v>45392</v>
      </c>
      <c r="I12" s="78" t="s">
        <v>60</v>
      </c>
      <c r="J12" s="78" t="s">
        <v>133</v>
      </c>
      <c r="K12" s="78">
        <v>0</v>
      </c>
      <c r="L12" s="78" t="s">
        <v>163</v>
      </c>
      <c r="M12" s="78" t="s">
        <v>164</v>
      </c>
      <c r="N12" s="73">
        <v>2</v>
      </c>
      <c r="O12" s="80">
        <v>4.6296296296296293E-4</v>
      </c>
    </row>
    <row r="13" spans="1:15" ht="35.1" customHeight="1" thickTop="1" thickBot="1">
      <c r="A13" s="128"/>
      <c r="B13" s="89" t="s">
        <v>13</v>
      </c>
      <c r="C13" s="73" t="s">
        <v>499</v>
      </c>
      <c r="D13" s="73" t="s">
        <v>500</v>
      </c>
      <c r="E13" s="73" t="s">
        <v>11</v>
      </c>
      <c r="F13" s="73" t="s">
        <v>21</v>
      </c>
      <c r="G13" s="73" t="s">
        <v>137</v>
      </c>
      <c r="H13" s="86">
        <v>45390</v>
      </c>
      <c r="I13" s="78" t="s">
        <v>60</v>
      </c>
      <c r="J13" s="78" t="s">
        <v>133</v>
      </c>
      <c r="K13" s="78">
        <v>0</v>
      </c>
      <c r="L13" s="78" t="s">
        <v>163</v>
      </c>
      <c r="M13" s="78" t="s">
        <v>164</v>
      </c>
      <c r="N13" s="73">
        <v>2</v>
      </c>
      <c r="O13" s="80">
        <v>4.6296296296296293E-4</v>
      </c>
    </row>
    <row r="14" spans="1:15" ht="35.1" customHeight="1" thickTop="1" thickBot="1">
      <c r="A14" s="117"/>
      <c r="B14" s="91" t="s">
        <v>13</v>
      </c>
      <c r="C14" s="84" t="s">
        <v>501</v>
      </c>
      <c r="D14" s="84" t="s">
        <v>502</v>
      </c>
      <c r="E14" s="82" t="s">
        <v>11</v>
      </c>
      <c r="F14" s="82" t="s">
        <v>21</v>
      </c>
      <c r="G14" s="82" t="s">
        <v>178</v>
      </c>
      <c r="H14" s="83">
        <v>45397</v>
      </c>
      <c r="I14" s="78" t="s">
        <v>88</v>
      </c>
      <c r="J14" s="78" t="s">
        <v>61</v>
      </c>
      <c r="K14" s="78">
        <v>0</v>
      </c>
      <c r="L14" s="78" t="s">
        <v>503</v>
      </c>
      <c r="M14" s="78" t="s">
        <v>107</v>
      </c>
      <c r="N14" s="84">
        <v>1</v>
      </c>
      <c r="O14" s="85">
        <v>6.9444444444444447E-4</v>
      </c>
    </row>
    <row r="15" spans="1:15" ht="35.1" customHeight="1" thickTop="1" thickBot="1">
      <c r="A15" s="128"/>
      <c r="B15" s="92" t="s">
        <v>16</v>
      </c>
      <c r="C15" s="78" t="s">
        <v>826</v>
      </c>
      <c r="D15" s="78" t="s">
        <v>207</v>
      </c>
      <c r="E15" s="78" t="s">
        <v>11</v>
      </c>
      <c r="F15" s="78" t="s">
        <v>21</v>
      </c>
      <c r="G15" s="78" t="s">
        <v>827</v>
      </c>
      <c r="H15" s="87">
        <v>45390</v>
      </c>
      <c r="I15" s="78" t="s">
        <v>132</v>
      </c>
      <c r="J15" s="78" t="s">
        <v>133</v>
      </c>
      <c r="K15" s="78">
        <v>0</v>
      </c>
      <c r="L15" s="78" t="s">
        <v>209</v>
      </c>
      <c r="M15" s="78" t="s">
        <v>205</v>
      </c>
      <c r="N15" s="78">
        <v>1</v>
      </c>
      <c r="O15" s="79">
        <v>3.4722222222222224E-4</v>
      </c>
    </row>
    <row r="16" spans="1:15" ht="35.1" customHeight="1" thickTop="1" thickBot="1">
      <c r="A16" s="128"/>
      <c r="B16" s="89" t="s">
        <v>16</v>
      </c>
      <c r="C16" s="73" t="s">
        <v>506</v>
      </c>
      <c r="D16" s="73" t="s">
        <v>207</v>
      </c>
      <c r="E16" s="73" t="s">
        <v>11</v>
      </c>
      <c r="F16" s="73" t="s">
        <v>21</v>
      </c>
      <c r="G16" s="73" t="s">
        <v>827</v>
      </c>
      <c r="H16" s="86">
        <v>45390</v>
      </c>
      <c r="I16" s="78" t="s">
        <v>132</v>
      </c>
      <c r="J16" s="78" t="s">
        <v>133</v>
      </c>
      <c r="K16" s="78">
        <v>0</v>
      </c>
      <c r="L16" s="78" t="s">
        <v>209</v>
      </c>
      <c r="M16" s="78" t="s">
        <v>205</v>
      </c>
      <c r="N16" s="73">
        <v>1</v>
      </c>
      <c r="O16" s="80">
        <v>3.4722222222222224E-4</v>
      </c>
    </row>
    <row r="17" spans="1:15" ht="35.1" customHeight="1" thickTop="1" thickBot="1">
      <c r="A17" s="128"/>
      <c r="B17" s="89" t="s">
        <v>16</v>
      </c>
      <c r="C17" s="73" t="s">
        <v>828</v>
      </c>
      <c r="D17" s="73" t="s">
        <v>212</v>
      </c>
      <c r="E17" s="73" t="s">
        <v>11</v>
      </c>
      <c r="F17" s="73" t="s">
        <v>21</v>
      </c>
      <c r="G17" s="73" t="s">
        <v>213</v>
      </c>
      <c r="H17" s="86">
        <v>45391</v>
      </c>
      <c r="I17" s="78" t="s">
        <v>88</v>
      </c>
      <c r="J17" s="78" t="s">
        <v>133</v>
      </c>
      <c r="K17" s="78">
        <v>0</v>
      </c>
      <c r="L17" s="78" t="s">
        <v>214</v>
      </c>
      <c r="M17" s="78" t="s">
        <v>215</v>
      </c>
      <c r="N17" s="73">
        <v>1</v>
      </c>
      <c r="O17" s="80">
        <v>3.4722222222222224E-4</v>
      </c>
    </row>
    <row r="18" spans="1:15" ht="35.1" customHeight="1" thickTop="1" thickBot="1">
      <c r="A18" s="128"/>
      <c r="B18" s="89" t="s">
        <v>16</v>
      </c>
      <c r="C18" s="73" t="s">
        <v>509</v>
      </c>
      <c r="D18" s="73" t="s">
        <v>217</v>
      </c>
      <c r="E18" s="73" t="s">
        <v>11</v>
      </c>
      <c r="F18" s="73" t="s">
        <v>21</v>
      </c>
      <c r="G18" s="73" t="s">
        <v>218</v>
      </c>
      <c r="H18" s="86">
        <v>45390</v>
      </c>
      <c r="I18" s="78" t="s">
        <v>132</v>
      </c>
      <c r="J18" s="78" t="s">
        <v>133</v>
      </c>
      <c r="K18" s="78">
        <v>0</v>
      </c>
      <c r="L18" s="78" t="s">
        <v>219</v>
      </c>
      <c r="M18" s="78" t="s">
        <v>205</v>
      </c>
      <c r="N18" s="73">
        <v>1</v>
      </c>
      <c r="O18" s="80">
        <v>5.7870370370370378E-4</v>
      </c>
    </row>
    <row r="19" spans="1:15" ht="35.1" customHeight="1" thickTop="1" thickBot="1">
      <c r="A19" s="128"/>
      <c r="B19" s="89" t="s">
        <v>16</v>
      </c>
      <c r="C19" s="73" t="s">
        <v>510</v>
      </c>
      <c r="D19" s="73" t="s">
        <v>221</v>
      </c>
      <c r="E19" s="73" t="s">
        <v>11</v>
      </c>
      <c r="F19" s="73" t="s">
        <v>21</v>
      </c>
      <c r="G19" s="73" t="s">
        <v>754</v>
      </c>
      <c r="H19" s="86">
        <v>45394</v>
      </c>
      <c r="I19" s="78" t="s">
        <v>132</v>
      </c>
      <c r="J19" s="78" t="s">
        <v>133</v>
      </c>
      <c r="K19" s="78">
        <v>0</v>
      </c>
      <c r="L19" s="78" t="s">
        <v>223</v>
      </c>
      <c r="M19" s="78" t="s">
        <v>205</v>
      </c>
      <c r="N19" s="73">
        <v>2</v>
      </c>
      <c r="O19" s="80">
        <v>6.9444444444444447E-4</v>
      </c>
    </row>
    <row r="20" spans="1:15" ht="35.1" customHeight="1" thickTop="1" thickBot="1">
      <c r="A20" s="128"/>
      <c r="B20" s="89" t="s">
        <v>16</v>
      </c>
      <c r="C20" s="73" t="s">
        <v>512</v>
      </c>
      <c r="D20" s="73" t="s">
        <v>225</v>
      </c>
      <c r="E20" s="73" t="s">
        <v>11</v>
      </c>
      <c r="F20" s="73" t="s">
        <v>21</v>
      </c>
      <c r="G20" s="73" t="s">
        <v>226</v>
      </c>
      <c r="H20" s="86">
        <v>45391</v>
      </c>
      <c r="I20" s="78" t="s">
        <v>60</v>
      </c>
      <c r="J20" s="78" t="s">
        <v>133</v>
      </c>
      <c r="K20" s="78">
        <v>0</v>
      </c>
      <c r="L20" s="78" t="s">
        <v>227</v>
      </c>
      <c r="M20" s="78" t="s">
        <v>205</v>
      </c>
      <c r="N20" s="73">
        <v>1</v>
      </c>
      <c r="O20" s="80">
        <v>3.4722222222222224E-4</v>
      </c>
    </row>
    <row r="21" spans="1:15" ht="35.1" customHeight="1" thickTop="1" thickBot="1">
      <c r="A21" s="128"/>
      <c r="B21" s="89" t="s">
        <v>16</v>
      </c>
      <c r="C21" s="73" t="s">
        <v>513</v>
      </c>
      <c r="D21" s="73" t="s">
        <v>229</v>
      </c>
      <c r="E21" s="73" t="s">
        <v>11</v>
      </c>
      <c r="F21" s="73" t="s">
        <v>21</v>
      </c>
      <c r="G21" s="73" t="s">
        <v>230</v>
      </c>
      <c r="H21" s="86">
        <v>45390</v>
      </c>
      <c r="I21" s="78" t="s">
        <v>132</v>
      </c>
      <c r="J21" s="78" t="s">
        <v>61</v>
      </c>
      <c r="K21" s="78">
        <v>0</v>
      </c>
      <c r="L21" s="78" t="s">
        <v>219</v>
      </c>
      <c r="M21" s="78" t="s">
        <v>205</v>
      </c>
      <c r="N21" s="73">
        <v>1</v>
      </c>
      <c r="O21" s="80">
        <v>1.0416666666666667E-3</v>
      </c>
    </row>
    <row r="22" spans="1:15" ht="35.1" customHeight="1" thickTop="1" thickBot="1">
      <c r="A22" s="128"/>
      <c r="B22" s="89" t="s">
        <v>16</v>
      </c>
      <c r="C22" s="73" t="s">
        <v>514</v>
      </c>
      <c r="D22" s="73" t="s">
        <v>232</v>
      </c>
      <c r="E22" s="73" t="s">
        <v>11</v>
      </c>
      <c r="F22" s="73" t="s">
        <v>21</v>
      </c>
      <c r="G22" s="73" t="s">
        <v>829</v>
      </c>
      <c r="H22" s="86">
        <v>45394</v>
      </c>
      <c r="I22" s="78" t="s">
        <v>132</v>
      </c>
      <c r="J22" s="78" t="s">
        <v>133</v>
      </c>
      <c r="K22" s="78">
        <v>0</v>
      </c>
      <c r="L22" s="78" t="s">
        <v>234</v>
      </c>
      <c r="M22" s="78" t="s">
        <v>205</v>
      </c>
      <c r="N22" s="73">
        <v>1</v>
      </c>
      <c r="O22" s="80">
        <v>1.1574074074074073E-4</v>
      </c>
    </row>
    <row r="23" spans="1:15" ht="35.1" customHeight="1" thickTop="1" thickBot="1">
      <c r="A23" s="128"/>
      <c r="B23" s="89" t="s">
        <v>16</v>
      </c>
      <c r="C23" s="73" t="s">
        <v>515</v>
      </c>
      <c r="D23" s="73" t="s">
        <v>516</v>
      </c>
      <c r="E23" s="73" t="s">
        <v>11</v>
      </c>
      <c r="F23" s="73" t="s">
        <v>21</v>
      </c>
      <c r="G23" s="73" t="s">
        <v>213</v>
      </c>
      <c r="H23" s="86">
        <v>45391</v>
      </c>
      <c r="I23" s="78" t="s">
        <v>88</v>
      </c>
      <c r="J23" s="78" t="s">
        <v>133</v>
      </c>
      <c r="K23" s="78">
        <v>0</v>
      </c>
      <c r="L23" s="78" t="s">
        <v>517</v>
      </c>
      <c r="M23" s="78" t="s">
        <v>215</v>
      </c>
      <c r="N23" s="73">
        <v>1</v>
      </c>
      <c r="O23" s="80">
        <v>3.4722222222222224E-4</v>
      </c>
    </row>
    <row r="24" spans="1:15" ht="35.1" customHeight="1" thickTop="1" thickBot="1">
      <c r="A24" s="128"/>
      <c r="B24" s="89" t="s">
        <v>16</v>
      </c>
      <c r="C24" s="73" t="s">
        <v>518</v>
      </c>
      <c r="D24" s="73" t="s">
        <v>245</v>
      </c>
      <c r="E24" s="73" t="s">
        <v>11</v>
      </c>
      <c r="F24" s="73" t="s">
        <v>21</v>
      </c>
      <c r="G24" s="73" t="s">
        <v>800</v>
      </c>
      <c r="H24" s="86">
        <v>45393</v>
      </c>
      <c r="I24" s="78" t="s">
        <v>132</v>
      </c>
      <c r="J24" s="78" t="s">
        <v>133</v>
      </c>
      <c r="K24" s="78">
        <v>0</v>
      </c>
      <c r="L24" s="78" t="s">
        <v>247</v>
      </c>
      <c r="M24" s="78" t="s">
        <v>205</v>
      </c>
      <c r="N24" s="73">
        <v>1</v>
      </c>
      <c r="O24" s="80">
        <v>6.9444444444444447E-4</v>
      </c>
    </row>
    <row r="25" spans="1:15" ht="35.1" customHeight="1" thickTop="1" thickBot="1">
      <c r="A25" s="128"/>
      <c r="B25" s="89" t="s">
        <v>16</v>
      </c>
      <c r="C25" s="73" t="s">
        <v>520</v>
      </c>
      <c r="D25" s="73" t="s">
        <v>268</v>
      </c>
      <c r="E25" s="73" t="s">
        <v>11</v>
      </c>
      <c r="F25" s="73" t="s">
        <v>21</v>
      </c>
      <c r="G25" s="73" t="s">
        <v>265</v>
      </c>
      <c r="H25" s="86">
        <v>45391</v>
      </c>
      <c r="I25" s="78" t="s">
        <v>60</v>
      </c>
      <c r="J25" s="78" t="s">
        <v>133</v>
      </c>
      <c r="K25" s="78">
        <v>0</v>
      </c>
      <c r="L25" s="78" t="s">
        <v>269</v>
      </c>
      <c r="M25" s="78" t="s">
        <v>205</v>
      </c>
      <c r="N25" s="73">
        <v>1</v>
      </c>
      <c r="O25" s="80">
        <v>3.4722222222222224E-4</v>
      </c>
    </row>
    <row r="26" spans="1:15" ht="35.1" customHeight="1" thickTop="1" thickBot="1">
      <c r="A26" s="128"/>
      <c r="B26" s="89" t="s">
        <v>16</v>
      </c>
      <c r="C26" s="73" t="s">
        <v>521</v>
      </c>
      <c r="D26" s="73" t="s">
        <v>522</v>
      </c>
      <c r="E26" s="73" t="s">
        <v>11</v>
      </c>
      <c r="F26" s="73" t="s">
        <v>21</v>
      </c>
      <c r="G26" s="73" t="s">
        <v>523</v>
      </c>
      <c r="H26" s="86">
        <v>45391</v>
      </c>
      <c r="I26" s="78" t="s">
        <v>60</v>
      </c>
      <c r="J26" s="78" t="s">
        <v>133</v>
      </c>
      <c r="K26" s="78">
        <v>0</v>
      </c>
      <c r="L26" s="78" t="s">
        <v>524</v>
      </c>
      <c r="M26" s="78" t="s">
        <v>205</v>
      </c>
      <c r="N26" s="73">
        <v>2</v>
      </c>
      <c r="O26" s="80">
        <v>2.3148148148148146E-4</v>
      </c>
    </row>
    <row r="27" spans="1:15" ht="35.1" customHeight="1" thickTop="1" thickBot="1">
      <c r="A27" s="128"/>
      <c r="B27" s="89" t="s">
        <v>16</v>
      </c>
      <c r="C27" s="73" t="s">
        <v>525</v>
      </c>
      <c r="D27" s="73" t="s">
        <v>526</v>
      </c>
      <c r="E27" s="73" t="s">
        <v>11</v>
      </c>
      <c r="F27" s="73" t="s">
        <v>21</v>
      </c>
      <c r="G27" s="73" t="s">
        <v>279</v>
      </c>
      <c r="H27" s="86">
        <v>45391</v>
      </c>
      <c r="I27" s="78" t="s">
        <v>88</v>
      </c>
      <c r="J27" s="78" t="s">
        <v>133</v>
      </c>
      <c r="K27" s="78">
        <v>0</v>
      </c>
      <c r="L27" s="78" t="s">
        <v>527</v>
      </c>
      <c r="M27" s="78" t="s">
        <v>215</v>
      </c>
      <c r="N27" s="73">
        <v>1</v>
      </c>
      <c r="O27" s="80">
        <v>3.4722222222222224E-4</v>
      </c>
    </row>
    <row r="28" spans="1:15" ht="35.1" customHeight="1" thickTop="1" thickBot="1">
      <c r="A28" s="128"/>
      <c r="B28" s="89" t="s">
        <v>16</v>
      </c>
      <c r="C28" s="73" t="s">
        <v>528</v>
      </c>
      <c r="D28" s="73" t="s">
        <v>529</v>
      </c>
      <c r="E28" s="73" t="s">
        <v>11</v>
      </c>
      <c r="F28" s="73" t="s">
        <v>21</v>
      </c>
      <c r="G28" s="73" t="s">
        <v>523</v>
      </c>
      <c r="H28" s="86">
        <v>45391</v>
      </c>
      <c r="I28" s="78" t="s">
        <v>60</v>
      </c>
      <c r="J28" s="78" t="s">
        <v>133</v>
      </c>
      <c r="K28" s="78">
        <v>0</v>
      </c>
      <c r="L28" s="78" t="s">
        <v>530</v>
      </c>
      <c r="M28" s="78" t="s">
        <v>205</v>
      </c>
      <c r="N28" s="73">
        <v>1</v>
      </c>
      <c r="O28" s="80">
        <v>4.6296296296296293E-4</v>
      </c>
    </row>
    <row r="29" spans="1:15" ht="35.1" customHeight="1">
      <c r="A29" s="128"/>
      <c r="B29" s="106" t="s">
        <v>16</v>
      </c>
      <c r="C29" s="100" t="s">
        <v>531</v>
      </c>
      <c r="D29" s="100" t="s">
        <v>532</v>
      </c>
      <c r="E29" s="100" t="s">
        <v>11</v>
      </c>
      <c r="F29" s="138" t="s">
        <v>21</v>
      </c>
      <c r="G29" s="100" t="s">
        <v>830</v>
      </c>
      <c r="H29" s="130">
        <v>45984</v>
      </c>
      <c r="I29" s="78" t="s">
        <v>60</v>
      </c>
      <c r="J29" s="78" t="s">
        <v>61</v>
      </c>
      <c r="K29" s="78">
        <v>0</v>
      </c>
      <c r="L29" s="78" t="s">
        <v>534</v>
      </c>
      <c r="M29" s="78" t="s">
        <v>205</v>
      </c>
      <c r="N29" s="100">
        <v>1</v>
      </c>
      <c r="O29" s="109">
        <v>6.9444444444444447E-4</v>
      </c>
    </row>
    <row r="30" spans="1:15" ht="35.1" customHeight="1">
      <c r="A30" s="128"/>
      <c r="B30" s="89" t="s">
        <v>16</v>
      </c>
      <c r="C30" s="73" t="s">
        <v>535</v>
      </c>
      <c r="D30" s="73" t="s">
        <v>536</v>
      </c>
      <c r="E30" s="100" t="s">
        <v>11</v>
      </c>
      <c r="F30" s="138" t="s">
        <v>21</v>
      </c>
      <c r="G30" s="138" t="s">
        <v>279</v>
      </c>
      <c r="H30" s="139">
        <v>45391</v>
      </c>
      <c r="I30" s="78" t="s">
        <v>88</v>
      </c>
      <c r="J30" s="78" t="s">
        <v>133</v>
      </c>
      <c r="K30" s="78">
        <v>0</v>
      </c>
      <c r="L30" s="78" t="s">
        <v>276</v>
      </c>
      <c r="M30" s="78" t="s">
        <v>215</v>
      </c>
      <c r="N30" s="73">
        <v>1</v>
      </c>
      <c r="O30" s="80">
        <v>3.4722222222222224E-4</v>
      </c>
    </row>
    <row r="31" spans="1:15" ht="35.1" customHeight="1">
      <c r="A31" s="128"/>
      <c r="B31" s="89" t="s">
        <v>16</v>
      </c>
      <c r="C31" s="73" t="s">
        <v>537</v>
      </c>
      <c r="D31" s="73" t="s">
        <v>538</v>
      </c>
      <c r="E31" s="100" t="s">
        <v>11</v>
      </c>
      <c r="F31" s="138" t="s">
        <v>21</v>
      </c>
      <c r="G31" s="138" t="s">
        <v>539</v>
      </c>
      <c r="H31" s="139">
        <v>45391</v>
      </c>
      <c r="I31" s="78" t="s">
        <v>88</v>
      </c>
      <c r="J31" s="78" t="s">
        <v>133</v>
      </c>
      <c r="K31" s="78">
        <v>0</v>
      </c>
      <c r="L31" s="78" t="s">
        <v>284</v>
      </c>
      <c r="M31" s="78" t="s">
        <v>215</v>
      </c>
      <c r="N31" s="73">
        <v>1</v>
      </c>
      <c r="O31" s="80">
        <v>6.9444444444444447E-4</v>
      </c>
    </row>
    <row r="32" spans="1:15" ht="35.1" customHeight="1">
      <c r="A32" s="128"/>
      <c r="B32" s="89" t="s">
        <v>16</v>
      </c>
      <c r="C32" s="73" t="s">
        <v>540</v>
      </c>
      <c r="D32" s="73" t="s">
        <v>286</v>
      </c>
      <c r="E32" s="100" t="s">
        <v>11</v>
      </c>
      <c r="F32" s="73" t="s">
        <v>21</v>
      </c>
      <c r="G32" s="73" t="s">
        <v>287</v>
      </c>
      <c r="H32" s="86">
        <v>45391</v>
      </c>
      <c r="I32" s="78" t="s">
        <v>60</v>
      </c>
      <c r="J32" s="78" t="s">
        <v>133</v>
      </c>
      <c r="K32" s="78">
        <v>0</v>
      </c>
      <c r="L32" s="78" t="s">
        <v>288</v>
      </c>
      <c r="M32" s="78" t="s">
        <v>205</v>
      </c>
      <c r="N32" s="73">
        <v>1</v>
      </c>
      <c r="O32" s="80">
        <v>3.4722222222222224E-4</v>
      </c>
    </row>
    <row r="33" spans="1:15" ht="35.1" customHeight="1">
      <c r="A33" s="128"/>
      <c r="B33" s="106" t="s">
        <v>16</v>
      </c>
      <c r="C33" s="100" t="s">
        <v>541</v>
      </c>
      <c r="D33" s="100" t="s">
        <v>542</v>
      </c>
      <c r="E33" s="100"/>
      <c r="F33" s="100"/>
      <c r="G33" s="100"/>
      <c r="H33" s="130"/>
      <c r="I33" s="78" t="s">
        <v>60</v>
      </c>
      <c r="J33" s="78" t="s">
        <v>133</v>
      </c>
      <c r="K33" s="78">
        <v>0</v>
      </c>
      <c r="L33" s="78" t="s">
        <v>543</v>
      </c>
      <c r="M33" s="78" t="s">
        <v>205</v>
      </c>
      <c r="N33" s="100">
        <v>1</v>
      </c>
      <c r="O33" s="109">
        <v>5.7870370370370378E-4</v>
      </c>
    </row>
    <row r="34" spans="1:15" ht="35.1" customHeight="1">
      <c r="A34" s="128"/>
      <c r="B34" s="89" t="s">
        <v>16</v>
      </c>
      <c r="C34" s="73" t="s">
        <v>544</v>
      </c>
      <c r="D34" s="73" t="s">
        <v>545</v>
      </c>
      <c r="E34" s="100" t="s">
        <v>11</v>
      </c>
      <c r="F34" s="73" t="s">
        <v>21</v>
      </c>
      <c r="G34" s="73" t="s">
        <v>523</v>
      </c>
      <c r="H34" s="86">
        <v>45391</v>
      </c>
      <c r="I34" s="78" t="s">
        <v>60</v>
      </c>
      <c r="J34" s="78" t="s">
        <v>133</v>
      </c>
      <c r="K34" s="78">
        <v>0</v>
      </c>
      <c r="L34" s="78" t="s">
        <v>546</v>
      </c>
      <c r="M34" s="78" t="s">
        <v>205</v>
      </c>
      <c r="N34" s="73">
        <v>1</v>
      </c>
      <c r="O34" s="80">
        <v>2.3148148148148146E-4</v>
      </c>
    </row>
    <row r="35" spans="1:15" ht="35.1" customHeight="1">
      <c r="A35" s="128"/>
      <c r="B35" s="89" t="s">
        <v>16</v>
      </c>
      <c r="C35" s="73" t="s">
        <v>547</v>
      </c>
      <c r="D35" s="73" t="s">
        <v>290</v>
      </c>
      <c r="E35" s="100" t="s">
        <v>11</v>
      </c>
      <c r="F35" s="73" t="s">
        <v>21</v>
      </c>
      <c r="G35" s="73" t="s">
        <v>291</v>
      </c>
      <c r="H35" s="86">
        <v>45390</v>
      </c>
      <c r="I35" s="78" t="s">
        <v>132</v>
      </c>
      <c r="J35" s="78" t="s">
        <v>133</v>
      </c>
      <c r="K35" s="78">
        <v>0</v>
      </c>
      <c r="L35" s="78" t="s">
        <v>292</v>
      </c>
      <c r="M35" s="78" t="s">
        <v>205</v>
      </c>
      <c r="N35" s="73">
        <v>1</v>
      </c>
      <c r="O35" s="80">
        <v>6.9444444444444447E-4</v>
      </c>
    </row>
    <row r="36" spans="1:15" ht="35.1" customHeight="1">
      <c r="A36" s="128"/>
      <c r="B36" s="89" t="s">
        <v>16</v>
      </c>
      <c r="C36" s="73" t="s">
        <v>548</v>
      </c>
      <c r="D36" s="73" t="s">
        <v>549</v>
      </c>
      <c r="E36" s="100" t="s">
        <v>11</v>
      </c>
      <c r="F36" s="73" t="s">
        <v>21</v>
      </c>
      <c r="G36" s="73" t="s">
        <v>310</v>
      </c>
      <c r="H36" s="86">
        <v>45391</v>
      </c>
      <c r="I36" s="78" t="s">
        <v>132</v>
      </c>
      <c r="J36" s="78" t="s">
        <v>133</v>
      </c>
      <c r="K36" s="78">
        <v>0</v>
      </c>
      <c r="L36" s="78" t="s">
        <v>311</v>
      </c>
      <c r="M36" s="78" t="s">
        <v>205</v>
      </c>
      <c r="N36" s="73">
        <v>1</v>
      </c>
      <c r="O36" s="80">
        <v>8.6805555555555551E-4</v>
      </c>
    </row>
    <row r="37" spans="1:15" ht="35.1" customHeight="1">
      <c r="A37" s="128"/>
      <c r="B37" s="89" t="s">
        <v>16</v>
      </c>
      <c r="C37" s="73" t="s">
        <v>828</v>
      </c>
      <c r="D37" s="73" t="s">
        <v>685</v>
      </c>
      <c r="E37" s="100" t="s">
        <v>11</v>
      </c>
      <c r="F37" s="73" t="s">
        <v>21</v>
      </c>
      <c r="G37" s="73" t="s">
        <v>213</v>
      </c>
      <c r="H37" s="86">
        <v>45391</v>
      </c>
      <c r="I37" s="78" t="s">
        <v>88</v>
      </c>
      <c r="J37" s="78" t="s">
        <v>133</v>
      </c>
      <c r="K37" s="78">
        <v>0</v>
      </c>
      <c r="L37" s="78" t="s">
        <v>214</v>
      </c>
      <c r="M37" s="78" t="s">
        <v>215</v>
      </c>
      <c r="N37" s="73">
        <v>1</v>
      </c>
      <c r="O37" s="80">
        <v>3.4722222222222224E-4</v>
      </c>
    </row>
    <row r="38" spans="1:15" ht="35.1" customHeight="1">
      <c r="A38" s="128"/>
      <c r="B38" s="89" t="s">
        <v>16</v>
      </c>
      <c r="C38" s="73" t="s">
        <v>550</v>
      </c>
      <c r="D38" s="73" t="s">
        <v>551</v>
      </c>
      <c r="E38" s="100" t="s">
        <v>11</v>
      </c>
      <c r="F38" s="73" t="s">
        <v>21</v>
      </c>
      <c r="G38" s="73" t="s">
        <v>690</v>
      </c>
      <c r="H38" s="86">
        <v>45390</v>
      </c>
      <c r="I38" s="78" t="s">
        <v>132</v>
      </c>
      <c r="J38" s="78" t="s">
        <v>133</v>
      </c>
      <c r="K38" s="78">
        <v>0</v>
      </c>
      <c r="L38" s="78" t="s">
        <v>315</v>
      </c>
      <c r="M38" s="78" t="s">
        <v>205</v>
      </c>
      <c r="N38" s="73">
        <v>1</v>
      </c>
      <c r="O38" s="80">
        <v>6.9444444444444447E-4</v>
      </c>
    </row>
    <row r="39" spans="1:15" ht="35.1" customHeight="1">
      <c r="A39" s="117"/>
      <c r="B39" s="91" t="s">
        <v>16</v>
      </c>
      <c r="C39" s="84" t="s">
        <v>553</v>
      </c>
      <c r="D39" s="84" t="s">
        <v>554</v>
      </c>
      <c r="E39" s="100" t="s">
        <v>11</v>
      </c>
      <c r="F39" s="84" t="s">
        <v>21</v>
      </c>
      <c r="G39" s="84" t="s">
        <v>552</v>
      </c>
      <c r="H39" s="88">
        <v>45390</v>
      </c>
      <c r="I39" s="78" t="s">
        <v>132</v>
      </c>
      <c r="J39" s="78" t="s">
        <v>133</v>
      </c>
      <c r="K39" s="78">
        <v>0</v>
      </c>
      <c r="L39" s="78" t="s">
        <v>315</v>
      </c>
      <c r="M39" s="78" t="s">
        <v>205</v>
      </c>
      <c r="N39" s="84">
        <v>1</v>
      </c>
      <c r="O39" s="85">
        <v>6.9444444444444447E-4</v>
      </c>
    </row>
    <row r="40" spans="1:15" ht="51.75" customHeight="1">
      <c r="A40" s="128"/>
      <c r="B40" s="101" t="s">
        <v>16</v>
      </c>
      <c r="C40" s="102" t="s">
        <v>555</v>
      </c>
      <c r="D40" s="102" t="s">
        <v>556</v>
      </c>
      <c r="E40" s="102" t="s">
        <v>11</v>
      </c>
      <c r="F40" s="154" t="s">
        <v>21</v>
      </c>
      <c r="G40" s="102" t="s">
        <v>830</v>
      </c>
      <c r="H40" s="129">
        <v>45984</v>
      </c>
      <c r="I40" s="78" t="s">
        <v>60</v>
      </c>
      <c r="J40" s="78" t="s">
        <v>61</v>
      </c>
      <c r="K40" s="78">
        <v>0</v>
      </c>
      <c r="L40" s="78" t="s">
        <v>557</v>
      </c>
      <c r="M40" s="78" t="s">
        <v>147</v>
      </c>
      <c r="N40" s="102">
        <v>2</v>
      </c>
      <c r="O40" s="105">
        <v>4.6296296296296293E-4</v>
      </c>
    </row>
    <row r="41" spans="1:15" ht="35.1" customHeight="1">
      <c r="A41" s="128"/>
      <c r="B41" s="153" t="s">
        <v>20</v>
      </c>
      <c r="C41" s="154" t="s">
        <v>558</v>
      </c>
      <c r="D41" s="154" t="s">
        <v>559</v>
      </c>
      <c r="E41" s="154" t="s">
        <v>11</v>
      </c>
      <c r="F41" s="154" t="s">
        <v>21</v>
      </c>
      <c r="G41" s="154" t="s">
        <v>768</v>
      </c>
      <c r="H41" s="155">
        <v>45983</v>
      </c>
      <c r="I41" s="164" t="s">
        <v>132</v>
      </c>
      <c r="J41" s="164" t="s">
        <v>133</v>
      </c>
      <c r="K41" s="164">
        <v>0</v>
      </c>
      <c r="L41" s="164" t="s">
        <v>354</v>
      </c>
      <c r="M41" s="164" t="s">
        <v>350</v>
      </c>
      <c r="N41" s="154">
        <v>2</v>
      </c>
      <c r="O41" s="162">
        <v>2.0833333333333333E-3</v>
      </c>
    </row>
    <row r="42" spans="1:15" s="176" customFormat="1" ht="35.1" customHeight="1">
      <c r="A42" s="128"/>
      <c r="B42" s="156" t="s">
        <v>20</v>
      </c>
      <c r="C42" s="157" t="s">
        <v>831</v>
      </c>
      <c r="D42" s="157" t="s">
        <v>832</v>
      </c>
      <c r="E42" s="157" t="s">
        <v>11</v>
      </c>
      <c r="F42" s="157" t="str">
        <f>'DM 4 Car'!F89</f>
        <v>No</v>
      </c>
      <c r="G42" s="157" t="str">
        <f>'DM 4 Car'!G89</f>
        <v>MR SS, RB SV OM</v>
      </c>
      <c r="H42" s="157">
        <f>'DM 4 Car'!H89</f>
        <v>45986</v>
      </c>
      <c r="I42" s="169" t="s">
        <v>132</v>
      </c>
      <c r="J42" s="169" t="s">
        <v>133</v>
      </c>
      <c r="K42" s="169">
        <v>0</v>
      </c>
      <c r="L42" s="169" t="s">
        <v>345</v>
      </c>
      <c r="M42" s="169" t="s">
        <v>350</v>
      </c>
      <c r="N42" s="157">
        <v>4</v>
      </c>
      <c r="O42" s="160">
        <v>5.208333333333333E-3</v>
      </c>
    </row>
    <row r="43" spans="1:15" ht="35.1" customHeight="1">
      <c r="A43" s="128"/>
      <c r="B43" s="153" t="s">
        <v>20</v>
      </c>
      <c r="C43" s="154" t="s">
        <v>562</v>
      </c>
      <c r="D43" s="154" t="s">
        <v>563</v>
      </c>
      <c r="E43" s="154" t="s">
        <v>11</v>
      </c>
      <c r="F43" s="154" t="s">
        <v>21</v>
      </c>
      <c r="G43" s="154" t="s">
        <v>768</v>
      </c>
      <c r="H43" s="155">
        <v>45983</v>
      </c>
      <c r="I43" s="164" t="s">
        <v>132</v>
      </c>
      <c r="J43" s="164" t="s">
        <v>133</v>
      </c>
      <c r="K43" s="164">
        <v>0</v>
      </c>
      <c r="L43" s="164" t="s">
        <v>354</v>
      </c>
      <c r="M43" s="164" t="s">
        <v>350</v>
      </c>
      <c r="N43" s="100">
        <v>2</v>
      </c>
      <c r="O43" s="109">
        <v>2.0833333333333333E-3</v>
      </c>
    </row>
    <row r="44" spans="1:15" ht="35.1" customHeight="1">
      <c r="A44" s="128"/>
      <c r="B44" s="153" t="s">
        <v>20</v>
      </c>
      <c r="C44" s="154" t="s">
        <v>833</v>
      </c>
      <c r="D44" s="154" t="s">
        <v>834</v>
      </c>
      <c r="E44" s="154" t="s">
        <v>11</v>
      </c>
      <c r="F44" s="154" t="s">
        <v>21</v>
      </c>
      <c r="G44" s="154" t="s">
        <v>835</v>
      </c>
      <c r="H44" s="155">
        <v>45986</v>
      </c>
      <c r="I44" s="78" t="s">
        <v>132</v>
      </c>
      <c r="J44" s="78" t="s">
        <v>133</v>
      </c>
      <c r="K44" s="78">
        <v>0</v>
      </c>
      <c r="L44" s="78" t="s">
        <v>345</v>
      </c>
      <c r="M44" s="78" t="s">
        <v>350</v>
      </c>
      <c r="N44" s="100">
        <v>4</v>
      </c>
      <c r="O44" s="109">
        <v>5.208333333333333E-3</v>
      </c>
    </row>
    <row r="45" spans="1:15" ht="35.1" customHeight="1" thickTop="1" thickBot="1">
      <c r="A45" s="128"/>
      <c r="B45" s="106" t="s">
        <v>20</v>
      </c>
      <c r="C45" s="100" t="s">
        <v>566</v>
      </c>
      <c r="D45" s="100" t="s">
        <v>567</v>
      </c>
      <c r="E45" s="100"/>
      <c r="F45" s="100"/>
      <c r="G45" s="100"/>
      <c r="H45" s="130"/>
      <c r="I45" s="78" t="s">
        <v>132</v>
      </c>
      <c r="J45" s="78" t="s">
        <v>133</v>
      </c>
      <c r="K45" s="78">
        <v>0</v>
      </c>
      <c r="L45" s="78" t="s">
        <v>568</v>
      </c>
      <c r="M45" s="78" t="s">
        <v>205</v>
      </c>
      <c r="N45" s="100">
        <v>2</v>
      </c>
      <c r="O45" s="109">
        <v>2.0833333333333333E-3</v>
      </c>
    </row>
    <row r="46" spans="1:15" ht="35.1" customHeight="1" thickTop="1" thickBot="1">
      <c r="A46" s="128"/>
      <c r="B46" s="106" t="s">
        <v>20</v>
      </c>
      <c r="C46" s="100" t="s">
        <v>569</v>
      </c>
      <c r="D46" s="100" t="s">
        <v>373</v>
      </c>
      <c r="E46" s="100"/>
      <c r="F46" s="100"/>
      <c r="G46" s="100"/>
      <c r="H46" s="130"/>
      <c r="I46" s="78" t="s">
        <v>132</v>
      </c>
      <c r="J46" s="78" t="s">
        <v>133</v>
      </c>
      <c r="K46" s="78">
        <v>0</v>
      </c>
      <c r="L46" s="78" t="s">
        <v>374</v>
      </c>
      <c r="M46" s="78" t="s">
        <v>205</v>
      </c>
      <c r="N46" s="100">
        <v>2</v>
      </c>
      <c r="O46" s="109">
        <v>3.4722222222222224E-4</v>
      </c>
    </row>
    <row r="47" spans="1:15" ht="35.1" customHeight="1" thickTop="1" thickBot="1">
      <c r="A47" s="128"/>
      <c r="B47" s="106" t="s">
        <v>20</v>
      </c>
      <c r="C47" s="100" t="s">
        <v>570</v>
      </c>
      <c r="D47" s="100" t="s">
        <v>836</v>
      </c>
      <c r="E47" s="100"/>
      <c r="F47" s="100"/>
      <c r="G47" s="100"/>
      <c r="H47" s="130"/>
      <c r="I47" s="78" t="s">
        <v>60</v>
      </c>
      <c r="J47" s="78" t="s">
        <v>133</v>
      </c>
      <c r="K47" s="78">
        <v>0</v>
      </c>
      <c r="L47" s="78" t="s">
        <v>377</v>
      </c>
      <c r="M47" s="78" t="s">
        <v>164</v>
      </c>
      <c r="N47" s="100">
        <v>2</v>
      </c>
      <c r="O47" s="109">
        <v>4.6296296296296293E-4</v>
      </c>
    </row>
    <row r="48" spans="1:15" ht="35.1" customHeight="1" thickTop="1" thickBot="1">
      <c r="A48" s="128"/>
      <c r="B48" s="106" t="s">
        <v>20</v>
      </c>
      <c r="C48" s="100" t="s">
        <v>572</v>
      </c>
      <c r="D48" s="100" t="s">
        <v>573</v>
      </c>
      <c r="E48" s="100"/>
      <c r="F48" s="100"/>
      <c r="G48" s="100"/>
      <c r="H48" s="130"/>
      <c r="I48" s="78" t="s">
        <v>132</v>
      </c>
      <c r="J48" s="78" t="s">
        <v>133</v>
      </c>
      <c r="K48" s="78">
        <v>0</v>
      </c>
      <c r="L48" s="78" t="s">
        <v>574</v>
      </c>
      <c r="M48" s="78" t="s">
        <v>205</v>
      </c>
      <c r="N48" s="100">
        <v>1</v>
      </c>
      <c r="O48" s="109">
        <v>6.9444444444444447E-4</v>
      </c>
    </row>
    <row r="49" spans="1:16" ht="35.1" customHeight="1">
      <c r="A49" s="128"/>
      <c r="B49" s="106" t="s">
        <v>20</v>
      </c>
      <c r="C49" s="100" t="s">
        <v>575</v>
      </c>
      <c r="D49" s="100" t="s">
        <v>576</v>
      </c>
      <c r="E49" s="100" t="s">
        <v>11</v>
      </c>
      <c r="F49" s="100" t="s">
        <v>21</v>
      </c>
      <c r="G49" s="100" t="s">
        <v>237</v>
      </c>
      <c r="H49" s="130">
        <v>45982</v>
      </c>
      <c r="I49" s="78" t="s">
        <v>132</v>
      </c>
      <c r="J49" s="78" t="s">
        <v>133</v>
      </c>
      <c r="K49" s="78">
        <v>0</v>
      </c>
      <c r="L49" s="78" t="s">
        <v>577</v>
      </c>
      <c r="M49" s="78" t="s">
        <v>239</v>
      </c>
      <c r="N49" s="100">
        <v>1</v>
      </c>
      <c r="O49" s="109">
        <v>3.4722222222222224E-4</v>
      </c>
    </row>
    <row r="50" spans="1:16" ht="35.1" customHeight="1">
      <c r="A50" s="128"/>
      <c r="B50" s="89" t="s">
        <v>20</v>
      </c>
      <c r="C50" s="73" t="s">
        <v>578</v>
      </c>
      <c r="D50" s="73" t="s">
        <v>579</v>
      </c>
      <c r="E50" s="100" t="s">
        <v>11</v>
      </c>
      <c r="F50" s="73" t="s">
        <v>21</v>
      </c>
      <c r="G50" s="73" t="s">
        <v>539</v>
      </c>
      <c r="H50" s="86">
        <v>45391</v>
      </c>
      <c r="I50" s="78" t="s">
        <v>88</v>
      </c>
      <c r="J50" s="78" t="s">
        <v>133</v>
      </c>
      <c r="K50" s="78">
        <v>0</v>
      </c>
      <c r="L50" s="78" t="s">
        <v>508</v>
      </c>
      <c r="M50" s="78" t="s">
        <v>215</v>
      </c>
      <c r="N50" s="73">
        <v>1</v>
      </c>
      <c r="O50" s="80">
        <v>6.9444444444444447E-4</v>
      </c>
    </row>
    <row r="51" spans="1:16" ht="35.1" customHeight="1">
      <c r="A51" s="128"/>
      <c r="B51" s="106" t="s">
        <v>20</v>
      </c>
      <c r="C51" s="100" t="s">
        <v>837</v>
      </c>
      <c r="D51" s="100" t="s">
        <v>581</v>
      </c>
      <c r="E51" s="100" t="s">
        <v>11</v>
      </c>
      <c r="F51" s="73" t="s">
        <v>21</v>
      </c>
      <c r="G51" s="100" t="s">
        <v>830</v>
      </c>
      <c r="H51" s="130">
        <v>45984</v>
      </c>
      <c r="I51" s="78" t="s">
        <v>60</v>
      </c>
      <c r="J51" s="78" t="s">
        <v>61</v>
      </c>
      <c r="K51" s="78">
        <v>0</v>
      </c>
      <c r="L51" s="78" t="s">
        <v>582</v>
      </c>
      <c r="M51" s="78" t="s">
        <v>147</v>
      </c>
      <c r="N51" s="100">
        <v>2</v>
      </c>
      <c r="O51" s="109">
        <v>2.0833333333333333E-3</v>
      </c>
    </row>
    <row r="52" spans="1:16" ht="35.1" customHeight="1">
      <c r="A52" s="128"/>
      <c r="B52" s="106" t="s">
        <v>20</v>
      </c>
      <c r="C52" s="100" t="s">
        <v>583</v>
      </c>
      <c r="D52" s="100" t="s">
        <v>584</v>
      </c>
      <c r="E52" s="100" t="s">
        <v>11</v>
      </c>
      <c r="F52" s="73" t="s">
        <v>21</v>
      </c>
      <c r="G52" s="100" t="s">
        <v>830</v>
      </c>
      <c r="H52" s="130">
        <v>45984</v>
      </c>
      <c r="I52" s="78" t="s">
        <v>60</v>
      </c>
      <c r="J52" s="78" t="s">
        <v>61</v>
      </c>
      <c r="K52" s="78">
        <v>0</v>
      </c>
      <c r="L52" s="78" t="s">
        <v>585</v>
      </c>
      <c r="M52" s="78" t="s">
        <v>147</v>
      </c>
      <c r="N52" s="100">
        <v>2</v>
      </c>
      <c r="O52" s="109">
        <v>6.9444444444444447E-4</v>
      </c>
    </row>
    <row r="53" spans="1:16" ht="35.1" customHeight="1">
      <c r="A53" s="128"/>
      <c r="B53" s="106" t="s">
        <v>20</v>
      </c>
      <c r="C53" s="100" t="s">
        <v>838</v>
      </c>
      <c r="D53" s="100" t="s">
        <v>587</v>
      </c>
      <c r="E53" s="100"/>
      <c r="F53" s="100"/>
      <c r="G53" s="100"/>
      <c r="H53" s="130"/>
      <c r="I53" s="78" t="s">
        <v>60</v>
      </c>
      <c r="J53" s="78" t="s">
        <v>61</v>
      </c>
      <c r="K53" s="78">
        <v>0</v>
      </c>
      <c r="L53" s="78" t="s">
        <v>588</v>
      </c>
      <c r="M53" s="78" t="s">
        <v>63</v>
      </c>
      <c r="N53" s="100">
        <v>2</v>
      </c>
      <c r="O53" s="109">
        <v>6.9444444444444447E-4</v>
      </c>
    </row>
    <row r="54" spans="1:16" ht="35.1" customHeight="1">
      <c r="A54" s="128"/>
      <c r="B54" s="106" t="s">
        <v>20</v>
      </c>
      <c r="C54" s="100" t="s">
        <v>589</v>
      </c>
      <c r="D54" s="100" t="s">
        <v>590</v>
      </c>
      <c r="E54" s="100" t="s">
        <v>11</v>
      </c>
      <c r="F54" s="73" t="s">
        <v>21</v>
      </c>
      <c r="G54" s="100" t="s">
        <v>839</v>
      </c>
      <c r="H54" s="130">
        <v>45984</v>
      </c>
      <c r="I54" s="78" t="s">
        <v>60</v>
      </c>
      <c r="J54" s="78" t="s">
        <v>61</v>
      </c>
      <c r="K54" s="78">
        <v>0</v>
      </c>
      <c r="L54" s="78" t="s">
        <v>591</v>
      </c>
      <c r="M54" s="78" t="s">
        <v>147</v>
      </c>
      <c r="N54" s="100">
        <v>2</v>
      </c>
      <c r="O54" s="109">
        <v>6.9444444444444447E-4</v>
      </c>
    </row>
    <row r="55" spans="1:16" ht="49.5" customHeight="1">
      <c r="A55" s="128"/>
      <c r="B55" s="106" t="s">
        <v>20</v>
      </c>
      <c r="C55" s="100" t="s">
        <v>840</v>
      </c>
      <c r="D55" s="100" t="s">
        <v>414</v>
      </c>
      <c r="E55" s="100"/>
      <c r="F55" s="100"/>
      <c r="G55" s="100"/>
      <c r="H55" s="130"/>
      <c r="I55" s="78" t="s">
        <v>88</v>
      </c>
      <c r="J55" s="78" t="s">
        <v>61</v>
      </c>
      <c r="K55" s="78">
        <v>0</v>
      </c>
      <c r="L55" s="78" t="s">
        <v>415</v>
      </c>
      <c r="M55" s="78" t="s">
        <v>107</v>
      </c>
      <c r="N55" s="100">
        <v>4</v>
      </c>
      <c r="O55" s="109">
        <v>2.0833333333333333E-3</v>
      </c>
    </row>
    <row r="56" spans="1:16" ht="35.1" customHeight="1" thickTop="1" thickBot="1">
      <c r="A56" s="117"/>
      <c r="B56" s="111" t="s">
        <v>20</v>
      </c>
      <c r="C56" s="112" t="s">
        <v>841</v>
      </c>
      <c r="D56" s="112" t="s">
        <v>426</v>
      </c>
      <c r="E56" s="112"/>
      <c r="F56" s="112"/>
      <c r="G56" s="112"/>
      <c r="H56" s="131"/>
      <c r="I56" s="78" t="s">
        <v>60</v>
      </c>
      <c r="J56" s="78" t="s">
        <v>61</v>
      </c>
      <c r="K56" s="78">
        <v>0</v>
      </c>
      <c r="L56" s="78" t="s">
        <v>427</v>
      </c>
      <c r="M56" s="78" t="s">
        <v>107</v>
      </c>
      <c r="N56" s="112">
        <v>2</v>
      </c>
      <c r="O56" s="116">
        <v>6.9444444444444447E-4</v>
      </c>
    </row>
    <row r="57" spans="1:16" ht="35.1" customHeight="1" thickTop="1" thickBot="1">
      <c r="A57" s="128"/>
      <c r="B57" s="101" t="s">
        <v>24</v>
      </c>
      <c r="C57" s="102" t="s">
        <v>594</v>
      </c>
      <c r="D57" s="102" t="s">
        <v>435</v>
      </c>
      <c r="E57" s="102"/>
      <c r="F57" s="102"/>
      <c r="G57" s="102"/>
      <c r="H57" s="129"/>
      <c r="I57" s="78" t="s">
        <v>132</v>
      </c>
      <c r="J57" s="78" t="s">
        <v>61</v>
      </c>
      <c r="K57" s="78">
        <v>0</v>
      </c>
      <c r="L57" s="78" t="s">
        <v>436</v>
      </c>
      <c r="M57" s="78" t="s">
        <v>239</v>
      </c>
      <c r="N57" s="102">
        <v>1</v>
      </c>
      <c r="O57" s="105">
        <v>6.9444444444444447E-4</v>
      </c>
      <c r="P57" s="145"/>
    </row>
    <row r="58" spans="1:16" ht="35.1" customHeight="1" thickTop="1" thickBot="1">
      <c r="A58" s="128"/>
      <c r="B58" s="106" t="s">
        <v>24</v>
      </c>
      <c r="C58" s="100" t="s">
        <v>595</v>
      </c>
      <c r="D58" s="100" t="s">
        <v>842</v>
      </c>
      <c r="E58" s="100"/>
      <c r="F58" s="100"/>
      <c r="G58" s="100"/>
      <c r="H58" s="130"/>
      <c r="I58" s="78" t="s">
        <v>132</v>
      </c>
      <c r="J58" s="78" t="s">
        <v>61</v>
      </c>
      <c r="K58" s="78">
        <v>0</v>
      </c>
      <c r="L58" s="78" t="s">
        <v>424</v>
      </c>
      <c r="M58" s="78" t="s">
        <v>440</v>
      </c>
      <c r="N58" s="100">
        <v>1</v>
      </c>
      <c r="O58" s="109">
        <v>3.4722222222222224E-4</v>
      </c>
      <c r="P58" s="145"/>
    </row>
    <row r="59" spans="1:16" ht="36.75" customHeight="1">
      <c r="A59" s="117"/>
      <c r="B59" s="106" t="s">
        <v>24</v>
      </c>
      <c r="C59" s="100" t="s">
        <v>597</v>
      </c>
      <c r="D59" s="100" t="s">
        <v>598</v>
      </c>
      <c r="E59" s="100"/>
      <c r="F59" s="100"/>
      <c r="G59" s="100"/>
      <c r="H59" s="130"/>
      <c r="I59" s="78" t="s">
        <v>60</v>
      </c>
      <c r="J59" s="78" t="s">
        <v>61</v>
      </c>
      <c r="K59" s="78">
        <v>0</v>
      </c>
      <c r="L59" s="78" t="s">
        <v>469</v>
      </c>
      <c r="M59" s="78" t="s">
        <v>107</v>
      </c>
      <c r="N59" s="100">
        <v>1</v>
      </c>
      <c r="O59" s="109">
        <v>1.0416666666666667E-3</v>
      </c>
      <c r="P59" s="145"/>
    </row>
    <row r="60" spans="1:16" ht="49.5" customHeight="1">
      <c r="B60" s="203" t="s">
        <v>599</v>
      </c>
      <c r="C60" s="204" t="s">
        <v>600</v>
      </c>
      <c r="D60" s="204" t="s">
        <v>601</v>
      </c>
      <c r="E60" s="157" t="s">
        <v>11</v>
      </c>
      <c r="F60" s="157" t="s">
        <v>21</v>
      </c>
      <c r="G60" s="202" t="s">
        <v>602</v>
      </c>
      <c r="H60" s="130">
        <v>45983</v>
      </c>
      <c r="I60" s="78" t="s">
        <v>60</v>
      </c>
      <c r="J60" s="78" t="s">
        <v>133</v>
      </c>
      <c r="K60" s="78">
        <v>0</v>
      </c>
      <c r="L60" s="78">
        <v>0</v>
      </c>
      <c r="M60" s="78" t="s">
        <v>107</v>
      </c>
      <c r="N60" s="136"/>
      <c r="O60" s="137"/>
    </row>
    <row r="88" ht="66" customHeight="1"/>
    <row r="128" ht="66" customHeight="1"/>
  </sheetData>
  <autoFilter ref="A2:P60" xr:uid="{85B947FD-98C2-42CC-BC6A-AE5670D4F10B}"/>
  <phoneticPr fontId="7" type="noConversion"/>
  <conditionalFormatting sqref="B15:H16 B14:D14 B33:H33 B42 D42:H42 B3:H13 B24:H26 B23:C23 E23:H23 B28:H28 B27:C27 E27:H27 B37:C37 B18:H22 B17:C17 E17:H17 B39:H41 B38:D38 B34:D36 E34:H38 F32:H32 B29:E32 G29:H29 B43:H59">
    <cfRule type="expression" dxfId="51" priority="18">
      <formula>AND(OR($F3="No",$F3=""), $E3= "Yes",$G3&lt;&gt;"",$H3&lt;&gt;"")</formula>
    </cfRule>
  </conditionalFormatting>
  <conditionalFormatting sqref="N3:O13 N59:O59 N15:O57">
    <cfRule type="expression" dxfId="50" priority="17">
      <formula>AND(OR($F3="No",$F3=""), $E3= "Yes",$G3&lt;&gt;"",$H3&lt;&gt;"")</formula>
    </cfRule>
  </conditionalFormatting>
  <conditionalFormatting sqref="N58:O58">
    <cfRule type="expression" dxfId="49" priority="16">
      <formula>AND(OR($E58="No",$E58=""), $D58= "Yes",$F58&lt;&gt;"",$G58&lt;&gt;"")</formula>
    </cfRule>
  </conditionalFormatting>
  <conditionalFormatting sqref="N14:O14">
    <cfRule type="expression" dxfId="48" priority="15">
      <formula>AND(OR($F14="No",$F14=""), $E14= "Yes",$G14&lt;&gt;"",$H14&lt;&gt;"")</formula>
    </cfRule>
  </conditionalFormatting>
  <conditionalFormatting sqref="F30:H31">
    <cfRule type="expression" dxfId="47" priority="13">
      <formula>AND(OR($F30="No",$F30=""), $E30= "Yes",$G30&lt;&gt;"",$H30&lt;&gt;"")</formula>
    </cfRule>
    <cfRule type="expression" dxfId="46" priority="14">
      <formula>AND(OR($E30="No",$E30=""), $F30= "Yes",$G30&lt;&gt;"",$H30&lt;&gt;"")</formula>
    </cfRule>
  </conditionalFormatting>
  <conditionalFormatting sqref="C42">
    <cfRule type="expression" dxfId="45" priority="12">
      <formula>AND(OR($F42="No",$F42=""), $E42= "Yes",#REF!&lt;&gt;"",$H42&lt;&gt;"")</formula>
    </cfRule>
  </conditionalFormatting>
  <conditionalFormatting sqref="I3:M60">
    <cfRule type="expression" dxfId="44" priority="11">
      <formula>AND(OR($F3="No",$F3=""), $E3= "Yes",$G3&lt;&gt;"",$H3&lt;&gt;"")</formula>
    </cfRule>
  </conditionalFormatting>
  <conditionalFormatting sqref="D23">
    <cfRule type="expression" dxfId="43" priority="10">
      <formula>AND(OR($F23="No",$F23=""), $E23= "Yes",$G23&lt;&gt;"",$H23&lt;&gt;"")</formula>
    </cfRule>
  </conditionalFormatting>
  <conditionalFormatting sqref="D27">
    <cfRule type="expression" dxfId="42" priority="9">
      <formula>AND(OR($F27="No",$F27=""), $E27= "Yes",$G27&lt;&gt;"",$H27&lt;&gt;"")</formula>
    </cfRule>
  </conditionalFormatting>
  <conditionalFormatting sqref="D37">
    <cfRule type="expression" dxfId="41" priority="8">
      <formula>AND(OR($F37="No",$F37=""), $E37= "Yes",$G37&lt;&gt;"",$H37&lt;&gt;"")</formula>
    </cfRule>
  </conditionalFormatting>
  <conditionalFormatting sqref="D17">
    <cfRule type="expression" dxfId="40" priority="7">
      <formula>AND(OR($F17="No",$F17=""), $E17= "Yes",$G17&lt;&gt;"",$H17&lt;&gt;"")</formula>
    </cfRule>
  </conditionalFormatting>
  <conditionalFormatting sqref="E60">
    <cfRule type="expression" dxfId="39" priority="5">
      <formula>AND(OR($F60="No",$F60=""), $E60= "Yes",$G60&lt;&gt;"",$H60&lt;&gt;"")</formula>
    </cfRule>
  </conditionalFormatting>
  <conditionalFormatting sqref="F60">
    <cfRule type="expression" dxfId="38" priority="4">
      <formula>AND(OR($F60="No",$F60=""), $E60= "Yes",$G60&lt;&gt;"",$H60&lt;&gt;"")</formula>
    </cfRule>
  </conditionalFormatting>
  <conditionalFormatting sqref="H60">
    <cfRule type="expression" dxfId="37" priority="3">
      <formula>AND(OR($F60="No",$F60=""), $E60= "Yes",$G60&lt;&gt;"",$H60&lt;&gt;"")</formula>
    </cfRule>
  </conditionalFormatting>
  <conditionalFormatting sqref="F29">
    <cfRule type="expression" dxfId="36" priority="1">
      <formula>AND(OR($F29="No",$F29=""), $E29= "Yes",$G29&lt;&gt;"",$H29&lt;&gt;"")</formula>
    </cfRule>
    <cfRule type="expression" dxfId="35" priority="2">
      <formula>AND(OR($E29="No",$E29=""), $F29= "Yes",$G29&lt;&gt;"",$H29&lt;&gt;"")</formula>
    </cfRule>
  </conditionalFormatting>
  <dataValidations count="2">
    <dataValidation type="list" allowBlank="1" showInputMessage="1" showErrorMessage="1" sqref="B3:B43" xr:uid="{1FD6EF34-0B75-4E08-B01D-5C038F09E317}">
      <formula1>"Phase 1, Phase 2, Phase 3, Phase 4, "</formula1>
    </dataValidation>
    <dataValidation type="list" allowBlank="1" showInputMessage="1" showErrorMessage="1" sqref="K61:K1048576 E3:E13 E15:E41 F44 K1:K2 E43 E60:F60 F29:F31 E45:E59" xr:uid="{683EDFB9-D5FF-4226-A0F9-B0D32E5CEB84}">
      <formula1>"Yes, No"</formula1>
    </dataValidation>
  </dataValidations>
  <pageMargins left="0.25" right="0.25" top="0.75" bottom="0.75" header="0.3" footer="0.3"/>
  <pageSetup paperSize="8"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BC130"/>
  <sheetViews>
    <sheetView zoomScale="70" zoomScaleNormal="70" workbookViewId="0">
      <pane ySplit="2" topLeftCell="A38" activePane="bottomLeft" state="frozen"/>
      <selection pane="bottomLeft" activeCell="E44" sqref="E44"/>
      <selection activeCell="D17" sqref="D17"/>
    </sheetView>
  </sheetViews>
  <sheetFormatPr defaultColWidth="8.88671875" defaultRowHeight="15"/>
  <cols>
    <col min="1" max="1" width="9" style="2" customWidth="1"/>
    <col min="2" max="2" width="7.77734375" style="18" customWidth="1"/>
    <col min="3" max="3" width="60.77734375" style="2" customWidth="1"/>
    <col min="4" max="4" width="38.77734375" style="2" customWidth="1"/>
    <col min="5" max="5" width="14" style="2" customWidth="1"/>
    <col min="6" max="6" width="11.5546875" style="2" customWidth="1"/>
    <col min="7" max="7" width="66.6640625" style="2" customWidth="1"/>
    <col min="8" max="8" width="14.77734375" style="2" customWidth="1"/>
    <col min="9" max="10" width="10.33203125" style="18" customWidth="1"/>
    <col min="11" max="11" width="10.5546875" style="2" customWidth="1"/>
    <col min="12" max="12" width="17" style="2" customWidth="1"/>
    <col min="13" max="13" width="27.33203125" style="2" customWidth="1"/>
    <col min="14" max="14" width="10.21875" style="2" customWidth="1"/>
    <col min="15" max="15" width="8.88671875" style="2" customWidth="1"/>
    <col min="16" max="16384" width="8.88671875" style="2"/>
  </cols>
  <sheetData>
    <row r="1" spans="1:15" ht="16.5" thickBot="1">
      <c r="A1" s="21"/>
      <c r="B1" s="69" t="s">
        <v>47</v>
      </c>
      <c r="C1" s="56" t="s">
        <v>843</v>
      </c>
      <c r="D1" s="5"/>
      <c r="E1" s="5"/>
      <c r="F1" s="5"/>
      <c r="G1" s="5"/>
      <c r="H1" s="5"/>
      <c r="I1" s="19"/>
      <c r="J1" s="19"/>
      <c r="K1" s="5"/>
      <c r="L1" s="5"/>
    </row>
    <row r="2" spans="1:15" s="6" customFormat="1" ht="89.25" thickBot="1">
      <c r="A2" s="51" t="s">
        <v>41</v>
      </c>
      <c r="B2" s="61">
        <v>29</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ht="35.1" customHeight="1" thickTop="1" thickBot="1">
      <c r="A3" s="181"/>
      <c r="B3" s="92" t="s">
        <v>10</v>
      </c>
      <c r="C3" s="78" t="s">
        <v>56</v>
      </c>
      <c r="D3" s="78" t="s">
        <v>57</v>
      </c>
      <c r="E3" s="78" t="s">
        <v>11</v>
      </c>
      <c r="F3" s="78" t="s">
        <v>21</v>
      </c>
      <c r="G3" s="78" t="s">
        <v>58</v>
      </c>
      <c r="H3" s="87" t="s">
        <v>59</v>
      </c>
      <c r="I3" s="77" t="s">
        <v>60</v>
      </c>
      <c r="J3" s="77" t="s">
        <v>61</v>
      </c>
      <c r="K3" s="77">
        <v>0</v>
      </c>
      <c r="L3" s="77" t="s">
        <v>62</v>
      </c>
      <c r="M3" s="77" t="s">
        <v>63</v>
      </c>
      <c r="N3" s="78">
        <v>1</v>
      </c>
      <c r="O3" s="79">
        <v>5.2083333333333333E-4</v>
      </c>
    </row>
    <row r="4" spans="1:15" ht="35.1" customHeight="1" thickTop="1" thickBot="1">
      <c r="A4" s="181"/>
      <c r="B4" s="89" t="s">
        <v>10</v>
      </c>
      <c r="C4" s="73" t="s">
        <v>64</v>
      </c>
      <c r="D4" s="73" t="s">
        <v>65</v>
      </c>
      <c r="E4" s="73" t="s">
        <v>11</v>
      </c>
      <c r="F4" s="73" t="s">
        <v>21</v>
      </c>
      <c r="G4" s="73" t="s">
        <v>58</v>
      </c>
      <c r="H4" s="86" t="s">
        <v>59</v>
      </c>
      <c r="I4" s="77" t="s">
        <v>60</v>
      </c>
      <c r="J4" s="77" t="s">
        <v>61</v>
      </c>
      <c r="K4" s="77">
        <v>0</v>
      </c>
      <c r="L4" s="77" t="s">
        <v>66</v>
      </c>
      <c r="M4" s="77" t="s">
        <v>67</v>
      </c>
      <c r="N4" s="73">
        <v>1</v>
      </c>
      <c r="O4" s="80">
        <v>3.4722222222222224E-4</v>
      </c>
    </row>
    <row r="5" spans="1:15" ht="35.1" customHeight="1" thickTop="1" thickBot="1">
      <c r="A5" s="181"/>
      <c r="B5" s="89" t="s">
        <v>10</v>
      </c>
      <c r="C5" s="73" t="s">
        <v>68</v>
      </c>
      <c r="D5" s="73" t="s">
        <v>65</v>
      </c>
      <c r="E5" s="73" t="s">
        <v>11</v>
      </c>
      <c r="F5" s="73" t="s">
        <v>21</v>
      </c>
      <c r="G5" s="73" t="s">
        <v>58</v>
      </c>
      <c r="H5" s="86" t="s">
        <v>59</v>
      </c>
      <c r="I5" s="77" t="s">
        <v>60</v>
      </c>
      <c r="J5" s="77" t="s">
        <v>61</v>
      </c>
      <c r="K5" s="77">
        <v>0</v>
      </c>
      <c r="L5" s="77" t="s">
        <v>66</v>
      </c>
      <c r="M5" s="77" t="s">
        <v>67</v>
      </c>
      <c r="N5" s="73">
        <v>1</v>
      </c>
      <c r="O5" s="80">
        <v>3.4722222222222224E-4</v>
      </c>
    </row>
    <row r="6" spans="1:15" ht="35.1" customHeight="1" thickTop="1" thickBot="1">
      <c r="A6" s="181"/>
      <c r="B6" s="89" t="s">
        <v>10</v>
      </c>
      <c r="C6" s="73" t="s">
        <v>69</v>
      </c>
      <c r="D6" s="73" t="s">
        <v>70</v>
      </c>
      <c r="E6" s="73" t="s">
        <v>11</v>
      </c>
      <c r="F6" s="73" t="s">
        <v>21</v>
      </c>
      <c r="G6" s="73" t="s">
        <v>58</v>
      </c>
      <c r="H6" s="86" t="s">
        <v>59</v>
      </c>
      <c r="I6" s="77" t="s">
        <v>60</v>
      </c>
      <c r="J6" s="77" t="s">
        <v>61</v>
      </c>
      <c r="K6" s="77">
        <v>0</v>
      </c>
      <c r="L6" s="77" t="s">
        <v>66</v>
      </c>
      <c r="M6" s="77" t="s">
        <v>67</v>
      </c>
      <c r="N6" s="73">
        <v>1</v>
      </c>
      <c r="O6" s="80">
        <v>1.3888888888888889E-3</v>
      </c>
    </row>
    <row r="7" spans="1:15" ht="35.1" customHeight="1" thickTop="1" thickBot="1">
      <c r="A7" s="181"/>
      <c r="B7" s="89" t="s">
        <v>10</v>
      </c>
      <c r="C7" s="73" t="s">
        <v>71</v>
      </c>
      <c r="D7" s="73" t="s">
        <v>72</v>
      </c>
      <c r="E7" s="73" t="s">
        <v>11</v>
      </c>
      <c r="F7" s="73" t="s">
        <v>21</v>
      </c>
      <c r="G7" s="73" t="s">
        <v>58</v>
      </c>
      <c r="H7" s="86" t="s">
        <v>59</v>
      </c>
      <c r="I7" s="77" t="s">
        <v>60</v>
      </c>
      <c r="J7" s="77" t="s">
        <v>61</v>
      </c>
      <c r="K7" s="77">
        <v>0</v>
      </c>
      <c r="L7" s="77" t="s">
        <v>73</v>
      </c>
      <c r="M7" s="77" t="s">
        <v>74</v>
      </c>
      <c r="N7" s="73">
        <v>1</v>
      </c>
      <c r="O7" s="80">
        <v>1.2152777777777778E-3</v>
      </c>
    </row>
    <row r="8" spans="1:15" ht="35.1" customHeight="1" thickTop="1" thickBot="1">
      <c r="A8" s="181"/>
      <c r="B8" s="89" t="s">
        <v>10</v>
      </c>
      <c r="C8" s="73" t="s">
        <v>75</v>
      </c>
      <c r="D8" s="73" t="s">
        <v>76</v>
      </c>
      <c r="E8" s="73" t="s">
        <v>11</v>
      </c>
      <c r="F8" s="73" t="s">
        <v>21</v>
      </c>
      <c r="G8" s="73" t="s">
        <v>58</v>
      </c>
      <c r="H8" s="86" t="s">
        <v>59</v>
      </c>
      <c r="I8" s="77" t="s">
        <v>60</v>
      </c>
      <c r="J8" s="77" t="s">
        <v>61</v>
      </c>
      <c r="K8" s="77">
        <v>0</v>
      </c>
      <c r="L8" s="77" t="s">
        <v>73</v>
      </c>
      <c r="M8" s="77" t="s">
        <v>74</v>
      </c>
      <c r="N8" s="73">
        <v>1</v>
      </c>
      <c r="O8" s="80">
        <v>3.4722222222222224E-4</v>
      </c>
    </row>
    <row r="9" spans="1:15" ht="35.1" customHeight="1" thickTop="1" thickBot="1">
      <c r="A9" s="181"/>
      <c r="B9" s="89" t="s">
        <v>10</v>
      </c>
      <c r="C9" s="73" t="s">
        <v>77</v>
      </c>
      <c r="D9" s="73" t="s">
        <v>78</v>
      </c>
      <c r="E9" s="73" t="s">
        <v>11</v>
      </c>
      <c r="F9" s="73" t="s">
        <v>21</v>
      </c>
      <c r="G9" s="73" t="s">
        <v>58</v>
      </c>
      <c r="H9" s="86" t="s">
        <v>59</v>
      </c>
      <c r="I9" s="77" t="s">
        <v>60</v>
      </c>
      <c r="J9" s="77" t="s">
        <v>61</v>
      </c>
      <c r="K9" s="77">
        <v>0</v>
      </c>
      <c r="L9" s="77" t="s">
        <v>79</v>
      </c>
      <c r="M9" s="77" t="s">
        <v>63</v>
      </c>
      <c r="N9" s="73">
        <v>2</v>
      </c>
      <c r="O9" s="80">
        <v>3.4722222222222224E-4</v>
      </c>
    </row>
    <row r="10" spans="1:15" ht="35.1" customHeight="1" thickTop="1" thickBot="1">
      <c r="A10" s="181"/>
      <c r="B10" s="89" t="s">
        <v>10</v>
      </c>
      <c r="C10" s="73" t="s">
        <v>80</v>
      </c>
      <c r="D10" s="73" t="s">
        <v>81</v>
      </c>
      <c r="E10" s="73" t="s">
        <v>11</v>
      </c>
      <c r="F10" s="73" t="s">
        <v>21</v>
      </c>
      <c r="G10" s="73" t="s">
        <v>58</v>
      </c>
      <c r="H10" s="86" t="s">
        <v>59</v>
      </c>
      <c r="I10" s="77" t="s">
        <v>60</v>
      </c>
      <c r="J10" s="77" t="s">
        <v>61</v>
      </c>
      <c r="K10" s="77">
        <v>0</v>
      </c>
      <c r="L10" s="77" t="s">
        <v>82</v>
      </c>
      <c r="M10" s="77" t="s">
        <v>63</v>
      </c>
      <c r="N10" s="73">
        <v>1</v>
      </c>
      <c r="O10" s="80">
        <v>1.3888888888888889E-3</v>
      </c>
    </row>
    <row r="11" spans="1:15" ht="35.1" customHeight="1" thickTop="1" thickBot="1">
      <c r="A11" s="181"/>
      <c r="B11" s="89" t="s">
        <v>10</v>
      </c>
      <c r="C11" s="73" t="s">
        <v>83</v>
      </c>
      <c r="D11" s="73" t="s">
        <v>84</v>
      </c>
      <c r="E11" s="73" t="s">
        <v>11</v>
      </c>
      <c r="F11" s="73" t="s">
        <v>21</v>
      </c>
      <c r="G11" s="73" t="s">
        <v>58</v>
      </c>
      <c r="H11" s="86" t="s">
        <v>59</v>
      </c>
      <c r="I11" s="77" t="s">
        <v>60</v>
      </c>
      <c r="J11" s="77" t="s">
        <v>61</v>
      </c>
      <c r="K11" s="77">
        <v>0</v>
      </c>
      <c r="L11" s="77" t="s">
        <v>85</v>
      </c>
      <c r="M11" s="77" t="s">
        <v>63</v>
      </c>
      <c r="N11" s="73">
        <v>1</v>
      </c>
      <c r="O11" s="80">
        <v>3.4722222222222224E-4</v>
      </c>
    </row>
    <row r="12" spans="1:15" ht="35.1" customHeight="1" thickTop="1" thickBot="1">
      <c r="A12" s="181"/>
      <c r="B12" s="89" t="s">
        <v>10</v>
      </c>
      <c r="C12" s="73" t="s">
        <v>86</v>
      </c>
      <c r="D12" s="73" t="s">
        <v>87</v>
      </c>
      <c r="E12" s="73" t="s">
        <v>11</v>
      </c>
      <c r="F12" s="73" t="s">
        <v>21</v>
      </c>
      <c r="G12" s="73" t="s">
        <v>58</v>
      </c>
      <c r="H12" s="86" t="s">
        <v>59</v>
      </c>
      <c r="I12" s="77" t="s">
        <v>88</v>
      </c>
      <c r="J12" s="77" t="s">
        <v>61</v>
      </c>
      <c r="K12" s="77">
        <v>0</v>
      </c>
      <c r="L12" s="77" t="s">
        <v>90</v>
      </c>
      <c r="M12" s="77" t="s">
        <v>91</v>
      </c>
      <c r="N12" s="73">
        <v>1</v>
      </c>
      <c r="O12" s="80">
        <v>3.4722222222222224E-4</v>
      </c>
    </row>
    <row r="13" spans="1:15" ht="35.1" customHeight="1" thickTop="1" thickBot="1">
      <c r="A13" s="181"/>
      <c r="B13" s="89" t="s">
        <v>10</v>
      </c>
      <c r="C13" s="73" t="s">
        <v>92</v>
      </c>
      <c r="D13" s="73" t="s">
        <v>93</v>
      </c>
      <c r="E13" s="73" t="s">
        <v>11</v>
      </c>
      <c r="F13" s="73" t="s">
        <v>21</v>
      </c>
      <c r="G13" s="73" t="s">
        <v>58</v>
      </c>
      <c r="H13" s="86" t="s">
        <v>59</v>
      </c>
      <c r="I13" s="77" t="s">
        <v>60</v>
      </c>
      <c r="J13" s="77" t="s">
        <v>61</v>
      </c>
      <c r="K13" s="77">
        <v>0</v>
      </c>
      <c r="L13" s="77" t="s">
        <v>94</v>
      </c>
      <c r="M13" s="77" t="s">
        <v>63</v>
      </c>
      <c r="N13" s="73">
        <v>1</v>
      </c>
      <c r="O13" s="80">
        <v>1.3888888888888889E-3</v>
      </c>
    </row>
    <row r="14" spans="1:15" ht="35.1" customHeight="1" thickTop="1" thickBot="1">
      <c r="A14" s="181"/>
      <c r="B14" s="89" t="s">
        <v>10</v>
      </c>
      <c r="C14" s="73" t="s">
        <v>95</v>
      </c>
      <c r="D14" s="73" t="s">
        <v>96</v>
      </c>
      <c r="E14" s="73" t="s">
        <v>11</v>
      </c>
      <c r="F14" s="73" t="s">
        <v>21</v>
      </c>
      <c r="G14" s="73" t="s">
        <v>58</v>
      </c>
      <c r="H14" s="86" t="s">
        <v>59</v>
      </c>
      <c r="I14" s="77" t="s">
        <v>60</v>
      </c>
      <c r="J14" s="77" t="s">
        <v>61</v>
      </c>
      <c r="K14" s="77">
        <v>0</v>
      </c>
      <c r="L14" s="77" t="s">
        <v>94</v>
      </c>
      <c r="M14" s="77" t="s">
        <v>63</v>
      </c>
      <c r="N14" s="73">
        <v>1</v>
      </c>
      <c r="O14" s="80">
        <v>1.3888888888888889E-3</v>
      </c>
    </row>
    <row r="15" spans="1:15" ht="35.1" customHeight="1" thickTop="1" thickBot="1">
      <c r="A15" s="181"/>
      <c r="B15" s="89" t="s">
        <v>10</v>
      </c>
      <c r="C15" s="73" t="s">
        <v>97</v>
      </c>
      <c r="D15" s="73" t="s">
        <v>98</v>
      </c>
      <c r="E15" s="73" t="s">
        <v>11</v>
      </c>
      <c r="F15" s="73" t="s">
        <v>21</v>
      </c>
      <c r="G15" s="73" t="s">
        <v>58</v>
      </c>
      <c r="H15" s="86" t="s">
        <v>59</v>
      </c>
      <c r="I15" s="77" t="s">
        <v>60</v>
      </c>
      <c r="J15" s="77" t="s">
        <v>61</v>
      </c>
      <c r="K15" s="77">
        <v>0</v>
      </c>
      <c r="L15" s="77" t="s">
        <v>99</v>
      </c>
      <c r="M15" s="77" t="s">
        <v>63</v>
      </c>
      <c r="N15" s="73">
        <v>1</v>
      </c>
      <c r="O15" s="80">
        <v>5.2083333333333333E-4</v>
      </c>
    </row>
    <row r="16" spans="1:15" ht="35.1" customHeight="1" thickTop="1" thickBot="1">
      <c r="A16" s="181"/>
      <c r="B16" s="89" t="s">
        <v>10</v>
      </c>
      <c r="C16" s="73" t="s">
        <v>100</v>
      </c>
      <c r="D16" s="73" t="s">
        <v>101</v>
      </c>
      <c r="E16" s="73" t="s">
        <v>11</v>
      </c>
      <c r="F16" s="73" t="s">
        <v>21</v>
      </c>
      <c r="G16" s="73" t="s">
        <v>58</v>
      </c>
      <c r="H16" s="86" t="s">
        <v>59</v>
      </c>
      <c r="I16" s="77" t="s">
        <v>60</v>
      </c>
      <c r="J16" s="77" t="s">
        <v>61</v>
      </c>
      <c r="K16" s="77">
        <v>0</v>
      </c>
      <c r="L16" s="77" t="s">
        <v>99</v>
      </c>
      <c r="M16" s="77" t="s">
        <v>63</v>
      </c>
      <c r="N16" s="73">
        <v>1</v>
      </c>
      <c r="O16" s="80">
        <v>5.2083333333333333E-4</v>
      </c>
    </row>
    <row r="17" spans="1:15" ht="35.1" customHeight="1" thickTop="1" thickBot="1">
      <c r="A17" s="181"/>
      <c r="B17" s="89" t="s">
        <v>10</v>
      </c>
      <c r="C17" s="73" t="s">
        <v>102</v>
      </c>
      <c r="D17" s="73" t="s">
        <v>103</v>
      </c>
      <c r="E17" s="73" t="s">
        <v>11</v>
      </c>
      <c r="F17" s="73" t="s">
        <v>21</v>
      </c>
      <c r="G17" s="73" t="s">
        <v>58</v>
      </c>
      <c r="H17" s="86" t="s">
        <v>59</v>
      </c>
      <c r="I17" s="77" t="s">
        <v>60</v>
      </c>
      <c r="J17" s="77" t="s">
        <v>61</v>
      </c>
      <c r="K17" s="77">
        <v>0</v>
      </c>
      <c r="L17" s="77" t="s">
        <v>99</v>
      </c>
      <c r="M17" s="77" t="s">
        <v>63</v>
      </c>
      <c r="N17" s="73">
        <v>1</v>
      </c>
      <c r="O17" s="80">
        <v>3.4722222222222224E-4</v>
      </c>
    </row>
    <row r="18" spans="1:15" ht="35.1" customHeight="1" thickTop="1" thickBot="1">
      <c r="A18" s="181"/>
      <c r="B18" s="89" t="s">
        <v>10</v>
      </c>
      <c r="C18" s="73" t="s">
        <v>104</v>
      </c>
      <c r="D18" s="73" t="s">
        <v>105</v>
      </c>
      <c r="E18" s="73" t="s">
        <v>11</v>
      </c>
      <c r="F18" s="73" t="s">
        <v>21</v>
      </c>
      <c r="G18" s="73" t="s">
        <v>58</v>
      </c>
      <c r="H18" s="86" t="s">
        <v>59</v>
      </c>
      <c r="I18" s="77" t="s">
        <v>88</v>
      </c>
      <c r="J18" s="77" t="s">
        <v>61</v>
      </c>
      <c r="K18" s="77">
        <v>0</v>
      </c>
      <c r="L18" s="77" t="s">
        <v>106</v>
      </c>
      <c r="M18" s="77" t="s">
        <v>107</v>
      </c>
      <c r="N18" s="73">
        <v>1</v>
      </c>
      <c r="O18" s="80">
        <v>6.9444444444444447E-4</v>
      </c>
    </row>
    <row r="19" spans="1:15" ht="35.1" customHeight="1" thickTop="1" thickBot="1">
      <c r="A19" s="181"/>
      <c r="B19" s="89" t="s">
        <v>10</v>
      </c>
      <c r="C19" s="73" t="s">
        <v>108</v>
      </c>
      <c r="D19" s="73" t="s">
        <v>109</v>
      </c>
      <c r="E19" s="73" t="s">
        <v>11</v>
      </c>
      <c r="F19" s="73" t="s">
        <v>21</v>
      </c>
      <c r="G19" s="73" t="s">
        <v>58</v>
      </c>
      <c r="H19" s="86" t="s">
        <v>59</v>
      </c>
      <c r="I19" s="77" t="s">
        <v>88</v>
      </c>
      <c r="J19" s="77" t="s">
        <v>61</v>
      </c>
      <c r="K19" s="77">
        <v>0</v>
      </c>
      <c r="L19" s="77" t="s">
        <v>110</v>
      </c>
      <c r="M19" s="77" t="s">
        <v>107</v>
      </c>
      <c r="N19" s="73">
        <v>1</v>
      </c>
      <c r="O19" s="80">
        <v>6.9444444444444447E-4</v>
      </c>
    </row>
    <row r="20" spans="1:15" ht="35.1" customHeight="1" thickTop="1" thickBot="1">
      <c r="A20" s="181"/>
      <c r="B20" s="89" t="s">
        <v>10</v>
      </c>
      <c r="C20" s="73" t="s">
        <v>111</v>
      </c>
      <c r="D20" s="73" t="s">
        <v>112</v>
      </c>
      <c r="E20" s="73" t="s">
        <v>11</v>
      </c>
      <c r="F20" s="73" t="s">
        <v>21</v>
      </c>
      <c r="G20" s="73" t="s">
        <v>58</v>
      </c>
      <c r="H20" s="86" t="s">
        <v>59</v>
      </c>
      <c r="I20" s="77" t="s">
        <v>60</v>
      </c>
      <c r="J20" s="77" t="s">
        <v>61</v>
      </c>
      <c r="K20" s="77">
        <v>0</v>
      </c>
      <c r="L20" s="77">
        <v>0</v>
      </c>
      <c r="M20" s="77" t="s">
        <v>63</v>
      </c>
      <c r="N20" s="73">
        <v>2</v>
      </c>
      <c r="O20" s="80">
        <v>5.2083333333333333E-4</v>
      </c>
    </row>
    <row r="21" spans="1:15" ht="35.1" customHeight="1" thickTop="1" thickBot="1">
      <c r="A21" s="181"/>
      <c r="B21" s="89" t="s">
        <v>10</v>
      </c>
      <c r="C21" s="73" t="s">
        <v>113</v>
      </c>
      <c r="D21" s="73" t="s">
        <v>114</v>
      </c>
      <c r="E21" s="73" t="s">
        <v>11</v>
      </c>
      <c r="F21" s="73" t="s">
        <v>21</v>
      </c>
      <c r="G21" s="73" t="s">
        <v>58</v>
      </c>
      <c r="H21" s="86" t="s">
        <v>59</v>
      </c>
      <c r="I21" s="77" t="s">
        <v>88</v>
      </c>
      <c r="J21" s="77" t="s">
        <v>61</v>
      </c>
      <c r="K21" s="77">
        <v>0</v>
      </c>
      <c r="L21" s="77" t="s">
        <v>115</v>
      </c>
      <c r="M21" s="77" t="s">
        <v>107</v>
      </c>
      <c r="N21" s="73">
        <v>2</v>
      </c>
      <c r="O21" s="80">
        <v>45.000520833333333</v>
      </c>
    </row>
    <row r="22" spans="1:15" ht="35.1" customHeight="1" thickTop="1" thickBot="1">
      <c r="A22" s="180"/>
      <c r="B22" s="89" t="s">
        <v>10</v>
      </c>
      <c r="C22" s="73" t="s">
        <v>116</v>
      </c>
      <c r="D22" s="73" t="s">
        <v>117</v>
      </c>
      <c r="E22" s="73" t="s">
        <v>11</v>
      </c>
      <c r="F22" s="73" t="s">
        <v>21</v>
      </c>
      <c r="G22" s="73" t="s">
        <v>58</v>
      </c>
      <c r="H22" s="86" t="s">
        <v>59</v>
      </c>
      <c r="I22" s="77" t="s">
        <v>88</v>
      </c>
      <c r="J22" s="77" t="s">
        <v>61</v>
      </c>
      <c r="K22" s="77">
        <v>0</v>
      </c>
      <c r="L22" s="77" t="s">
        <v>118</v>
      </c>
      <c r="M22" s="77" t="s">
        <v>107</v>
      </c>
      <c r="N22" s="73">
        <v>2</v>
      </c>
      <c r="O22" s="80">
        <v>45.042187499999997</v>
      </c>
    </row>
    <row r="23" spans="1:15" ht="35.1" customHeight="1" thickTop="1" thickBot="1">
      <c r="A23" s="6"/>
      <c r="B23" s="89" t="s">
        <v>10</v>
      </c>
      <c r="C23" s="73" t="s">
        <v>119</v>
      </c>
      <c r="D23" s="73" t="s">
        <v>120</v>
      </c>
      <c r="E23" s="72" t="s">
        <v>11</v>
      </c>
      <c r="F23" s="72" t="s">
        <v>21</v>
      </c>
      <c r="G23" s="72" t="s">
        <v>121</v>
      </c>
      <c r="H23" s="90" t="s">
        <v>59</v>
      </c>
      <c r="I23" s="77" t="s">
        <v>88</v>
      </c>
      <c r="J23" s="77" t="s">
        <v>61</v>
      </c>
      <c r="K23" s="77">
        <v>0</v>
      </c>
      <c r="L23" s="77" t="s">
        <v>122</v>
      </c>
      <c r="M23" s="77" t="s">
        <v>123</v>
      </c>
      <c r="N23" s="73">
        <v>1</v>
      </c>
      <c r="O23" s="80">
        <v>5.2083333333333333E-4</v>
      </c>
    </row>
    <row r="24" spans="1:15" ht="35.1" customHeight="1" thickTop="1" thickBot="1">
      <c r="A24" s="6"/>
      <c r="B24" s="89" t="s">
        <v>10</v>
      </c>
      <c r="C24" s="73" t="s">
        <v>124</v>
      </c>
      <c r="D24" s="73" t="s">
        <v>125</v>
      </c>
      <c r="E24" s="72" t="s">
        <v>11</v>
      </c>
      <c r="F24" s="72" t="s">
        <v>21</v>
      </c>
      <c r="G24" s="72" t="s">
        <v>121</v>
      </c>
      <c r="H24" s="90" t="s">
        <v>59</v>
      </c>
      <c r="I24" s="77" t="s">
        <v>88</v>
      </c>
      <c r="J24" s="77" t="s">
        <v>61</v>
      </c>
      <c r="K24" s="77">
        <v>0</v>
      </c>
      <c r="L24" s="77" t="s">
        <v>126</v>
      </c>
      <c r="M24" s="77" t="s">
        <v>123</v>
      </c>
      <c r="N24" s="73">
        <v>2</v>
      </c>
      <c r="O24" s="80">
        <v>6.9444444444444447E-4</v>
      </c>
    </row>
    <row r="25" spans="1:15" ht="35.1" customHeight="1" thickTop="1" thickBot="1">
      <c r="A25" s="6"/>
      <c r="B25" s="91" t="s">
        <v>10</v>
      </c>
      <c r="C25" s="84" t="s">
        <v>127</v>
      </c>
      <c r="D25" s="84" t="s">
        <v>128</v>
      </c>
      <c r="E25" s="82" t="s">
        <v>11</v>
      </c>
      <c r="F25" s="82" t="s">
        <v>21</v>
      </c>
      <c r="G25" s="82" t="s">
        <v>58</v>
      </c>
      <c r="H25" s="83" t="s">
        <v>59</v>
      </c>
      <c r="I25" s="77" t="s">
        <v>88</v>
      </c>
      <c r="J25" s="77" t="s">
        <v>61</v>
      </c>
      <c r="K25" s="77">
        <v>0</v>
      </c>
      <c r="L25" s="77">
        <v>0</v>
      </c>
      <c r="M25" s="77" t="s">
        <v>107</v>
      </c>
      <c r="N25" s="84"/>
      <c r="O25" s="85"/>
    </row>
    <row r="26" spans="1:15" ht="35.1" customHeight="1" thickTop="1" thickBot="1">
      <c r="A26" s="181"/>
      <c r="B26" s="92" t="s">
        <v>13</v>
      </c>
      <c r="C26" s="78" t="s">
        <v>129</v>
      </c>
      <c r="D26" s="78" t="s">
        <v>130</v>
      </c>
      <c r="E26" s="78" t="s">
        <v>11</v>
      </c>
      <c r="F26" s="78" t="s">
        <v>21</v>
      </c>
      <c r="G26" s="78" t="s">
        <v>137</v>
      </c>
      <c r="H26" s="87">
        <v>45389</v>
      </c>
      <c r="I26" s="77" t="s">
        <v>132</v>
      </c>
      <c r="J26" s="77" t="s">
        <v>133</v>
      </c>
      <c r="K26" s="77">
        <v>0</v>
      </c>
      <c r="L26" s="77" t="s">
        <v>134</v>
      </c>
      <c r="M26" s="77" t="s">
        <v>107</v>
      </c>
      <c r="N26" s="78">
        <v>4</v>
      </c>
      <c r="O26" s="79">
        <v>1.736111111111111E-3</v>
      </c>
    </row>
    <row r="27" spans="1:15" ht="35.1" customHeight="1" thickTop="1" thickBot="1">
      <c r="A27" s="181"/>
      <c r="B27" s="89" t="s">
        <v>13</v>
      </c>
      <c r="C27" s="73" t="s">
        <v>135</v>
      </c>
      <c r="D27" s="73" t="s">
        <v>136</v>
      </c>
      <c r="E27" s="73" t="s">
        <v>11</v>
      </c>
      <c r="F27" s="73" t="s">
        <v>21</v>
      </c>
      <c r="G27" s="73" t="s">
        <v>137</v>
      </c>
      <c r="H27" s="86">
        <v>45393</v>
      </c>
      <c r="I27" s="77" t="s">
        <v>132</v>
      </c>
      <c r="J27" s="77" t="s">
        <v>133</v>
      </c>
      <c r="K27" s="77">
        <v>0</v>
      </c>
      <c r="L27" s="77" t="s">
        <v>134</v>
      </c>
      <c r="M27" s="77" t="s">
        <v>107</v>
      </c>
      <c r="N27" s="73">
        <v>4</v>
      </c>
      <c r="O27" s="80">
        <v>1.736111111111111E-3</v>
      </c>
    </row>
    <row r="28" spans="1:15" ht="35.1" customHeight="1" thickTop="1" thickBot="1">
      <c r="A28" s="181"/>
      <c r="B28" s="89" t="s">
        <v>13</v>
      </c>
      <c r="C28" s="73" t="s">
        <v>138</v>
      </c>
      <c r="D28" s="73" t="s">
        <v>139</v>
      </c>
      <c r="E28" s="73" t="s">
        <v>11</v>
      </c>
      <c r="F28" s="73" t="s">
        <v>21</v>
      </c>
      <c r="G28" s="73" t="s">
        <v>137</v>
      </c>
      <c r="H28" s="86">
        <v>45389</v>
      </c>
      <c r="I28" s="77" t="s">
        <v>132</v>
      </c>
      <c r="J28" s="77" t="s">
        <v>133</v>
      </c>
      <c r="K28" s="77">
        <v>0</v>
      </c>
      <c r="L28" s="77" t="s">
        <v>134</v>
      </c>
      <c r="M28" s="77" t="s">
        <v>107</v>
      </c>
      <c r="N28" s="73">
        <v>4</v>
      </c>
      <c r="O28" s="80">
        <v>1.736111111111111E-3</v>
      </c>
    </row>
    <row r="29" spans="1:15" ht="35.1" customHeight="1" thickTop="1" thickBot="1">
      <c r="A29" s="181"/>
      <c r="B29" s="89" t="s">
        <v>13</v>
      </c>
      <c r="C29" s="73" t="s">
        <v>140</v>
      </c>
      <c r="D29" s="73" t="s">
        <v>141</v>
      </c>
      <c r="E29" s="73" t="s">
        <v>11</v>
      </c>
      <c r="F29" s="73" t="s">
        <v>21</v>
      </c>
      <c r="G29" s="73" t="s">
        <v>137</v>
      </c>
      <c r="H29" s="86">
        <v>45397</v>
      </c>
      <c r="I29" s="77" t="s">
        <v>132</v>
      </c>
      <c r="J29" s="77" t="s">
        <v>133</v>
      </c>
      <c r="K29" s="77">
        <v>0</v>
      </c>
      <c r="L29" s="77" t="s">
        <v>134</v>
      </c>
      <c r="M29" s="77" t="s">
        <v>107</v>
      </c>
      <c r="N29" s="73">
        <v>4</v>
      </c>
      <c r="O29" s="80">
        <v>1.736111111111111E-3</v>
      </c>
    </row>
    <row r="30" spans="1:15" ht="35.1" customHeight="1" thickTop="1" thickBot="1">
      <c r="A30" s="181"/>
      <c r="B30" s="89" t="s">
        <v>13</v>
      </c>
      <c r="C30" s="73" t="s">
        <v>143</v>
      </c>
      <c r="D30" s="73" t="s">
        <v>144</v>
      </c>
      <c r="E30" s="73" t="s">
        <v>11</v>
      </c>
      <c r="F30" s="73" t="s">
        <v>21</v>
      </c>
      <c r="G30" s="73" t="s">
        <v>745</v>
      </c>
      <c r="H30" s="86">
        <v>45394</v>
      </c>
      <c r="I30" s="77" t="s">
        <v>132</v>
      </c>
      <c r="J30" s="77" t="s">
        <v>61</v>
      </c>
      <c r="K30" s="77">
        <v>0</v>
      </c>
      <c r="L30" s="77" t="s">
        <v>146</v>
      </c>
      <c r="M30" s="77" t="s">
        <v>147</v>
      </c>
      <c r="N30" s="73">
        <v>2</v>
      </c>
      <c r="O30" s="80">
        <v>5.2083333333333333E-4</v>
      </c>
    </row>
    <row r="31" spans="1:15" ht="35.1" customHeight="1" thickTop="1" thickBot="1">
      <c r="A31" s="181"/>
      <c r="B31" s="89" t="s">
        <v>13</v>
      </c>
      <c r="C31" s="73" t="s">
        <v>148</v>
      </c>
      <c r="D31" s="73" t="s">
        <v>144</v>
      </c>
      <c r="E31" s="73" t="s">
        <v>11</v>
      </c>
      <c r="F31" s="73" t="s">
        <v>21</v>
      </c>
      <c r="G31" s="73" t="s">
        <v>745</v>
      </c>
      <c r="H31" s="86">
        <v>45394</v>
      </c>
      <c r="I31" s="77" t="s">
        <v>132</v>
      </c>
      <c r="J31" s="77" t="s">
        <v>61</v>
      </c>
      <c r="K31" s="77">
        <v>0</v>
      </c>
      <c r="L31" s="77" t="s">
        <v>146</v>
      </c>
      <c r="M31" s="77" t="s">
        <v>147</v>
      </c>
      <c r="N31" s="73">
        <v>2</v>
      </c>
      <c r="O31" s="80">
        <v>5.2083333333333333E-4</v>
      </c>
    </row>
    <row r="32" spans="1:15" ht="35.1" customHeight="1" thickTop="1" thickBot="1">
      <c r="A32" s="181"/>
      <c r="B32" s="89" t="s">
        <v>13</v>
      </c>
      <c r="C32" s="73" t="s">
        <v>149</v>
      </c>
      <c r="D32" s="73" t="s">
        <v>150</v>
      </c>
      <c r="E32" s="73" t="s">
        <v>11</v>
      </c>
      <c r="F32" s="73" t="s">
        <v>21</v>
      </c>
      <c r="G32" s="73" t="s">
        <v>750</v>
      </c>
      <c r="H32" s="86">
        <v>45394</v>
      </c>
      <c r="I32" s="77" t="s">
        <v>132</v>
      </c>
      <c r="J32" s="77" t="s">
        <v>61</v>
      </c>
      <c r="K32" s="77">
        <v>0</v>
      </c>
      <c r="L32" s="77" t="s">
        <v>152</v>
      </c>
      <c r="M32" s="77" t="s">
        <v>147</v>
      </c>
      <c r="N32" s="73">
        <v>1</v>
      </c>
      <c r="O32" s="80">
        <v>2.3148148148148146E-4</v>
      </c>
    </row>
    <row r="33" spans="1:15" ht="35.1" customHeight="1" thickTop="1" thickBot="1">
      <c r="A33" s="181"/>
      <c r="B33" s="89" t="s">
        <v>13</v>
      </c>
      <c r="C33" s="73" t="s">
        <v>153</v>
      </c>
      <c r="D33" s="73" t="s">
        <v>154</v>
      </c>
      <c r="E33" s="73" t="s">
        <v>11</v>
      </c>
      <c r="F33" s="73" t="s">
        <v>21</v>
      </c>
      <c r="G33" s="73" t="s">
        <v>747</v>
      </c>
      <c r="H33" s="86">
        <v>45394</v>
      </c>
      <c r="I33" s="77" t="s">
        <v>132</v>
      </c>
      <c r="J33" s="77" t="s">
        <v>61</v>
      </c>
      <c r="K33" s="77">
        <v>0</v>
      </c>
      <c r="L33" s="77" t="s">
        <v>156</v>
      </c>
      <c r="M33" s="77" t="s">
        <v>147</v>
      </c>
      <c r="N33" s="73">
        <v>2</v>
      </c>
      <c r="O33" s="80">
        <v>2.3148148148148146E-4</v>
      </c>
    </row>
    <row r="34" spans="1:15" ht="35.1" customHeight="1" thickTop="1" thickBot="1">
      <c r="A34" s="181"/>
      <c r="B34" s="89" t="s">
        <v>13</v>
      </c>
      <c r="C34" s="73" t="s">
        <v>157</v>
      </c>
      <c r="D34" s="73" t="s">
        <v>158</v>
      </c>
      <c r="E34" s="73" t="s">
        <v>11</v>
      </c>
      <c r="F34" s="73" t="s">
        <v>21</v>
      </c>
      <c r="G34" s="73" t="s">
        <v>747</v>
      </c>
      <c r="H34" s="86">
        <v>45394</v>
      </c>
      <c r="I34" s="77" t="s">
        <v>132</v>
      </c>
      <c r="J34" s="77" t="s">
        <v>61</v>
      </c>
      <c r="K34" s="77">
        <v>0</v>
      </c>
      <c r="L34" s="77" t="s">
        <v>160</v>
      </c>
      <c r="M34" s="77" t="s">
        <v>147</v>
      </c>
      <c r="N34" s="73">
        <v>2</v>
      </c>
      <c r="O34" s="80">
        <v>3.4722222222222224E-4</v>
      </c>
    </row>
    <row r="35" spans="1:15" ht="35.1" customHeight="1" thickTop="1" thickBot="1">
      <c r="A35" s="181"/>
      <c r="B35" s="89" t="s">
        <v>13</v>
      </c>
      <c r="C35" s="73" t="s">
        <v>161</v>
      </c>
      <c r="D35" s="73" t="s">
        <v>162</v>
      </c>
      <c r="E35" s="73" t="s">
        <v>11</v>
      </c>
      <c r="F35" s="73" t="s">
        <v>21</v>
      </c>
      <c r="G35" s="73" t="s">
        <v>137</v>
      </c>
      <c r="H35" s="86">
        <v>45393</v>
      </c>
      <c r="I35" s="77" t="s">
        <v>60</v>
      </c>
      <c r="J35" s="77" t="s">
        <v>133</v>
      </c>
      <c r="K35" s="77">
        <v>0</v>
      </c>
      <c r="L35" s="77" t="s">
        <v>163</v>
      </c>
      <c r="M35" s="77" t="s">
        <v>164</v>
      </c>
      <c r="N35" s="73">
        <v>2</v>
      </c>
      <c r="O35" s="80">
        <v>4.6296296296296293E-4</v>
      </c>
    </row>
    <row r="36" spans="1:15" ht="35.1" customHeight="1" thickTop="1" thickBot="1">
      <c r="A36" s="181"/>
      <c r="B36" s="89" t="s">
        <v>13</v>
      </c>
      <c r="C36" s="73" t="s">
        <v>165</v>
      </c>
      <c r="D36" s="73" t="s">
        <v>166</v>
      </c>
      <c r="E36" s="73" t="s">
        <v>11</v>
      </c>
      <c r="F36" s="73" t="s">
        <v>21</v>
      </c>
      <c r="G36" s="73" t="s">
        <v>137</v>
      </c>
      <c r="H36" s="86">
        <v>45393</v>
      </c>
      <c r="I36" s="77" t="s">
        <v>60</v>
      </c>
      <c r="J36" s="77" t="s">
        <v>133</v>
      </c>
      <c r="K36" s="77">
        <v>0</v>
      </c>
      <c r="L36" s="77" t="s">
        <v>163</v>
      </c>
      <c r="M36" s="77" t="s">
        <v>164</v>
      </c>
      <c r="N36" s="73">
        <v>2</v>
      </c>
      <c r="O36" s="80">
        <v>4.6296296296296293E-4</v>
      </c>
    </row>
    <row r="37" spans="1:15" ht="35.1" customHeight="1" thickTop="1" thickBot="1">
      <c r="A37" s="181"/>
      <c r="B37" s="89" t="s">
        <v>13</v>
      </c>
      <c r="C37" s="73" t="s">
        <v>167</v>
      </c>
      <c r="D37" s="73" t="s">
        <v>168</v>
      </c>
      <c r="E37" s="73" t="s">
        <v>11</v>
      </c>
      <c r="F37" s="73" t="s">
        <v>21</v>
      </c>
      <c r="G37" s="73" t="s">
        <v>137</v>
      </c>
      <c r="H37" s="86">
        <v>45393</v>
      </c>
      <c r="I37" s="77" t="s">
        <v>60</v>
      </c>
      <c r="J37" s="77" t="s">
        <v>133</v>
      </c>
      <c r="K37" s="77">
        <v>0</v>
      </c>
      <c r="L37" s="77" t="s">
        <v>169</v>
      </c>
      <c r="M37" s="77" t="s">
        <v>164</v>
      </c>
      <c r="N37" s="73">
        <v>1</v>
      </c>
      <c r="O37" s="80">
        <v>4.6296296296296293E-4</v>
      </c>
    </row>
    <row r="38" spans="1:15" ht="35.1" customHeight="1" thickTop="1" thickBot="1">
      <c r="A38" s="181"/>
      <c r="B38" s="89" t="s">
        <v>13</v>
      </c>
      <c r="C38" s="73" t="s">
        <v>170</v>
      </c>
      <c r="D38" s="73" t="s">
        <v>171</v>
      </c>
      <c r="E38" s="73" t="s">
        <v>11</v>
      </c>
      <c r="F38" s="73" t="s">
        <v>21</v>
      </c>
      <c r="G38" s="73" t="s">
        <v>137</v>
      </c>
      <c r="H38" s="86">
        <v>45393</v>
      </c>
      <c r="I38" s="77" t="s">
        <v>60</v>
      </c>
      <c r="J38" s="77" t="s">
        <v>133</v>
      </c>
      <c r="K38" s="77">
        <v>0</v>
      </c>
      <c r="L38" s="77" t="s">
        <v>169</v>
      </c>
      <c r="M38" s="77" t="s">
        <v>164</v>
      </c>
      <c r="N38" s="73">
        <v>1</v>
      </c>
      <c r="O38" s="80">
        <v>4.6296296296296293E-4</v>
      </c>
    </row>
    <row r="39" spans="1:15" ht="35.1" customHeight="1" thickTop="1" thickBot="1">
      <c r="A39" s="181"/>
      <c r="B39" s="89" t="s">
        <v>13</v>
      </c>
      <c r="C39" s="73" t="s">
        <v>172</v>
      </c>
      <c r="D39" s="73" t="s">
        <v>173</v>
      </c>
      <c r="E39" s="73" t="s">
        <v>11</v>
      </c>
      <c r="F39" s="73" t="s">
        <v>21</v>
      </c>
      <c r="G39" s="73" t="s">
        <v>137</v>
      </c>
      <c r="H39" s="86">
        <v>45393</v>
      </c>
      <c r="I39" s="77" t="s">
        <v>60</v>
      </c>
      <c r="J39" s="77" t="s">
        <v>133</v>
      </c>
      <c r="K39" s="77">
        <v>0</v>
      </c>
      <c r="L39" s="77" t="s">
        <v>169</v>
      </c>
      <c r="M39" s="77" t="s">
        <v>164</v>
      </c>
      <c r="N39" s="73">
        <v>1</v>
      </c>
      <c r="O39" s="80">
        <v>4.6296296296296293E-4</v>
      </c>
    </row>
    <row r="40" spans="1:15" ht="35.1" customHeight="1" thickTop="1" thickBot="1">
      <c r="A40" s="181"/>
      <c r="B40" s="89" t="s">
        <v>13</v>
      </c>
      <c r="C40" s="73" t="s">
        <v>174</v>
      </c>
      <c r="D40" s="73" t="s">
        <v>162</v>
      </c>
      <c r="E40" s="73" t="s">
        <v>11</v>
      </c>
      <c r="F40" s="73" t="s">
        <v>21</v>
      </c>
      <c r="G40" s="73" t="s">
        <v>137</v>
      </c>
      <c r="H40" s="86">
        <v>45393</v>
      </c>
      <c r="I40" s="77" t="s">
        <v>60</v>
      </c>
      <c r="J40" s="77" t="s">
        <v>133</v>
      </c>
      <c r="K40" s="77">
        <v>0</v>
      </c>
      <c r="L40" s="77" t="s">
        <v>163</v>
      </c>
      <c r="M40" s="77" t="s">
        <v>164</v>
      </c>
      <c r="N40" s="73">
        <v>2</v>
      </c>
      <c r="O40" s="80">
        <v>4.6296296296296293E-4</v>
      </c>
    </row>
    <row r="41" spans="1:15" ht="35.1" customHeight="1" thickTop="1" thickBot="1">
      <c r="A41" s="181"/>
      <c r="B41" s="89" t="s">
        <v>13</v>
      </c>
      <c r="C41" s="73" t="s">
        <v>175</v>
      </c>
      <c r="D41" s="73" t="s">
        <v>166</v>
      </c>
      <c r="E41" s="73" t="s">
        <v>11</v>
      </c>
      <c r="F41" s="73" t="s">
        <v>21</v>
      </c>
      <c r="G41" s="73" t="s">
        <v>137</v>
      </c>
      <c r="H41" s="86">
        <v>45393</v>
      </c>
      <c r="I41" s="77" t="s">
        <v>60</v>
      </c>
      <c r="J41" s="77" t="s">
        <v>133</v>
      </c>
      <c r="K41" s="77">
        <v>0</v>
      </c>
      <c r="L41" s="77" t="s">
        <v>163</v>
      </c>
      <c r="M41" s="77" t="s">
        <v>164</v>
      </c>
      <c r="N41" s="73">
        <v>2</v>
      </c>
      <c r="O41" s="80">
        <v>4.6296296296296293E-4</v>
      </c>
    </row>
    <row r="42" spans="1:15" ht="35.1" customHeight="1" thickTop="1" thickBot="1">
      <c r="A42" s="181"/>
      <c r="B42" s="89" t="s">
        <v>13</v>
      </c>
      <c r="C42" s="73" t="s">
        <v>176</v>
      </c>
      <c r="D42" s="73" t="s">
        <v>177</v>
      </c>
      <c r="E42" s="70" t="s">
        <v>11</v>
      </c>
      <c r="F42" s="70" t="s">
        <v>21</v>
      </c>
      <c r="G42" s="70" t="s">
        <v>178</v>
      </c>
      <c r="H42" s="71">
        <v>45397</v>
      </c>
      <c r="I42" s="77" t="s">
        <v>88</v>
      </c>
      <c r="J42" s="77" t="s">
        <v>61</v>
      </c>
      <c r="K42" s="77">
        <v>0</v>
      </c>
      <c r="L42" s="77" t="s">
        <v>179</v>
      </c>
      <c r="M42" s="77" t="s">
        <v>107</v>
      </c>
      <c r="N42" s="73">
        <v>1</v>
      </c>
      <c r="O42" s="80">
        <v>6.9444444444444447E-4</v>
      </c>
    </row>
    <row r="43" spans="1:15" ht="35.1" customHeight="1">
      <c r="A43" s="181"/>
      <c r="B43" s="111" t="s">
        <v>13</v>
      </c>
      <c r="C43" s="112" t="s">
        <v>180</v>
      </c>
      <c r="D43" s="112" t="s">
        <v>181</v>
      </c>
      <c r="E43" s="112"/>
      <c r="F43" s="112"/>
      <c r="G43" s="112"/>
      <c r="H43" s="131"/>
      <c r="I43" s="77" t="s">
        <v>60</v>
      </c>
      <c r="J43" s="77" t="s">
        <v>61</v>
      </c>
      <c r="K43" s="77">
        <v>0</v>
      </c>
      <c r="L43" s="77" t="s">
        <v>182</v>
      </c>
      <c r="M43" s="77" t="s">
        <v>147</v>
      </c>
      <c r="N43" s="112">
        <v>2</v>
      </c>
      <c r="O43" s="116">
        <v>6.9444444444444447E-4</v>
      </c>
    </row>
    <row r="44" spans="1:15" ht="35.1" customHeight="1">
      <c r="A44" s="182"/>
      <c r="B44" s="92" t="s">
        <v>16</v>
      </c>
      <c r="C44" s="78" t="s">
        <v>183</v>
      </c>
      <c r="D44" s="78" t="s">
        <v>184</v>
      </c>
      <c r="E44" s="100" t="s">
        <v>11</v>
      </c>
      <c r="F44" s="78" t="s">
        <v>21</v>
      </c>
      <c r="G44" s="78" t="s">
        <v>844</v>
      </c>
      <c r="H44" s="87">
        <v>45390</v>
      </c>
      <c r="I44" s="77" t="s">
        <v>132</v>
      </c>
      <c r="J44" s="77" t="s">
        <v>61</v>
      </c>
      <c r="K44" s="77">
        <v>0</v>
      </c>
      <c r="L44" s="77" t="s">
        <v>186</v>
      </c>
      <c r="M44" s="77" t="s">
        <v>187</v>
      </c>
      <c r="N44" s="78">
        <v>2</v>
      </c>
      <c r="O44" s="79">
        <v>1.0416666666666667E-3</v>
      </c>
    </row>
    <row r="45" spans="1:15" ht="35.1" customHeight="1">
      <c r="A45" s="181"/>
      <c r="B45" s="89" t="s">
        <v>16</v>
      </c>
      <c r="C45" s="73" t="s">
        <v>188</v>
      </c>
      <c r="D45" s="73" t="s">
        <v>189</v>
      </c>
      <c r="E45" s="100" t="s">
        <v>11</v>
      </c>
      <c r="F45" s="73" t="s">
        <v>21</v>
      </c>
      <c r="G45" s="73" t="s">
        <v>749</v>
      </c>
      <c r="H45" s="86">
        <v>45393</v>
      </c>
      <c r="I45" s="77" t="s">
        <v>132</v>
      </c>
      <c r="J45" s="77" t="s">
        <v>61</v>
      </c>
      <c r="K45" s="77">
        <v>0</v>
      </c>
      <c r="L45" s="77" t="s">
        <v>191</v>
      </c>
      <c r="M45" s="77" t="s">
        <v>147</v>
      </c>
      <c r="N45" s="73">
        <v>2</v>
      </c>
      <c r="O45" s="80">
        <v>1.5624999999999999E-3</v>
      </c>
    </row>
    <row r="46" spans="1:15" ht="35.1" customHeight="1">
      <c r="A46" s="181"/>
      <c r="B46" s="89" t="s">
        <v>16</v>
      </c>
      <c r="C46" s="73" t="s">
        <v>192</v>
      </c>
      <c r="D46" s="73" t="s">
        <v>193</v>
      </c>
      <c r="E46" s="100" t="s">
        <v>11</v>
      </c>
      <c r="F46" s="73" t="s">
        <v>21</v>
      </c>
      <c r="G46" s="73" t="s">
        <v>750</v>
      </c>
      <c r="H46" s="86">
        <v>45394</v>
      </c>
      <c r="I46" s="77" t="s">
        <v>132</v>
      </c>
      <c r="J46" s="77" t="s">
        <v>61</v>
      </c>
      <c r="K46" s="77">
        <v>0</v>
      </c>
      <c r="L46" s="77" t="s">
        <v>194</v>
      </c>
      <c r="M46" s="77" t="s">
        <v>147</v>
      </c>
      <c r="N46" s="73">
        <v>2</v>
      </c>
      <c r="O46" s="80">
        <v>6.9444444444444447E-4</v>
      </c>
    </row>
    <row r="47" spans="1:15" ht="35.1" customHeight="1">
      <c r="A47" s="181"/>
      <c r="B47" s="89" t="s">
        <v>16</v>
      </c>
      <c r="C47" s="73" t="s">
        <v>195</v>
      </c>
      <c r="D47" s="73" t="s">
        <v>196</v>
      </c>
      <c r="E47" s="100" t="s">
        <v>11</v>
      </c>
      <c r="F47" s="73" t="s">
        <v>21</v>
      </c>
      <c r="G47" s="73" t="s">
        <v>750</v>
      </c>
      <c r="H47" s="86">
        <v>45394</v>
      </c>
      <c r="I47" s="77" t="s">
        <v>132</v>
      </c>
      <c r="J47" s="77" t="s">
        <v>61</v>
      </c>
      <c r="K47" s="77">
        <v>0</v>
      </c>
      <c r="L47" s="77" t="s">
        <v>197</v>
      </c>
      <c r="M47" s="77" t="s">
        <v>147</v>
      </c>
      <c r="N47" s="73">
        <v>2</v>
      </c>
      <c r="O47" s="80">
        <v>6.9444444444444447E-4</v>
      </c>
    </row>
    <row r="48" spans="1:15" ht="35.1" customHeight="1">
      <c r="A48" s="181"/>
      <c r="B48" s="89" t="s">
        <v>16</v>
      </c>
      <c r="C48" s="73" t="s">
        <v>198</v>
      </c>
      <c r="D48" s="73" t="s">
        <v>199</v>
      </c>
      <c r="E48" s="100" t="s">
        <v>11</v>
      </c>
      <c r="F48" s="73" t="s">
        <v>21</v>
      </c>
      <c r="G48" s="73" t="s">
        <v>749</v>
      </c>
      <c r="H48" s="86">
        <v>45393</v>
      </c>
      <c r="I48" s="77" t="s">
        <v>132</v>
      </c>
      <c r="J48" s="77" t="s">
        <v>133</v>
      </c>
      <c r="K48" s="77">
        <v>0</v>
      </c>
      <c r="L48" s="77" t="s">
        <v>200</v>
      </c>
      <c r="M48" s="77" t="s">
        <v>147</v>
      </c>
      <c r="N48" s="73">
        <v>2</v>
      </c>
      <c r="O48" s="80">
        <v>5.2083333333333333E-4</v>
      </c>
    </row>
    <row r="49" spans="1:46" ht="35.1" customHeight="1">
      <c r="A49" s="181"/>
      <c r="B49" s="156" t="s">
        <v>16</v>
      </c>
      <c r="C49" s="152" t="s">
        <v>201</v>
      </c>
      <c r="D49" s="152" t="s">
        <v>202</v>
      </c>
      <c r="E49" s="100" t="s">
        <v>11</v>
      </c>
      <c r="F49" s="152" t="s">
        <v>21</v>
      </c>
      <c r="G49" s="152" t="s">
        <v>845</v>
      </c>
      <c r="H49" s="177">
        <v>45988</v>
      </c>
      <c r="I49" s="172" t="s">
        <v>132</v>
      </c>
      <c r="J49" s="172" t="s">
        <v>61</v>
      </c>
      <c r="K49" s="172">
        <v>0</v>
      </c>
      <c r="L49" s="172" t="s">
        <v>204</v>
      </c>
      <c r="M49" s="172" t="s">
        <v>205</v>
      </c>
      <c r="N49" s="152">
        <v>2</v>
      </c>
      <c r="O49" s="178">
        <v>6.9444444444444447E-4</v>
      </c>
    </row>
    <row r="50" spans="1:46" ht="35.1" customHeight="1">
      <c r="A50" s="181"/>
      <c r="B50" s="89" t="s">
        <v>16</v>
      </c>
      <c r="C50" s="73" t="s">
        <v>206</v>
      </c>
      <c r="D50" s="73" t="s">
        <v>207</v>
      </c>
      <c r="E50" s="100" t="s">
        <v>11</v>
      </c>
      <c r="F50" s="73" t="s">
        <v>21</v>
      </c>
      <c r="G50" s="73" t="s">
        <v>752</v>
      </c>
      <c r="H50" s="86">
        <v>45390</v>
      </c>
      <c r="I50" s="77" t="s">
        <v>132</v>
      </c>
      <c r="J50" s="77" t="s">
        <v>133</v>
      </c>
      <c r="K50" s="77">
        <v>0</v>
      </c>
      <c r="L50" s="77" t="s">
        <v>209</v>
      </c>
      <c r="M50" s="77" t="s">
        <v>205</v>
      </c>
      <c r="N50" s="73">
        <v>1</v>
      </c>
      <c r="O50" s="80">
        <v>3.4722222222222224E-4</v>
      </c>
    </row>
    <row r="51" spans="1:46" ht="35.1" customHeight="1">
      <c r="A51" s="181"/>
      <c r="B51" s="89" t="s">
        <v>16</v>
      </c>
      <c r="C51" s="73" t="s">
        <v>210</v>
      </c>
      <c r="D51" s="73" t="s">
        <v>207</v>
      </c>
      <c r="E51" s="100" t="s">
        <v>11</v>
      </c>
      <c r="F51" s="73" t="s">
        <v>21</v>
      </c>
      <c r="G51" s="73" t="s">
        <v>752</v>
      </c>
      <c r="H51" s="86">
        <v>45390</v>
      </c>
      <c r="I51" s="77" t="s">
        <v>132</v>
      </c>
      <c r="J51" s="77" t="s">
        <v>133</v>
      </c>
      <c r="K51" s="77">
        <v>0</v>
      </c>
      <c r="L51" s="77" t="s">
        <v>209</v>
      </c>
      <c r="M51" s="77" t="s">
        <v>205</v>
      </c>
      <c r="N51" s="73">
        <v>1</v>
      </c>
      <c r="O51" s="80">
        <v>3.4722222222222224E-4</v>
      </c>
    </row>
    <row r="52" spans="1:46" ht="35.1" customHeight="1">
      <c r="A52" s="181"/>
      <c r="B52" s="89" t="s">
        <v>16</v>
      </c>
      <c r="C52" s="73" t="s">
        <v>211</v>
      </c>
      <c r="D52" s="73" t="s">
        <v>212</v>
      </c>
      <c r="E52" s="100" t="s">
        <v>11</v>
      </c>
      <c r="F52" s="73" t="s">
        <v>21</v>
      </c>
      <c r="G52" s="73" t="s">
        <v>213</v>
      </c>
      <c r="H52" s="86">
        <v>45391</v>
      </c>
      <c r="I52" s="77" t="s">
        <v>88</v>
      </c>
      <c r="J52" s="77" t="s">
        <v>133</v>
      </c>
      <c r="K52" s="77">
        <v>0</v>
      </c>
      <c r="L52" s="77" t="s">
        <v>214</v>
      </c>
      <c r="M52" s="77" t="s">
        <v>215</v>
      </c>
      <c r="N52" s="73">
        <v>1</v>
      </c>
      <c r="O52" s="80">
        <v>3.4722222222222224E-4</v>
      </c>
    </row>
    <row r="53" spans="1:46" ht="35.1" customHeight="1">
      <c r="A53" s="181"/>
      <c r="B53" s="89" t="s">
        <v>16</v>
      </c>
      <c r="C53" s="73" t="s">
        <v>216</v>
      </c>
      <c r="D53" s="73" t="s">
        <v>217</v>
      </c>
      <c r="E53" s="100" t="s">
        <v>11</v>
      </c>
      <c r="F53" s="73" t="s">
        <v>21</v>
      </c>
      <c r="G53" s="73" t="s">
        <v>846</v>
      </c>
      <c r="H53" s="86">
        <v>45395</v>
      </c>
      <c r="I53" s="77" t="s">
        <v>132</v>
      </c>
      <c r="J53" s="77" t="s">
        <v>133</v>
      </c>
      <c r="K53" s="77">
        <v>0</v>
      </c>
      <c r="L53" s="77" t="s">
        <v>219</v>
      </c>
      <c r="M53" s="77" t="s">
        <v>205</v>
      </c>
      <c r="N53" s="73">
        <v>1</v>
      </c>
      <c r="O53" s="80">
        <v>5.7870370370370378E-4</v>
      </c>
    </row>
    <row r="54" spans="1:46" ht="35.1" customHeight="1">
      <c r="A54" s="181"/>
      <c r="B54" s="89" t="s">
        <v>16</v>
      </c>
      <c r="C54" s="73" t="s">
        <v>220</v>
      </c>
      <c r="D54" s="73" t="s">
        <v>221</v>
      </c>
      <c r="E54" s="100" t="s">
        <v>11</v>
      </c>
      <c r="F54" s="73" t="s">
        <v>21</v>
      </c>
      <c r="G54" s="73" t="s">
        <v>754</v>
      </c>
      <c r="H54" s="86">
        <v>45394</v>
      </c>
      <c r="I54" s="77" t="s">
        <v>132</v>
      </c>
      <c r="J54" s="77" t="s">
        <v>133</v>
      </c>
      <c r="K54" s="77">
        <v>0</v>
      </c>
      <c r="L54" s="77" t="s">
        <v>223</v>
      </c>
      <c r="M54" s="77" t="s">
        <v>205</v>
      </c>
      <c r="N54" s="73">
        <v>2</v>
      </c>
      <c r="O54" s="80">
        <v>6.9444444444444447E-4</v>
      </c>
    </row>
    <row r="55" spans="1:46" ht="35.1" customHeight="1">
      <c r="A55" s="181"/>
      <c r="B55" s="89" t="s">
        <v>16</v>
      </c>
      <c r="C55" s="73" t="s">
        <v>224</v>
      </c>
      <c r="D55" s="73" t="s">
        <v>225</v>
      </c>
      <c r="E55" s="100" t="s">
        <v>11</v>
      </c>
      <c r="F55" s="73" t="s">
        <v>21</v>
      </c>
      <c r="G55" s="73" t="s">
        <v>226</v>
      </c>
      <c r="H55" s="86">
        <v>45391</v>
      </c>
      <c r="I55" s="77" t="s">
        <v>60</v>
      </c>
      <c r="J55" s="77" t="s">
        <v>133</v>
      </c>
      <c r="K55" s="77">
        <v>0</v>
      </c>
      <c r="L55" s="77" t="s">
        <v>227</v>
      </c>
      <c r="M55" s="77" t="s">
        <v>205</v>
      </c>
      <c r="N55" s="73">
        <v>1</v>
      </c>
      <c r="O55" s="80">
        <v>3.4722222222222224E-4</v>
      </c>
    </row>
    <row r="56" spans="1:46" ht="35.1" customHeight="1">
      <c r="A56" s="181"/>
      <c r="B56" s="89" t="s">
        <v>16</v>
      </c>
      <c r="C56" s="73" t="s">
        <v>228</v>
      </c>
      <c r="D56" s="73" t="s">
        <v>229</v>
      </c>
      <c r="E56" s="100" t="s">
        <v>11</v>
      </c>
      <c r="F56" s="73" t="s">
        <v>21</v>
      </c>
      <c r="G56" s="73" t="s">
        <v>755</v>
      </c>
      <c r="H56" s="86">
        <v>45390</v>
      </c>
      <c r="I56" s="77" t="s">
        <v>132</v>
      </c>
      <c r="J56" s="77" t="s">
        <v>61</v>
      </c>
      <c r="K56" s="77">
        <v>0</v>
      </c>
      <c r="L56" s="77" t="s">
        <v>219</v>
      </c>
      <c r="M56" s="77" t="s">
        <v>205</v>
      </c>
      <c r="N56" s="73">
        <v>1</v>
      </c>
      <c r="O56" s="80">
        <v>1.0416666666666667E-3</v>
      </c>
    </row>
    <row r="57" spans="1:46" ht="35.1" customHeight="1">
      <c r="A57" s="181"/>
      <c r="B57" s="89" t="s">
        <v>16</v>
      </c>
      <c r="C57" s="73" t="s">
        <v>231</v>
      </c>
      <c r="D57" s="73" t="s">
        <v>232</v>
      </c>
      <c r="E57" s="100" t="s">
        <v>11</v>
      </c>
      <c r="F57" s="73" t="s">
        <v>21</v>
      </c>
      <c r="G57" s="73" t="s">
        <v>662</v>
      </c>
      <c r="H57" s="86">
        <v>45394</v>
      </c>
      <c r="I57" s="77" t="s">
        <v>132</v>
      </c>
      <c r="J57" s="77" t="s">
        <v>133</v>
      </c>
      <c r="K57" s="77">
        <v>0</v>
      </c>
      <c r="L57" s="77" t="s">
        <v>234</v>
      </c>
      <c r="M57" s="77" t="s">
        <v>205</v>
      </c>
      <c r="N57" s="73">
        <v>1</v>
      </c>
      <c r="O57" s="80">
        <v>1.1574074074074073E-4</v>
      </c>
    </row>
    <row r="58" spans="1:46" ht="35.1" customHeight="1">
      <c r="A58" s="181"/>
      <c r="B58" s="156" t="s">
        <v>16</v>
      </c>
      <c r="C58" s="100" t="s">
        <v>235</v>
      </c>
      <c r="D58" s="100" t="s">
        <v>236</v>
      </c>
      <c r="E58" s="100" t="s">
        <v>11</v>
      </c>
      <c r="F58" s="100" t="s">
        <v>21</v>
      </c>
      <c r="G58" s="100" t="s">
        <v>237</v>
      </c>
      <c r="H58" s="130">
        <v>45982</v>
      </c>
      <c r="I58" s="77" t="s">
        <v>132</v>
      </c>
      <c r="J58" s="77" t="s">
        <v>133</v>
      </c>
      <c r="K58" s="77">
        <v>0</v>
      </c>
      <c r="L58" s="77" t="s">
        <v>238</v>
      </c>
      <c r="M58" s="77" t="s">
        <v>239</v>
      </c>
      <c r="N58" s="100">
        <v>2</v>
      </c>
      <c r="O58" s="109">
        <v>3.4722222222222224E-4</v>
      </c>
    </row>
    <row r="59" spans="1:46" ht="35.1" customHeight="1">
      <c r="A59" s="181"/>
      <c r="B59" s="89" t="s">
        <v>16</v>
      </c>
      <c r="C59" s="73" t="s">
        <v>240</v>
      </c>
      <c r="D59" s="73" t="s">
        <v>241</v>
      </c>
      <c r="E59" s="100" t="s">
        <v>11</v>
      </c>
      <c r="F59" s="73" t="s">
        <v>21</v>
      </c>
      <c r="G59" s="73" t="s">
        <v>829</v>
      </c>
      <c r="H59" s="86">
        <v>45394</v>
      </c>
      <c r="I59" s="77" t="s">
        <v>132</v>
      </c>
      <c r="J59" s="77" t="s">
        <v>133</v>
      </c>
      <c r="K59" s="77">
        <v>0</v>
      </c>
      <c r="L59" s="77" t="s">
        <v>243</v>
      </c>
      <c r="M59" s="77" t="s">
        <v>205</v>
      </c>
      <c r="N59" s="73">
        <v>2</v>
      </c>
      <c r="O59" s="80">
        <v>6.9444444444444447E-4</v>
      </c>
    </row>
    <row r="60" spans="1:46" ht="35.1" customHeight="1">
      <c r="A60" s="181"/>
      <c r="B60" s="89" t="s">
        <v>16</v>
      </c>
      <c r="C60" s="73" t="s">
        <v>244</v>
      </c>
      <c r="D60" s="73" t="s">
        <v>245</v>
      </c>
      <c r="E60" s="100" t="s">
        <v>11</v>
      </c>
      <c r="F60" s="73" t="s">
        <v>21</v>
      </c>
      <c r="G60" s="73" t="s">
        <v>800</v>
      </c>
      <c r="H60" s="86">
        <v>45393</v>
      </c>
      <c r="I60" s="77" t="s">
        <v>132</v>
      </c>
      <c r="J60" s="77" t="s">
        <v>133</v>
      </c>
      <c r="K60" s="77">
        <v>0</v>
      </c>
      <c r="L60" s="77" t="s">
        <v>247</v>
      </c>
      <c r="M60" s="77" t="s">
        <v>205</v>
      </c>
      <c r="N60" s="73">
        <v>1</v>
      </c>
      <c r="O60" s="80">
        <v>6.9444444444444447E-4</v>
      </c>
      <c r="P60" s="6"/>
      <c r="Q60" s="6"/>
      <c r="R60" s="6"/>
      <c r="S60" s="6"/>
      <c r="T60" s="6"/>
      <c r="U60" s="6"/>
      <c r="V60" s="6"/>
      <c r="W60" s="6"/>
      <c r="X60" s="6"/>
      <c r="Y60" s="6"/>
      <c r="Z60" s="6"/>
      <c r="AA60" s="6"/>
      <c r="AB60" s="6"/>
      <c r="AC60" s="6"/>
      <c r="AD60" s="6"/>
      <c r="AE60" s="6"/>
      <c r="AF60" s="6"/>
      <c r="AG60" s="6"/>
      <c r="AH60" s="6"/>
      <c r="AI60" s="6"/>
      <c r="AJ60" s="6"/>
      <c r="AK60" s="6"/>
      <c r="AL60" s="6"/>
      <c r="AM60" s="6"/>
      <c r="AN60" s="6"/>
      <c r="AO60" s="6"/>
      <c r="AP60" s="6"/>
      <c r="AQ60" s="6"/>
      <c r="AR60" s="6"/>
      <c r="AS60" s="6"/>
      <c r="AT60" s="6"/>
    </row>
    <row r="61" spans="1:46" s="176" customFormat="1" ht="35.1" customHeight="1">
      <c r="A61" s="181"/>
      <c r="B61" s="156" t="s">
        <v>16</v>
      </c>
      <c r="C61" s="157" t="s">
        <v>248</v>
      </c>
      <c r="D61" s="157" t="s">
        <v>249</v>
      </c>
      <c r="E61" s="100" t="s">
        <v>11</v>
      </c>
      <c r="F61" s="157" t="s">
        <v>21</v>
      </c>
      <c r="G61" s="157" t="s">
        <v>758</v>
      </c>
      <c r="H61" s="171">
        <v>45986</v>
      </c>
      <c r="I61" s="172" t="s">
        <v>132</v>
      </c>
      <c r="J61" s="172" t="s">
        <v>133</v>
      </c>
      <c r="K61" s="172">
        <v>0</v>
      </c>
      <c r="L61" s="172" t="s">
        <v>251</v>
      </c>
      <c r="M61" s="172" t="s">
        <v>239</v>
      </c>
      <c r="N61" s="157">
        <v>1</v>
      </c>
      <c r="O61" s="160">
        <v>6.9444444444444447E-4</v>
      </c>
      <c r="P61" s="6"/>
      <c r="Q61" s="6"/>
      <c r="R61" s="6"/>
      <c r="S61" s="6"/>
      <c r="T61" s="6"/>
      <c r="U61" s="6"/>
      <c r="V61" s="6"/>
      <c r="W61" s="6"/>
      <c r="X61" s="6"/>
      <c r="Y61" s="6"/>
      <c r="Z61" s="6"/>
      <c r="AA61" s="6"/>
      <c r="AB61" s="6"/>
      <c r="AC61" s="6"/>
      <c r="AD61" s="6"/>
      <c r="AE61" s="6"/>
      <c r="AF61" s="6"/>
      <c r="AG61" s="6"/>
      <c r="AH61" s="6"/>
      <c r="AI61" s="6"/>
      <c r="AJ61" s="6"/>
      <c r="AK61" s="6"/>
      <c r="AL61" s="6"/>
      <c r="AM61" s="6"/>
      <c r="AN61" s="6"/>
      <c r="AO61" s="6"/>
      <c r="AP61" s="6"/>
      <c r="AQ61" s="6"/>
      <c r="AR61" s="6"/>
      <c r="AS61" s="6"/>
      <c r="AT61" s="6"/>
    </row>
    <row r="62" spans="1:46" ht="35.1" customHeight="1">
      <c r="A62" s="181"/>
      <c r="B62" s="89" t="s">
        <v>16</v>
      </c>
      <c r="C62" s="73" t="s">
        <v>252</v>
      </c>
      <c r="D62" s="73" t="s">
        <v>253</v>
      </c>
      <c r="E62" s="100" t="s">
        <v>11</v>
      </c>
      <c r="F62" s="73" t="s">
        <v>21</v>
      </c>
      <c r="G62" s="73" t="s">
        <v>847</v>
      </c>
      <c r="H62" s="86">
        <v>45391</v>
      </c>
      <c r="I62" s="77" t="s">
        <v>60</v>
      </c>
      <c r="J62" s="77" t="s">
        <v>133</v>
      </c>
      <c r="K62" s="77">
        <v>0</v>
      </c>
      <c r="L62" s="77" t="s">
        <v>255</v>
      </c>
      <c r="M62" s="77" t="s">
        <v>205</v>
      </c>
      <c r="N62" s="73">
        <v>1</v>
      </c>
      <c r="O62" s="80">
        <v>3.4722222222222224E-4</v>
      </c>
    </row>
    <row r="63" spans="1:46" ht="35.1" customHeight="1">
      <c r="A63" s="183"/>
      <c r="B63" s="89" t="s">
        <v>16</v>
      </c>
      <c r="C63" s="70" t="s">
        <v>256</v>
      </c>
      <c r="D63" s="70" t="s">
        <v>257</v>
      </c>
      <c r="E63" s="100" t="s">
        <v>11</v>
      </c>
      <c r="F63" s="73" t="s">
        <v>21</v>
      </c>
      <c r="G63" s="73" t="s">
        <v>848</v>
      </c>
      <c r="H63" s="86">
        <v>45391</v>
      </c>
      <c r="I63" s="77" t="s">
        <v>60</v>
      </c>
      <c r="J63" s="77" t="s">
        <v>133</v>
      </c>
      <c r="K63" s="77">
        <v>0</v>
      </c>
      <c r="L63" s="77" t="s">
        <v>259</v>
      </c>
      <c r="M63" s="77" t="s">
        <v>205</v>
      </c>
      <c r="N63" s="73">
        <v>2</v>
      </c>
      <c r="O63" s="80">
        <v>3.4722222222222224E-4</v>
      </c>
    </row>
    <row r="64" spans="1:46" ht="35.1" customHeight="1">
      <c r="A64" s="183"/>
      <c r="B64" s="89" t="s">
        <v>16</v>
      </c>
      <c r="C64" s="73" t="s">
        <v>260</v>
      </c>
      <c r="D64" s="73" t="s">
        <v>261</v>
      </c>
      <c r="E64" s="100" t="s">
        <v>11</v>
      </c>
      <c r="F64" s="73" t="s">
        <v>21</v>
      </c>
      <c r="G64" s="73" t="s">
        <v>849</v>
      </c>
      <c r="H64" s="86">
        <v>45391</v>
      </c>
      <c r="I64" s="77" t="s">
        <v>60</v>
      </c>
      <c r="J64" s="77" t="s">
        <v>133</v>
      </c>
      <c r="K64" s="77">
        <v>0</v>
      </c>
      <c r="L64" s="77" t="s">
        <v>262</v>
      </c>
      <c r="M64" s="77" t="s">
        <v>205</v>
      </c>
      <c r="N64" s="73">
        <v>1</v>
      </c>
      <c r="O64" s="80">
        <v>3.4722222222222224E-4</v>
      </c>
    </row>
    <row r="65" spans="1:15" ht="35.1" customHeight="1">
      <c r="A65" s="181"/>
      <c r="B65" s="89" t="s">
        <v>16</v>
      </c>
      <c r="C65" s="73" t="s">
        <v>263</v>
      </c>
      <c r="D65" s="73" t="s">
        <v>672</v>
      </c>
      <c r="E65" s="100" t="s">
        <v>11</v>
      </c>
      <c r="F65" s="73" t="s">
        <v>21</v>
      </c>
      <c r="G65" s="73" t="s">
        <v>265</v>
      </c>
      <c r="H65" s="86">
        <v>45391</v>
      </c>
      <c r="I65" s="77" t="s">
        <v>60</v>
      </c>
      <c r="J65" s="77" t="s">
        <v>133</v>
      </c>
      <c r="K65" s="77">
        <v>0</v>
      </c>
      <c r="L65" s="77" t="s">
        <v>266</v>
      </c>
      <c r="M65" s="77" t="s">
        <v>205</v>
      </c>
      <c r="N65" s="73">
        <v>1</v>
      </c>
      <c r="O65" s="80">
        <v>3.4722222222222224E-4</v>
      </c>
    </row>
    <row r="66" spans="1:15" ht="35.1" customHeight="1">
      <c r="A66" s="181"/>
      <c r="B66" s="89" t="s">
        <v>16</v>
      </c>
      <c r="C66" s="73" t="s">
        <v>267</v>
      </c>
      <c r="D66" s="73" t="s">
        <v>268</v>
      </c>
      <c r="E66" s="100" t="s">
        <v>11</v>
      </c>
      <c r="F66" s="73" t="s">
        <v>21</v>
      </c>
      <c r="G66" s="73" t="s">
        <v>265</v>
      </c>
      <c r="H66" s="86">
        <v>45391</v>
      </c>
      <c r="I66" s="77" t="s">
        <v>60</v>
      </c>
      <c r="J66" s="77" t="s">
        <v>133</v>
      </c>
      <c r="K66" s="77">
        <v>0</v>
      </c>
      <c r="L66" s="77" t="s">
        <v>269</v>
      </c>
      <c r="M66" s="77" t="s">
        <v>205</v>
      </c>
      <c r="N66" s="73">
        <v>1</v>
      </c>
      <c r="O66" s="80">
        <v>3.4722222222222224E-4</v>
      </c>
    </row>
    <row r="67" spans="1:15" ht="35.1" customHeight="1">
      <c r="A67" s="181"/>
      <c r="B67" s="89" t="s">
        <v>16</v>
      </c>
      <c r="C67" s="73" t="s">
        <v>270</v>
      </c>
      <c r="D67" s="73" t="s">
        <v>271</v>
      </c>
      <c r="E67" s="100" t="s">
        <v>11</v>
      </c>
      <c r="F67" s="73" t="s">
        <v>21</v>
      </c>
      <c r="G67" s="73" t="s">
        <v>213</v>
      </c>
      <c r="H67" s="86">
        <v>45391</v>
      </c>
      <c r="I67" s="77" t="s">
        <v>60</v>
      </c>
      <c r="J67" s="77" t="s">
        <v>133</v>
      </c>
      <c r="K67" s="77">
        <v>0</v>
      </c>
      <c r="L67" s="77" t="s">
        <v>273</v>
      </c>
      <c r="M67" s="77" t="s">
        <v>205</v>
      </c>
      <c r="N67" s="73">
        <v>1</v>
      </c>
      <c r="O67" s="80">
        <v>3.4722222222222224E-4</v>
      </c>
    </row>
    <row r="68" spans="1:15" ht="35.1" customHeight="1">
      <c r="A68" s="183"/>
      <c r="B68" s="89" t="s">
        <v>16</v>
      </c>
      <c r="C68" s="73" t="s">
        <v>274</v>
      </c>
      <c r="D68" s="73" t="s">
        <v>275</v>
      </c>
      <c r="E68" s="100" t="s">
        <v>11</v>
      </c>
      <c r="F68" s="138" t="s">
        <v>21</v>
      </c>
      <c r="G68" s="138" t="s">
        <v>279</v>
      </c>
      <c r="H68" s="139">
        <v>45391</v>
      </c>
      <c r="I68" s="77" t="s">
        <v>88</v>
      </c>
      <c r="J68" s="77" t="s">
        <v>133</v>
      </c>
      <c r="K68" s="77">
        <v>0</v>
      </c>
      <c r="L68" s="77" t="s">
        <v>276</v>
      </c>
      <c r="M68" s="77" t="s">
        <v>215</v>
      </c>
      <c r="N68" s="73">
        <v>1</v>
      </c>
      <c r="O68" s="80">
        <v>3.4722222222222224E-4</v>
      </c>
    </row>
    <row r="69" spans="1:15" ht="35.1" customHeight="1">
      <c r="A69" s="183"/>
      <c r="B69" s="89" t="s">
        <v>16</v>
      </c>
      <c r="C69" s="73" t="s">
        <v>277</v>
      </c>
      <c r="D69" s="73" t="s">
        <v>278</v>
      </c>
      <c r="E69" s="100" t="s">
        <v>11</v>
      </c>
      <c r="F69" s="138" t="s">
        <v>21</v>
      </c>
      <c r="G69" s="138" t="s">
        <v>539</v>
      </c>
      <c r="H69" s="139">
        <v>45391</v>
      </c>
      <c r="I69" s="77" t="s">
        <v>88</v>
      </c>
      <c r="J69" s="77" t="s">
        <v>133</v>
      </c>
      <c r="K69" s="77">
        <v>0</v>
      </c>
      <c r="L69" s="77" t="s">
        <v>280</v>
      </c>
      <c r="M69" s="77" t="s">
        <v>215</v>
      </c>
      <c r="N69" s="73">
        <v>1</v>
      </c>
      <c r="O69" s="80">
        <v>5.2083333333333333E-4</v>
      </c>
    </row>
    <row r="70" spans="1:15" ht="35.1" customHeight="1">
      <c r="A70" s="183"/>
      <c r="B70" s="89" t="s">
        <v>16</v>
      </c>
      <c r="C70" s="73" t="s">
        <v>281</v>
      </c>
      <c r="D70" s="73" t="s">
        <v>282</v>
      </c>
      <c r="E70" s="100" t="s">
        <v>11</v>
      </c>
      <c r="F70" s="138" t="s">
        <v>21</v>
      </c>
      <c r="G70" s="138" t="s">
        <v>283</v>
      </c>
      <c r="H70" s="139">
        <v>45391</v>
      </c>
      <c r="I70" s="77" t="s">
        <v>88</v>
      </c>
      <c r="J70" s="77" t="s">
        <v>133</v>
      </c>
      <c r="K70" s="77">
        <v>0</v>
      </c>
      <c r="L70" s="77" t="s">
        <v>284</v>
      </c>
      <c r="M70" s="77" t="s">
        <v>215</v>
      </c>
      <c r="N70" s="73">
        <v>1</v>
      </c>
      <c r="O70" s="80">
        <v>6.9444444444444447E-4</v>
      </c>
    </row>
    <row r="71" spans="1:15" ht="35.1" customHeight="1">
      <c r="A71" s="181"/>
      <c r="B71" s="89" t="s">
        <v>16</v>
      </c>
      <c r="C71" s="73" t="s">
        <v>285</v>
      </c>
      <c r="D71" s="73" t="s">
        <v>286</v>
      </c>
      <c r="E71" s="100" t="s">
        <v>11</v>
      </c>
      <c r="F71" s="73" t="s">
        <v>21</v>
      </c>
      <c r="G71" s="73" t="s">
        <v>287</v>
      </c>
      <c r="H71" s="86">
        <v>45391</v>
      </c>
      <c r="I71" s="77" t="s">
        <v>60</v>
      </c>
      <c r="J71" s="77" t="s">
        <v>133</v>
      </c>
      <c r="K71" s="77">
        <v>0</v>
      </c>
      <c r="L71" s="77" t="s">
        <v>288</v>
      </c>
      <c r="M71" s="77" t="s">
        <v>205</v>
      </c>
      <c r="N71" s="73">
        <v>1</v>
      </c>
      <c r="O71" s="80">
        <v>3.4722222222222224E-4</v>
      </c>
    </row>
    <row r="72" spans="1:15" ht="35.1" customHeight="1">
      <c r="A72" s="181"/>
      <c r="B72" s="89" t="s">
        <v>16</v>
      </c>
      <c r="C72" s="73" t="s">
        <v>289</v>
      </c>
      <c r="D72" s="73" t="s">
        <v>290</v>
      </c>
      <c r="E72" s="100" t="s">
        <v>11</v>
      </c>
      <c r="F72" s="73" t="s">
        <v>21</v>
      </c>
      <c r="G72" s="73" t="s">
        <v>291</v>
      </c>
      <c r="H72" s="86">
        <v>45390</v>
      </c>
      <c r="I72" s="77" t="s">
        <v>132</v>
      </c>
      <c r="J72" s="77" t="s">
        <v>133</v>
      </c>
      <c r="K72" s="77">
        <v>0</v>
      </c>
      <c r="L72" s="77" t="s">
        <v>292</v>
      </c>
      <c r="M72" s="77" t="s">
        <v>205</v>
      </c>
      <c r="N72" s="73">
        <v>1</v>
      </c>
      <c r="O72" s="80">
        <v>6.9444444444444447E-4</v>
      </c>
    </row>
    <row r="73" spans="1:15" ht="35.1" customHeight="1">
      <c r="A73" s="181"/>
      <c r="B73" s="89" t="s">
        <v>16</v>
      </c>
      <c r="C73" s="73" t="s">
        <v>293</v>
      </c>
      <c r="D73" s="73" t="s">
        <v>294</v>
      </c>
      <c r="E73" s="100" t="s">
        <v>11</v>
      </c>
      <c r="F73" s="73" t="s">
        <v>21</v>
      </c>
      <c r="G73" s="73" t="s">
        <v>539</v>
      </c>
      <c r="H73" s="86">
        <v>45391</v>
      </c>
      <c r="I73" s="77" t="s">
        <v>60</v>
      </c>
      <c r="J73" s="77" t="s">
        <v>133</v>
      </c>
      <c r="K73" s="77">
        <v>0</v>
      </c>
      <c r="L73" s="77" t="s">
        <v>295</v>
      </c>
      <c r="M73" s="77" t="s">
        <v>205</v>
      </c>
      <c r="N73" s="73">
        <v>1</v>
      </c>
      <c r="O73" s="80">
        <v>1.3888888888888889E-3</v>
      </c>
    </row>
    <row r="74" spans="1:15" ht="35.1" customHeight="1">
      <c r="A74" s="181"/>
      <c r="B74" s="89" t="s">
        <v>16</v>
      </c>
      <c r="C74" s="73" t="s">
        <v>296</v>
      </c>
      <c r="D74" s="73" t="s">
        <v>297</v>
      </c>
      <c r="E74" s="100" t="s">
        <v>11</v>
      </c>
      <c r="F74" s="73" t="s">
        <v>21</v>
      </c>
      <c r="G74" s="73" t="s">
        <v>291</v>
      </c>
      <c r="H74" s="86">
        <v>45390</v>
      </c>
      <c r="I74" s="77" t="s">
        <v>132</v>
      </c>
      <c r="J74" s="77" t="s">
        <v>133</v>
      </c>
      <c r="K74" s="77">
        <v>0</v>
      </c>
      <c r="L74" s="77" t="s">
        <v>298</v>
      </c>
      <c r="M74" s="77" t="s">
        <v>205</v>
      </c>
      <c r="N74" s="73">
        <v>1</v>
      </c>
      <c r="O74" s="80">
        <v>3.4722222222222224E-4</v>
      </c>
    </row>
    <row r="75" spans="1:15" ht="35.1" customHeight="1">
      <c r="A75" s="181"/>
      <c r="B75" s="89" t="s">
        <v>16</v>
      </c>
      <c r="C75" s="73" t="s">
        <v>299</v>
      </c>
      <c r="D75" s="73" t="s">
        <v>300</v>
      </c>
      <c r="E75" s="100" t="s">
        <v>11</v>
      </c>
      <c r="F75" s="73" t="s">
        <v>21</v>
      </c>
      <c r="G75" s="73" t="s">
        <v>291</v>
      </c>
      <c r="H75" s="86">
        <v>45390</v>
      </c>
      <c r="I75" s="77" t="s">
        <v>132</v>
      </c>
      <c r="J75" s="77" t="s">
        <v>133</v>
      </c>
      <c r="K75" s="77">
        <v>0</v>
      </c>
      <c r="L75" s="77" t="s">
        <v>298</v>
      </c>
      <c r="M75" s="77" t="s">
        <v>205</v>
      </c>
      <c r="N75" s="73">
        <v>1</v>
      </c>
      <c r="O75" s="80">
        <v>3.4722222222222224E-4</v>
      </c>
    </row>
    <row r="76" spans="1:15" ht="35.1" customHeight="1">
      <c r="A76" s="181"/>
      <c r="B76" s="89" t="s">
        <v>16</v>
      </c>
      <c r="C76" s="73" t="s">
        <v>301</v>
      </c>
      <c r="D76" s="73" t="s">
        <v>302</v>
      </c>
      <c r="E76" s="100" t="s">
        <v>11</v>
      </c>
      <c r="F76" s="73" t="s">
        <v>21</v>
      </c>
      <c r="G76" s="73" t="s">
        <v>291</v>
      </c>
      <c r="H76" s="86">
        <v>45390</v>
      </c>
      <c r="I76" s="77" t="s">
        <v>132</v>
      </c>
      <c r="J76" s="77" t="s">
        <v>133</v>
      </c>
      <c r="K76" s="77">
        <v>0</v>
      </c>
      <c r="L76" s="77" t="s">
        <v>298</v>
      </c>
      <c r="M76" s="77" t="s">
        <v>205</v>
      </c>
      <c r="N76" s="73">
        <v>1</v>
      </c>
      <c r="O76" s="80">
        <v>3.4722222222222224E-4</v>
      </c>
    </row>
    <row r="77" spans="1:15" ht="35.1" customHeight="1">
      <c r="A77" s="183"/>
      <c r="B77" s="89" t="s">
        <v>16</v>
      </c>
      <c r="C77" s="73" t="s">
        <v>303</v>
      </c>
      <c r="D77" s="73" t="s">
        <v>304</v>
      </c>
      <c r="E77" s="100" t="s">
        <v>11</v>
      </c>
      <c r="F77" s="73" t="s">
        <v>21</v>
      </c>
      <c r="G77" s="73" t="s">
        <v>847</v>
      </c>
      <c r="H77" s="86">
        <v>45536</v>
      </c>
      <c r="I77" s="77" t="s">
        <v>60</v>
      </c>
      <c r="J77" s="77" t="s">
        <v>133</v>
      </c>
      <c r="K77" s="77">
        <v>0</v>
      </c>
      <c r="L77" s="77" t="s">
        <v>305</v>
      </c>
      <c r="M77" s="77" t="s">
        <v>205</v>
      </c>
      <c r="N77" s="73">
        <v>1</v>
      </c>
      <c r="O77" s="80">
        <v>6.9444444444444447E-4</v>
      </c>
    </row>
    <row r="78" spans="1:15" ht="35.1" customHeight="1">
      <c r="A78" s="183"/>
      <c r="B78" s="89" t="s">
        <v>16</v>
      </c>
      <c r="C78" s="73" t="s">
        <v>306</v>
      </c>
      <c r="D78" s="73" t="s">
        <v>307</v>
      </c>
      <c r="E78" s="100" t="s">
        <v>11</v>
      </c>
      <c r="F78" s="73" t="s">
        <v>21</v>
      </c>
      <c r="G78" s="73" t="s">
        <v>213</v>
      </c>
      <c r="H78" s="86">
        <v>45391</v>
      </c>
      <c r="I78" s="77" t="s">
        <v>88</v>
      </c>
      <c r="J78" s="77" t="s">
        <v>133</v>
      </c>
      <c r="K78" s="77">
        <v>0</v>
      </c>
      <c r="L78" s="77" t="s">
        <v>214</v>
      </c>
      <c r="M78" s="77" t="s">
        <v>215</v>
      </c>
      <c r="N78" s="73">
        <v>1</v>
      </c>
      <c r="O78" s="80">
        <v>3.4722222222222224E-4</v>
      </c>
    </row>
    <row r="79" spans="1:15" ht="35.1" customHeight="1">
      <c r="A79" s="183"/>
      <c r="B79" s="89" t="s">
        <v>16</v>
      </c>
      <c r="C79" s="73" t="s">
        <v>308</v>
      </c>
      <c r="D79" s="73" t="s">
        <v>309</v>
      </c>
      <c r="E79" s="100" t="s">
        <v>11</v>
      </c>
      <c r="F79" s="138" t="s">
        <v>21</v>
      </c>
      <c r="G79" s="72" t="s">
        <v>310</v>
      </c>
      <c r="H79" s="90">
        <v>45391</v>
      </c>
      <c r="I79" s="77" t="s">
        <v>60</v>
      </c>
      <c r="J79" s="77" t="s">
        <v>133</v>
      </c>
      <c r="K79" s="77">
        <v>0</v>
      </c>
      <c r="L79" s="77" t="s">
        <v>311</v>
      </c>
      <c r="M79" s="77" t="s">
        <v>205</v>
      </c>
      <c r="N79" s="73">
        <v>1</v>
      </c>
      <c r="O79" s="80">
        <v>8.6805555555555551E-4</v>
      </c>
    </row>
    <row r="80" spans="1:15" ht="35.1" customHeight="1">
      <c r="A80" s="181"/>
      <c r="B80" s="89" t="s">
        <v>16</v>
      </c>
      <c r="C80" s="73" t="s">
        <v>312</v>
      </c>
      <c r="D80" s="73" t="s">
        <v>313</v>
      </c>
      <c r="E80" s="100" t="s">
        <v>11</v>
      </c>
      <c r="F80" s="73" t="s">
        <v>21</v>
      </c>
      <c r="G80" s="73" t="s">
        <v>850</v>
      </c>
      <c r="H80" s="86">
        <v>45390</v>
      </c>
      <c r="I80" s="77" t="s">
        <v>132</v>
      </c>
      <c r="J80" s="77" t="s">
        <v>133</v>
      </c>
      <c r="K80" s="77">
        <v>0</v>
      </c>
      <c r="L80" s="77" t="s">
        <v>315</v>
      </c>
      <c r="M80" s="77" t="s">
        <v>205</v>
      </c>
      <c r="N80" s="73">
        <v>1</v>
      </c>
      <c r="O80" s="80">
        <v>6.9444444444444447E-4</v>
      </c>
    </row>
    <row r="81" spans="1:55" ht="35.1" customHeight="1">
      <c r="A81" s="181"/>
      <c r="B81" s="89" t="s">
        <v>16</v>
      </c>
      <c r="C81" s="73" t="s">
        <v>316</v>
      </c>
      <c r="D81" s="73" t="s">
        <v>317</v>
      </c>
      <c r="E81" s="100" t="s">
        <v>11</v>
      </c>
      <c r="F81" s="73" t="s">
        <v>21</v>
      </c>
      <c r="G81" s="73" t="s">
        <v>287</v>
      </c>
      <c r="H81" s="86">
        <v>45392</v>
      </c>
      <c r="I81" s="77" t="s">
        <v>60</v>
      </c>
      <c r="J81" s="77" t="s">
        <v>133</v>
      </c>
      <c r="K81" s="77">
        <v>0</v>
      </c>
      <c r="L81" s="77" t="s">
        <v>318</v>
      </c>
      <c r="M81" s="77" t="s">
        <v>205</v>
      </c>
      <c r="N81" s="73">
        <v>1</v>
      </c>
      <c r="O81" s="80">
        <v>6.9444444444444447E-4</v>
      </c>
    </row>
    <row r="82" spans="1:55" ht="35.1" customHeight="1">
      <c r="A82" s="181"/>
      <c r="B82" s="89" t="s">
        <v>16</v>
      </c>
      <c r="C82" s="73" t="s">
        <v>319</v>
      </c>
      <c r="D82" s="73" t="s">
        <v>320</v>
      </c>
      <c r="E82" s="100" t="s">
        <v>11</v>
      </c>
      <c r="F82" s="73" t="s">
        <v>21</v>
      </c>
      <c r="G82" s="73" t="s">
        <v>850</v>
      </c>
      <c r="H82" s="86">
        <v>45390</v>
      </c>
      <c r="I82" s="77" t="s">
        <v>132</v>
      </c>
      <c r="J82" s="77" t="s">
        <v>133</v>
      </c>
      <c r="K82" s="77">
        <v>0</v>
      </c>
      <c r="L82" s="77" t="s">
        <v>315</v>
      </c>
      <c r="M82" s="77" t="s">
        <v>205</v>
      </c>
      <c r="N82" s="73">
        <v>1</v>
      </c>
      <c r="O82" s="80">
        <v>6.9444444444444447E-4</v>
      </c>
    </row>
    <row r="83" spans="1:55" ht="35.1" customHeight="1" thickTop="1" thickBot="1">
      <c r="A83" s="181"/>
      <c r="B83" s="156" t="s">
        <v>16</v>
      </c>
      <c r="C83" s="100" t="s">
        <v>321</v>
      </c>
      <c r="D83" s="100" t="s">
        <v>322</v>
      </c>
      <c r="E83" s="100" t="s">
        <v>11</v>
      </c>
      <c r="F83" s="157" t="s">
        <v>21</v>
      </c>
      <c r="G83" s="100" t="s">
        <v>763</v>
      </c>
      <c r="H83" s="130">
        <v>45983</v>
      </c>
      <c r="I83" s="77" t="s">
        <v>60</v>
      </c>
      <c r="J83" s="77" t="s">
        <v>61</v>
      </c>
      <c r="K83" s="77">
        <v>0</v>
      </c>
      <c r="L83" s="77" t="s">
        <v>324</v>
      </c>
      <c r="M83" s="77" t="s">
        <v>147</v>
      </c>
      <c r="N83" s="100">
        <v>1</v>
      </c>
      <c r="O83" s="109">
        <v>1.7361111111111112E-4</v>
      </c>
    </row>
    <row r="84" spans="1:55" ht="35.1" customHeight="1" thickTop="1" thickBot="1">
      <c r="A84" s="181"/>
      <c r="B84" s="106" t="s">
        <v>16</v>
      </c>
      <c r="C84" s="100" t="s">
        <v>325</v>
      </c>
      <c r="D84" s="100" t="s">
        <v>326</v>
      </c>
      <c r="E84" s="100"/>
      <c r="F84" s="100"/>
      <c r="G84" s="100"/>
      <c r="H84" s="130"/>
      <c r="I84" s="77" t="s">
        <v>60</v>
      </c>
      <c r="J84" s="77" t="s">
        <v>133</v>
      </c>
      <c r="K84" s="77">
        <v>0</v>
      </c>
      <c r="L84" s="77" t="s">
        <v>327</v>
      </c>
      <c r="M84" s="77" t="s">
        <v>239</v>
      </c>
      <c r="N84" s="100">
        <v>2</v>
      </c>
      <c r="O84" s="109">
        <v>5.2083333333333333E-4</v>
      </c>
    </row>
    <row r="85" spans="1:55" ht="35.1" customHeight="1" thickTop="1" thickBot="1">
      <c r="A85" s="181"/>
      <c r="B85" s="156" t="s">
        <v>16</v>
      </c>
      <c r="C85" s="100" t="s">
        <v>328</v>
      </c>
      <c r="D85" s="100" t="s">
        <v>329</v>
      </c>
      <c r="E85" s="100" t="s">
        <v>11</v>
      </c>
      <c r="F85" s="157" t="s">
        <v>21</v>
      </c>
      <c r="G85" s="100" t="s">
        <v>763</v>
      </c>
      <c r="H85" s="130">
        <v>45983</v>
      </c>
      <c r="I85" s="77" t="s">
        <v>60</v>
      </c>
      <c r="J85" s="77" t="s">
        <v>61</v>
      </c>
      <c r="K85" s="77">
        <v>0</v>
      </c>
      <c r="L85" s="77">
        <v>0</v>
      </c>
      <c r="M85" s="77" t="s">
        <v>147</v>
      </c>
      <c r="N85" s="100">
        <v>3</v>
      </c>
      <c r="O85" s="109">
        <v>5.2083333333333333E-4</v>
      </c>
    </row>
    <row r="86" spans="1:55" ht="35.1" customHeight="1">
      <c r="A86" s="181"/>
      <c r="B86" s="156" t="s">
        <v>16</v>
      </c>
      <c r="C86" s="100" t="s">
        <v>331</v>
      </c>
      <c r="D86" s="100" t="s">
        <v>332</v>
      </c>
      <c r="E86" s="100" t="s">
        <v>11</v>
      </c>
      <c r="F86" s="157" t="s">
        <v>21</v>
      </c>
      <c r="G86" s="100" t="s">
        <v>764</v>
      </c>
      <c r="H86" s="130">
        <v>45983</v>
      </c>
      <c r="I86" s="77" t="s">
        <v>60</v>
      </c>
      <c r="J86" s="77" t="s">
        <v>61</v>
      </c>
      <c r="K86" s="77">
        <v>0</v>
      </c>
      <c r="L86" s="77">
        <v>0</v>
      </c>
      <c r="M86" s="77" t="s">
        <v>147</v>
      </c>
      <c r="N86" s="100">
        <v>4</v>
      </c>
      <c r="O86" s="109">
        <v>5.2083333333333333E-4</v>
      </c>
    </row>
    <row r="87" spans="1:55" ht="35.1" customHeight="1">
      <c r="A87" s="180"/>
      <c r="B87" s="91" t="s">
        <v>16</v>
      </c>
      <c r="C87" s="84" t="s">
        <v>334</v>
      </c>
      <c r="D87" s="84" t="s">
        <v>335</v>
      </c>
      <c r="E87" s="100" t="s">
        <v>11</v>
      </c>
      <c r="F87" s="84" t="s">
        <v>21</v>
      </c>
      <c r="G87" s="84" t="s">
        <v>848</v>
      </c>
      <c r="H87" s="88">
        <v>45391</v>
      </c>
      <c r="I87" s="77" t="s">
        <v>60</v>
      </c>
      <c r="J87" s="77" t="s">
        <v>133</v>
      </c>
      <c r="K87" s="77">
        <v>0</v>
      </c>
      <c r="L87" s="77" t="s">
        <v>259</v>
      </c>
      <c r="M87" s="77" t="s">
        <v>205</v>
      </c>
      <c r="N87" s="84">
        <v>2</v>
      </c>
      <c r="O87" s="85">
        <v>3.4722222222222224E-4</v>
      </c>
    </row>
    <row r="88" spans="1:55" ht="35.1" customHeight="1">
      <c r="A88" s="181"/>
      <c r="B88" s="173" t="s">
        <v>20</v>
      </c>
      <c r="C88" s="164" t="s">
        <v>336</v>
      </c>
      <c r="D88" s="164" t="s">
        <v>337</v>
      </c>
      <c r="E88" s="164" t="s">
        <v>11</v>
      </c>
      <c r="F88" s="154" t="s">
        <v>21</v>
      </c>
      <c r="G88" s="164" t="s">
        <v>851</v>
      </c>
      <c r="H88" s="166">
        <v>45987</v>
      </c>
      <c r="I88" s="172" t="s">
        <v>132</v>
      </c>
      <c r="J88" s="172" t="s">
        <v>133</v>
      </c>
      <c r="K88" s="172">
        <v>0</v>
      </c>
      <c r="L88" s="172" t="s">
        <v>339</v>
      </c>
      <c r="M88" s="172" t="s">
        <v>340</v>
      </c>
      <c r="N88" s="164">
        <v>4</v>
      </c>
      <c r="O88" s="165" t="s">
        <v>341</v>
      </c>
    </row>
    <row r="89" spans="1:55" s="176" customFormat="1" ht="35.1" customHeight="1">
      <c r="A89" s="181"/>
      <c r="B89" s="156" t="s">
        <v>20</v>
      </c>
      <c r="C89" s="157" t="s">
        <v>342</v>
      </c>
      <c r="D89" s="157" t="s">
        <v>343</v>
      </c>
      <c r="E89" s="157" t="s">
        <v>11</v>
      </c>
      <c r="F89" s="157" t="s">
        <v>21</v>
      </c>
      <c r="G89" s="157" t="s">
        <v>852</v>
      </c>
      <c r="H89" s="171">
        <v>45986</v>
      </c>
      <c r="I89" s="172" t="s">
        <v>132</v>
      </c>
      <c r="J89" s="172" t="s">
        <v>133</v>
      </c>
      <c r="K89" s="172">
        <v>0</v>
      </c>
      <c r="L89" s="172" t="s">
        <v>345</v>
      </c>
      <c r="M89" s="172" t="s">
        <v>340</v>
      </c>
      <c r="N89" s="157">
        <v>4</v>
      </c>
      <c r="O89" s="160">
        <v>1.3888888888888889E-3</v>
      </c>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row>
    <row r="90" spans="1:55" ht="35.1" customHeight="1">
      <c r="A90" s="181"/>
      <c r="B90" s="156" t="s">
        <v>20</v>
      </c>
      <c r="C90" s="154" t="s">
        <v>346</v>
      </c>
      <c r="D90" s="154" t="s">
        <v>347</v>
      </c>
      <c r="E90" s="154" t="s">
        <v>11</v>
      </c>
      <c r="F90" s="154" t="s">
        <v>21</v>
      </c>
      <c r="G90" s="154" t="s">
        <v>853</v>
      </c>
      <c r="H90" s="155">
        <v>45987</v>
      </c>
      <c r="I90" s="172" t="s">
        <v>132</v>
      </c>
      <c r="J90" s="172" t="s">
        <v>133</v>
      </c>
      <c r="K90" s="172">
        <v>0</v>
      </c>
      <c r="L90" s="172" t="s">
        <v>349</v>
      </c>
      <c r="M90" s="172" t="s">
        <v>350</v>
      </c>
      <c r="N90" s="167">
        <v>2</v>
      </c>
      <c r="O90" s="168">
        <v>2.0833333333333333E-3</v>
      </c>
    </row>
    <row r="91" spans="1:55" ht="35.1" customHeight="1">
      <c r="A91" s="181"/>
      <c r="B91" s="156" t="s">
        <v>20</v>
      </c>
      <c r="C91" s="157" t="s">
        <v>351</v>
      </c>
      <c r="D91" s="157" t="s">
        <v>352</v>
      </c>
      <c r="E91" s="157" t="s">
        <v>11</v>
      </c>
      <c r="F91" s="157" t="s">
        <v>21</v>
      </c>
      <c r="G91" s="157" t="s">
        <v>768</v>
      </c>
      <c r="H91" s="171">
        <v>45983</v>
      </c>
      <c r="I91" s="172" t="s">
        <v>132</v>
      </c>
      <c r="J91" s="172" t="s">
        <v>133</v>
      </c>
      <c r="K91" s="172">
        <v>0</v>
      </c>
      <c r="L91" s="172" t="s">
        <v>354</v>
      </c>
      <c r="M91" s="172" t="s">
        <v>350</v>
      </c>
      <c r="N91" s="100">
        <v>2</v>
      </c>
      <c r="O91" s="109">
        <v>2.0833333333333333E-3</v>
      </c>
    </row>
    <row r="92" spans="1:55" ht="35.1" customHeight="1" thickTop="1" thickBot="1">
      <c r="A92" s="181"/>
      <c r="B92" s="156" t="s">
        <v>20</v>
      </c>
      <c r="C92" s="100" t="s">
        <v>355</v>
      </c>
      <c r="D92" s="100" t="s">
        <v>356</v>
      </c>
      <c r="E92" s="100" t="s">
        <v>11</v>
      </c>
      <c r="F92" s="157" t="s">
        <v>21</v>
      </c>
      <c r="G92" s="100" t="s">
        <v>763</v>
      </c>
      <c r="H92" s="130">
        <v>45983</v>
      </c>
      <c r="I92" s="77" t="s">
        <v>60</v>
      </c>
      <c r="J92" s="77" t="s">
        <v>61</v>
      </c>
      <c r="K92" s="77">
        <v>0</v>
      </c>
      <c r="L92" s="77" t="s">
        <v>357</v>
      </c>
      <c r="M92" s="77" t="s">
        <v>147</v>
      </c>
      <c r="N92" s="100">
        <v>2</v>
      </c>
      <c r="O92" s="109">
        <v>6.9444444444444447E-4</v>
      </c>
    </row>
    <row r="93" spans="1:55" ht="35.1" customHeight="1">
      <c r="A93" s="181"/>
      <c r="B93" s="156" t="s">
        <v>20</v>
      </c>
      <c r="C93" s="154" t="s">
        <v>358</v>
      </c>
      <c r="D93" s="154" t="s">
        <v>359</v>
      </c>
      <c r="E93" s="154" t="s">
        <v>11</v>
      </c>
      <c r="F93" s="154" t="s">
        <v>21</v>
      </c>
      <c r="G93" s="154" t="s">
        <v>854</v>
      </c>
      <c r="H93" s="155">
        <v>45986</v>
      </c>
      <c r="I93" s="77" t="s">
        <v>132</v>
      </c>
      <c r="J93" s="77" t="s">
        <v>133</v>
      </c>
      <c r="K93" s="77">
        <v>0</v>
      </c>
      <c r="L93" s="77" t="s">
        <v>362</v>
      </c>
      <c r="M93" s="77" t="s">
        <v>363</v>
      </c>
      <c r="N93" s="100">
        <v>1</v>
      </c>
      <c r="O93" s="109">
        <v>1.2152777777777778E-3</v>
      </c>
    </row>
    <row r="94" spans="1:55" ht="35.1" customHeight="1">
      <c r="A94" s="181"/>
      <c r="B94" s="156" t="s">
        <v>20</v>
      </c>
      <c r="C94" s="154" t="s">
        <v>364</v>
      </c>
      <c r="D94" s="154" t="s">
        <v>365</v>
      </c>
      <c r="E94" s="154" t="s">
        <v>11</v>
      </c>
      <c r="F94" s="154" t="s">
        <v>21</v>
      </c>
      <c r="G94" s="154" t="s">
        <v>855</v>
      </c>
      <c r="H94" s="155">
        <v>45986</v>
      </c>
      <c r="I94" s="172" t="s">
        <v>132</v>
      </c>
      <c r="J94" s="172" t="s">
        <v>133</v>
      </c>
      <c r="K94" s="172">
        <v>0</v>
      </c>
      <c r="L94" s="172" t="s">
        <v>367</v>
      </c>
      <c r="M94" s="172" t="s">
        <v>363</v>
      </c>
      <c r="N94" s="100">
        <v>2</v>
      </c>
      <c r="O94" s="109">
        <v>2.7777777777777779E-3</v>
      </c>
    </row>
    <row r="95" spans="1:55" ht="35.1" customHeight="1">
      <c r="A95" s="181"/>
      <c r="B95" s="156" t="s">
        <v>20</v>
      </c>
      <c r="C95" s="154" t="s">
        <v>368</v>
      </c>
      <c r="D95" s="154" t="s">
        <v>369</v>
      </c>
      <c r="E95" s="154" t="s">
        <v>11</v>
      </c>
      <c r="F95" s="154" t="s">
        <v>21</v>
      </c>
      <c r="G95" s="154" t="s">
        <v>854</v>
      </c>
      <c r="H95" s="155">
        <v>45986</v>
      </c>
      <c r="I95" s="77" t="s">
        <v>132</v>
      </c>
      <c r="J95" s="77" t="s">
        <v>133</v>
      </c>
      <c r="K95" s="77">
        <v>0</v>
      </c>
      <c r="L95" s="77" t="s">
        <v>371</v>
      </c>
      <c r="M95" s="77" t="s">
        <v>363</v>
      </c>
      <c r="N95" s="100">
        <v>2</v>
      </c>
      <c r="O95" s="109">
        <v>6.9444444444444447E-4</v>
      </c>
    </row>
    <row r="96" spans="1:55" ht="35.1" customHeight="1" thickTop="1" thickBot="1">
      <c r="A96" s="181"/>
      <c r="B96" s="106" t="s">
        <v>20</v>
      </c>
      <c r="C96" s="100" t="s">
        <v>372</v>
      </c>
      <c r="D96" s="100" t="s">
        <v>373</v>
      </c>
      <c r="E96" s="100"/>
      <c r="F96" s="100"/>
      <c r="G96" s="100"/>
      <c r="H96" s="130"/>
      <c r="I96" s="77" t="s">
        <v>132</v>
      </c>
      <c r="J96" s="77" t="s">
        <v>133</v>
      </c>
      <c r="K96" s="77">
        <v>0</v>
      </c>
      <c r="L96" s="77" t="s">
        <v>374</v>
      </c>
      <c r="M96" s="77" t="s">
        <v>205</v>
      </c>
      <c r="N96" s="100">
        <v>2</v>
      </c>
      <c r="O96" s="109">
        <v>3.4722222222222224E-4</v>
      </c>
    </row>
    <row r="97" spans="1:15" ht="35.1" customHeight="1" thickTop="1" thickBot="1">
      <c r="A97" s="181"/>
      <c r="B97" s="106" t="s">
        <v>20</v>
      </c>
      <c r="C97" s="100" t="s">
        <v>375</v>
      </c>
      <c r="D97" s="100" t="s">
        <v>376</v>
      </c>
      <c r="E97" s="100"/>
      <c r="F97" s="100"/>
      <c r="G97" s="100"/>
      <c r="H97" s="130"/>
      <c r="I97" s="77" t="s">
        <v>132</v>
      </c>
      <c r="J97" s="77" t="s">
        <v>133</v>
      </c>
      <c r="K97" s="77">
        <v>0</v>
      </c>
      <c r="L97" s="77" t="s">
        <v>377</v>
      </c>
      <c r="M97" s="77" t="s">
        <v>164</v>
      </c>
      <c r="N97" s="100">
        <v>2</v>
      </c>
      <c r="O97" s="109">
        <v>5.2083333333333333E-4</v>
      </c>
    </row>
    <row r="98" spans="1:15" ht="35.1" customHeight="1" thickTop="1" thickBot="1">
      <c r="A98" s="181"/>
      <c r="B98" s="106" t="s">
        <v>20</v>
      </c>
      <c r="C98" s="100" t="s">
        <v>378</v>
      </c>
      <c r="D98" s="100" t="s">
        <v>379</v>
      </c>
      <c r="E98" s="100"/>
      <c r="F98" s="100"/>
      <c r="G98" s="100"/>
      <c r="H98" s="130"/>
      <c r="I98" s="77" t="s">
        <v>60</v>
      </c>
      <c r="J98" s="77" t="s">
        <v>133</v>
      </c>
      <c r="K98" s="77">
        <v>0</v>
      </c>
      <c r="L98" s="77" t="s">
        <v>380</v>
      </c>
      <c r="M98" s="77" t="s">
        <v>164</v>
      </c>
      <c r="N98" s="100">
        <v>1</v>
      </c>
      <c r="O98" s="109">
        <v>9.2592592592592585E-4</v>
      </c>
    </row>
    <row r="99" spans="1:15" ht="35.1" customHeight="1" thickTop="1" thickBot="1">
      <c r="A99" s="181"/>
      <c r="B99" s="106" t="s">
        <v>20</v>
      </c>
      <c r="C99" s="100" t="s">
        <v>381</v>
      </c>
      <c r="D99" s="100" t="s">
        <v>382</v>
      </c>
      <c r="E99" s="100"/>
      <c r="F99" s="100"/>
      <c r="G99" s="100"/>
      <c r="H99" s="130"/>
      <c r="I99" s="77" t="s">
        <v>60</v>
      </c>
      <c r="J99" s="77" t="s">
        <v>61</v>
      </c>
      <c r="K99" s="77">
        <v>0</v>
      </c>
      <c r="L99" s="77" t="s">
        <v>383</v>
      </c>
      <c r="M99" s="77" t="s">
        <v>363</v>
      </c>
      <c r="N99" s="100">
        <v>1</v>
      </c>
      <c r="O99" s="109">
        <v>1.1574074074074073E-4</v>
      </c>
    </row>
    <row r="100" spans="1:15" ht="35.1" customHeight="1" thickTop="1" thickBot="1">
      <c r="A100" s="181"/>
      <c r="B100" s="106" t="s">
        <v>20</v>
      </c>
      <c r="C100" s="100" t="s">
        <v>384</v>
      </c>
      <c r="D100" s="100" t="s">
        <v>385</v>
      </c>
      <c r="E100" s="100"/>
      <c r="F100" s="100"/>
      <c r="G100" s="100"/>
      <c r="H100" s="130"/>
      <c r="I100" s="77" t="s">
        <v>88</v>
      </c>
      <c r="J100" s="77" t="s">
        <v>61</v>
      </c>
      <c r="K100" s="77">
        <v>0</v>
      </c>
      <c r="L100" s="77" t="s">
        <v>386</v>
      </c>
      <c r="M100" s="77" t="s">
        <v>123</v>
      </c>
      <c r="N100" s="100">
        <v>1</v>
      </c>
      <c r="O100" s="109">
        <v>6.9444444444444447E-4</v>
      </c>
    </row>
    <row r="101" spans="1:15" ht="35.1" customHeight="1" thickTop="1" thickBot="1">
      <c r="A101" s="181"/>
      <c r="B101" s="106" t="s">
        <v>20</v>
      </c>
      <c r="C101" s="100" t="s">
        <v>387</v>
      </c>
      <c r="D101" s="100" t="s">
        <v>388</v>
      </c>
      <c r="E101" s="100"/>
      <c r="F101" s="100"/>
      <c r="G101" s="100"/>
      <c r="H101" s="130"/>
      <c r="I101" s="77" t="s">
        <v>60</v>
      </c>
      <c r="J101" s="77" t="s">
        <v>133</v>
      </c>
      <c r="K101" s="77">
        <v>0</v>
      </c>
      <c r="L101" s="77" t="s">
        <v>389</v>
      </c>
      <c r="M101" s="77" t="s">
        <v>107</v>
      </c>
      <c r="N101" s="100">
        <v>1</v>
      </c>
      <c r="O101" s="109">
        <v>6.9444444444444447E-4</v>
      </c>
    </row>
    <row r="102" spans="1:15" ht="35.1" customHeight="1" thickTop="1" thickBot="1">
      <c r="A102" s="181"/>
      <c r="B102" s="106" t="s">
        <v>20</v>
      </c>
      <c r="C102" s="100" t="s">
        <v>390</v>
      </c>
      <c r="D102" s="100" t="s">
        <v>391</v>
      </c>
      <c r="E102" s="100"/>
      <c r="F102" s="100"/>
      <c r="G102" s="167"/>
      <c r="H102" s="130"/>
      <c r="I102" s="77" t="s">
        <v>60</v>
      </c>
      <c r="J102" s="77" t="s">
        <v>133</v>
      </c>
      <c r="K102" s="77">
        <v>0</v>
      </c>
      <c r="L102" s="77" t="s">
        <v>392</v>
      </c>
      <c r="M102" s="77" t="s">
        <v>107</v>
      </c>
      <c r="N102" s="100">
        <v>1</v>
      </c>
      <c r="O102" s="109">
        <v>4.0509259259259258E-4</v>
      </c>
    </row>
    <row r="103" spans="1:15" ht="35.1" customHeight="1" thickTop="1" thickBot="1">
      <c r="A103" s="181"/>
      <c r="B103" s="106" t="s">
        <v>20</v>
      </c>
      <c r="C103" s="100" t="s">
        <v>393</v>
      </c>
      <c r="D103" s="100" t="s">
        <v>394</v>
      </c>
      <c r="E103" s="100"/>
      <c r="F103" s="100"/>
      <c r="G103" s="100"/>
      <c r="H103" s="130"/>
      <c r="I103" s="77" t="s">
        <v>132</v>
      </c>
      <c r="J103" s="77" t="s">
        <v>61</v>
      </c>
      <c r="K103" s="77">
        <v>0</v>
      </c>
      <c r="L103" s="77" t="s">
        <v>395</v>
      </c>
      <c r="M103" s="77" t="s">
        <v>147</v>
      </c>
      <c r="N103" s="100">
        <v>2</v>
      </c>
      <c r="O103" s="109">
        <v>1.3888888888888889E-3</v>
      </c>
    </row>
    <row r="104" spans="1:15" ht="35.1" customHeight="1">
      <c r="A104" s="181"/>
      <c r="B104" s="156" t="s">
        <v>20</v>
      </c>
      <c r="C104" s="154" t="s">
        <v>396</v>
      </c>
      <c r="D104" s="154" t="s">
        <v>397</v>
      </c>
      <c r="E104" s="154" t="s">
        <v>11</v>
      </c>
      <c r="F104" s="154" t="s">
        <v>21</v>
      </c>
      <c r="G104" s="154" t="s">
        <v>398</v>
      </c>
      <c r="H104" s="155">
        <v>45986</v>
      </c>
      <c r="I104" s="172" t="s">
        <v>132</v>
      </c>
      <c r="J104" s="172" t="s">
        <v>61</v>
      </c>
      <c r="K104" s="172">
        <v>0</v>
      </c>
      <c r="L104" s="172" t="s">
        <v>399</v>
      </c>
      <c r="M104" s="172" t="s">
        <v>400</v>
      </c>
      <c r="N104" s="100">
        <v>2</v>
      </c>
      <c r="O104" s="109">
        <v>1.736111111111111E-3</v>
      </c>
    </row>
    <row r="105" spans="1:15" ht="35.1" customHeight="1" thickTop="1" thickBot="1">
      <c r="A105" s="181"/>
      <c r="B105" s="156" t="s">
        <v>20</v>
      </c>
      <c r="C105" s="100" t="s">
        <v>401</v>
      </c>
      <c r="D105" s="100" t="s">
        <v>402</v>
      </c>
      <c r="E105" s="100" t="s">
        <v>11</v>
      </c>
      <c r="F105" s="100"/>
      <c r="G105" s="100" t="s">
        <v>856</v>
      </c>
      <c r="H105" s="130">
        <v>45983</v>
      </c>
      <c r="I105" s="77" t="s">
        <v>60</v>
      </c>
      <c r="J105" s="77" t="s">
        <v>61</v>
      </c>
      <c r="K105" s="77">
        <v>0</v>
      </c>
      <c r="L105" s="77" t="s">
        <v>403</v>
      </c>
      <c r="M105" s="77" t="s">
        <v>147</v>
      </c>
      <c r="N105" s="100">
        <v>1</v>
      </c>
      <c r="O105" s="109">
        <v>6.9444444444444447E-4</v>
      </c>
    </row>
    <row r="106" spans="1:15" ht="35.1" customHeight="1" thickTop="1" thickBot="1">
      <c r="A106" s="181"/>
      <c r="B106" s="106" t="s">
        <v>20</v>
      </c>
      <c r="C106" s="100" t="s">
        <v>404</v>
      </c>
      <c r="D106" s="100" t="s">
        <v>405</v>
      </c>
      <c r="E106" s="100"/>
      <c r="F106" s="100"/>
      <c r="G106" s="100"/>
      <c r="H106" s="130"/>
      <c r="I106" s="77" t="s">
        <v>60</v>
      </c>
      <c r="J106" s="77" t="s">
        <v>61</v>
      </c>
      <c r="K106" s="77">
        <v>0</v>
      </c>
      <c r="L106" s="77" t="s">
        <v>406</v>
      </c>
      <c r="M106" s="77" t="s">
        <v>147</v>
      </c>
      <c r="N106" s="100">
        <v>2</v>
      </c>
      <c r="O106" s="109">
        <v>3.4722222222222224E-4</v>
      </c>
    </row>
    <row r="107" spans="1:15" ht="35.1" customHeight="1" thickTop="1" thickBot="1">
      <c r="A107" s="181"/>
      <c r="B107" s="106" t="s">
        <v>20</v>
      </c>
      <c r="C107" s="100" t="s">
        <v>407</v>
      </c>
      <c r="D107" s="100" t="s">
        <v>408</v>
      </c>
      <c r="E107" s="100"/>
      <c r="F107" s="100"/>
      <c r="G107" s="100"/>
      <c r="H107" s="130"/>
      <c r="I107" s="77" t="s">
        <v>88</v>
      </c>
      <c r="J107" s="77" t="s">
        <v>61</v>
      </c>
      <c r="K107" s="77">
        <v>0</v>
      </c>
      <c r="L107" s="77" t="s">
        <v>409</v>
      </c>
      <c r="M107" s="77" t="s">
        <v>123</v>
      </c>
      <c r="N107" s="100">
        <v>2</v>
      </c>
      <c r="O107" s="109">
        <v>6.9444444444444447E-4</v>
      </c>
    </row>
    <row r="108" spans="1:15" ht="35.1" customHeight="1" thickTop="1" thickBot="1">
      <c r="A108" s="181"/>
      <c r="B108" s="156" t="s">
        <v>20</v>
      </c>
      <c r="C108" s="100" t="s">
        <v>410</v>
      </c>
      <c r="D108" s="100" t="s">
        <v>411</v>
      </c>
      <c r="E108" s="100" t="s">
        <v>11</v>
      </c>
      <c r="F108" s="100"/>
      <c r="G108" s="100" t="s">
        <v>856</v>
      </c>
      <c r="H108" s="130">
        <v>45983</v>
      </c>
      <c r="I108" s="77" t="s">
        <v>60</v>
      </c>
      <c r="J108" s="77" t="s">
        <v>61</v>
      </c>
      <c r="K108" s="77">
        <v>0</v>
      </c>
      <c r="L108" s="77" t="s">
        <v>412</v>
      </c>
      <c r="M108" s="77" t="s">
        <v>147</v>
      </c>
      <c r="N108" s="100">
        <v>2</v>
      </c>
      <c r="O108" s="109">
        <v>6.9444444444444447E-4</v>
      </c>
    </row>
    <row r="109" spans="1:15" ht="35.1" customHeight="1" thickTop="1" thickBot="1">
      <c r="A109" s="128"/>
      <c r="B109" s="106" t="s">
        <v>20</v>
      </c>
      <c r="C109" s="100" t="s">
        <v>413</v>
      </c>
      <c r="D109" s="100" t="s">
        <v>414</v>
      </c>
      <c r="E109" s="100"/>
      <c r="F109" s="100"/>
      <c r="G109" s="100"/>
      <c r="H109" s="130"/>
      <c r="I109" s="77" t="s">
        <v>88</v>
      </c>
      <c r="J109" s="77" t="s">
        <v>61</v>
      </c>
      <c r="K109" s="77">
        <v>0</v>
      </c>
      <c r="L109" s="77" t="s">
        <v>415</v>
      </c>
      <c r="M109" s="77" t="s">
        <v>107</v>
      </c>
      <c r="N109" s="100">
        <v>4</v>
      </c>
      <c r="O109" s="109">
        <v>2.0833333333333333E-3</v>
      </c>
    </row>
    <row r="110" spans="1:15" ht="35.1" customHeight="1" thickTop="1" thickBot="1">
      <c r="A110" s="128"/>
      <c r="B110" s="106" t="s">
        <v>20</v>
      </c>
      <c r="C110" s="100" t="s">
        <v>416</v>
      </c>
      <c r="D110" s="100" t="s">
        <v>417</v>
      </c>
      <c r="E110" s="100"/>
      <c r="F110" s="100"/>
      <c r="G110" s="100"/>
      <c r="H110" s="130"/>
      <c r="I110" s="77" t="s">
        <v>60</v>
      </c>
      <c r="J110" s="77" t="s">
        <v>61</v>
      </c>
      <c r="K110" s="77">
        <v>0</v>
      </c>
      <c r="L110" s="77" t="s">
        <v>418</v>
      </c>
      <c r="M110" s="77" t="s">
        <v>107</v>
      </c>
      <c r="N110" s="100">
        <v>2</v>
      </c>
      <c r="O110" s="109">
        <v>6.9444444444444447E-4</v>
      </c>
    </row>
    <row r="111" spans="1:15" ht="35.1" customHeight="1" thickTop="1" thickBot="1">
      <c r="A111" s="128"/>
      <c r="B111" s="156" t="s">
        <v>20</v>
      </c>
      <c r="C111" s="100" t="s">
        <v>419</v>
      </c>
      <c r="D111" s="100" t="s">
        <v>420</v>
      </c>
      <c r="E111" s="100" t="s">
        <v>11</v>
      </c>
      <c r="F111" s="100"/>
      <c r="G111" s="100" t="s">
        <v>769</v>
      </c>
      <c r="H111" s="130">
        <v>45983</v>
      </c>
      <c r="I111" s="77" t="s">
        <v>60</v>
      </c>
      <c r="J111" s="77" t="s">
        <v>61</v>
      </c>
      <c r="K111" s="77">
        <v>0</v>
      </c>
      <c r="L111" s="77" t="s">
        <v>421</v>
      </c>
      <c r="M111" s="77" t="s">
        <v>147</v>
      </c>
      <c r="N111" s="100">
        <v>2</v>
      </c>
      <c r="O111" s="109">
        <v>6.9444444444444447E-4</v>
      </c>
    </row>
    <row r="112" spans="1:15" ht="35.1" customHeight="1" thickTop="1" thickBot="1">
      <c r="A112" s="128"/>
      <c r="B112" s="106" t="s">
        <v>20</v>
      </c>
      <c r="C112" s="100" t="s">
        <v>422</v>
      </c>
      <c r="D112" s="100" t="s">
        <v>423</v>
      </c>
      <c r="E112" s="100"/>
      <c r="F112" s="100"/>
      <c r="G112" s="100"/>
      <c r="H112" s="130"/>
      <c r="I112" s="77" t="s">
        <v>88</v>
      </c>
      <c r="J112" s="77" t="s">
        <v>133</v>
      </c>
      <c r="K112" s="77">
        <v>0</v>
      </c>
      <c r="L112" s="77" t="s">
        <v>424</v>
      </c>
      <c r="M112" s="77" t="s">
        <v>107</v>
      </c>
      <c r="N112" s="100">
        <v>2</v>
      </c>
      <c r="O112" s="109">
        <v>1.3888888888888889E-3</v>
      </c>
    </row>
    <row r="113" spans="1:15" ht="35.1" customHeight="1" thickTop="1" thickBot="1">
      <c r="A113" s="128"/>
      <c r="B113" s="111" t="s">
        <v>20</v>
      </c>
      <c r="C113" s="112" t="s">
        <v>425</v>
      </c>
      <c r="D113" s="112" t="s">
        <v>426</v>
      </c>
      <c r="E113" s="112"/>
      <c r="F113" s="112"/>
      <c r="G113" s="112"/>
      <c r="H113" s="131"/>
      <c r="I113" s="77" t="s">
        <v>88</v>
      </c>
      <c r="J113" s="77" t="s">
        <v>61</v>
      </c>
      <c r="K113" s="77">
        <v>0</v>
      </c>
      <c r="L113" s="77" t="s">
        <v>427</v>
      </c>
      <c r="M113" s="77" t="s">
        <v>107</v>
      </c>
      <c r="N113" s="112">
        <v>2</v>
      </c>
      <c r="O113" s="116">
        <v>6.9444444444444447E-4</v>
      </c>
    </row>
    <row r="114" spans="1:15" ht="35.1" customHeight="1" thickTop="1" thickBot="1">
      <c r="A114" s="141"/>
      <c r="B114" s="101" t="s">
        <v>24</v>
      </c>
      <c r="C114" s="102" t="s">
        <v>428</v>
      </c>
      <c r="D114" s="102" t="s">
        <v>429</v>
      </c>
      <c r="E114" s="102"/>
      <c r="F114" s="102"/>
      <c r="G114" s="102"/>
      <c r="H114" s="129"/>
      <c r="I114" s="77" t="s">
        <v>132</v>
      </c>
      <c r="J114" s="77" t="s">
        <v>61</v>
      </c>
      <c r="K114" s="77">
        <v>0</v>
      </c>
      <c r="L114" s="77" t="s">
        <v>430</v>
      </c>
      <c r="M114" s="77" t="s">
        <v>107</v>
      </c>
      <c r="N114" s="102">
        <v>1</v>
      </c>
      <c r="O114" s="105">
        <v>6.9444444444444447E-4</v>
      </c>
    </row>
    <row r="115" spans="1:15" ht="35.1" customHeight="1" thickTop="1" thickBot="1">
      <c r="A115" s="128"/>
      <c r="B115" s="106" t="s">
        <v>24</v>
      </c>
      <c r="C115" s="100" t="s">
        <v>431</v>
      </c>
      <c r="D115" s="100" t="s">
        <v>432</v>
      </c>
      <c r="E115" s="100"/>
      <c r="F115" s="100"/>
      <c r="G115" s="100"/>
      <c r="H115" s="130"/>
      <c r="I115" s="77" t="s">
        <v>132</v>
      </c>
      <c r="J115" s="77" t="s">
        <v>61</v>
      </c>
      <c r="K115" s="77">
        <v>0</v>
      </c>
      <c r="L115" s="77" t="s">
        <v>433</v>
      </c>
      <c r="M115" s="77" t="s">
        <v>239</v>
      </c>
      <c r="N115" s="100">
        <v>1</v>
      </c>
      <c r="O115" s="109">
        <v>4.6296296296296293E-4</v>
      </c>
    </row>
    <row r="116" spans="1:15" ht="35.1" customHeight="1" thickTop="1" thickBot="1">
      <c r="A116" s="128"/>
      <c r="B116" s="106" t="s">
        <v>24</v>
      </c>
      <c r="C116" s="100" t="s">
        <v>434</v>
      </c>
      <c r="D116" s="100" t="s">
        <v>435</v>
      </c>
      <c r="E116" s="100"/>
      <c r="F116" s="100"/>
      <c r="G116" s="100"/>
      <c r="H116" s="130"/>
      <c r="I116" s="77" t="s">
        <v>132</v>
      </c>
      <c r="J116" s="77" t="s">
        <v>61</v>
      </c>
      <c r="K116" s="77">
        <v>0</v>
      </c>
      <c r="L116" s="77" t="s">
        <v>436</v>
      </c>
      <c r="M116" s="77" t="s">
        <v>239</v>
      </c>
      <c r="N116" s="100">
        <v>1</v>
      </c>
      <c r="O116" s="109">
        <v>6.9444444444444447E-4</v>
      </c>
    </row>
    <row r="117" spans="1:15" ht="35.1" customHeight="1" thickTop="1" thickBot="1">
      <c r="A117" s="128"/>
      <c r="B117" s="106" t="s">
        <v>24</v>
      </c>
      <c r="C117" s="100" t="s">
        <v>437</v>
      </c>
      <c r="D117" s="100" t="s">
        <v>438</v>
      </c>
      <c r="E117" s="100"/>
      <c r="F117" s="100"/>
      <c r="G117" s="100"/>
      <c r="H117" s="130"/>
      <c r="I117" s="77" t="s">
        <v>132</v>
      </c>
      <c r="J117" s="77" t="s">
        <v>61</v>
      </c>
      <c r="K117" s="77">
        <v>0</v>
      </c>
      <c r="L117" s="77" t="s">
        <v>439</v>
      </c>
      <c r="M117" s="77" t="s">
        <v>440</v>
      </c>
      <c r="N117" s="100">
        <v>1</v>
      </c>
      <c r="O117" s="109">
        <v>6.9444444444444447E-4</v>
      </c>
    </row>
    <row r="118" spans="1:15" ht="35.1" customHeight="1" thickTop="1" thickBot="1">
      <c r="A118" s="128"/>
      <c r="B118" s="106" t="s">
        <v>24</v>
      </c>
      <c r="C118" s="100" t="s">
        <v>441</v>
      </c>
      <c r="D118" s="100" t="s">
        <v>442</v>
      </c>
      <c r="E118" s="100"/>
      <c r="F118" s="100"/>
      <c r="G118" s="100"/>
      <c r="H118" s="130"/>
      <c r="I118" s="77" t="s">
        <v>132</v>
      </c>
      <c r="J118" s="77" t="s">
        <v>61</v>
      </c>
      <c r="K118" s="77">
        <v>0</v>
      </c>
      <c r="L118" s="77" t="s">
        <v>443</v>
      </c>
      <c r="M118" s="77" t="s">
        <v>440</v>
      </c>
      <c r="N118" s="100">
        <v>1</v>
      </c>
      <c r="O118" s="109">
        <v>6.9444444444444447E-4</v>
      </c>
    </row>
    <row r="119" spans="1:15" ht="35.1" customHeight="1" thickTop="1" thickBot="1">
      <c r="A119" s="128"/>
      <c r="B119" s="106" t="s">
        <v>24</v>
      </c>
      <c r="C119" s="100" t="s">
        <v>444</v>
      </c>
      <c r="D119" s="100" t="s">
        <v>445</v>
      </c>
      <c r="E119" s="100"/>
      <c r="F119" s="100"/>
      <c r="G119" s="100"/>
      <c r="H119" s="130"/>
      <c r="I119" s="77" t="s">
        <v>132</v>
      </c>
      <c r="J119" s="77" t="s">
        <v>61</v>
      </c>
      <c r="K119" s="77">
        <v>0</v>
      </c>
      <c r="L119" s="77" t="s">
        <v>446</v>
      </c>
      <c r="M119" s="77" t="s">
        <v>440</v>
      </c>
      <c r="N119" s="100">
        <v>1</v>
      </c>
      <c r="O119" s="109">
        <v>3.4722222222222224E-4</v>
      </c>
    </row>
    <row r="120" spans="1:15" ht="35.1" customHeight="1" thickTop="1" thickBot="1">
      <c r="A120" s="128"/>
      <c r="B120" s="106" t="s">
        <v>24</v>
      </c>
      <c r="C120" s="100" t="s">
        <v>447</v>
      </c>
      <c r="D120" s="100" t="s">
        <v>448</v>
      </c>
      <c r="E120" s="100"/>
      <c r="F120" s="100"/>
      <c r="G120" s="100"/>
      <c r="H120" s="130"/>
      <c r="I120" s="77" t="s">
        <v>132</v>
      </c>
      <c r="J120" s="77" t="s">
        <v>61</v>
      </c>
      <c r="K120" s="77">
        <v>0</v>
      </c>
      <c r="L120" s="77" t="s">
        <v>449</v>
      </c>
      <c r="M120" s="77" t="s">
        <v>239</v>
      </c>
      <c r="N120" s="100">
        <v>1</v>
      </c>
      <c r="O120" s="109">
        <v>6.9444444444444447E-4</v>
      </c>
    </row>
    <row r="121" spans="1:15" ht="35.1" customHeight="1" thickTop="1" thickBot="1">
      <c r="A121" s="128"/>
      <c r="B121" s="106" t="s">
        <v>24</v>
      </c>
      <c r="C121" s="100" t="s">
        <v>450</v>
      </c>
      <c r="D121" s="100" t="s">
        <v>451</v>
      </c>
      <c r="E121" s="100"/>
      <c r="F121" s="100"/>
      <c r="G121" s="100"/>
      <c r="H121" s="130"/>
      <c r="I121" s="77" t="s">
        <v>132</v>
      </c>
      <c r="J121" s="77" t="s">
        <v>61</v>
      </c>
      <c r="K121" s="77">
        <v>0</v>
      </c>
      <c r="L121" s="77" t="s">
        <v>452</v>
      </c>
      <c r="M121" s="77" t="s">
        <v>239</v>
      </c>
      <c r="N121" s="100">
        <v>2</v>
      </c>
      <c r="O121" s="109">
        <v>1.0416666666666667E-3</v>
      </c>
    </row>
    <row r="122" spans="1:15" ht="35.1" customHeight="1" thickTop="1" thickBot="1">
      <c r="A122" s="128"/>
      <c r="B122" s="106" t="s">
        <v>24</v>
      </c>
      <c r="C122" s="100" t="s">
        <v>453</v>
      </c>
      <c r="D122" s="100" t="s">
        <v>454</v>
      </c>
      <c r="E122" s="100"/>
      <c r="F122" s="100"/>
      <c r="G122" s="100"/>
      <c r="H122" s="130"/>
      <c r="I122" s="77" t="s">
        <v>132</v>
      </c>
      <c r="J122" s="77" t="s">
        <v>61</v>
      </c>
      <c r="K122" s="77">
        <v>0</v>
      </c>
      <c r="L122" s="77" t="s">
        <v>455</v>
      </c>
      <c r="M122" s="77" t="s">
        <v>239</v>
      </c>
      <c r="N122" s="100">
        <v>1</v>
      </c>
      <c r="O122" s="109">
        <v>1.0416666666666667E-3</v>
      </c>
    </row>
    <row r="123" spans="1:15" ht="35.1" customHeight="1" thickTop="1" thickBot="1">
      <c r="A123" s="128"/>
      <c r="B123" s="106" t="s">
        <v>24</v>
      </c>
      <c r="C123" s="100" t="s">
        <v>456</v>
      </c>
      <c r="D123" s="100" t="s">
        <v>457</v>
      </c>
      <c r="E123" s="100"/>
      <c r="F123" s="100"/>
      <c r="G123" s="100"/>
      <c r="H123" s="130"/>
      <c r="I123" s="77" t="s">
        <v>132</v>
      </c>
      <c r="J123" s="77" t="s">
        <v>61</v>
      </c>
      <c r="K123" s="77">
        <v>0</v>
      </c>
      <c r="L123" s="77" t="s">
        <v>458</v>
      </c>
      <c r="M123" s="77" t="s">
        <v>147</v>
      </c>
      <c r="N123" s="100">
        <v>1</v>
      </c>
      <c r="O123" s="109">
        <v>1.0416666666666667E-3</v>
      </c>
    </row>
    <row r="124" spans="1:15" ht="35.1" customHeight="1" thickTop="1" thickBot="1">
      <c r="A124" s="128"/>
      <c r="B124" s="106" t="s">
        <v>24</v>
      </c>
      <c r="C124" s="100" t="s">
        <v>459</v>
      </c>
      <c r="D124" s="100" t="s">
        <v>460</v>
      </c>
      <c r="E124" s="100"/>
      <c r="F124" s="100"/>
      <c r="G124" s="100"/>
      <c r="H124" s="130"/>
      <c r="I124" s="77" t="s">
        <v>88</v>
      </c>
      <c r="J124" s="77" t="s">
        <v>61</v>
      </c>
      <c r="K124" s="77">
        <v>0</v>
      </c>
      <c r="L124" s="77" t="s">
        <v>461</v>
      </c>
      <c r="M124" s="77" t="s">
        <v>462</v>
      </c>
      <c r="N124" s="100">
        <v>2</v>
      </c>
      <c r="O124" s="109">
        <v>6.9444444444444447E-4</v>
      </c>
    </row>
    <row r="125" spans="1:15" ht="35.1" customHeight="1" thickTop="1" thickBot="1">
      <c r="A125" s="128"/>
      <c r="B125" s="106" t="s">
        <v>24</v>
      </c>
      <c r="C125" s="100" t="s">
        <v>463</v>
      </c>
      <c r="D125" s="100" t="s">
        <v>464</v>
      </c>
      <c r="E125" s="100"/>
      <c r="F125" s="100"/>
      <c r="G125" s="100"/>
      <c r="H125" s="130"/>
      <c r="I125" s="77" t="s">
        <v>88</v>
      </c>
      <c r="J125" s="77" t="s">
        <v>133</v>
      </c>
      <c r="K125" s="77">
        <v>0</v>
      </c>
      <c r="L125" s="77" t="s">
        <v>392</v>
      </c>
      <c r="M125" s="77" t="s">
        <v>107</v>
      </c>
      <c r="N125" s="100">
        <v>3</v>
      </c>
      <c r="O125" s="109">
        <v>1.736111111111111E-3</v>
      </c>
    </row>
    <row r="126" spans="1:15" ht="35.1" customHeight="1" thickTop="1" thickBot="1">
      <c r="A126" s="128"/>
      <c r="B126" s="147" t="s">
        <v>24</v>
      </c>
      <c r="C126" s="148" t="s">
        <v>465</v>
      </c>
      <c r="D126" s="148" t="s">
        <v>466</v>
      </c>
      <c r="E126" s="100"/>
      <c r="F126" s="100"/>
      <c r="G126" s="100"/>
      <c r="H126" s="130"/>
      <c r="I126" s="77" t="s">
        <v>60</v>
      </c>
      <c r="J126" s="77" t="s">
        <v>61</v>
      </c>
      <c r="K126" s="77">
        <v>0</v>
      </c>
      <c r="L126" s="77">
        <v>0</v>
      </c>
      <c r="M126" s="77" t="s">
        <v>147</v>
      </c>
      <c r="N126" s="100">
        <v>2</v>
      </c>
      <c r="O126" s="109">
        <v>6.9444444444444447E-4</v>
      </c>
    </row>
    <row r="127" spans="1:15" ht="35.1" customHeight="1" thickTop="1" thickBot="1">
      <c r="A127" s="117"/>
      <c r="B127" s="149" t="s">
        <v>24</v>
      </c>
      <c r="C127" s="150" t="s">
        <v>467</v>
      </c>
      <c r="D127" s="150" t="s">
        <v>468</v>
      </c>
      <c r="E127" s="112"/>
      <c r="F127" s="112"/>
      <c r="G127" s="112"/>
      <c r="H127" s="131"/>
      <c r="I127" s="77" t="s">
        <v>60</v>
      </c>
      <c r="J127" s="77" t="s">
        <v>61</v>
      </c>
      <c r="K127" s="77">
        <v>0</v>
      </c>
      <c r="L127" s="77" t="s">
        <v>469</v>
      </c>
      <c r="M127" s="77" t="s">
        <v>470</v>
      </c>
      <c r="N127" s="112">
        <v>2</v>
      </c>
      <c r="O127" s="116">
        <v>6.9444444444444447E-4</v>
      </c>
    </row>
    <row r="128" spans="1:15" ht="70.5" customHeight="1" thickTop="1" thickBot="1">
      <c r="A128" s="118"/>
      <c r="B128" s="119" t="s">
        <v>471</v>
      </c>
      <c r="C128" s="120" t="s">
        <v>472</v>
      </c>
      <c r="D128" s="120" t="s">
        <v>473</v>
      </c>
      <c r="E128" s="123"/>
      <c r="F128" s="123"/>
      <c r="G128" s="123"/>
      <c r="H128" s="143"/>
      <c r="I128" s="77" t="s">
        <v>88</v>
      </c>
      <c r="J128" s="77" t="s">
        <v>133</v>
      </c>
      <c r="K128" s="77">
        <v>0</v>
      </c>
      <c r="L128" s="77" t="s">
        <v>474</v>
      </c>
      <c r="M128" s="77" t="s">
        <v>475</v>
      </c>
      <c r="N128" s="123">
        <v>2</v>
      </c>
      <c r="O128" s="144">
        <v>2.0013888888888891</v>
      </c>
    </row>
    <row r="129" spans="2:15" ht="35.1" customHeight="1" thickTop="1" thickBot="1">
      <c r="B129" s="119"/>
      <c r="C129" s="125"/>
      <c r="D129" s="125"/>
      <c r="E129" s="125"/>
      <c r="F129" s="125"/>
      <c r="G129" s="125"/>
      <c r="H129" s="125"/>
      <c r="I129" s="120"/>
      <c r="J129" s="120"/>
      <c r="K129" s="125"/>
      <c r="L129" s="125"/>
      <c r="M129" s="125"/>
      <c r="N129" s="125"/>
      <c r="O129" s="151"/>
    </row>
    <row r="130" spans="2:15" ht="15.75" thickTop="1"/>
  </sheetData>
  <autoFilter ref="A2:O128" xr:uid="{BDC873B6-BD87-42BF-A896-28F9972148AE}"/>
  <phoneticPr fontId="7" type="noConversion"/>
  <conditionalFormatting sqref="C3:H3 C4:D4 C6:D22 D5 E4:H22 N26:O128 E26:H41 C26:D51 C64:D77 E43:H44 F71:H78 C53:D62 C52 C79:D88 C78 C90:D105 C107:D125 C106 E83:H128 F80:H82 F45:H67 E44:E82">
    <cfRule type="expression" dxfId="34" priority="31">
      <formula>AND(OR($F3="No",$F3=""), $E3= "Yes",$G3&lt;&gt;"",$H3&lt;&gt;"")</formula>
    </cfRule>
  </conditionalFormatting>
  <conditionalFormatting sqref="C5">
    <cfRule type="expression" dxfId="33" priority="19">
      <formula>AND(OR($E5="No",$E5=""), $D5= "Yes",$F5&lt;&gt;"",$G5&lt;&gt;"")</formula>
    </cfRule>
  </conditionalFormatting>
  <conditionalFormatting sqref="N3:O22">
    <cfRule type="expression" dxfId="32" priority="18">
      <formula>AND(OR($F3="No",$F3=""), $E3= "Yes",$G3&lt;&gt;"",$H3&lt;&gt;"")</formula>
    </cfRule>
  </conditionalFormatting>
  <conditionalFormatting sqref="N23:O25 C23:H24">
    <cfRule type="expression" dxfId="31" priority="15">
      <formula>AND(OR($E23="No",$E23=""), $D23= "Yes",$F23&lt;&gt;"",$G23&lt;&gt;"")</formula>
    </cfRule>
  </conditionalFormatting>
  <conditionalFormatting sqref="C25:D25">
    <cfRule type="expression" dxfId="30" priority="14">
      <formula>AND(OR($E25="No",$E25=""), $D25= "Yes",$F25&lt;&gt;"",$G25&lt;&gt;"")</formula>
    </cfRule>
  </conditionalFormatting>
  <conditionalFormatting sqref="F68:H70">
    <cfRule type="expression" dxfId="29" priority="12">
      <formula>AND(OR($E68="No",$E68=""), $F68= "Yes",$G68&lt;&gt;"",$H68&lt;&gt;"")</formula>
    </cfRule>
    <cfRule type="expression" dxfId="28" priority="13">
      <formula>AND(OR($F68="No",$F68=""), $E68= "Yes",$G68&lt;&gt;"",$H68&lt;&gt;"")</formula>
    </cfRule>
  </conditionalFormatting>
  <conditionalFormatting sqref="G79:H79">
    <cfRule type="expression" dxfId="27" priority="10">
      <formula>AND(OR($E79="No",$E79=""), $F79= "Yes",$G79&lt;&gt;"",$H79&lt;&gt;"")</formula>
    </cfRule>
    <cfRule type="expression" dxfId="26" priority="11">
      <formula>AND(OR($F79="No",$F79=""), $E79= "Yes",$G79&lt;&gt;"",$H79&lt;&gt;"")</formula>
    </cfRule>
  </conditionalFormatting>
  <conditionalFormatting sqref="F79">
    <cfRule type="expression" dxfId="25" priority="8">
      <formula>AND(OR($E79="No",$E79=""), $F79= "Yes",$G79&lt;&gt;"",$H79&lt;&gt;"")</formula>
    </cfRule>
    <cfRule type="expression" dxfId="24" priority="9">
      <formula>AND(OR($F79="No",$F79=""), $E79= "Yes",$G79&lt;&gt;"",$H79&lt;&gt;"")</formula>
    </cfRule>
  </conditionalFormatting>
  <conditionalFormatting sqref="I3:M128">
    <cfRule type="expression" dxfId="23" priority="6">
      <formula>AND(OR($E3="No",$E3=""), $D3= "Yes",$F3&lt;&gt;"",$G3&lt;&gt;"")</formula>
    </cfRule>
  </conditionalFormatting>
  <conditionalFormatting sqref="D52">
    <cfRule type="expression" dxfId="22" priority="5">
      <formula>AND(OR($F52="No",$F52=""), $E52= "Yes",$G52&lt;&gt;"",$H52&lt;&gt;"")</formula>
    </cfRule>
  </conditionalFormatting>
  <conditionalFormatting sqref="D78">
    <cfRule type="expression" dxfId="21" priority="4">
      <formula>AND(OR($F78="No",$F78=""), $E78= "Yes",$G78&lt;&gt;"",$H78&lt;&gt;"")</formula>
    </cfRule>
  </conditionalFormatting>
  <conditionalFormatting sqref="C89:D89">
    <cfRule type="expression" dxfId="20" priority="2">
      <formula>AND(OR($E89="No",$E89=""), $F89= "Yes",$G89&lt;&gt;"",$H89&lt;&gt;"")</formula>
    </cfRule>
    <cfRule type="expression" dxfId="19" priority="3">
      <formula>AND(OR($F89="No",$F89=""), $E89= "Yes",$G89&lt;&gt;"",$H89&lt;&gt;"")</formula>
    </cfRule>
  </conditionalFormatting>
  <conditionalFormatting sqref="D106">
    <cfRule type="expression" dxfId="18" priority="1">
      <formula>AND(OR($F106="No",$F106=""), $E106= "Yes",$G106&lt;&gt;"",$H106&lt;&gt;"")</formula>
    </cfRule>
  </conditionalFormatting>
  <dataValidations count="1">
    <dataValidation type="list" allowBlank="1" showInputMessage="1" showErrorMessage="1" sqref="K129:K1048576 E3:E22 E23:F24 K1:K2 E26:E41 F68:F70 F79 E43:E128" xr:uid="{6C641669-B91B-4649-92B5-E637A1260F09}">
      <formula1>"Yes, No"</formula1>
    </dataValidation>
  </dataValidations>
  <pageMargins left="0.25" right="0.25" top="0.75" bottom="0.75" header="0.3" footer="0.3"/>
  <pageSetup paperSize="8" scale="63"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15" sqref="D15"/>
    </sheetView>
  </sheetViews>
  <sheetFormatPr defaultRowHeight="15"/>
  <cols>
    <col min="3" max="3" width="36.21875" bestFit="1" customWidth="1"/>
    <col min="4" max="4" width="48.109375" customWidth="1"/>
    <col min="5" max="5" width="11.33203125" customWidth="1"/>
    <col min="6" max="6" width="9.6640625" customWidth="1"/>
    <col min="8" max="8" width="9.88671875" bestFit="1" customWidth="1"/>
  </cols>
  <sheetData>
    <row r="1" spans="1:9" s="2" customFormat="1" ht="20.25" customHeight="1" thickBot="1">
      <c r="B1" s="20"/>
      <c r="C1" s="4" t="s">
        <v>857</v>
      </c>
      <c r="D1" s="5"/>
      <c r="E1" s="5"/>
      <c r="F1" s="5"/>
      <c r="G1" s="5"/>
      <c r="H1" s="5"/>
      <c r="I1" s="5"/>
    </row>
    <row r="2" spans="1:9" s="6" customFormat="1" ht="78.75" customHeight="1" thickBot="1">
      <c r="A2" s="50" t="s">
        <v>41</v>
      </c>
      <c r="B2" s="50" t="s">
        <v>42</v>
      </c>
      <c r="C2" s="51" t="s">
        <v>43</v>
      </c>
      <c r="D2" s="52" t="s">
        <v>44</v>
      </c>
      <c r="E2" s="53" t="s">
        <v>23</v>
      </c>
      <c r="F2" s="53" t="s">
        <v>19</v>
      </c>
      <c r="G2" s="54" t="s">
        <v>45</v>
      </c>
      <c r="H2" s="55" t="s">
        <v>46</v>
      </c>
      <c r="I2" s="5"/>
    </row>
    <row r="3" spans="1:9" s="2" customFormat="1">
      <c r="A3" s="94">
        <v>6770</v>
      </c>
      <c r="B3" s="94" t="s">
        <v>13</v>
      </c>
      <c r="C3" s="95" t="s">
        <v>858</v>
      </c>
      <c r="D3" s="96" t="s">
        <v>858</v>
      </c>
      <c r="H3" s="17"/>
    </row>
    <row r="4" spans="1:9" s="2" customFormat="1">
      <c r="A4" s="94">
        <v>6800</v>
      </c>
      <c r="B4" s="94" t="s">
        <v>13</v>
      </c>
      <c r="C4" s="93" t="s">
        <v>859</v>
      </c>
      <c r="D4" s="97" t="s">
        <v>859</v>
      </c>
    </row>
    <row r="5" spans="1:9" s="2" customFormat="1">
      <c r="A5" s="94">
        <v>6790</v>
      </c>
      <c r="B5" s="94"/>
      <c r="C5" s="95" t="s">
        <v>860</v>
      </c>
      <c r="D5" s="96" t="s">
        <v>860</v>
      </c>
    </row>
    <row r="6" spans="1:9" s="2" customFormat="1">
      <c r="A6" s="94">
        <v>6820</v>
      </c>
      <c r="B6" s="94"/>
      <c r="C6" s="93" t="s">
        <v>861</v>
      </c>
      <c r="D6" s="97" t="s">
        <v>861</v>
      </c>
    </row>
    <row r="7" spans="1:9" s="2" customFormat="1">
      <c r="A7" s="94">
        <v>6830</v>
      </c>
      <c r="B7" s="94"/>
      <c r="C7" s="93" t="s">
        <v>862</v>
      </c>
      <c r="D7" s="97" t="s">
        <v>862</v>
      </c>
    </row>
    <row r="8" spans="1:9" s="2" customFormat="1">
      <c r="A8" s="94">
        <v>6850</v>
      </c>
      <c r="B8" s="94"/>
      <c r="C8" s="93" t="s">
        <v>863</v>
      </c>
      <c r="D8" s="97" t="s">
        <v>863</v>
      </c>
    </row>
    <row r="9" spans="1:9">
      <c r="B9" s="98"/>
    </row>
    <row r="10" spans="1:9">
      <c r="B10" s="98"/>
    </row>
    <row r="11" spans="1:9">
      <c r="B11" s="98"/>
    </row>
    <row r="12" spans="1:9">
      <c r="B12" s="99"/>
    </row>
    <row r="13" spans="1:9">
      <c r="B13" s="99"/>
    </row>
    <row r="14" spans="1:9">
      <c r="B14" s="98"/>
    </row>
    <row r="15" spans="1:9">
      <c r="B15" s="98"/>
    </row>
    <row r="16" spans="1:9">
      <c r="B16" s="99"/>
    </row>
    <row r="17" spans="2:2">
      <c r="B17" s="98"/>
    </row>
    <row r="18" spans="2:2">
      <c r="B18" s="98"/>
    </row>
    <row r="19" spans="2:2">
      <c r="B19" s="98"/>
    </row>
    <row r="20" spans="2:2">
      <c r="B20" s="98"/>
    </row>
    <row r="21" spans="2:2">
      <c r="B21" s="98"/>
    </row>
    <row r="22" spans="2:2">
      <c r="B22" s="98"/>
    </row>
    <row r="23" spans="2:2">
      <c r="B23" s="98"/>
    </row>
    <row r="24" spans="2:2">
      <c r="B24" s="98"/>
    </row>
    <row r="25" spans="2:2">
      <c r="B25" s="98"/>
    </row>
    <row r="26" spans="2:2">
      <c r="B26" s="98"/>
    </row>
    <row r="27" spans="2:2">
      <c r="B27" s="98"/>
    </row>
    <row r="28" spans="2:2">
      <c r="B28" s="98"/>
    </row>
    <row r="29" spans="2:2">
      <c r="B29" s="98"/>
    </row>
    <row r="30" spans="2:2">
      <c r="B30" s="99"/>
    </row>
    <row r="31" spans="2:2">
      <c r="B31" s="99"/>
    </row>
    <row r="32" spans="2:2">
      <c r="B32" s="99"/>
    </row>
    <row r="33" spans="2:2">
      <c r="B33" s="98"/>
    </row>
    <row r="34" spans="2:2">
      <c r="B34" s="98"/>
    </row>
    <row r="35" spans="2:2">
      <c r="B35" s="98"/>
    </row>
    <row r="36" spans="2:2">
      <c r="B36" s="98"/>
    </row>
    <row r="37" spans="2:2">
      <c r="B37" s="98"/>
    </row>
    <row r="38" spans="2:2">
      <c r="B38" s="98"/>
    </row>
    <row r="39" spans="2:2">
      <c r="B39" s="98"/>
    </row>
    <row r="40" spans="2:2">
      <c r="B40" s="98"/>
    </row>
    <row r="41" spans="2:2">
      <c r="B41" s="98"/>
    </row>
    <row r="42" spans="2:2">
      <c r="B42" s="98"/>
    </row>
    <row r="43" spans="2:2">
      <c r="B43" s="98"/>
    </row>
    <row r="44" spans="2:2">
      <c r="B44" s="99"/>
    </row>
    <row r="45" spans="2:2">
      <c r="B45" s="98"/>
    </row>
    <row r="46" spans="2:2">
      <c r="B46" s="98"/>
    </row>
    <row r="47" spans="2:2">
      <c r="B47" s="98"/>
    </row>
    <row r="48" spans="2:2">
      <c r="B48" s="99"/>
    </row>
    <row r="49" spans="2:2">
      <c r="B49" s="99"/>
    </row>
    <row r="50" spans="2:2">
      <c r="B50" s="99"/>
    </row>
    <row r="51" spans="2:2">
      <c r="B51" s="99"/>
    </row>
    <row r="52" spans="2:2">
      <c r="B52" s="99"/>
    </row>
    <row r="53" spans="2:2">
      <c r="B53" s="99"/>
    </row>
    <row r="54" spans="2:2">
      <c r="B54" s="99"/>
    </row>
    <row r="55" spans="2:2">
      <c r="B55" s="99"/>
    </row>
    <row r="56" spans="2:2">
      <c r="B56" s="99"/>
    </row>
    <row r="57" spans="2:2">
      <c r="B57" s="99"/>
    </row>
    <row r="58" spans="2:2">
      <c r="B58" s="99"/>
    </row>
    <row r="59" spans="2:2">
      <c r="B59" s="99"/>
    </row>
    <row r="60" spans="2:2">
      <c r="B60" s="99"/>
    </row>
    <row r="61" spans="2:2">
      <c r="B61" s="99"/>
    </row>
    <row r="62" spans="2:2">
      <c r="B62" s="99"/>
    </row>
    <row r="63" spans="2:2">
      <c r="B63" s="99"/>
    </row>
    <row r="64" spans="2:2">
      <c r="B64" s="99"/>
    </row>
    <row r="65" spans="2:2">
      <c r="B65" s="99"/>
    </row>
    <row r="66" spans="2:2">
      <c r="B66" s="99"/>
    </row>
    <row r="67" spans="2:2">
      <c r="B67" s="99"/>
    </row>
    <row r="68" spans="2:2">
      <c r="B68" s="99"/>
    </row>
    <row r="69" spans="2:2">
      <c r="B69" s="99"/>
    </row>
    <row r="70" spans="2:2">
      <c r="B70" s="98"/>
    </row>
    <row r="71" spans="2:2">
      <c r="B71" s="98"/>
    </row>
    <row r="72" spans="2:2">
      <c r="B72" s="98"/>
    </row>
    <row r="73" spans="2:2">
      <c r="B73" s="98"/>
    </row>
    <row r="74" spans="2:2">
      <c r="B74" s="98"/>
    </row>
    <row r="75" spans="2:2">
      <c r="B75" s="98"/>
    </row>
    <row r="76" spans="2:2">
      <c r="B76" s="98"/>
    </row>
    <row r="77" spans="2:2">
      <c r="B77" s="98"/>
    </row>
    <row r="78" spans="2:2">
      <c r="B78" s="98"/>
    </row>
    <row r="79" spans="2:2">
      <c r="B79" s="98"/>
    </row>
    <row r="80" spans="2:2">
      <c r="B80" s="98"/>
    </row>
    <row r="81" spans="2:2">
      <c r="B81" s="98"/>
    </row>
    <row r="82" spans="2:2">
      <c r="B82" s="98"/>
    </row>
    <row r="83" spans="2:2">
      <c r="B83" s="98"/>
    </row>
    <row r="84" spans="2:2">
      <c r="B84" s="98"/>
    </row>
    <row r="85" spans="2:2">
      <c r="B85" s="98"/>
    </row>
    <row r="86" spans="2:2">
      <c r="B86" s="98"/>
    </row>
    <row r="87" spans="2:2">
      <c r="B87" s="98"/>
    </row>
    <row r="88" spans="2:2">
      <c r="B88" s="98"/>
    </row>
    <row r="89" spans="2:2">
      <c r="B89" s="98"/>
    </row>
    <row r="90" spans="2:2">
      <c r="B90" s="98"/>
    </row>
    <row r="91" spans="2:2">
      <c r="B91" s="98"/>
    </row>
    <row r="92" spans="2:2">
      <c r="B92" s="98"/>
    </row>
    <row r="93" spans="2:2">
      <c r="B93" s="98"/>
    </row>
    <row r="94" spans="2:2">
      <c r="B94" s="98"/>
    </row>
  </sheetData>
  <autoFilter ref="A2:G2" xr:uid="{F2235893-BC3A-4B55-9412-E1C6071DB78D}"/>
  <conditionalFormatting sqref="B81">
    <cfRule type="expression" dxfId="17" priority="21">
      <formula>AND(OR($E81="No",$E81=""),$F81="Yes",$G81&lt;&gt;"")</formula>
    </cfRule>
    <cfRule type="expression" dxfId="16" priority="22">
      <formula>AND($E81="Yes",$F81="No",$G81&lt;&gt;"")</formula>
    </cfRule>
  </conditionalFormatting>
  <conditionalFormatting sqref="B82:B90">
    <cfRule type="expression" dxfId="15" priority="19">
      <formula>AND(OR($E82="No",$E82=""),$F82="Yes",$G82&lt;&gt;"")</formula>
    </cfRule>
    <cfRule type="expression" dxfId="14" priority="20">
      <formula>AND($E82="Yes",$F82="No",$G82&lt;&gt;"")</formula>
    </cfRule>
  </conditionalFormatting>
  <conditionalFormatting sqref="B91">
    <cfRule type="expression" dxfId="13" priority="17">
      <formula>AND(OR($E91="No",$E91=""),$F91="Yes",$G91&lt;&gt;"")</formula>
    </cfRule>
    <cfRule type="expression" dxfId="12" priority="18">
      <formula>AND($E91="Yes",$F91="No",$G91&lt;&gt;"")</formula>
    </cfRule>
  </conditionalFormatting>
  <conditionalFormatting sqref="B92">
    <cfRule type="expression" dxfId="11" priority="15">
      <formula>AND(OR($E92="No",$E92=""),$F92="Yes",$G92&lt;&gt;"")</formula>
    </cfRule>
    <cfRule type="expression" dxfId="10" priority="16">
      <formula>AND($E92="Yes",$F92="No",$G92&lt;&gt;"")</formula>
    </cfRule>
  </conditionalFormatting>
  <conditionalFormatting sqref="B93">
    <cfRule type="expression" dxfId="9" priority="13">
      <formula>AND(OR($E93="No",$E93=""),$F93="Yes",$G93&lt;&gt;"")</formula>
    </cfRule>
    <cfRule type="expression" dxfId="8" priority="14">
      <formula>AND($E93="Yes",$F93="No",$G93&lt;&gt;"")</formula>
    </cfRule>
  </conditionalFormatting>
  <conditionalFormatting sqref="B94">
    <cfRule type="expression" dxfId="7" priority="11">
      <formula>AND(OR($E94="No",$E94=""),$F94="Yes",$G94&lt;&gt;"")</formula>
    </cfRule>
    <cfRule type="expression" dxfId="6" priority="12">
      <formula>AND($E94="Yes",$F94="No",$G94&lt;&gt;"")</formula>
    </cfRule>
  </conditionalFormatting>
  <conditionalFormatting sqref="B51:B69">
    <cfRule type="expression" dxfId="5" priority="7">
      <formula>AND(OR($E51="No",$E51=""),$F51="Yes",$G51&lt;&gt;"")</formula>
    </cfRule>
    <cfRule type="expression" dxfId="4" priority="8">
      <formula>AND($E51="Yes",$F51="No",$G51&lt;&gt;"")</formula>
    </cfRule>
  </conditionalFormatting>
  <conditionalFormatting sqref="A2:D2">
    <cfRule type="expression" dxfId="3" priority="25">
      <formula>AND(OR(#REF!="No",#REF!=""), #REF!= "Yes",#REF!&lt;&gt;"",#REF!&lt;&gt;"")</formula>
    </cfRule>
    <cfRule type="expression" dxfId="2" priority="26">
      <formula>AND(OR(#REF!="No",#REF!=""), #REF!= "Yes",#REF!&lt;&gt;"",#REF!&lt;&gt;"")</formula>
    </cfRule>
  </conditionalFormatting>
  <conditionalFormatting sqref="A3:H8">
    <cfRule type="expression" dxfId="1" priority="1">
      <formula>AND(OR($E3="No",$E3=""), $F3= "Yes",$G3&lt;&gt;"",$H3&lt;&gt;"")</formula>
    </cfRule>
    <cfRule type="expression" dxfId="0"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270890B-8AB7-4E04-A6EE-F77CD441719E}"/>
</file>

<file path=customXml/itemProps2.xml><?xml version="1.0" encoding="utf-8"?>
<ds:datastoreItem xmlns:ds="http://schemas.openxmlformats.org/officeDocument/2006/customXml" ds:itemID="{35076B19-EDBD-46C2-A833-29E879AADD09}"/>
</file>

<file path=customXml/itemProps3.xml><?xml version="1.0" encoding="utf-8"?>
<ds:datastoreItem xmlns:ds="http://schemas.openxmlformats.org/officeDocument/2006/customXml" ds:itemID="{E54A8573-210B-47A2-B593-A8A41125B9E9}"/>
</file>

<file path=docProps/app.xml><?xml version="1.0" encoding="utf-8"?>
<Properties xmlns="http://schemas.openxmlformats.org/officeDocument/2006/extended-properties" xmlns:vt="http://schemas.openxmlformats.org/officeDocument/2006/docPropsVTypes">
  <Application>Microsoft Excel Online</Application>
  <Manager/>
  <Company>Transport for London</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William Paiva</cp:lastModifiedBy>
  <cp:revision/>
  <dcterms:created xsi:type="dcterms:W3CDTF">2022-11-22T16:28:06Z</dcterms:created>
  <dcterms:modified xsi:type="dcterms:W3CDTF">2025-11-28T00:03:44Z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