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3 - T32 - T62 - Program Lift (P1, P2, P3, P3.1, P3.2 P3.3 &amp; Catch Back))/T58 - (Units 96108 and 96095) - DeIcer/05 Work To Sheets TFOS/"/>
    </mc:Choice>
  </mc:AlternateContent>
  <xr:revisionPtr revIDLastSave="771" documentId="13_ncr:1_{013059E6-3B14-4472-B398-E2F91D23E619}" xr6:coauthVersionLast="47" xr6:coauthVersionMax="47" xr10:uidLastSave="{D3ECFA5E-E3DC-4E85-97F9-5F0021FD9C2D}"/>
  <bookViews>
    <workbookView xWindow="25080" yWindow="-120" windowWidth="25440" windowHeight="15390" xr2:uid="{2DAC63F3-FB17-4143-A7E7-F1A7BBA96BF5}"/>
  </bookViews>
  <sheets>
    <sheet name="Summary" sheetId="1" r:id="rId1"/>
    <sheet name="TaskPrint" sheetId="115" r:id="rId2"/>
    <sheet name="De-Icer DM" sheetId="2" r:id="rId3"/>
    <sheet name="De-Icer Trailer" sheetId="3" r:id="rId4"/>
    <sheet name="DE-Icer UNDM" sheetId="116" r:id="rId5"/>
    <sheet name="UNDM 4 Car" sheetId="8" r:id="rId6"/>
    <sheet name="Special Trailer 4 Car" sheetId="7" r:id="rId7"/>
    <sheet name="Trailer 4 Car" sheetId="6" r:id="rId8"/>
    <sheet name="DM 4 Car" sheetId="119" r:id="rId9"/>
    <sheet name="Train Tests" sheetId="9" r:id="rId10"/>
  </sheets>
  <definedNames>
    <definedName name="_xlnm._FilterDatabase" localSheetId="2" hidden="1">'De-Icer DM'!$A$2:$O$128</definedName>
    <definedName name="_xlnm._FilterDatabase" localSheetId="3" hidden="1">'De-Icer Trailer'!$A$2:$O$65</definedName>
    <definedName name="_xlnm._FilterDatabase" localSheetId="4" hidden="1">'DE-Icer UNDM'!$B$2:$J$88</definedName>
    <definedName name="_xlnm._FilterDatabase" localSheetId="8" hidden="1">'DM 4 Car'!$B$2:$L$128</definedName>
    <definedName name="_xlnm._FilterDatabase" localSheetId="6" hidden="1">'Special Trailer 4 Car'!$A$2:$O$41</definedName>
    <definedName name="_xlnm._FilterDatabase" localSheetId="7" hidden="1">'Trailer 4 Car'!$B$2:$L$59</definedName>
    <definedName name="_xlnm._FilterDatabase" localSheetId="9" hidden="1">'Train Tests'!$A$2:$G$2</definedName>
    <definedName name="_xlnm._FilterDatabase" localSheetId="5" hidden="1">'UNDM 4 Car'!$A$2:$O$88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2" i="6" l="1"/>
  <c r="G42" i="6"/>
  <c r="H42" i="6"/>
  <c r="E42" i="6"/>
  <c r="F34" i="7"/>
  <c r="G34" i="7"/>
  <c r="H34" i="7"/>
  <c r="F35" i="7"/>
  <c r="G35" i="7"/>
  <c r="H35" i="7"/>
  <c r="E35" i="7"/>
  <c r="E34" i="7"/>
  <c r="F43" i="3"/>
  <c r="G43" i="3"/>
  <c r="H43" i="3"/>
  <c r="E43" i="3"/>
  <c r="F41" i="3"/>
  <c r="G41" i="3"/>
  <c r="H41" i="3"/>
  <c r="E41" i="3"/>
  <c r="E24" i="1"/>
  <c r="E23" i="1"/>
  <c r="E22" i="1" a="1"/>
  <c r="E22" i="1"/>
  <c r="E21" i="1"/>
  <c r="D24" i="1"/>
  <c r="D23" i="1"/>
  <c r="D22" i="1" a="1"/>
  <c r="D22" i="1"/>
  <c r="D21" i="1"/>
  <c r="F9" i="1"/>
  <c r="F8" i="1"/>
  <c r="F7" i="1"/>
  <c r="F6" i="1"/>
  <c r="F5" i="1"/>
  <c r="G9" i="1" l="1"/>
  <c r="G8" i="1"/>
  <c r="G7" i="1"/>
  <c r="G6" i="1"/>
  <c r="G5" i="1"/>
  <c r="H23" i="1"/>
  <c r="H24" i="1"/>
  <c r="K24" i="1"/>
  <c r="K23" i="1"/>
  <c r="K22" i="1" a="1"/>
  <c r="K22" i="1" s="1"/>
  <c r="J24" i="1"/>
  <c r="J23" i="1"/>
  <c r="J22" i="1" a="1"/>
  <c r="J22" i="1" s="1"/>
  <c r="G24" i="1"/>
  <c r="G23" i="1"/>
  <c r="G22" i="1" a="1"/>
  <c r="G22" i="1" s="1"/>
  <c r="F24" i="1"/>
  <c r="F23" i="1"/>
  <c r="F22" i="1" a="1"/>
  <c r="F22" i="1" s="1"/>
  <c r="H22" i="1" l="1" a="1"/>
  <c r="H22" i="1" s="1"/>
  <c r="C24" i="1"/>
  <c r="C23" i="1"/>
  <c r="C22" i="1" a="1"/>
  <c r="C22" i="1" s="1"/>
  <c r="B24" i="1"/>
  <c r="B23" i="1"/>
  <c r="B22" i="1" a="1"/>
  <c r="B22" i="1" s="1"/>
  <c r="K21" i="1"/>
  <c r="J21" i="1"/>
  <c r="H21" i="1"/>
  <c r="G21" i="1"/>
  <c r="F21" i="1"/>
  <c r="C21" i="1"/>
  <c r="B21" i="1"/>
  <c r="L21" i="1"/>
  <c r="H6" i="1"/>
  <c r="H5" i="1"/>
  <c r="B25" i="1" l="1"/>
  <c r="H7" i="1"/>
  <c r="H8" i="1"/>
  <c r="H9" i="1"/>
  <c r="K25" i="1" l="1"/>
  <c r="F25" i="1"/>
  <c r="C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tc={D403C6AB-8919-4164-AFD7-30CCF8E635B5}</author>
  </authors>
  <commentList>
    <comment ref="C41" authorId="0" shapeId="0" xr:uid="{D403C6AB-8919-4164-AFD7-30CCF8E635B5}">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<sst xmlns="http://schemas.openxmlformats.org/spreadsheetml/2006/main" count="5862" uniqueCount="816">
  <si>
    <t>Overhaul Train (De-Icer)</t>
  </si>
  <si>
    <t>Task Search</t>
  </si>
  <si>
    <t>Task in Worksheet</t>
  </si>
  <si>
    <t>Summary, TaskPrint, DM 3 Car, Trailer 3 Car, UNDM 3 Car, UNDM 4 car, Special Trailer 4 Car, Trailer 4 Car, DM 4 Car, Train Tests</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</si>
  <si>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</si>
  <si>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</si>
  <si>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</si>
  <si>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</si>
  <si>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</si>
  <si>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</si>
  <si>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</si>
  <si>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</si>
  <si>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</si>
  <si>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</si>
  <si>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</si>
  <si>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</si>
  <si>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</si>
  <si>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</si>
  <si>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</si>
  <si>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</si>
  <si>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</si>
  <si>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</si>
  <si>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</si>
  <si>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</si>
  <si>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</si>
  <si>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</si>
  <si>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</si>
  <si>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De-Icer DM</t>
  </si>
  <si>
    <t>De-Icer Trailer</t>
  </si>
  <si>
    <t>De-Icer UNDM</t>
  </si>
  <si>
    <t>DM 4 Car</t>
  </si>
  <si>
    <t>Trailer 4 Car</t>
  </si>
  <si>
    <t>Special Trailer 4 Car</t>
  </si>
  <si>
    <t>UNDM 4 Car</t>
  </si>
  <si>
    <t>Final Tests</t>
  </si>
  <si>
    <t>Total</t>
  </si>
  <si>
    <t>Outstanding</t>
  </si>
  <si>
    <t>Unit No: 96</t>
  </si>
  <si>
    <t>Job Task - Task #</t>
  </si>
  <si>
    <t>Phase</t>
  </si>
  <si>
    <t>Task</t>
  </si>
  <si>
    <t>Description</t>
  </si>
  <si>
    <t>Completed By</t>
  </si>
  <si>
    <t>Date</t>
  </si>
  <si>
    <t>unit</t>
  </si>
  <si>
    <t>Unit No: 96108</t>
  </si>
  <si>
    <t>Overhaul/IROC</t>
  </si>
  <si>
    <t>Position</t>
  </si>
  <si>
    <t>In Scope</t>
  </si>
  <si>
    <t>WI Reference</t>
  </si>
  <si>
    <t>Comments</t>
  </si>
  <si>
    <t>Number Of People</t>
  </si>
  <si>
    <t>Total Hours</t>
  </si>
  <si>
    <t>DM UNDERFRAME REMOVE/REFIT MORS SMITT RELAYS</t>
  </si>
  <si>
    <t>REPLACE 26 RELAYS</t>
  </si>
  <si>
    <t>Pull Forward</t>
  </si>
  <si>
    <t>REPLACE</t>
  </si>
  <si>
    <t>ATM</t>
  </si>
  <si>
    <t>JHOPL-WI-17-184
JHOPL-WI-17-135</t>
  </si>
  <si>
    <t>MORS SMITT</t>
  </si>
  <si>
    <t>DM CAB DRIVERS SIDE REMOVE/REFIT EMERGENCY LIGHT INVERTER</t>
  </si>
  <si>
    <t>REPLACE 1 EMERGENCY LIGHT INVERTER</t>
  </si>
  <si>
    <t>JHOPL-WI-17-057</t>
  </si>
  <si>
    <t>LPA</t>
  </si>
  <si>
    <t>DM CAB NON DRIVERS SIDE REMOVE/REFIT EMERGENCY LIGHT INVERTER</t>
  </si>
  <si>
    <t>DM  SALOON REMOVE/REFIT EMERGENCY LIGHT INVERTERS</t>
  </si>
  <si>
    <t>REPLACE 5 EMERGENCY LIGHT INVERTERS</t>
  </si>
  <si>
    <t>DM CAB NON DRIVERS SIDE REMOVE/REFIT SIEMENS RELAYS</t>
  </si>
  <si>
    <t>REPLACE 8 RELAYS</t>
  </si>
  <si>
    <t>JHOPL-WI-17-185</t>
  </si>
  <si>
    <t>SIEMENS</t>
  </si>
  <si>
    <t>DM CAB DRIVERS SIDE REMOVE/REFIT SIEMENS RELAYS</t>
  </si>
  <si>
    <t>REPLACE 2  RELAYS</t>
  </si>
  <si>
    <t>DM CAR REMOVE/REFIT 4 POLE CIRCUIT BREAKER</t>
  </si>
  <si>
    <t>REPLACE 4 POLE CIRCUIT BREAKER</t>
  </si>
  <si>
    <t>JHOPL-WI-17-059</t>
  </si>
  <si>
    <t>DM CAB DRIVERS SIDE REMOVE/REFIT ROTARY SWITCHES</t>
  </si>
  <si>
    <t>REPLACE 8 ROTARY SWITCHES</t>
  </si>
  <si>
    <t>JHOPL-WI-17-156</t>
  </si>
  <si>
    <t>DM CAB NON DRIVERS SIDE REMOVE/REFIT ROTARY SWITCHES</t>
  </si>
  <si>
    <t>REPLACE 2 ROTARY SWITCH</t>
  </si>
  <si>
    <t>JHOPL-WI-17-066</t>
  </si>
  <si>
    <t>DM CAR REMOVE/REFIT AUXILIARY SUPPLY BREAKER (ASB)</t>
  </si>
  <si>
    <t>IROC - AUXILIARY SUPPLY BREAKER</t>
  </si>
  <si>
    <t>IROC</t>
  </si>
  <si>
    <t>JHOPL-WI-17-070</t>
  </si>
  <si>
    <t>DM CAB NON DRIVERS SIDE REMOVE/REFIT MCBS</t>
  </si>
  <si>
    <t>REPLACE 30 MCBS</t>
  </si>
  <si>
    <t>JHOPL-WI-17-074</t>
  </si>
  <si>
    <t>DM  SALOON REMOVE/REFIT MCBS</t>
  </si>
  <si>
    <t>REPLACE 24 MCBS</t>
  </si>
  <si>
    <t>DM CAB DRIVERS SIDE REMOVE/REFIT MORS SMITT RELAY</t>
  </si>
  <si>
    <t>REPLACE 4 RELAYS</t>
  </si>
  <si>
    <t>JHOPL-WI-17-135</t>
  </si>
  <si>
    <t>DM CAB NON DRIVERS SIDE REMOVE/REFIT MORS SMITT RELAYS</t>
  </si>
  <si>
    <t>REPLACE 6 RELAYS</t>
  </si>
  <si>
    <t>DM  SALOON REMOVE/REFIT MORS SMITT RELAYS</t>
  </si>
  <si>
    <t>REPLACE 3 RELAYS</t>
  </si>
  <si>
    <t>DM - TRACTION CUT-OUT SWITCH</t>
  </si>
  <si>
    <t>IROC - TRACTION CUT-OUT SWITCH</t>
  </si>
  <si>
    <t>JHOPL-WI-11-018</t>
  </si>
  <si>
    <t>JHOPL</t>
  </si>
  <si>
    <t>DM - SHED SUPPLY SWITCH AND RECEPTACLE ASSEMBLY</t>
  </si>
  <si>
    <t xml:space="preserve">IROC -  SHED RECEPTACLE AND SWITCH </t>
  </si>
  <si>
    <t>JHOPL-WI-11-141</t>
  </si>
  <si>
    <t>DM - CAR REMOVE/REFIT SHOEGEAR VOLTAGE &amp; REVERSE VOLTAGE RELAY</t>
  </si>
  <si>
    <t>REPLACE -  SHOEGEAR VOLTAGE &amp; REVERSE VOLTAGE RELAY</t>
  </si>
  <si>
    <t>DM - REMOVE/REFIT CURRENT LIMITING INDUCTOR</t>
  </si>
  <si>
    <t>IROC - CURRENT LIMITING INDUCTOR</t>
  </si>
  <si>
    <t>JHOPL-WI-17-068</t>
  </si>
  <si>
    <t>DM - CURRENT LINK FILTER INDUCTOR (AUXILIARY LINK FILTER INDUCTOR)</t>
  </si>
  <si>
    <t>IROC - AUXILIARY LINK FILTER INDUCTOR</t>
  </si>
  <si>
    <t>JHOPL-WI-17-069</t>
  </si>
  <si>
    <t>DM - CAR REMOVE/REFIT LINE FILTER INDUCTOR</t>
  </si>
  <si>
    <t>IROC - LINE FILTER INDUCTOR</t>
  </si>
  <si>
    <t>AOO, CP</t>
  </si>
  <si>
    <t>JHOPL-WI-11-024</t>
  </si>
  <si>
    <t>ALSTOM</t>
  </si>
  <si>
    <t>DM - CONTROL SUPPLY RESISTOR (CSZ)</t>
  </si>
  <si>
    <t>IROC - CONTROL SUPPLY RESISTOR (CSZ)</t>
  </si>
  <si>
    <t>JHOPL-WI-17-071</t>
  </si>
  <si>
    <t>DM - AUXILIARY STEP-DOWN CHOPPER SNUBBER RESISTOR</t>
  </si>
  <si>
    <t>IROC - STEP-DOWN CHOPPER SNUBBER RESISITOR</t>
  </si>
  <si>
    <t>TFOS</t>
  </si>
  <si>
    <t>DM CAR REMOVE BOGIE A</t>
  </si>
  <si>
    <t>REMOVE BOGIE A (TYPE A)</t>
  </si>
  <si>
    <t>Blue Team</t>
  </si>
  <si>
    <t>OH</t>
  </si>
  <si>
    <t>TM</t>
  </si>
  <si>
    <t>JHOPL-WI-14-188</t>
  </si>
  <si>
    <t>DM CAR REFIT BOGIE A</t>
  </si>
  <si>
    <t>REFIT BOGIE A (TYPE A)</t>
  </si>
  <si>
    <t>Red Team</t>
  </si>
  <si>
    <t>DM CAR REMOVE BOGIE D</t>
  </si>
  <si>
    <t>REMOVE BOGIE D (TYPE A)</t>
  </si>
  <si>
    <t>DM CAR REFIT BOGIE D</t>
  </si>
  <si>
    <t>REFIT BOGIE D (TYPE A)</t>
  </si>
  <si>
    <t>DM UNDERFRAME REMOVE/REFIT LINE BREAKER CONTACTOR 1 AND 3</t>
  </si>
  <si>
    <t>REPLACE CONTACTOR</t>
  </si>
  <si>
    <t>BP, RN, RB, KM, JL</t>
  </si>
  <si>
    <t>JHOPL-WI-11-129</t>
  </si>
  <si>
    <t>DM UNDERFRAME REMOVE/REFIT LINE BREAKER CONTACTOR 2 AND 4</t>
  </si>
  <si>
    <t>DM CAR REMOVE/REFIT FILTER HARD CROWBAR THYRISTOR ASSEMBLY</t>
  </si>
  <si>
    <t>REPLACE FILTER HARD CROWBAR THYRISTOR ASSEMBLY</t>
  </si>
  <si>
    <t>JHOPL-WI-11-006</t>
  </si>
  <si>
    <t>DM CAR REMOVE/REFIT POWER SUPPLY UNIT</t>
  </si>
  <si>
    <t>REPLACE POWER SUPPLY MODULE</t>
  </si>
  <si>
    <t>JHOPL-WI-11-008</t>
  </si>
  <si>
    <t>DM UNDERFRAME LOCATION 412 REMOVE/REFIT AUXILIARY CONVERTER ELECTRONIC MODULE</t>
  </si>
  <si>
    <t>REPLACE AUXILIARY CONVERTER ELECTRONIC MODULE</t>
  </si>
  <si>
    <t>JHOPL-WI-17-150</t>
  </si>
  <si>
    <t>DM CAR REMOVE/REFIT SERVICE BRAKE DROP HOSE A</t>
  </si>
  <si>
    <t>REPLACE 2 SERVICE BRAKE DROP HOSES</t>
  </si>
  <si>
    <t>JHOPL-WI-19-162</t>
  </si>
  <si>
    <t>TIDYCO</t>
  </si>
  <si>
    <t>DM CAR REMOVE/REFIT PARKING BRAKE DROP HOSE A</t>
  </si>
  <si>
    <t>REPLACE PARKING BRAKE DROP HOSE</t>
  </si>
  <si>
    <t>DM CAR REMOVE/REFIT SLEETBRUSH DROP HOSE (POSITIVE)</t>
  </si>
  <si>
    <t>REPLACE 2 SLEETBRUSH DROP HOSES (POSITIVE)</t>
  </si>
  <si>
    <t>JHOPL-WI-19-160</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</si>
  <si>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</si>
  <si>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</si>
  <si>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</si>
  <si>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</si>
  <si>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</si>
  <si>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</si>
  <si>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</si>
  <si>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</si>
  <si>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Blue Team ATMs</t>
  </si>
  <si>
    <t>JHOPL-WI-11-002</t>
  </si>
  <si>
    <t>DM -  REMOVE/REFIT LINE CONTACTOR AIR SUPPLY</t>
  </si>
  <si>
    <t>REPLACE LINE CONTACTOR AIR SUPPLY</t>
  </si>
  <si>
    <t>JHOPL-WI-11-191</t>
  </si>
  <si>
    <t>DM CAR REMOVE/REFIT UNCOUPLER SWITCH DM</t>
  </si>
  <si>
    <t>REPLACE UNCOUPLER SWITCH</t>
  </si>
  <si>
    <t>JHOPL-WI-15-147</t>
  </si>
  <si>
    <t>WABTEC</t>
  </si>
  <si>
    <t xml:space="preserve">DM CAR REMOVE/REFIT PROPULSION INVERTER MODULE </t>
  </si>
  <si>
    <t>REPLACE 3 PROPULSION INVERTER MODULES</t>
  </si>
  <si>
    <t>AR, JJT, CB. RN, RB, BP</t>
  </si>
  <si>
    <t>JHOPL-WI-11-132</t>
  </si>
  <si>
    <t>DM CAR REMOVE/REFIT LINE FILTER CAPACITOR TRAY 10 CAP</t>
  </si>
  <si>
    <t>REPLACE LINE FILTER CAPACITOR TRAY10 CAP</t>
  </si>
  <si>
    <t>BP, RN, RB</t>
  </si>
  <si>
    <t>JHOPL-WI-11-010</t>
  </si>
  <si>
    <t xml:space="preserve">DM CAR REMOVE/REFIT LINE FILTER CAPACITOR TRAY 7 CAP - ALFK </t>
  </si>
  <si>
    <t>REPLACE LINE FILTER CAPACITOR TRAY 7 CAP ALFK</t>
  </si>
  <si>
    <t>JHOPL-WI-11-011</t>
  </si>
  <si>
    <t>DM CAR REMOVE/REFIT AUXILIARY INVERTER AND RHEOSTATIC BRAKE MODULE</t>
  </si>
  <si>
    <t>REPLACE AUXILIARY INVERTER AND RHEOSTATIC BRAKE MODULE</t>
  </si>
  <si>
    <t>JHOPL-WI-17-149</t>
  </si>
  <si>
    <t>DM CAB REMOVE/REFIT TRACTION BRAKE CONTROLLER</t>
  </si>
  <si>
    <t>REPLACE TRACTION BRAKE CONTROLLER</t>
  </si>
  <si>
    <t>ASZ ,JB, AM</t>
  </si>
  <si>
    <t>JHOPL-WI-11-136</t>
  </si>
  <si>
    <t>KBRS</t>
  </si>
  <si>
    <t>DM SALOON REMOVE/REFIT BRAKE CYLINDER PRESSURE SWITCH 1 (FOR ALL CARS)</t>
  </si>
  <si>
    <t>REPLACE BRAKE CYLINDER PRESSURE SWITCH</t>
  </si>
  <si>
    <t>KA, ABS</t>
  </si>
  <si>
    <t>JHOPL-WI-10-122</t>
  </si>
  <si>
    <t>DM CAR REMOVE/REFIT BRAKE CYLINDER PRESSURE SWITCH 2 (FOR DM/UNDM)</t>
  </si>
  <si>
    <t>DM CAR REMOVE/REFIT ½" VENTED BALL VALVE (VLCV / SYSTEM DRAIN / AUTO DRAIN / WHISLTE)</t>
  </si>
  <si>
    <t>ASZ , JB</t>
  </si>
  <si>
    <t>JHOPL-WI-19-080
JHOPL-WI-19-102
JHOPL-WI-19-105</t>
  </si>
  <si>
    <t>DM UNDERFRAME REMOVE/REFIT VARIABLE LOAD VALVE - DM/UNDM CAR</t>
  </si>
  <si>
    <t>REPLACE VARIABLE  LOAD VALVE</t>
  </si>
  <si>
    <t>JB</t>
  </si>
  <si>
    <t>JHOPL-WI-10-126</t>
  </si>
  <si>
    <t>DM UNDERFRAME CAR REMOVE/REFIT BRAKE RELEASE VALVE</t>
  </si>
  <si>
    <t>REPLACE BRAKE RELEASE VALVE</t>
  </si>
  <si>
    <t>LVN, JB</t>
  </si>
  <si>
    <t>JHOPL-WI-10-124</t>
  </si>
  <si>
    <t>DM SALOON REMOVE/REFIT BRAKE CYLINDER SALOON GAUGES</t>
  </si>
  <si>
    <t>REPLACE BRAKE SALOON GAUGE</t>
  </si>
  <si>
    <t>MJ</t>
  </si>
  <si>
    <t>JHOPL-WI-10-001</t>
  </si>
  <si>
    <t>DM CAR REMOVE/REFIT CLOSED LOOP ANALOGUE UNIT (CLAU) - DM/UNDM CAR</t>
  </si>
  <si>
    <t>REPLACE CLAU</t>
  </si>
  <si>
    <t>DM CAR REMOVE/REFIT PNEUMATIC BRAKE DRIVER</t>
  </si>
  <si>
    <t>REPLACE PNEUMATIC BRAKE DRIVER</t>
  </si>
  <si>
    <t>JT, CC, UZ</t>
  </si>
  <si>
    <t>JHOPL-WI-10-125</t>
  </si>
  <si>
    <t>DM CAR REMOVE/REFIT ¾" GANGED VENTED COCKS (BCIC/PBIC)</t>
  </si>
  <si>
    <t>REPLACE 3/4" GANGED VENTED COCKS</t>
  </si>
  <si>
    <t>AS</t>
  </si>
  <si>
    <t>JHOPL-WI-19-082</t>
  </si>
  <si>
    <t>REW</t>
  </si>
  <si>
    <t>DM CAR REMOVE/REFIT ENCODER UNIT</t>
  </si>
  <si>
    <t>REPLACE ENCODER UNIT</t>
  </si>
  <si>
    <t>KA, CP</t>
  </si>
  <si>
    <t>JHOPL-WI-10-128</t>
  </si>
  <si>
    <t xml:space="preserve">DM UNDERFRAME REMOVE/REFIT WSP DUMP VALVE </t>
  </si>
  <si>
    <t>REPLACE 4 WSP DUMP VALVES</t>
  </si>
  <si>
    <t>White Team</t>
  </si>
  <si>
    <t>JHOPL-WI-19-163</t>
  </si>
  <si>
    <t>DM CAR REMOVE/REFIT WHISTLE - TYPE 3C (ENHANCED)</t>
  </si>
  <si>
    <t>REPLACE WHISTLE (TYPE 3C)</t>
  </si>
  <si>
    <t>JHOPL-WI-19-118</t>
  </si>
  <si>
    <t>DM CAR REMOVE/REFIT 5/3 WHISTLE SPOOL VALVE DM</t>
  </si>
  <si>
    <t>REPLACE 5/3 WHISTLE SPOOL VALVE</t>
  </si>
  <si>
    <t>JD</t>
  </si>
  <si>
    <t>JHOPL-WI-19-083</t>
  </si>
  <si>
    <t>DM CAR REMOVE/REFIT WHISTLE CONTROL LEVER VALVE DM DRIVER'S SIDE.</t>
  </si>
  <si>
    <t>UZ</t>
  </si>
  <si>
    <t>JHOPL-WI-19-084</t>
  </si>
  <si>
    <t>DM CAR REMOVE/REFIT WHISTLE CONTROL LEVER VALVE DM INSTRUCTOR  SIDE</t>
  </si>
  <si>
    <t>REPLACE WHISTLE CONTROL LEVER VALVE</t>
  </si>
  <si>
    <t>PM</t>
  </si>
  <si>
    <t>DM CAR REMOVE/REFIT WHISTLE-OPERATED PRESSURE SWITCH DM</t>
  </si>
  <si>
    <t>REPLACE WHISTLE  OPERATED PRESSURE SWITCH</t>
  </si>
  <si>
    <t>JHOPL-WI-19-164</t>
  </si>
  <si>
    <t>DM CAR REMOVE/REFIT TRACTION SUPPLY PRESSURE REGULATOR</t>
  </si>
  <si>
    <t>REPLACE TRACTION  SUPPLY PRESSURE REGULATOR</t>
  </si>
  <si>
    <t>MAA</t>
  </si>
  <si>
    <t>JHOPL-WI-19-167</t>
  </si>
  <si>
    <t>DM CAR REMOVE/REFIT DOOR AIR SUPPLY PRESSURE REGULATOR (SUPPLIED WITH O-RINGS)</t>
  </si>
  <si>
    <t>REPLACE DOOR AIR SUPPLY PRESSURE REGULATOR</t>
  </si>
  <si>
    <t>GT</t>
  </si>
  <si>
    <t>JHOPL-WI-19-116</t>
  </si>
  <si>
    <t>DM CAR REMOVE/REFIT LOW MAIN LINE PRESSURE SWITCH</t>
  </si>
  <si>
    <t>REPLACE 2 LOW MAIN LINE PRESSURE SWITCHES</t>
  </si>
  <si>
    <t>GD</t>
  </si>
  <si>
    <t>JHOPL-WI-19-172</t>
  </si>
  <si>
    <t>DM CAR REMOVE/REFIT MAINLINE PRESSURE SWITCH EP TEST VALVE</t>
  </si>
  <si>
    <t>REPLACE 2 MAINLINE PRESSURE SWITCH EP TEST VALVE</t>
  </si>
  <si>
    <t>JHOPL-WI-19-098</t>
  </si>
  <si>
    <t>DM CAR REMOVE/REFIT COUPLING-TEST POINT-QUICK RELEASE</t>
  </si>
  <si>
    <t>IROC - 3 COUPLING-TEST POINT-QUICK RELEASE</t>
  </si>
  <si>
    <t xml:space="preserve">ASZ , JB </t>
  </si>
  <si>
    <t>JHOPL-WI-19-094</t>
  </si>
  <si>
    <t>DM CAR REMOVE/REFIT MAINLINE CAB GAUGE</t>
  </si>
  <si>
    <t>IROC - MAINLINE CAB GAUGE</t>
  </si>
  <si>
    <t>JHOPL-WI-19-095</t>
  </si>
  <si>
    <t>DM CAR REMOVE/REFIT PRESSURE GAUGE (DOOR/TRACTION SUPP)</t>
  </si>
  <si>
    <t>IROC 2 PRESSURE GAUGES (DOOR/TRACTION SUPPLY)</t>
  </si>
  <si>
    <t>JHOPL-WI-19-120
JHOPL-WI-19-121</t>
  </si>
  <si>
    <t>DM CAR REMOVE/REFIT AIR FILTER WITH AUTOMATIC DRAIN</t>
  </si>
  <si>
    <t>REPLACE AIR FILTER WITH AUTOMATIC DRAIN</t>
  </si>
  <si>
    <t>JHOPL-WI-19-117</t>
  </si>
  <si>
    <t>DM CAR REMOVE/REFIT BSR CHECK VALVE (SUPPLIED WITH O-RINGS)</t>
  </si>
  <si>
    <t>REPLACE BSR CHECK VALVE</t>
  </si>
  <si>
    <t>SA, ASZ</t>
  </si>
  <si>
    <t>JHOPL-WI-19-097</t>
  </si>
  <si>
    <t>DM CAR REMOVE/REFIT ½" CHECK VALVE (SHOEGEAR AND LINEBREAKER AUX), SUPPLIED WITH O-RINGS</t>
  </si>
  <si>
    <t>REPLACE 1/2" CHECK VALVE (SHOEGEAR AND LINEBREAKER AUX)</t>
  </si>
  <si>
    <t>JHOPL-WI-19-099</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</si>
  <si>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</si>
  <si>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</si>
  <si>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</si>
  <si>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</si>
  <si>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</si>
  <si>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</si>
  <si>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JHOPL-WI-19-100</t>
  </si>
  <si>
    <t>DM CAR REMOVE/REFIT ½" VENTED BALL VALVE (VLCV / SYSTEM DRAIN / WHISTLE)</t>
  </si>
  <si>
    <t>DM CAR REMOVE/REFIT ½" VENTED BALL VALVE (FLANGE MOUNTED)</t>
  </si>
  <si>
    <t>REPLACE 6 FLANGE MOUNTED VENTED BALL VALVES</t>
  </si>
  <si>
    <t>DK</t>
  </si>
  <si>
    <t>JHOPL-WI-19-103</t>
  </si>
  <si>
    <t>DM CAR REMOVE/REFIT AIR FLOW CUT-OFF VALVE BOGIE A</t>
  </si>
  <si>
    <t>REPLACE AIR FLOW CUT-OFF VALVE BOGIE A</t>
  </si>
  <si>
    <t>JHOPL-WI-19-106</t>
  </si>
  <si>
    <t>DM CAR REMOVE/REFIT SLEET BRUSH CONTROL VALVE</t>
  </si>
  <si>
    <t>REPLACE SLEET BRUSH CONTROL VALVE</t>
  </si>
  <si>
    <t>CC</t>
  </si>
  <si>
    <t>JHOPL-WI-19-107</t>
  </si>
  <si>
    <t>DM CAR REMOVE/REFIT AIR FLOW CUT-OFF VALVE BOGIE D</t>
  </si>
  <si>
    <t>REPLACE AIR FLOW CUT-OFF VALVE BOGIE D</t>
  </si>
  <si>
    <t>DM CAR REMOVE/REFIT CURRENT BALANCE DETECTOR RELAY (CBR)</t>
  </si>
  <si>
    <t>REPLACE - CURRENT BALANCE DETECTOR RELAY</t>
  </si>
  <si>
    <t>KM, JL</t>
  </si>
  <si>
    <t>JHOPL-WI-11-131</t>
  </si>
  <si>
    <t>DM - CAR REMOVE/REFIT RHEOSTATIC BRAKE RESISTOR FAN ASSEMBLY</t>
  </si>
  <si>
    <t>REPLACE RHEOSTATIC BRAKE RESISTOR FAN ASSEMBLY</t>
  </si>
  <si>
    <t>JHOPL-WI-11-140</t>
  </si>
  <si>
    <t>DM - CAR REMOVE/REFIT REVERSE VOLTAGE RELAY FUSE</t>
  </si>
  <si>
    <t>REPLACE -  REVERSE VOLTAGE RELAY FUSE</t>
  </si>
  <si>
    <t>DM - CAR REMOVE/REFIT SHOE VOLTAGE RELAY FUSE 1 &amp; 2 (SVRF 1 &amp; 2)</t>
  </si>
  <si>
    <t>REPLACE SHOE VOLTAGE RELAY FUSE 1 &amp; 2</t>
  </si>
  <si>
    <t>JJT, CB, AR</t>
  </si>
  <si>
    <t>DM CAR REMOVE/REFIT AUTOCOUPLER, DRAWGEAR, RADIAL SUPPORT BAR, LEFT AND RIGHT HAND CONTACT BOXES</t>
  </si>
  <si>
    <t>REPLACE AUTOCOUPLER AND DRAWGEAR</t>
  </si>
  <si>
    <t>JHOPL-WI-15-037
JHOPL-WI-16-046</t>
  </si>
  <si>
    <t>WILLIAM COOK</t>
  </si>
  <si>
    <t>00:06:00</t>
  </si>
  <si>
    <t>JHOPL-WI-15-039</t>
  </si>
  <si>
    <t>DM CAR REMOVE/REFIT ANTI-CLIMB BUFFER ASSEMBLY</t>
  </si>
  <si>
    <t>REPLACE ANTI-CLIMB BUFFER ASSEMBLY</t>
  </si>
  <si>
    <t>JHOPL-WI-16-043</t>
  </si>
  <si>
    <t>VOITH</t>
  </si>
  <si>
    <t>DM CAR REMOVE/REFIT ANTI-CLIMB BUFFER ASSEMBLY INTERMEDIATE</t>
  </si>
  <si>
    <t>REPLACE ANTI-CLIMB BUFFER ASSEMBLY INTERMEDIATE</t>
  </si>
  <si>
    <t>JHOPL-WI-16-044</t>
  </si>
  <si>
    <t>DM CAR REMOVE/REFIT LINE CURRENT MONITORING DEVICE</t>
  </si>
  <si>
    <t>REPLACE LINE CURRENT MONITORING DEVICE</t>
  </si>
  <si>
    <t>JHOPL-WI-11-133</t>
  </si>
  <si>
    <t>DM CAB REMOVE/REFIT CAB DESK HEATER</t>
  </si>
  <si>
    <t>REPLACE CAB DESK HEATER</t>
  </si>
  <si>
    <t>JHOPL-WI-18-159</t>
  </si>
  <si>
    <t>LH GROUP</t>
  </si>
  <si>
    <t>DM CAB REMOVE/REFIT CAB REFRIGERATION UNIT (CHILLER MODULE)</t>
  </si>
  <si>
    <t>REPLACE CAB REFRIGERATION UNIT</t>
  </si>
  <si>
    <t>JHOPL-WI-18-077</t>
  </si>
  <si>
    <t>DM CAB REMOVE/REFIT CAB AIR HANDLING UNIT (AHU)</t>
  </si>
  <si>
    <t>REPLACE CAB AHU</t>
  </si>
  <si>
    <t>JHOPL-WI-18-115</t>
  </si>
  <si>
    <t>DM CAR REMOVE/REFIT BRAKE SUPPLY RESERVOIR</t>
  </si>
  <si>
    <t>REPLACE BRAKE SUPPLY RESERVOIR</t>
  </si>
  <si>
    <t>JHOPL-WI-19-088</t>
  </si>
  <si>
    <t>DM CAR REMOVE/REFIT COUPLER HOSE / SEMI-PERM COUPLER HOSE</t>
  </si>
  <si>
    <t>REPLACE COUPLER HOSE/SEMI-PERM COUPLER HOSE</t>
  </si>
  <si>
    <t>JHOPL-WI-19-168</t>
  </si>
  <si>
    <t>DM UNDERFRAME REMOVE/REFIT DM COUPLER HOSES</t>
  </si>
  <si>
    <t>REPLACE 2 COUPLER HOSES</t>
  </si>
  <si>
    <t>JHOPL-WI-19-165</t>
  </si>
  <si>
    <t>DM CAR REMOVE/REFIT 20 KHZ DISTRIBUTION PANEL</t>
  </si>
  <si>
    <t>REPLACE - 20 KHZ DISTRIBUTION PANEL (Traction Distribution Panel)</t>
  </si>
  <si>
    <t>JHOPL-WI-11-004</t>
  </si>
  <si>
    <t>DM CAR REMOVE/REFIT POWER SUPPLY UNIT ISOLATION SWITCH</t>
  </si>
  <si>
    <t>IROC - POWER SUPPLY ISOLATION SWITCH</t>
  </si>
  <si>
    <t>JHOPL-WI-11-020</t>
  </si>
  <si>
    <t>DM CAR REMOVE/REFIT SCREENWASH STAINLESS PIPE ASSY</t>
  </si>
  <si>
    <t>REPLACE SCREENWASH STAINLESS PIPE ASSY</t>
  </si>
  <si>
    <t>JHOPL-WI-17-152</t>
  </si>
  <si>
    <t>DM CAR REMOVE/REFIT WASHER NOZZLE LH AND RH</t>
  </si>
  <si>
    <t>REPLACE WASHER NOZZLE LH AND RH</t>
  </si>
  <si>
    <t>Missing JHOPL-WI-17-052</t>
  </si>
  <si>
    <t>DM CAR REMOVE/REFIT AUXILIARY ISOLATION SWITCH</t>
  </si>
  <si>
    <t>REPLACE AUXILIARY ISOLATION SWITCH</t>
  </si>
  <si>
    <t>JHOPL-WI-17-155</t>
  </si>
  <si>
    <t>DM - CAR REMOVE/REFIT AUXILIARY SUPPLY ISOLATION TRANSFORMER</t>
  </si>
  <si>
    <t>REPLACE - AUXILIARY SUPPLY ISOLATION TRANSFORMER</t>
  </si>
  <si>
    <t>JHOPL-WI-17-158</t>
  </si>
  <si>
    <t>DM - CAR REMOVE/REFIT FILTER VOLTAGE MONITORING DEVICES VMD1, FVMD2, FVMD1, ALVMD.</t>
  </si>
  <si>
    <t xml:space="preserve">REPLACE FILTER VOLTAGE MONITORING DEVICE FVMD1, FVMD 2, VMD1. ALVMD, </t>
  </si>
  <si>
    <t>RB</t>
  </si>
  <si>
    <t>JHOPL-WI-11-016</t>
  </si>
  <si>
    <t>DM - CAR REMOVE/REFIT CAPACITOR PANEL ASSEMBLY</t>
  </si>
  <si>
    <t>JHOPL-WI-11-021</t>
  </si>
  <si>
    <t xml:space="preserve">DM - SHED SUPPLY FUSE </t>
  </si>
  <si>
    <t xml:space="preserve">IROC -  SHED SUPPLY FUSE </t>
  </si>
  <si>
    <t>JHOPL-WI-11-026</t>
  </si>
  <si>
    <t>DM - REMOVE AND REFIT CURRENT MONITORING DEVICES (CMDA, CMDB, CMDC)</t>
  </si>
  <si>
    <t>REPLACE CURRENT MONITORING DEVICES (CMDA, CMDB, CMDC)</t>
  </si>
  <si>
    <t>JHOPL-WI-17-048</t>
  </si>
  <si>
    <t xml:space="preserve">DM  - REMOVE/REFIT SALOON MODULAR SEATING - CATCH PLATE, GAS STRUT, SEAL, PINS, SPACE COVER AND INSULATION BLANKET </t>
  </si>
  <si>
    <t>IROC - SALOON MODULAR SEATING</t>
  </si>
  <si>
    <t>JHOPL-WI-13-029
JHOPL-WI-13-030
JHOPL-WI-13-031
JHOPL-WI-13-033
JHOPL-WI-13-034
JHOPL-WI-13-035</t>
  </si>
  <si>
    <t>DM - CAR REPLACE CAB BACK WALL FASTNERS</t>
  </si>
  <si>
    <t>REPLACE CAB BACK WALL FASTNERS</t>
  </si>
  <si>
    <t>JHOPL-WI-13-027</t>
  </si>
  <si>
    <t>DM - REMOVE/REFIT AUXLIARY LINK CURRENT MONITORING DEVICE (ALCMD)</t>
  </si>
  <si>
    <t>REPLACE ALCMD</t>
  </si>
  <si>
    <t>JHOPL-WI-17-067</t>
  </si>
  <si>
    <t>DM - WIPER MOTOR</t>
  </si>
  <si>
    <t>IROC - WIPER MOTOR</t>
  </si>
  <si>
    <t>DM  - REMOVE/REFIT SALOON MODULAR SEATING - SEAT LOCK SPRING AND PIN SPRINGS</t>
  </si>
  <si>
    <t>REPLACE - SALOON MODULAR SEATING</t>
  </si>
  <si>
    <t>JHOPL-WI-13-028
JHOPL-WI-13-032</t>
  </si>
  <si>
    <t>DM CAR REMOVE/REFIT TMCU - TRAIN MANAGEMENT CONTROL UNIT</t>
  </si>
  <si>
    <t>REPLACE TMCU</t>
  </si>
  <si>
    <t>JHOPL-WI-23-174</t>
  </si>
  <si>
    <t>DM CAR REMOVE/REFIT CAB AUDIO VISUAL UNIT (CAVU)</t>
  </si>
  <si>
    <t>REPLACE CAB AUDIO VISUAL UNIT</t>
  </si>
  <si>
    <t>JHOPL-WI-25-181</t>
  </si>
  <si>
    <t>DM CAR REMOVE/REFIT SALOON AUDIO VISUAL UNIT (SAVU)</t>
  </si>
  <si>
    <t>REPLACE SALOON AUDIO VISUAL UNIT</t>
  </si>
  <si>
    <t>JHOPL-WI-25-182</t>
  </si>
  <si>
    <t>DM CAR REMOVE/REFIT TMCC - TRAIN MANAGEMENT CAR CONTROLLER</t>
  </si>
  <si>
    <t>REPLACE TMCC</t>
  </si>
  <si>
    <t>JHOPL-WI-23-175</t>
  </si>
  <si>
    <t>DM CAR REMOVE/REFIT TMWD - TRAIN MANAGEMENT WALL DISPLAY</t>
  </si>
  <si>
    <t>REPLACE TMWD</t>
  </si>
  <si>
    <t>JHOPL-WI-23-177</t>
  </si>
  <si>
    <t>DM  REMOVE/REFIT TMRT - TRAIN MANAGEMENT REMOTE TERMINAL</t>
  </si>
  <si>
    <t>REPLACE X 6 TMRT'S</t>
  </si>
  <si>
    <t>JHOPL-WI-23-176</t>
  </si>
  <si>
    <t>DM - CAR REMOVE/REFIT SIGNAL RESISTOR PANEL</t>
  </si>
  <si>
    <t>REPLACED - SIGNAL RESISTOR PANEL</t>
  </si>
  <si>
    <t>JHOPL-WI-11-014</t>
  </si>
  <si>
    <t>DM - CAR REMOVE/REFIT EQUIPMENT GOVERNOR</t>
  </si>
  <si>
    <t xml:space="preserve"> REPLACE EQUIPMENT GOVERNOR</t>
  </si>
  <si>
    <t>JHOPL-WI-11-025</t>
  </si>
  <si>
    <t>DM - CAR REMOVE/REFIT TRAIN OPERATOR DISPLAY-CONTROL UNIT (TOD-CU)</t>
  </si>
  <si>
    <t>REPLACE TOD-CU</t>
  </si>
  <si>
    <t>Missing WI JHOPL-WI-24-180</t>
  </si>
  <si>
    <t>DM - CAR REMOVE/REFIT MASTER CONTROL SWITCH (MCS)</t>
  </si>
  <si>
    <t>REPLACE MCS</t>
  </si>
  <si>
    <t>Missing - JHOPL-WI-17-065</t>
  </si>
  <si>
    <t>DM - CAR REMOVE/REFIT OUTPUT FILTER PANELS</t>
  </si>
  <si>
    <t>IROC - 6 X OUTPUT FILTER PANELS</t>
  </si>
  <si>
    <t>JHOPL-WI-11-022</t>
  </si>
  <si>
    <t>DM - REMOVE/REFITCAR SCREEN WASH TANK &amp; PUMP</t>
  </si>
  <si>
    <t>IROC - SCREEN WASH TANK</t>
  </si>
  <si>
    <t>DM - ASK CAPAICTOR REPLACE</t>
  </si>
  <si>
    <t>REPLACED - ASK CAPAICTOR (NON ELECTROLYTIC CAPACITOR)</t>
  </si>
  <si>
    <t>JHOPL-WI-17-073</t>
  </si>
  <si>
    <t>DM - CAR REMOVE/REFIT AUXLIARY SUPPLY CONTACTOR (ASC)</t>
  </si>
  <si>
    <t>REPLACE ASC</t>
  </si>
  <si>
    <t>JHOPL-WI-17-157</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</si>
  <si>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</si>
  <si>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</si>
  <si>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</si>
  <si>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Unit No: 96908</t>
  </si>
  <si>
    <t>TRIALER  UNDERFRAME REMOVE/REFIT CONTACTORS SA80</t>
  </si>
  <si>
    <t>REPLACE 5 CONTACTORS</t>
  </si>
  <si>
    <t>JHOPL-WI-17-058</t>
  </si>
  <si>
    <t>TRAILER  SALOON REMOVE/REFIT EMERGENCY LIGHT INVERTERS</t>
  </si>
  <si>
    <t>REPLACE 4 EMERGENCY LIGHT INVERTERS</t>
  </si>
  <si>
    <t>TRAILER  SALOON REMOVE/REFIT MCBS</t>
  </si>
  <si>
    <t>REPLACE 18 MCBS</t>
  </si>
  <si>
    <t>TRAILER SALOON REMOVE/REFIT MORS SMITT RELAYS</t>
  </si>
  <si>
    <t>REPLACE 9 RELAYS</t>
  </si>
  <si>
    <t>TRAILER CAR REMOVE BOGIE A</t>
  </si>
  <si>
    <t>REMOVE BOGIE A (TYPE E)</t>
  </si>
  <si>
    <t>TRAILER CAR REFIT BOGIE A</t>
  </si>
  <si>
    <t>REFIT BOGIE A (TYPE E)</t>
  </si>
  <si>
    <t>TRAILER CAR REMOVE BOGIE D</t>
  </si>
  <si>
    <t>REMOVE BOGIE D (TYPE E)</t>
  </si>
  <si>
    <t>TRAILER CAR REFIT BOGIE D</t>
  </si>
  <si>
    <t>REFIT BOGIE D (TYPE E)</t>
  </si>
  <si>
    <t>TRAILER CAR REMOVE/REFIT WSP CONTROL UNIT</t>
  </si>
  <si>
    <t>REPLACE WSP CONTROL UNIT</t>
  </si>
  <si>
    <t>JHOPL-WI-19-161</t>
  </si>
  <si>
    <t>TRAILER CAR REMOVE/REFIT SERVICE BRAKE DROP HOSE BOGIE A</t>
  </si>
  <si>
    <t>REPLACE 2 SERVICE BRAKE DROP HOSES BOGIE A</t>
  </si>
  <si>
    <t>TRAILER CAR REMOVE/REFIT SERVICE BRAKE DROP HOSE BOGIE D</t>
  </si>
  <si>
    <t>REPLACE 2 SERVICE BRAKE DROP HOSES BOGIE D</t>
  </si>
  <si>
    <t>TRAILER - AXLE-END SPEED PROBE HOUSING (WSP)</t>
  </si>
  <si>
    <t>IROC - WSP HOUSING</t>
  </si>
  <si>
    <t>Blue Team ATM's</t>
  </si>
  <si>
    <t>JHOPL-WI-11-003</t>
  </si>
  <si>
    <t>TRAILER CAR REMOVE/REFIT BRAKE CYLINDER PRESSURE SWITCH 1 (ALL CARS)</t>
  </si>
  <si>
    <t>TRAILER CAR REMOVE/REFIT BRAKE CYLINDER PRESSURE SWITCH 2 (FOR TR CARS)</t>
  </si>
  <si>
    <t>TRAILER CAR REMOVE/REFIT ½" VENTED BALL VALVE (VLCV / SYSTEM DRAIN / AUTO DRAIN / WHISTLE)</t>
  </si>
  <si>
    <t>TRAILER CAR REMOVE/REFIT VARIABLE LOAD VALVE - T/DIT CAR</t>
  </si>
  <si>
    <t>TRAILER CAR REMOVE/REFIT BRAKE RELEASE VALVE</t>
  </si>
  <si>
    <t>TRAILER CAR REMOVE/REFIT BRAKE CYLINDER SALOON GAUGES</t>
  </si>
  <si>
    <t>TRAILER CAR REMOVE/REFIT CLOSED LOOP ANALOGUE UNIT (CLAU) - T/ DIT CAR</t>
  </si>
  <si>
    <t>TRAILER CAR REMOVE/REFIT PNEUMATIC BRAKE DRIVER</t>
  </si>
  <si>
    <t>TRAILER CAR REMOVE/REFIT ¾" VENTED BALL VALVE (BCIC)</t>
  </si>
  <si>
    <t>JHOPL-WI-19-081</t>
  </si>
  <si>
    <t>TRAILER CAR REMOVE/REFIT WSP DUMP VALVE - TRAILER</t>
  </si>
  <si>
    <t>TRAILER CAR REMOVE/REFIT DOOR AIR SUPPLY PRESSURE REGULATOR (SUPPLIED WITH O-RINGS)</t>
  </si>
  <si>
    <t>TRAILER CAR REMOVE/REFIT COMPRESSOR DELIVERY HOSE</t>
  </si>
  <si>
    <t>REPLACE COMPRESSOR DELIVERY HOSE</t>
  </si>
  <si>
    <t>MA</t>
  </si>
  <si>
    <t>JHOPL-WI-19-091</t>
  </si>
  <si>
    <t>TRAILER CAR REMOVE/REFIT 1/2" SILENCER (EXHAUST)</t>
  </si>
  <si>
    <t>JHOPL-WI-19-170</t>
  </si>
  <si>
    <t>TRAILER CAR REMOVE/REFIT LOW COMPRESSOR DELIVERY PRESSURE SWITCH</t>
  </si>
  <si>
    <t>REPLACE LOW COMPRESSOR DELIVERY PRESSURE SWITCH</t>
  </si>
  <si>
    <t>JHOPL-WI-19-092</t>
  </si>
  <si>
    <t>TRAILER CAR REMOVE/REFIT COMPRESSOR GOVERNOR</t>
  </si>
  <si>
    <t>REPLACE COMPRESSOR GOVERNOR</t>
  </si>
  <si>
    <t>JHOPL-WI-19-171</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</si>
  <si>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</si>
  <si>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</si>
  <si>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</si>
  <si>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</si>
  <si>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</si>
  <si>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TRAILER CAR REMOVE/REFIT MAINLINE RESERVOIR SAFETY VALVE</t>
  </si>
  <si>
    <t>REPLACE MAINLINE RESERVOIR SAFETY VAVLE</t>
  </si>
  <si>
    <t>JHOPL-WI-19-096</t>
  </si>
  <si>
    <t>TRAILER CAR REMOVE/REFIT COMPRESSOR NON-RETURN VALVE</t>
  </si>
  <si>
    <t>REPLACE COMPRESSOR NON-RETURN VALVE</t>
  </si>
  <si>
    <t>JHOPL-WI-19-173</t>
  </si>
  <si>
    <t>TRAILER CAR REMOVE/REFIT BSR CHECK VALVE (SUPPLIED WITH O-RINGS)</t>
  </si>
  <si>
    <t>TRAILER CAR REMOVE/REFIT ½" VENTED BALL VALVE (FLANGE MOUNTED)</t>
  </si>
  <si>
    <t>REPLACE 4 1/2" VENTED BALL VALVES (FLANGE MOUNTED)</t>
  </si>
  <si>
    <t>TRAILER CAR REMOVE/REFIT AIR FLOW CUT-OFF VALVE BOGIE A</t>
  </si>
  <si>
    <t>REPLACE AIR FLOW CUT - OFF VALVE BOGIE A</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</si>
  <si>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</si>
  <si>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</si>
  <si>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</si>
  <si>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</si>
  <si>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JHOPL-WI-21-111</t>
  </si>
  <si>
    <t>TRAILER CAR REMOVE/REFIT ANTI-CLIMB BUFFER ASSEMBLY INTERMEDIATE A END</t>
  </si>
  <si>
    <t>REPLACE ANTI-CLIMB BUFFER ASSEMBLY INTERMEDIATE A END</t>
  </si>
  <si>
    <t>REPLACE DRAWGEAR INTERMEDIATE A END WITH COUPLER BAR</t>
  </si>
  <si>
    <t>TRAILER CAR REMOVE/REFIT ANTI-CLIMB BUFFER ASSEMBLY INTERMEDIATE D END</t>
  </si>
  <si>
    <t>REPLACE ANTI-CLIMB BUFFER ASSEMBLY INTERMEDIATE D END</t>
  </si>
  <si>
    <t>TRAILER CAR REMOVE/REFIT DRAWGEAR INTERMEDIATE D END &amp; SEMI-PERMANENT COUPLER BAR</t>
  </si>
  <si>
    <t>REPLACE DRAWGEARINTERMEDIATE D END &amp; COUPLER BAR</t>
  </si>
  <si>
    <t>TRAILER CAR REMOVE/REFIT MAIN RESERVOIR</t>
  </si>
  <si>
    <t>REPLACE 2 MAIN RESERVOIRS</t>
  </si>
  <si>
    <t>JHOPL-WI-19-087</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</si>
  <si>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</si>
  <si>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</si>
  <si>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</si>
  <si>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</si>
  <si>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</si>
  <si>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JHOPL-WI-19-193</t>
  </si>
  <si>
    <t>TRAILER CAR REMOVE/REFIT 3-WAY BALL VALVE</t>
  </si>
  <si>
    <t>REPLACE 3-WAY BALL VALVE</t>
  </si>
  <si>
    <t>AS, CC</t>
  </si>
  <si>
    <t>JHOPL-WI-19-101</t>
  </si>
  <si>
    <t>TRAILER CAR REMOVE/REFIT ½" VENTED BALL VALVE (MAIN RESERVOIR MANUAL DRAIN VALVE)</t>
  </si>
  <si>
    <t>JHOPL-WI-19-104</t>
  </si>
  <si>
    <t>TRAILER REMOVE/REFIT BATTERY SUPPLY CAPACITORS (BSK 1, 2, 3)  NON ELECTROLYTIC CAPACITOR</t>
  </si>
  <si>
    <t>REPLACE 3 BATTERY SUPPLY CAPACITORS (BSK 1, 2, 3) NON ELECTROLYTIC CAPACITOR</t>
  </si>
  <si>
    <t>BP</t>
  </si>
  <si>
    <t>JHOPL-WI-17-062</t>
  </si>
  <si>
    <t>TRAILER CAR REMOVE/REFIT BATTERY RECTIFIER CAPACITOR (BRK)  NON ELECTROLYTIC CAPACITOR</t>
  </si>
  <si>
    <t>REPLACE BATTERY RECTIFIER CAPACITOR (BRK)  NON ELECTROLYTIC CAPACITOR</t>
  </si>
  <si>
    <t>JHOPL-WI-17-061</t>
  </si>
  <si>
    <t>TRAILER - CAR - REMOVE/REFIT BATTERY ISOLATION CONTACTORS N(C-BIC1 AND C-BIC 2)</t>
  </si>
  <si>
    <t>REPLACE BATTERY ISOLATION CONTACTORS (C-BIC1 AND C-BIC 2)</t>
  </si>
  <si>
    <t>JHOPL-WI-17-049</t>
  </si>
  <si>
    <t xml:space="preserve">TRAILER -  REMOVE/REFIT BATTERY CURRENT MONITORING DEVICE </t>
  </si>
  <si>
    <t>REPLACE BCMD (L14 AND L19 TYPES)</t>
  </si>
  <si>
    <t>JHOPL-WI-17-060</t>
  </si>
  <si>
    <t xml:space="preserve">TRAILER -REMOVE/REFIT SALOON MODULAR SEATING - CATCH PLATE, GAS STRUT, SEAL, PINS, SPACE COVER AND INSULATION BLANKET </t>
  </si>
  <si>
    <t>TRAILER - REPLACE DE-ICING HOSE POSITIVE (TO NOZZLE)</t>
  </si>
  <si>
    <t>REPLACE DE-ICING HOSE POSITIVE (TO NOZZLE)</t>
  </si>
  <si>
    <t>TRAILER - REPLACE DE-ICING HOSE NEGATIVE (TO NOZZLE)</t>
  </si>
  <si>
    <t>REPLACE DE-ICING HOSE NEGATIVE (TO NOZZLE)</t>
  </si>
  <si>
    <t>TRAILER - REPLACE DE-ICING HOSE 1 FROM TANK</t>
  </si>
  <si>
    <t>REPLACE DE-ICING HOSE 1 FROM TANK</t>
  </si>
  <si>
    <t>TRAILER - REPLACE DE-ICING HOSE 2 FROM TANK</t>
  </si>
  <si>
    <t>REPLACE DE-ICING HOSE 2 FROM TANK</t>
  </si>
  <si>
    <t>TRAILER - REPLACE DE-ICING HOSE 3 FROM TANK</t>
  </si>
  <si>
    <t>REPLACE DE-ICING HOSE 3 FROM TANK</t>
  </si>
  <si>
    <t>TRAILER - REPLACE - DE-ICING ANTI-VIBRATION MOUNTS</t>
  </si>
  <si>
    <t>REPLACE - DE-ICING ANTI-VIBRATION MOUNTS</t>
  </si>
  <si>
    <t>TRAILER - REPLACE DE-ICER TANK</t>
  </si>
  <si>
    <t>REPLACE DE-ICER TANK</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</si>
  <si>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</si>
  <si>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</si>
  <si>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</si>
  <si>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</si>
  <si>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</si>
  <si>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</si>
  <si>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Unit No: 96508</t>
  </si>
  <si>
    <t>UNDM UNDERFRAME REMOVE/REFIT CONTACTOR  SA80</t>
  </si>
  <si>
    <t>REPLACE 1 CONTACTORS</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</si>
  <si>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</si>
  <si>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</si>
  <si>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</si>
  <si>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</si>
  <si>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</si>
  <si>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</si>
  <si>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</si>
  <si>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</si>
  <si>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</si>
  <si>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</si>
  <si>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</si>
  <si>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</si>
  <si>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</si>
  <si>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</si>
  <si>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</si>
  <si>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</si>
  <si>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UNDM CAR REFIT BOGIE A</t>
  </si>
  <si>
    <t>REFIT BOGIE A (TYPE D)</t>
  </si>
  <si>
    <t xml:space="preserve">Red Team </t>
  </si>
  <si>
    <t>UNDM CAR REMOVE BOGIE D</t>
  </si>
  <si>
    <t>REMOVE BOGIE D (TYPE D)</t>
  </si>
  <si>
    <t>UNDM CAR REFIT BOGIE D</t>
  </si>
  <si>
    <t>REFIT BOGIE D (TYPE D)</t>
  </si>
  <si>
    <t>Blue/White Team</t>
  </si>
  <si>
    <t>UNDM CAR REMOVE/REFIT LINE BREAKER CONTACTOR 1 AND 3</t>
  </si>
  <si>
    <t>UNDM CAR REMOVE/REFIT LINE BREAKER CONTACTOR 2 AND 4</t>
  </si>
  <si>
    <t>UNDM CAR REMOVE/REFIT FILTER HARD CROWBAR THYRISTOR ASSEMBLY</t>
  </si>
  <si>
    <t>UNDM CAR REMOVE/REFIT POWER SUPPLY UNIT</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</si>
  <si>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</si>
  <si>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</si>
  <si>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</si>
  <si>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</si>
  <si>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</si>
  <si>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</si>
  <si>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</si>
  <si>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UNDM - WHEEL SPEED PROBE - MOTOR</t>
  </si>
  <si>
    <t>UNDM CAR REMOVE/REFIT UNCOUPLER SWITCH UNDM</t>
  </si>
  <si>
    <t>JHOPL-WI-15-148</t>
  </si>
  <si>
    <t>UNDM CAR REMOVE/REFIT PROPULSION INVERTER MODULE</t>
  </si>
  <si>
    <t>AR, JJT, CB. RN, BP, RB</t>
  </si>
  <si>
    <t>UNDM CAR REMOVE/REFIT RHEOSTATIC BRAKE MODULE</t>
  </si>
  <si>
    <t>REPLACE RHEOSTATIC BRAKE MODULE</t>
  </si>
  <si>
    <t>JHOPL-WI-11-134</t>
  </si>
  <si>
    <t>UNDM CAR REMOVE/REFIT LINE FILTER CAPACITOR TRAY 6 CAP - KF</t>
  </si>
  <si>
    <t>REPLACE LINE FILTER CAPACITOR TRAY 6 CAP KF</t>
  </si>
  <si>
    <t>JHOPL-WI-11-009</t>
  </si>
  <si>
    <t>UNDM CAR REMOVE/REFIT LINE FILTER CAPACITOR TRAY 10 CAP</t>
  </si>
  <si>
    <t>REPLACE LINE FILTER CAPACITOR TRAY 10 CAP</t>
  </si>
  <si>
    <t>UNDM CAR REMOVE/REFIT BRAKE CYLINDER PRESSURE SWITCH 1 (FOR ALL CARS)</t>
  </si>
  <si>
    <t>UNDM CAR REMOVE/REFIT BRAKE CYLINDER PRESSURE SWITCH 2 (FOR DM/UNDM)</t>
  </si>
  <si>
    <t>UNDM CAR REMOVE/REFIT ½" VENTED BALL VALVE (VLCV / SYSTEM DRAIN / WHISTLE)</t>
  </si>
  <si>
    <t>UNDM CAR REMOVE/REFIT VARIABLE LOAD VALVE - UNDM CAR</t>
  </si>
  <si>
    <t>UNDM CAR REMOVE/REFIT BRAKE RELEASE VALVE</t>
  </si>
  <si>
    <t>UNDM CAR REMOVE/REFIT BRAKE CYLINDER SALOON GAUGES</t>
  </si>
  <si>
    <t>UNDM CAR REMOVE/REFIT CLOSED LOOP ANALOGUE UNIT (CLAU) - UNDM CAR</t>
  </si>
  <si>
    <t>UNDM CAR REMOVE/REFIT PNEUMATIC BRAKE DRIVER</t>
  </si>
  <si>
    <t>UNDM CAR REMOVE/REFIT ¾" GANGED VENTED COCKS (BCIC/PBIC)</t>
  </si>
  <si>
    <t>UNDM CAR REMOVE/REFIT WSP DUMP VALVE - MOTOR</t>
  </si>
  <si>
    <t>UNDM CAR REMOVE/REFIT WHISTLE - TYPE 3C (ENHANCED)</t>
  </si>
  <si>
    <t>REPLACE WHISTLE</t>
  </si>
  <si>
    <t>JHOPL-WI-19-119</t>
  </si>
  <si>
    <t>UNDM CAR REMOVE/REFIT WHISTLE CONTROL VALVE &amp; BUTTON ASSY UNDM</t>
  </si>
  <si>
    <t>JT, CP</t>
  </si>
  <si>
    <t>JHOPL-WI-19-085</t>
  </si>
  <si>
    <t>UNDM CAR REMOVE/REFIT TRACTION SUPPLY PRESSURE REGULATOR</t>
  </si>
  <si>
    <t>UNDM CAR REMOVE/REFIT DOOR AIR SUPPLY PRESSURE REGULATOR (SUPPLIED WITH O-RINGS)</t>
  </si>
  <si>
    <t>UNDM CAR REMOVE/REFIT LOW MAIN LINE PRESSURE SWITCH</t>
  </si>
  <si>
    <t>REPLACE LOW MAIN LINE PRESSURE SWITCH</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</si>
  <si>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</si>
  <si>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</si>
  <si>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</si>
  <si>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</si>
  <si>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</si>
  <si>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UNDM CAR REMOVE/REFIT BSR CHECK VALVE (SUPPLIED WITH O-RINGS)</t>
  </si>
  <si>
    <t>UNDM CAR REMOVE/REFIT ½" CHECK VALVE (SHOEGEAR AND LINEBREAKER AUX), SUPPLIED WITH O-RINGS</t>
  </si>
  <si>
    <t>UNDM CAR REMOVE/REFIT ½" CHECK VALVE (SHOEGEAR MANUAL CONTROL VALVE), SUPPLIED WITH O-RINGS</t>
  </si>
  <si>
    <t>UNDM CAR REMOVE/REFIT ½" VENTED BALL VALVE (FLANGE MOUNTED)</t>
  </si>
  <si>
    <t>REPLACE 5 FLANGE MOUNTED VENTED BALL VALVES</t>
  </si>
  <si>
    <t>UNDM CAR REMOVE/REFIT AIR FLOW CUT-OFF VALVE BOGIE A</t>
  </si>
  <si>
    <t>UNDM CAR REMOVE/REFIT AIR FLOW CUT-OFF VALVE BOGIE D</t>
  </si>
  <si>
    <t>UNDM CAR REMOVE/REFIT RELAY PANEL 3</t>
  </si>
  <si>
    <t>IROC - RELAY PANEL 3 (RP3)</t>
  </si>
  <si>
    <t>JHOPL-WI-11-005</t>
  </si>
  <si>
    <t>UNDM CAR REMOVE/REFIT CURRENT BALANCE DETECTOR RELAY (CBR)</t>
  </si>
  <si>
    <t>UNDM -CAR REMOVE/REFIT RHEOSTATIC BRAKE RESISTOR FAN ASSEMBLY</t>
  </si>
  <si>
    <t>UNDM -  CAR REMOVE/REFIT REVERSE VOLTAGE RELAY FUSE</t>
  </si>
  <si>
    <t>REPLACE  REVERSE VOLTAGE RELAY FUSE</t>
  </si>
  <si>
    <t>UNDM -  CAR REMOVE/REFIT SHOE VOLTAGE RELAY FUSE 1 &amp; 2 (SVRF 1 &amp; 2)</t>
  </si>
  <si>
    <t>UNDM CAR REMOVE/REFIT AUTOCOUPLER UNDM RH 3-CAR, DRAWGEAR, RADIAL SUPPORT BAR, CONTACT BOX ASSY L/H &amp; CONTACT BOX ASSY R/H</t>
  </si>
  <si>
    <t>REPLACE AUTOCOUPLER UNDM RH 3-CAR, DRAWGEAR &amp; CONTACT BOX L &amp; R HAND</t>
  </si>
  <si>
    <t>JHOPL-WI-15-038
JHOPL-WI-16-046</t>
  </si>
  <si>
    <t>UNDM CAR REMOVE/REFIT SEMI PERMANENT COUPLER BAR &amp; DRAWGEAR INTERMEDIATE A</t>
  </si>
  <si>
    <t>REPLACE INTERMEDIATE A DRAWGEAR AND SEMI PERMANENT COUPLER BAR</t>
  </si>
  <si>
    <t>UNDM CAR REMOVE/REFIT ANTI-CLIMB BUFFER ASSEMBLY UNDM</t>
  </si>
  <si>
    <t>JHOPL-WI-16-045</t>
  </si>
  <si>
    <t>UNDM CAR REMOVE/REFIT ANTI-CLIMB BUFFER ASSEMBLY INTERMEDIATE</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</si>
  <si>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</si>
  <si>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</si>
  <si>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</si>
  <si>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</si>
  <si>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</si>
  <si>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</si>
  <si>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</si>
  <si>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</si>
  <si>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</si>
  <si>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 xml:space="preserve">UNDM - SHED SUPPLY FUSE </t>
  </si>
  <si>
    <t xml:space="preserve">REPLACE  SHED SUPPLY FUSE </t>
  </si>
  <si>
    <t>UNDM - WIPER MOTOR</t>
  </si>
  <si>
    <t>JHOPL-WI-17-050</t>
  </si>
  <si>
    <t>DM - CAR REMOVE/REFIT FILTER VOLTAGE MONITORING DEVICES VMD1, FVMD1</t>
  </si>
  <si>
    <t>REPLACE FILTER VOLTAGE MONITORING DEVICE FVMD1, VMD1</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</si>
  <si>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</si>
  <si>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</si>
  <si>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</si>
  <si>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</si>
  <si>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</si>
  <si>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</si>
  <si>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</si>
  <si>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</si>
  <si>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</si>
  <si>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</si>
  <si>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</si>
  <si>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</si>
  <si>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</si>
  <si>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Unit No: 96495</t>
  </si>
  <si>
    <t>IROC 1/2" VENTED BALL VALVE (VLCV / SYSTEM DRAIN / WHISTLE) - INTERNAL</t>
  </si>
  <si>
    <t>TL</t>
  </si>
  <si>
    <t>LVN, TL</t>
  </si>
  <si>
    <t>LVN, CP</t>
  </si>
  <si>
    <t>MAL</t>
  </si>
  <si>
    <t>SA, DK</t>
  </si>
  <si>
    <t>IROC 1/2" VENTED BALL VALVE (VLCV / SYSTEM DRAIN / WHISTLE) - EXTERNAL</t>
  </si>
  <si>
    <t>CP</t>
  </si>
  <si>
    <t>UNDM CAR REMOVE/REFIT AUTOCOUPLER UNDM RH 4-CAR, DRAWGEAR, RADIAL SUPPORT BAR, CONTACT BOX ASSY L/H &amp; CONTACT BOX ASSY R/H</t>
  </si>
  <si>
    <t>REPLACE AUTOCOUPLER UNDM RH 4-CAR, DRAWGEAR &amp; CONTACT BOX L &amp; R HAND</t>
  </si>
  <si>
    <t>JHOPL-WI-19-085
JHOPL-WI-19-098</t>
  </si>
  <si>
    <t>Unit No: 96695</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</si>
  <si>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</si>
  <si>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</si>
  <si>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</si>
  <si>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</si>
  <si>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</si>
  <si>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</si>
  <si>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SPECIAL TRAILER CAR REFIT BOGIE A</t>
  </si>
  <si>
    <t>REFIT BOGIE A (TYPE G)</t>
  </si>
  <si>
    <t xml:space="preserve">Blue Team </t>
  </si>
  <si>
    <t>SPECIAL TRAILER CAR REMOVE BOGIE D</t>
  </si>
  <si>
    <t>REMOVE BOGIE D (TYPE G)</t>
  </si>
  <si>
    <t>SPECIAL TRAILER CAR REFIT BOGIE D</t>
  </si>
  <si>
    <t>REFIT BOGIE D (TYPE G)</t>
  </si>
  <si>
    <t>SPECIAL TRAILER CAR REMOVE/REFIT WSP CONTROL UNIT</t>
  </si>
  <si>
    <t>SPECIAL TRAILER CAR REMOVE/REFIT SERVICE BRAKE DROP HOSE BOGIE A</t>
  </si>
  <si>
    <t>SPECIAL TRAILER CAR REMOVE/REFIT SERVICE BRAKE DROP HOSE BOGIE D</t>
  </si>
  <si>
    <t>SPECIAL TRAILER - AXLE-END SPEED PROBE HOUSING (WSP)</t>
  </si>
  <si>
    <t>SPECIAL TRAILER CAR REMOVE/REFIT BRAKE CYLINDER PRESSURE SWITCH 1 (FOR ALL CARS)</t>
  </si>
  <si>
    <t>SPECIAL TRAILER CAR REMOVE/REFIT BRAKE CYLINDER PRESSURE SWITCH 2 (FOR TR CARS)</t>
  </si>
  <si>
    <t>SPECIAL TRAILER CAR REMOVE/REFIT ½" VENTED BALL VALVE (VLCV / SYSTEM DRAIN / WHISTLE)</t>
  </si>
  <si>
    <t>SPECIAL TRAILER CAR REMOVE/REFIT VARIABLE LOAD VALVE - T/DIT CAR</t>
  </si>
  <si>
    <t>SPECIAL TRAILER CAR REMOVE/REFIT BRAKE RELEASE VALVE</t>
  </si>
  <si>
    <t>SPECIAL TRAILER CAR REMOVE/REFIT BRAKE CYLINDER SALOON GAUGES</t>
  </si>
  <si>
    <t>SPECIAL TRAILER CAR REMOVE/REFIT CLOSED LOOP ANALOGUE UNIT (CLAU) - T/ DIT CAR</t>
  </si>
  <si>
    <t>SPECIAL TRAILER CAR REMOVE/REFIT PNEUMATIC BRAKE DRIVER</t>
  </si>
  <si>
    <t>SPECIAL TRAILER CAR REMOVE/REFIT ¾" VENTED BALL VALVE (BCIC)</t>
  </si>
  <si>
    <t>SPECIAL TRAILER CAR REMOVE/REFIT WSP DUMP VALVE - TRAILER</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</si>
  <si>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</si>
  <si>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</si>
  <si>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</si>
  <si>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</si>
  <si>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</si>
  <si>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SA,DK</t>
  </si>
  <si>
    <t>SPECIAL TRAILER CAR REMOVE/REFIT ½" VENTED BALL VALVE (FLANGE MOUNTED)</t>
  </si>
  <si>
    <t>REPLACE 3 1/2" VENTED BALL VALVES (FLANGE MOUNTED)</t>
  </si>
  <si>
    <t>SPECIAL TRAILER CAR REMOVE/REFIT AIR FLOW CUT-OFF VALVE BOGIE A</t>
  </si>
  <si>
    <t>SPECIAL TRAILER CAR REMOVE/REFIT AIR FLOW CUT-OFF VALVE BOGIE D</t>
  </si>
  <si>
    <t>SPECIAL TRAILER CAR REMOVE/REFIT ANTI-CLIMB BUFFER ASSEMBLY INTERMEDIATE A END</t>
  </si>
  <si>
    <t>REPLACE ANTI-CLIMB BUFFER ASSSEMBLY INTERMEDIATE A END</t>
  </si>
  <si>
    <t>SPECIAL TRAILER CAR REMOVE/REFIT ANTI-CLIMB BUFFER ASSEMBLY INTERMEDIATE D END</t>
  </si>
  <si>
    <t>REPLACE ANTI-CLIMB BUFFER ASSSEMBLY INTERMEDIATE D END</t>
  </si>
  <si>
    <t>REPLACE DRAWGEAR INTERMEDIATE D END WITH COUPLER BAR</t>
  </si>
  <si>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</si>
  <si>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</si>
  <si>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</si>
  <si>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</si>
  <si>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</si>
  <si>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</si>
  <si>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</si>
  <si>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</si>
  <si>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96295</t>
  </si>
  <si>
    <t>TRAILER CAR REMOVE/REFIT BRAKE CYLINDER PRESSURE SWITCH 1 (FOR ALL CARS)</t>
  </si>
  <si>
    <t>TRAILER CAR REMOVE/REFIT ½" VENTED BALL VALVE (VLCV / SYSTEM DRAIN / WHISTLE)</t>
  </si>
  <si>
    <t>RN</t>
  </si>
  <si>
    <t>TRAILER CAR REMOVE/REFIT DRAWGEAR INTERMEDIATE A END &amp; SEMI-PERMANENT COUPLER BAR</t>
  </si>
  <si>
    <t>REPLACE DRAWGEAR INTERMEDIATE A END</t>
  </si>
  <si>
    <t>REPLACE DRAWGEAR INTERMEDIATE D END</t>
  </si>
  <si>
    <t>REPLACE 2 UNDM &amp; STC CARS COUPLER HOSE/SEMI-PERM COUPLER HOSE</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</si>
  <si>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</si>
  <si>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</si>
  <si>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</si>
  <si>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</si>
  <si>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</si>
  <si>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96095</t>
  </si>
  <si>
    <t>NA</t>
  </si>
  <si>
    <t>BP, RN, RB, NA</t>
  </si>
  <si>
    <t>ASZ , JB, AM</t>
  </si>
  <si>
    <t xml:space="preserve">AS </t>
  </si>
  <si>
    <t>DM - ASK CAPACITOR REPLACE</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</si>
  <si>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</si>
  <si>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</si>
  <si>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</si>
  <si>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</si>
  <si>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</si>
  <si>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</si>
  <si>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</si>
  <si>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</si>
  <si>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</si>
  <si>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</si>
  <si>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</si>
  <si>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t>REPLACE WHISTLE CONTROL LEVER VALVE (DRIVER SIDE)</t>
  </si>
  <si>
    <t>REPLACE WHISTLE CONTROL LEVER VALVE (NON DRIVER SIDE)</t>
  </si>
  <si>
    <t>IROC 1/2 VENTED BALL VALVE - EXTERNAL</t>
  </si>
  <si>
    <t>DM CAR REMOVE/REFIT SEMI PERMANENT COUPLER BAR AND DRAWGEAR INTERMEDIATE D</t>
  </si>
  <si>
    <t>REPLACE SEMI PERMANENT COUPLER &amp; DRAWGEAR INTERMEDIATE D</t>
  </si>
  <si>
    <t>REPLACE -  DM CAR REMOVE/REFIT CAPACITOR PANEL ASSEMBLY</t>
  </si>
  <si>
    <t>JHOPL - Norgren</t>
  </si>
  <si>
    <t>JHOPL-WI-19-172
JHOPL-WI-19-098
JHOPL-WI-19-100
JHOPL-WI-19-084</t>
  </si>
  <si>
    <t>ABB</t>
  </si>
  <si>
    <t>JHOPL - REW</t>
  </si>
  <si>
    <t>JHOPL - TBC</t>
  </si>
  <si>
    <t>Missing WI</t>
  </si>
  <si>
    <t>JHOPL - ALSTOM</t>
  </si>
  <si>
    <t>R. BAKER</t>
  </si>
  <si>
    <t>JHOPL - KBRS</t>
  </si>
  <si>
    <t>JHOPL - MORS SMITT</t>
  </si>
  <si>
    <t>Y</t>
  </si>
  <si>
    <t>IROC 2 1/2" VENTED BALL VALVE - INTERNAL</t>
  </si>
  <si>
    <t>IROC 1/2" SILENCER</t>
  </si>
  <si>
    <t>IROC 3/4" VENTED BALL VALVE</t>
  </si>
  <si>
    <t>IROC 1/2" VENTED BALL VALVE - EXTERNAL</t>
  </si>
  <si>
    <t>IROC 1/2" VENTED BALL VALVE</t>
  </si>
  <si>
    <t>IROC 1/2" VENTED BALL VALVE - INTERNAL</t>
  </si>
  <si>
    <t>IROC 2 1/2" VENTED BALL VALVE (MAIN RESERVOIR MANUAL DRAIN VALVE)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</si>
</sst>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20" x14ac:knownFonts="1">
    <font>
      <sz val="12"/>
      <color theme="1"/>
      <name val="Arial"/>
      <family val="2"/>
    </font>
    <font>
      <sz val="11"/>
      <color theme="1"/>
      <name val="Calibri"/>
      <family val="2"/>
      <scheme val="minor"/>
    </font>
    <font>
      <b/>
      <u/>
      <sz val="12"/>
      <color theme="1"/>
      <name val="Arial"/>
      <family val="2"/>
    </font>
    <font>
      <u/>
      <sz val="12"/>
      <color theme="1"/>
      <name val="Arial"/>
      <family val="2"/>
    </font>
    <font>
      <u/>
      <sz val="12"/>
      <color theme="10"/>
      <name val="Arial"/>
      <family val="2"/>
    </font>
    <font>
      <sz val="12"/>
      <color theme="1"/>
      <name val="Arial"/>
      <family val="2"/>
    </font>
    <font>
      <b/>
      <sz val="12"/>
      <color theme="1"/>
      <name val="Arial"/>
      <family val="2"/>
    </font>
    <font>
      <b/>
      <u/>
      <sz val="12"/>
      <color theme="10"/>
      <name val="Arial"/>
      <family val="2"/>
    </font>
    <font>
      <sz val="8"/>
      <name val="Arial"/>
      <family val="2"/>
    </font>
    <font>
      <b/>
      <sz val="14"/>
      <color theme="1"/>
      <name val="Arial"/>
      <family val="2"/>
    </font>
    <font>
      <b/>
      <u/>
      <sz val="12"/>
      <color rgb="FF000000"/>
      <name val="Arial"/>
      <family val="2"/>
    </font>
    <font>
      <sz val="12"/>
      <color theme="1"/>
      <name val="Calibri"/>
      <family val="2"/>
    </font>
    <font>
      <sz val="12"/>
      <color theme="1"/>
      <name val="Calibri"/>
      <family val="2"/>
      <scheme val="minor"/>
    </font>
    <font>
      <sz val="11"/>
      <name val="Calibri"/>
      <family val="2"/>
      <scheme val="minor"/>
    </font>
    <font>
      <sz val="11"/>
      <color rgb="FF000000"/>
      <name val="Calibri"/>
      <family val="2"/>
    </font>
    <font>
      <sz val="12"/>
      <color rgb="FFA6A6A6"/>
      <name val="Arial"/>
      <family val="2"/>
    </font>
    <font>
      <sz val="12"/>
      <color rgb="FF000000"/>
      <name val="Arial"/>
      <family val="2"/>
    </font>
    <font>
      <sz val="12"/>
      <color rgb="FFFF0000"/>
      <name val="Arial"/>
      <family val="2"/>
    </font>
    <font>
      <b/>
      <sz val="12"/>
      <color rgb="FF000000"/>
      <name val="Arial"/>
      <family val="2"/>
    </font>
    <font>
      <b/>
      <sz val="11"/>
      <color rgb="FFFF0000"/>
      <name val="Calibri"/>
      <family val="2"/>
      <scheme val="minor"/>
    </font>
  </fonts>
  <fills count="13">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
      <patternFill patternType="solid">
        <fgColor rgb="FFFF0000"/>
        <bgColor indexed="64"/>
      </patternFill>
    </fill>
  </fills>
  <borders count="38">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theme="0" tint="-0.249977111117893"/>
      </left>
      <right style="medium">
        <color indexed="64"/>
      </right>
      <top style="medium">
        <color indexed="64"/>
      </top>
      <bottom style="medium">
        <color indexed="64"/>
      </bottom>
      <diagonal/>
    </border>
    <border>
      <left style="thick">
        <color indexed="8"/>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medium">
        <color indexed="64"/>
      </left>
      <right/>
      <top/>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s>
  <cellStyleXfs count="3">
    <xf numFmtId="0" fontId="0" fillId="0" borderId="0"/>
    <xf numFmtId="0" fontId="4" fillId="0" borderId="0" applyNumberFormat="0" applyFill="0" applyBorder="0" applyAlignment="0" applyProtection="0"/>
    <xf numFmtId="9" fontId="5" fillId="0" borderId="0" applyFont="0" applyFill="0" applyBorder="0" applyAlignment="0" applyProtection="0"/>
  </cellStyleXfs>
  <cellXfs count="146">
    <xf numFmtId="0" fontId="0" fillId="0" borderId="0" xfId="0"/>
    <xf numFmtId="0" fontId="0" fillId="0" borderId="0" xfId="0" applyAlignment="1">
      <alignment vertical="top" wrapText="1"/>
    </xf>
    <xf numFmtId="0" fontId="1" fillId="2" borderId="1" xfId="0" applyFont="1" applyFill="1" applyBorder="1" applyAlignment="1">
      <alignment horizontal="center" vertical="top"/>
    </xf>
    <xf numFmtId="0" fontId="0" fillId="0" borderId="0" xfId="0" applyAlignment="1">
      <alignment wrapText="1"/>
    </xf>
    <xf numFmtId="0" fontId="1" fillId="0" borderId="1" xfId="0" applyFont="1" applyBorder="1" applyAlignment="1">
      <alignment horizontal="center" vertical="top"/>
    </xf>
    <xf numFmtId="0" fontId="1" fillId="0" borderId="1" xfId="0" applyFont="1" applyBorder="1" applyAlignment="1">
      <alignment horizontal="center" vertical="top" wrapText="1"/>
    </xf>
    <xf numFmtId="0" fontId="1" fillId="0" borderId="1" xfId="0" applyFont="1" applyBorder="1" applyAlignment="1">
      <alignment wrapText="1"/>
    </xf>
    <xf numFmtId="0" fontId="0" fillId="2" borderId="0" xfId="0" applyFill="1"/>
    <xf numFmtId="0" fontId="2"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horizontal="center" vertical="center" wrapText="1"/>
    </xf>
    <xf numFmtId="0" fontId="0" fillId="0" borderId="11" xfId="0" applyBorder="1"/>
    <xf numFmtId="0" fontId="0" fillId="0" borderId="12" xfId="0" applyBorder="1"/>
    <xf numFmtId="9" fontId="6" fillId="0" borderId="14" xfId="2" applyFont="1" applyFill="1" applyBorder="1"/>
    <xf numFmtId="9" fontId="6" fillId="0" borderId="6" xfId="2" applyFont="1" applyFill="1" applyBorder="1"/>
    <xf numFmtId="0" fontId="0" fillId="0" borderId="14" xfId="0" applyBorder="1"/>
    <xf numFmtId="0" fontId="0" fillId="0" borderId="6" xfId="0" applyBorder="1"/>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7" fillId="8" borderId="0" xfId="1" applyFont="1" applyFill="1" applyAlignment="1">
      <alignment vertical="top" wrapText="1"/>
    </xf>
    <xf numFmtId="0" fontId="0" fillId="9" borderId="10" xfId="0" applyFill="1" applyBorder="1"/>
    <xf numFmtId="0" fontId="0" fillId="9" borderId="0" xfId="0" applyFill="1"/>
    <xf numFmtId="0" fontId="0" fillId="9" borderId="9" xfId="0" applyFill="1" applyBorder="1"/>
    <xf numFmtId="0" fontId="6" fillId="0" borderId="15" xfId="0" applyFont="1" applyBorder="1"/>
    <xf numFmtId="0" fontId="6" fillId="0" borderId="16" xfId="0" applyFont="1" applyBorder="1"/>
    <xf numFmtId="0" fontId="0" fillId="0" borderId="13" xfId="0" applyBorder="1"/>
    <xf numFmtId="0" fontId="6" fillId="10" borderId="0" xfId="0" applyFont="1" applyFill="1" applyAlignment="1">
      <alignment vertical="top" wrapText="1"/>
    </xf>
    <xf numFmtId="0" fontId="9" fillId="5" borderId="6" xfId="0" applyFont="1" applyFill="1" applyBorder="1" applyAlignment="1">
      <alignment horizontal="center" vertical="center" wrapText="1"/>
    </xf>
    <xf numFmtId="0" fontId="9" fillId="5" borderId="2" xfId="0" applyFont="1" applyFill="1" applyBorder="1" applyAlignment="1">
      <alignment horizontal="center" vertical="center" wrapText="1"/>
    </xf>
    <xf numFmtId="0" fontId="9" fillId="5" borderId="3" xfId="0" applyFont="1" applyFill="1" applyBorder="1" applyAlignment="1">
      <alignment horizontal="center" vertical="center" wrapText="1"/>
    </xf>
    <xf numFmtId="0" fontId="9" fillId="5" borderId="4" xfId="0" applyFont="1" applyFill="1" applyBorder="1" applyAlignment="1">
      <alignment horizontal="center" vertical="center" textRotation="90" wrapText="1"/>
    </xf>
    <xf numFmtId="0" fontId="9" fillId="5" borderId="5" xfId="0" applyFont="1" applyFill="1" applyBorder="1" applyAlignment="1">
      <alignment horizontal="center" vertical="center" textRotation="90" wrapText="1"/>
    </xf>
    <xf numFmtId="0" fontId="9" fillId="5" borderId="5" xfId="0" applyFont="1" applyFill="1" applyBorder="1" applyAlignment="1">
      <alignment horizontal="center" vertical="center" wrapText="1"/>
    </xf>
    <xf numFmtId="0" fontId="1" fillId="0" borderId="1" xfId="0" applyFont="1" applyBorder="1" applyAlignment="1">
      <alignment horizontal="center" wrapText="1"/>
    </xf>
    <xf numFmtId="49" fontId="1" fillId="0" borderId="1" xfId="0" applyNumberFormat="1" applyFont="1" applyBorder="1" applyAlignment="1">
      <alignment horizontal="center" wrapText="1"/>
    </xf>
    <xf numFmtId="49" fontId="1" fillId="0" borderId="1" xfId="0" applyNumberFormat="1" applyFont="1" applyBorder="1" applyAlignment="1">
      <alignment horizontal="left" wrapText="1"/>
    </xf>
    <xf numFmtId="0" fontId="10" fillId="3" borderId="0" xfId="0" applyFont="1" applyFill="1" applyAlignment="1">
      <alignment horizontal="center" vertical="center" wrapText="1"/>
    </xf>
    <xf numFmtId="0" fontId="0" fillId="0" borderId="2" xfId="0" applyBorder="1"/>
    <xf numFmtId="0" fontId="0" fillId="0" borderId="10" xfId="0" applyBorder="1"/>
    <xf numFmtId="0" fontId="10" fillId="3" borderId="0" xfId="0" applyFont="1" applyFill="1" applyAlignment="1">
      <alignment horizontal="left" vertical="center" wrapText="1"/>
    </xf>
    <xf numFmtId="0" fontId="9" fillId="5" borderId="21" xfId="0" applyFont="1" applyFill="1" applyBorder="1" applyAlignment="1">
      <alignment horizontal="center" vertical="center" wrapText="1"/>
    </xf>
    <xf numFmtId="0" fontId="9" fillId="5" borderId="14" xfId="0" applyFont="1" applyFill="1" applyBorder="1" applyAlignment="1">
      <alignment horizontal="center" vertical="center" wrapText="1"/>
    </xf>
    <xf numFmtId="0" fontId="9" fillId="5" borderId="13" xfId="0" applyFont="1" applyFill="1" applyBorder="1" applyAlignment="1">
      <alignment horizontal="center" vertical="center" wrapText="1"/>
    </xf>
    <xf numFmtId="0" fontId="9" fillId="5" borderId="22" xfId="0" applyFont="1" applyFill="1" applyBorder="1" applyAlignment="1">
      <alignment horizontal="center" vertical="center" wrapText="1"/>
    </xf>
    <xf numFmtId="0" fontId="9" fillId="5" borderId="23" xfId="0" applyFont="1" applyFill="1" applyBorder="1" applyAlignment="1">
      <alignment horizontal="center" vertical="center" textRotation="90" wrapText="1"/>
    </xf>
    <xf numFmtId="0" fontId="9" fillId="5" borderId="21" xfId="0" applyFont="1" applyFill="1" applyBorder="1" applyAlignment="1">
      <alignment horizontal="center" vertical="center" textRotation="90" wrapText="1"/>
    </xf>
    <xf numFmtId="0" fontId="6" fillId="5" borderId="2" xfId="0" applyFont="1" applyFill="1" applyBorder="1" applyAlignment="1">
      <alignment horizontal="center" vertical="center" wrapText="1"/>
    </xf>
    <xf numFmtId="164" fontId="0" fillId="0" borderId="0" xfId="0" applyNumberFormat="1" applyAlignment="1">
      <alignment wrapText="1"/>
    </xf>
    <xf numFmtId="164" fontId="9" fillId="5" borderId="5" xfId="0" applyNumberFormat="1" applyFont="1" applyFill="1" applyBorder="1" applyAlignment="1">
      <alignment horizontal="center" vertical="center" wrapText="1"/>
    </xf>
    <xf numFmtId="0" fontId="0" fillId="11" borderId="0" xfId="0" applyFill="1" applyAlignment="1">
      <alignment wrapText="1"/>
    </xf>
    <xf numFmtId="0" fontId="1" fillId="11" borderId="25" xfId="0" applyFont="1" applyFill="1" applyBorder="1" applyAlignment="1">
      <alignment horizontal="center" vertical="center" wrapText="1"/>
    </xf>
    <xf numFmtId="0" fontId="1" fillId="11" borderId="26" xfId="0" applyFont="1" applyFill="1" applyBorder="1" applyAlignment="1">
      <alignment horizontal="center" vertical="center" wrapText="1"/>
    </xf>
    <xf numFmtId="0" fontId="0" fillId="11" borderId="26" xfId="0" applyFill="1" applyBorder="1" applyAlignment="1">
      <alignment horizontal="center" vertical="center" wrapText="1"/>
    </xf>
    <xf numFmtId="14" fontId="0" fillId="11" borderId="26" xfId="0" applyNumberFormat="1" applyFill="1" applyBorder="1" applyAlignment="1">
      <alignment horizontal="center" vertical="center" wrapText="1"/>
    </xf>
    <xf numFmtId="164" fontId="1" fillId="11" borderId="27" xfId="0" applyNumberFormat="1" applyFont="1" applyFill="1" applyBorder="1" applyAlignment="1">
      <alignment horizontal="center" vertical="center" wrapText="1"/>
    </xf>
    <xf numFmtId="0" fontId="1" fillId="11" borderId="28" xfId="0" applyFont="1" applyFill="1" applyBorder="1" applyAlignment="1">
      <alignment horizontal="center" vertical="center" wrapText="1"/>
    </xf>
    <xf numFmtId="0" fontId="1" fillId="11" borderId="29" xfId="0" applyFont="1" applyFill="1" applyBorder="1" applyAlignment="1">
      <alignment horizontal="center" vertical="center" wrapText="1"/>
    </xf>
    <xf numFmtId="0" fontId="14" fillId="11" borderId="29" xfId="0" applyFont="1" applyFill="1" applyBorder="1" applyAlignment="1">
      <alignment horizontal="center" vertical="center" wrapText="1"/>
    </xf>
    <xf numFmtId="14" fontId="14" fillId="11" borderId="29" xfId="0" applyNumberFormat="1" applyFont="1" applyFill="1" applyBorder="1" applyAlignment="1">
      <alignment horizontal="center" vertical="center" wrapText="1"/>
    </xf>
    <xf numFmtId="0" fontId="0" fillId="11" borderId="29" xfId="0" applyFill="1" applyBorder="1" applyAlignment="1">
      <alignment horizontal="center" vertical="center" wrapText="1"/>
    </xf>
    <xf numFmtId="164" fontId="1" fillId="11" borderId="30" xfId="0" applyNumberFormat="1" applyFont="1" applyFill="1" applyBorder="1" applyAlignment="1">
      <alignment horizontal="center" vertical="center" wrapText="1"/>
    </xf>
    <xf numFmtId="0" fontId="0" fillId="11" borderId="31" xfId="0" applyFill="1" applyBorder="1" applyAlignment="1">
      <alignment wrapText="1"/>
    </xf>
    <xf numFmtId="14" fontId="1" fillId="11" borderId="26" xfId="0" applyNumberFormat="1" applyFont="1" applyFill="1" applyBorder="1" applyAlignment="1">
      <alignment horizontal="center" vertical="center" wrapText="1"/>
    </xf>
    <xf numFmtId="14" fontId="1" fillId="11" borderId="29" xfId="0" applyNumberFormat="1" applyFont="1" applyFill="1" applyBorder="1" applyAlignment="1">
      <alignment horizontal="center" vertical="center" wrapText="1"/>
    </xf>
    <xf numFmtId="0" fontId="0" fillId="12" borderId="0" xfId="0" applyFill="1"/>
    <xf numFmtId="0" fontId="15" fillId="7" borderId="0" xfId="0" applyFont="1" applyFill="1" applyAlignment="1">
      <alignment horizontal="center" vertical="center" wrapText="1"/>
    </xf>
    <xf numFmtId="0" fontId="11" fillId="11" borderId="26" xfId="0" applyFont="1" applyFill="1" applyBorder="1" applyAlignment="1">
      <alignment horizontal="center" vertical="center" wrapText="1"/>
    </xf>
    <xf numFmtId="0" fontId="12" fillId="11" borderId="26" xfId="0" applyFont="1" applyFill="1" applyBorder="1" applyAlignment="1">
      <alignment horizontal="center" vertical="center" wrapText="1"/>
    </xf>
    <xf numFmtId="14" fontId="12" fillId="11" borderId="26" xfId="0" applyNumberFormat="1" applyFont="1" applyFill="1" applyBorder="1" applyAlignment="1">
      <alignment horizontal="center" vertical="center" wrapText="1"/>
    </xf>
    <xf numFmtId="0" fontId="1" fillId="11" borderId="35" xfId="0" applyFont="1" applyFill="1" applyBorder="1" applyAlignment="1">
      <alignment horizontal="center" vertical="center" wrapText="1"/>
    </xf>
    <xf numFmtId="0" fontId="1" fillId="11" borderId="36" xfId="0" applyFont="1" applyFill="1" applyBorder="1" applyAlignment="1">
      <alignment horizontal="center" vertical="center" wrapText="1"/>
    </xf>
    <xf numFmtId="0" fontId="0" fillId="11" borderId="36" xfId="0" applyFill="1" applyBorder="1" applyAlignment="1">
      <alignment horizontal="center" vertical="center" wrapText="1"/>
    </xf>
    <xf numFmtId="14" fontId="1" fillId="11" borderId="36" xfId="0" applyNumberFormat="1" applyFont="1" applyFill="1" applyBorder="1" applyAlignment="1">
      <alignment horizontal="center" vertical="center" wrapText="1"/>
    </xf>
    <xf numFmtId="164" fontId="1" fillId="11" borderId="37" xfId="0" applyNumberFormat="1" applyFont="1" applyFill="1" applyBorder="1" applyAlignment="1">
      <alignment horizontal="center" vertical="center" wrapText="1"/>
    </xf>
    <xf numFmtId="164" fontId="13" fillId="11" borderId="27" xfId="0" applyNumberFormat="1" applyFont="1" applyFill="1" applyBorder="1" applyAlignment="1">
      <alignment horizontal="center" vertical="center" wrapText="1"/>
    </xf>
    <xf numFmtId="14" fontId="0" fillId="11" borderId="36" xfId="0" applyNumberFormat="1" applyFill="1" applyBorder="1" applyAlignment="1">
      <alignment horizontal="center" vertical="center" wrapText="1"/>
    </xf>
    <xf numFmtId="14" fontId="0" fillId="11" borderId="29" xfId="0" applyNumberFormat="1" applyFill="1" applyBorder="1" applyAlignment="1">
      <alignment horizontal="center" vertical="center" wrapText="1"/>
    </xf>
    <xf numFmtId="0" fontId="1" fillId="0" borderId="26" xfId="0" applyFont="1" applyFill="1" applyBorder="1" applyAlignment="1">
      <alignment horizontal="center" vertical="center" wrapText="1"/>
    </xf>
    <xf numFmtId="0" fontId="0" fillId="0" borderId="0" xfId="0" applyFill="1" applyAlignment="1">
      <alignment wrapText="1"/>
    </xf>
    <xf numFmtId="0" fontId="1" fillId="0" borderId="35" xfId="0" applyFont="1" applyFill="1" applyBorder="1" applyAlignment="1">
      <alignment horizontal="center" vertical="center" wrapText="1"/>
    </xf>
    <xf numFmtId="0" fontId="1" fillId="0" borderId="36" xfId="0" applyFont="1" applyFill="1" applyBorder="1" applyAlignment="1">
      <alignment horizontal="center" vertical="center" wrapText="1"/>
    </xf>
    <xf numFmtId="0" fontId="0" fillId="0" borderId="36" xfId="0" applyFill="1" applyBorder="1" applyAlignment="1">
      <alignment horizontal="center" vertical="center" wrapText="1"/>
    </xf>
    <xf numFmtId="14" fontId="1" fillId="0" borderId="36" xfId="0" applyNumberFormat="1" applyFont="1" applyFill="1" applyBorder="1" applyAlignment="1">
      <alignment horizontal="center" vertical="center" wrapText="1"/>
    </xf>
    <xf numFmtId="164" fontId="1" fillId="0" borderId="37" xfId="0" applyNumberFormat="1" applyFont="1" applyFill="1" applyBorder="1" applyAlignment="1">
      <alignment horizontal="center" vertical="center" wrapText="1"/>
    </xf>
    <xf numFmtId="0" fontId="1" fillId="0" borderId="25" xfId="0" applyFont="1" applyFill="1" applyBorder="1" applyAlignment="1">
      <alignment horizontal="center" vertical="center" wrapText="1"/>
    </xf>
    <xf numFmtId="0" fontId="0" fillId="0" borderId="26" xfId="0" applyFill="1" applyBorder="1" applyAlignment="1">
      <alignment horizontal="center" vertical="center" wrapText="1"/>
    </xf>
    <xf numFmtId="14" fontId="1" fillId="0" borderId="26" xfId="0" applyNumberFormat="1" applyFont="1" applyFill="1" applyBorder="1" applyAlignment="1">
      <alignment horizontal="center" vertical="center" wrapText="1"/>
    </xf>
    <xf numFmtId="164" fontId="1" fillId="0" borderId="27" xfId="0" applyNumberFormat="1" applyFont="1" applyFill="1" applyBorder="1" applyAlignment="1">
      <alignment horizontal="center" vertical="center" wrapText="1"/>
    </xf>
    <xf numFmtId="14" fontId="0" fillId="0" borderId="26" xfId="0" applyNumberFormat="1" applyFill="1" applyBorder="1" applyAlignment="1">
      <alignment horizontal="center" vertical="center" wrapText="1"/>
    </xf>
    <xf numFmtId="0" fontId="1" fillId="0" borderId="28" xfId="0" applyFont="1" applyFill="1" applyBorder="1" applyAlignment="1">
      <alignment horizontal="center" vertical="center" wrapText="1"/>
    </xf>
    <xf numFmtId="0" fontId="1" fillId="0" borderId="29" xfId="0" applyFont="1" applyFill="1" applyBorder="1" applyAlignment="1">
      <alignment horizontal="center" vertical="center" wrapText="1"/>
    </xf>
    <xf numFmtId="0" fontId="0" fillId="0" borderId="29" xfId="0" applyFill="1" applyBorder="1" applyAlignment="1">
      <alignment horizontal="center" vertical="center" wrapText="1"/>
    </xf>
    <xf numFmtId="164" fontId="1" fillId="0" borderId="30" xfId="0" applyNumberFormat="1" applyFont="1" applyFill="1" applyBorder="1" applyAlignment="1">
      <alignment horizontal="center" vertical="center" wrapText="1"/>
    </xf>
    <xf numFmtId="14" fontId="0" fillId="0" borderId="36" xfId="0" applyNumberFormat="1" applyFill="1" applyBorder="1" applyAlignment="1">
      <alignment horizontal="center" vertical="center" wrapText="1"/>
    </xf>
    <xf numFmtId="14" fontId="0" fillId="0" borderId="29" xfId="0" applyNumberFormat="1" applyFill="1" applyBorder="1" applyAlignment="1">
      <alignment horizontal="center" vertical="center" wrapText="1"/>
    </xf>
    <xf numFmtId="0" fontId="0" fillId="0" borderId="29" xfId="0" applyFill="1" applyBorder="1" applyAlignment="1">
      <alignment wrapText="1"/>
    </xf>
    <xf numFmtId="14" fontId="1" fillId="0" borderId="29" xfId="0" applyNumberFormat="1" applyFont="1" applyFill="1" applyBorder="1" applyAlignment="1">
      <alignment horizontal="center" vertical="center" wrapText="1"/>
    </xf>
    <xf numFmtId="0" fontId="0" fillId="0" borderId="32" xfId="0" applyFill="1" applyBorder="1" applyAlignment="1">
      <alignment horizontal="center" vertical="center" wrapText="1"/>
    </xf>
    <xf numFmtId="0" fontId="0" fillId="0" borderId="33" xfId="0" applyFill="1" applyBorder="1" applyAlignment="1">
      <alignment horizontal="center" vertical="center" wrapText="1"/>
    </xf>
    <xf numFmtId="0" fontId="1" fillId="0" borderId="33" xfId="0" applyFont="1" applyFill="1" applyBorder="1" applyAlignment="1">
      <alignment horizontal="center" vertical="center" wrapText="1"/>
    </xf>
    <xf numFmtId="164" fontId="1" fillId="0" borderId="34" xfId="0" applyNumberFormat="1" applyFont="1" applyFill="1" applyBorder="1" applyAlignment="1">
      <alignment wrapText="1"/>
    </xf>
    <xf numFmtId="164" fontId="1" fillId="0" borderId="24" xfId="0" applyNumberFormat="1" applyFont="1" applyFill="1" applyBorder="1" applyAlignment="1">
      <alignment wrapText="1"/>
    </xf>
    <xf numFmtId="0" fontId="0" fillId="0" borderId="0" xfId="0" applyFill="1" applyAlignment="1">
      <alignment horizontal="center" vertical="center" wrapText="1"/>
    </xf>
    <xf numFmtId="164" fontId="0" fillId="0" borderId="0" xfId="0" applyNumberFormat="1" applyFill="1" applyAlignment="1">
      <alignment wrapText="1"/>
    </xf>
    <xf numFmtId="0" fontId="0" fillId="0" borderId="0" xfId="0" applyFill="1" applyBorder="1" applyAlignment="1">
      <alignment horizontal="center" vertical="center" wrapText="1"/>
    </xf>
    <xf numFmtId="0" fontId="0" fillId="0" borderId="0" xfId="0" applyFill="1" applyBorder="1" applyAlignment="1">
      <alignment wrapText="1"/>
    </xf>
    <xf numFmtId="164" fontId="1" fillId="0" borderId="34" xfId="0" applyNumberFormat="1" applyFont="1" applyFill="1" applyBorder="1" applyAlignment="1">
      <alignment horizontal="center" vertical="center" wrapText="1"/>
    </xf>
    <xf numFmtId="14" fontId="1" fillId="0" borderId="33" xfId="0" applyNumberFormat="1" applyFont="1" applyFill="1" applyBorder="1" applyAlignment="1">
      <alignment horizontal="center" vertical="center" wrapText="1"/>
    </xf>
    <xf numFmtId="0" fontId="0" fillId="0" borderId="28" xfId="0" applyFill="1" applyBorder="1" applyAlignment="1">
      <alignment horizontal="center" vertical="center" wrapText="1"/>
    </xf>
    <xf numFmtId="0" fontId="0" fillId="0" borderId="30" xfId="0" applyFill="1" applyBorder="1" applyAlignment="1">
      <alignment wrapText="1"/>
    </xf>
    <xf numFmtId="0" fontId="14" fillId="11" borderId="26" xfId="0" applyFont="1" applyFill="1" applyBorder="1" applyAlignment="1">
      <alignment horizontal="center" vertical="center" wrapText="1"/>
    </xf>
    <xf numFmtId="0" fontId="1" fillId="0" borderId="26" xfId="0" applyFont="1" applyBorder="1" applyAlignment="1">
      <alignment horizontal="center" vertical="center" wrapText="1"/>
    </xf>
    <xf numFmtId="0" fontId="1" fillId="0" borderId="29" xfId="0" applyFont="1" applyBorder="1" applyAlignment="1">
      <alignment horizontal="center" vertical="center" wrapText="1"/>
    </xf>
    <xf numFmtId="0" fontId="12" fillId="0" borderId="26" xfId="0" applyFont="1"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cellXfs>
  <cellStyles count="3">
    <cellStyle name="Hyperlink" xfId="1" builtinId="8"/>
    <cellStyle name="Normal" xfId="0" builtinId="0"/>
    <cellStyle name="Percent" xfId="2" builtinId="5"/>
  </cellStyles>
  <dxfs count="465">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66675</xdr:colOff>
          <xdr:row>14</xdr:row>
          <xdr:rowOff>95250</xdr:rowOff>
        </xdr:from>
        <xdr:to>
          <xdr:col>11</xdr:col>
          <xdr:colOff>666750</xdr:colOff>
          <xdr:row>17</xdr:row>
          <xdr:rowOff>114300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PRINT/FORMAT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ha Deghyes" id="{6F5AD03C-A2D0-450B-A804-9F1758F17660}" userId="S::TahaDeghyes@tfl.gov.uk::da7eecb3-e0fa-4d68-908c-844844052a96"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6F5AD03C-A2D0-450B-A804-9F1758F17660}" id="{D403C6AB-8919-4164-AFD7-30CCF8E635B5}">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tabSelected="1" zoomScale="90" zoomScaleNormal="90" workbookViewId="0">
      <selection activeCell="E12" sqref="E12"/>
    </sheetView>
  </sheetViews>
  <sheetFormatPr defaultRowHeight="15" x14ac:dyDescent="0.2"/>
  <cols>
    <col min="1" max="1" width="18" style="19"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x14ac:dyDescent="0.25">
      <c r="A1" s="18"/>
      <c r="B1" s="11"/>
      <c r="C1" s="11"/>
      <c r="D1" s="11"/>
      <c r="E1" s="11"/>
      <c r="F1" s="11"/>
      <c r="G1" s="11"/>
      <c r="H1" s="11"/>
      <c r="I1" s="7"/>
      <c r="J1" s="7"/>
      <c r="K1" s="7"/>
      <c r="L1" s="7"/>
      <c r="M1" s="7"/>
      <c r="N1" s="7"/>
      <c r="O1" s="7"/>
      <c r="P1" s="11"/>
      <c r="Q1" s="11"/>
      <c r="R1" s="11"/>
      <c r="S1" s="11"/>
      <c r="T1" s="11"/>
      <c r="U1" s="11"/>
      <c r="V1" s="11"/>
      <c r="W1" s="11"/>
      <c r="X1" s="11"/>
      <c r="Y1" s="11"/>
      <c r="Z1" s="11"/>
      <c r="AA1" s="11"/>
      <c r="AB1" s="11"/>
      <c r="AC1" s="11"/>
      <c r="AD1" s="11"/>
      <c r="AE1" s="11"/>
      <c r="AF1" s="11"/>
      <c r="AG1" s="11"/>
      <c r="AH1" s="11"/>
      <c r="AI1" s="11"/>
      <c r="AJ1" s="11"/>
      <c r="AK1" s="11"/>
    </row>
    <row r="2" spans="1:37" ht="32.25" thickBot="1" x14ac:dyDescent="0.25">
      <c r="A2" s="69" t="s">
        <v>0</v>
      </c>
      <c r="B2" s="45">
        <v>58</v>
      </c>
      <c r="C2" s="11"/>
      <c r="D2" s="11"/>
      <c r="E2" s="11"/>
      <c r="F2" s="11"/>
      <c r="G2" s="11"/>
      <c r="H2" s="11"/>
      <c r="I2" s="16" t="s">
        <v>1</v>
      </c>
      <c r="J2" s="20"/>
      <c r="K2" s="17" t="s">
        <v>2</v>
      </c>
      <c r="L2" s="13" t="s">
        <v>3</v>
      </c>
      <c r="M2" s="14"/>
      <c r="N2" s="15"/>
      <c r="O2" s="7"/>
      <c r="P2" s="11"/>
      <c r="Q2" s="11"/>
      <c r="R2" s="11"/>
      <c r="S2" s="11"/>
      <c r="T2" s="11"/>
      <c r="U2" s="11"/>
      <c r="V2" s="11"/>
      <c r="W2" s="11"/>
      <c r="X2" s="11"/>
      <c r="Y2" s="11"/>
      <c r="Z2" s="11"/>
      <c r="AA2" s="11"/>
      <c r="AB2" s="11"/>
      <c r="AC2" s="11"/>
      <c r="AD2" s="11"/>
      <c r="AE2" s="11"/>
      <c r="AF2" s="11"/>
      <c r="AG2" s="11"/>
      <c r="AH2" s="11"/>
      <c r="AI2" s="11"/>
      <c r="AJ2" s="11"/>
      <c r="AK2" s="11"/>
    </row>
    <row r="3" spans="1:37" ht="15.75" thickBot="1" x14ac:dyDescent="0.25">
      <c r="A3" s="18"/>
      <c r="B3" s="11"/>
      <c r="C3" s="11"/>
      <c r="D3" s="11"/>
      <c r="E3" s="11"/>
      <c r="F3" s="11"/>
      <c r="G3" s="11"/>
      <c r="H3" s="11"/>
      <c r="I3" s="7"/>
      <c r="J3" s="7"/>
      <c r="K3" s="7"/>
      <c r="L3" s="7"/>
      <c r="M3" s="7"/>
      <c r="N3" s="7"/>
      <c r="O3" s="7"/>
      <c r="P3" s="11"/>
      <c r="Q3" s="11"/>
      <c r="R3" s="11"/>
      <c r="S3" s="11"/>
      <c r="T3" s="11"/>
      <c r="U3" s="11"/>
      <c r="V3" s="11"/>
      <c r="W3" s="11"/>
      <c r="X3" s="11"/>
      <c r="Y3" s="11"/>
      <c r="Z3" s="11"/>
      <c r="AA3" s="11"/>
      <c r="AB3" s="11"/>
      <c r="AC3" s="11"/>
      <c r="AD3" s="11"/>
      <c r="AE3" s="11"/>
      <c r="AF3" s="11"/>
      <c r="AG3" s="11"/>
      <c r="AH3" s="11"/>
      <c r="AI3" s="11"/>
      <c r="AJ3" s="11"/>
      <c r="AK3" s="11"/>
    </row>
    <row r="4" spans="1:37" ht="48" thickBot="1" x14ac:dyDescent="0.3">
      <c r="A4" s="37"/>
      <c r="B4" s="32" t="s">
        <v>4</v>
      </c>
      <c r="C4" s="41" t="s">
        <v>5</v>
      </c>
      <c r="D4" s="40"/>
      <c r="E4" s="33" t="s">
        <v>6</v>
      </c>
      <c r="F4" s="34" t="s">
        <v>7</v>
      </c>
      <c r="G4" s="35" t="s">
        <v>8</v>
      </c>
      <c r="H4" s="34" t="s">
        <v>9</v>
      </c>
      <c r="I4" s="7"/>
      <c r="J4" s="7"/>
      <c r="K4" s="7"/>
      <c r="L4" s="7"/>
      <c r="M4" s="7"/>
      <c r="N4" s="11"/>
      <c r="O4" s="11"/>
      <c r="P4" s="11"/>
      <c r="Q4" s="11"/>
      <c r="R4" s="11"/>
      <c r="S4" s="11"/>
      <c r="T4" s="11"/>
      <c r="U4" s="11"/>
      <c r="V4" s="11"/>
      <c r="W4" s="11"/>
      <c r="X4" s="11"/>
      <c r="Y4" s="11"/>
      <c r="Z4" s="11"/>
      <c r="AA4" s="11"/>
      <c r="AB4" s="11"/>
      <c r="AC4" s="11"/>
      <c r="AD4" s="11"/>
      <c r="AE4" s="11"/>
      <c r="AF4" s="11"/>
      <c r="AG4" s="11"/>
      <c r="AH4" s="11"/>
      <c r="AI4" s="11"/>
      <c r="AJ4" s="11"/>
      <c r="AK4" s="11"/>
    </row>
    <row r="5" spans="1:37" ht="16.5" thickBot="1" x14ac:dyDescent="0.3">
      <c r="A5" s="38" t="s">
        <v>10</v>
      </c>
      <c r="B5" s="43">
        <v>96108</v>
      </c>
      <c r="C5" s="44">
        <v>96095</v>
      </c>
      <c r="D5" s="46" t="s">
        <v>11</v>
      </c>
      <c r="E5" s="26" t="s">
        <v>12</v>
      </c>
      <c r="F5" s="48">
        <f>IF($B$17="No",SUM(COUNTIFS('De-Icer DM'!$B:$B,Summary!D5),COUNTIFS('De-Icer Trailer'!$B:$B,Summary!D5),COUNTIFS('DE-Icer UNDM'!$B:$B,Summary!D5),COUNTIFS('DM 4 Car'!$B:$B,Summary!D5),COUNTIFS('Trailer 4 Car'!$B:$B,Summary!D5),COUNTIFS('Special Trailer 4 Car'!$B:$B,Summary!D5),COUNTIFS('UNDM 4 Car'!$B:$B,Summary!D5)),)</f>
        <v>81</v>
      </c>
      <c r="G5" s="30">
        <f>IF($B$17="No",SUM(COUNTIFS('De-Icer DM'!$E:$E,"Yes",'De-Icer DM'!$B:$B,Summary!D5),COUNTIFS('De-Icer Trailer'!$E:$E,"Yes",'De-Icer Trailer'!$B:$B,Summary!D5),COUNTIFS('DE-Icer UNDM'!$E:$E,"Yes",'DE-Icer UNDM'!$B:$B,Summary!D5),COUNTIFS('DM 4 Car'!$E:$E,"Yes",'DM 4 Car'!$B:$B,Summary!D5),COUNTIFS('Trailer 4 Car'!$E:$E,"Yes",'Trailer 4 Car'!$B:$B,Summary!D5),COUNTIFS('Special Trailer 4 Car'!$E:$E,"Yes",'Special Trailer 4 Car'!$B:$B,Summary!D5),COUNTIFS('UNDM 4 Car'!$E:$E,"Yes",'UNDM 4 Car'!$B:$B,Summary!D5)),)</f>
        <v>81</v>
      </c>
      <c r="H5" s="28">
        <f t="shared" ref="H5:H6" si="0">IFERROR(G5/F5,0)</f>
        <v>1</v>
      </c>
      <c r="I5" s="7"/>
      <c r="J5" s="7"/>
      <c r="K5" s="7"/>
      <c r="L5" s="7"/>
      <c r="M5" s="7"/>
      <c r="N5" s="11"/>
      <c r="O5" s="11"/>
      <c r="P5" s="11"/>
      <c r="Q5" s="11"/>
      <c r="R5" s="11"/>
      <c r="S5" s="11"/>
      <c r="T5" s="11"/>
      <c r="U5" s="11"/>
      <c r="V5" s="11"/>
      <c r="W5" s="11"/>
      <c r="X5" s="11"/>
      <c r="Y5" s="11"/>
      <c r="Z5" s="11"/>
      <c r="AA5" s="11"/>
      <c r="AB5" s="11"/>
      <c r="AC5" s="11"/>
      <c r="AD5" s="11"/>
      <c r="AE5" s="11"/>
      <c r="AF5" s="11"/>
      <c r="AG5" s="11"/>
      <c r="AH5" s="11"/>
      <c r="AI5" s="11"/>
      <c r="AJ5" s="11"/>
      <c r="AK5" s="11"/>
    </row>
    <row r="6" spans="1:37" ht="32.25" thickBot="1" x14ac:dyDescent="0.3">
      <c r="A6" s="38" t="s">
        <v>13</v>
      </c>
      <c r="B6" s="26" cm="1">
        <f t="array" ref="B6">_xlfn.IFS($B$17="No",SUMPRODUCT(B21:D21),$B$17="Yes",SUMPRODUCT(I21:K21))</f>
        <v>184</v>
      </c>
      <c r="C6">
        <f>SUMPRODUCT(E21:H21)</f>
        <v>214</v>
      </c>
      <c r="D6" s="46" t="s">
        <v>14</v>
      </c>
      <c r="E6" s="26" t="s">
        <v>12</v>
      </c>
      <c r="F6" s="30">
        <f>IF($B$17="No",SUM(COUNTIFS('De-Icer DM'!$B:$B,Summary!D6),COUNTIFS('De-Icer Trailer'!$B:$B,Summary!D6),COUNTIFS('DE-Icer UNDM'!$B:$B,Summary!D6),COUNTIFS('DM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30">
        <f>IF($B$17="No",SUM(COUNTIFS('De-Icer DM'!$E:$E,"Yes",'De-Icer DM'!$B:$B,Summary!D6),COUNTIFS('De-Icer Trailer'!$E:$E,"Yes",'De-Icer Trailer'!$B:$B,Summary!D6),COUNTIFS('DE-Icer UNDM'!$E:$E,"Yes",'DE-Icer UNDM'!$B:$B,Summary!D6),COUNTIFS('DM 4 Car'!$E:$E,"Yes",'DM 4 Car'!$B:$B,Summary!D6),COUNTIFS('Trailer 4 Car'!$E:$E,"Yes",'Trailer 4 Car'!$B:$B,Summary!D6),COUNTIFS('Special Trailer 4 Car'!$E:$E,"Yes",'Special Trailer 4 Car'!$B:$B,Summary!D6),COUNTIFS('UNDM 4 Car'!$E:$E,"Yes",'UNDM 4 Car'!$B:$B,Summary!D6)))</f>
        <v>82</v>
      </c>
      <c r="H6" s="28">
        <f t="shared" si="0"/>
        <v>0.93181818181818177</v>
      </c>
      <c r="I6" s="7"/>
      <c r="J6" s="7"/>
      <c r="K6" s="7"/>
      <c r="L6" s="7"/>
      <c r="M6" s="7"/>
      <c r="N6" s="11"/>
      <c r="O6" s="11"/>
      <c r="P6" s="137" t="s">
        <v>15</v>
      </c>
      <c r="Q6" s="138"/>
      <c r="R6" s="139"/>
      <c r="S6" s="11"/>
      <c r="T6" s="11"/>
      <c r="U6" s="11"/>
      <c r="V6" s="11"/>
      <c r="W6" s="11"/>
      <c r="X6" s="11"/>
      <c r="Y6" s="11"/>
      <c r="Z6" s="11"/>
      <c r="AA6" s="11"/>
      <c r="AB6" s="11"/>
      <c r="AC6" s="11"/>
      <c r="AD6" s="11"/>
      <c r="AE6" s="11"/>
      <c r="AF6" s="11"/>
      <c r="AG6" s="11"/>
      <c r="AH6" s="11"/>
      <c r="AI6" s="11"/>
      <c r="AJ6" s="11"/>
      <c r="AK6" s="11"/>
    </row>
    <row r="7" spans="1:37" ht="16.5" thickBot="1" x14ac:dyDescent="0.3">
      <c r="A7" s="38" t="s">
        <v>16</v>
      </c>
      <c r="B7" s="26" cm="1">
        <f t="array" ref="B7">_xlfn.IFS($B$17="No",SUMPRODUCT(B22:D22),$B$17="Yes",SUMPRODUCT(I22:K22))</f>
        <v>10</v>
      </c>
      <c r="C7">
        <f t="shared" ref="C7:C8" si="1">SUMPRODUCT(E22:H22)</f>
        <v>10</v>
      </c>
      <c r="D7" s="46" t="s">
        <v>17</v>
      </c>
      <c r="E7" s="26" t="s">
        <v>12</v>
      </c>
      <c r="F7" s="30">
        <f>IF($B$17="No",SUM(COUNTIFS('De-Icer DM'!$B:$B,Summary!D7),COUNTIFS('De-Icer Trailer'!$B:$B,Summary!D7),COUNTIFS('DE-Icer UNDM'!$B:$B,Summary!D7),COUNTIFS('DM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30">
        <f>IF($B$17="No",SUM(COUNTIFS('De-Icer DM'!$E:$E,"Yes",'De-Icer DM'!$B:$B,Summary!D7),COUNTIFS('De-Icer Trailer'!$E:$E,"Yes",'De-Icer Trailer'!$B:$B,Summary!D7),COUNTIFS('DE-Icer UNDM'!$E:$E,"Yes",'DE-Icer UNDM'!$B:$B,Summary!D7),COUNTIFS('DM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215</v>
      </c>
      <c r="H7" s="28">
        <f>IFERROR(G7/F7,0)</f>
        <v>0.93886462882096067</v>
      </c>
      <c r="I7" s="7"/>
      <c r="J7" s="7"/>
      <c r="K7" s="7"/>
      <c r="L7" s="7"/>
      <c r="M7" s="7"/>
      <c r="N7" s="11"/>
      <c r="O7" s="11"/>
      <c r="P7" s="140" t="s">
        <v>18</v>
      </c>
      <c r="Q7" s="141"/>
      <c r="R7" s="60" t="s">
        <v>19</v>
      </c>
      <c r="S7" s="11"/>
      <c r="T7" s="11"/>
      <c r="U7" s="11"/>
      <c r="V7" s="11"/>
      <c r="W7" s="11"/>
      <c r="X7" s="11"/>
      <c r="Y7" s="11"/>
      <c r="Z7" s="11"/>
      <c r="AA7" s="11"/>
      <c r="AB7" s="11"/>
      <c r="AC7" s="11"/>
      <c r="AD7" s="11"/>
      <c r="AE7" s="11"/>
      <c r="AF7" s="11"/>
      <c r="AG7" s="11"/>
      <c r="AH7" s="11"/>
      <c r="AI7" s="11"/>
      <c r="AJ7" s="11"/>
      <c r="AK7" s="11"/>
    </row>
    <row r="8" spans="1:37" ht="15.75" x14ac:dyDescent="0.25">
      <c r="A8" s="38" t="s">
        <v>20</v>
      </c>
      <c r="B8" s="26" cm="1">
        <f t="array" ref="B8">_xlfn.IFS($B$17="No",SUMPRODUCT(B23:D23),$B$17="Yes",SUMPRODUCT(I23:K23))</f>
        <v>0</v>
      </c>
      <c r="C8">
        <f t="shared" si="1"/>
        <v>0</v>
      </c>
      <c r="D8" s="46" t="s">
        <v>21</v>
      </c>
      <c r="E8" s="26" t="s">
        <v>22</v>
      </c>
      <c r="F8" s="30">
        <f>IF($B$17="No",SUM(COUNTIFS('De-Icer DM'!$B:$B,Summary!D8),COUNTIFS('De-Icer Trailer'!$B:$B,Summary!D8),COUNTIFS('DE-Icer UNDM'!$B:$B,Summary!D8),COUNTIFS('DM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131</v>
      </c>
      <c r="G8" s="30">
        <f>IF($B$17="No",SUM(COUNTIFS('De-Icer DM'!$E:$E,"Yes",'De-Icer DM'!$B:$B,Summary!D8),COUNTIFS('De-Icer Trailer'!$E:$E,"Yes",'De-Icer Trailer'!$B:$B,Summary!D8),COUNTIFS('DE-Icer UNDM'!$E:$E,"Yes",'DE-Icer UNDM'!$B:$B,Summary!D8),COUNTIFS('DM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22</v>
      </c>
      <c r="H8" s="28">
        <f t="shared" ref="H8:H9" si="2">IFERROR(G8/F8,0)</f>
        <v>0.16793893129770993</v>
      </c>
      <c r="I8" s="7"/>
      <c r="J8" s="7"/>
      <c r="K8" s="7"/>
      <c r="L8" s="7"/>
      <c r="M8" s="7"/>
      <c r="N8" s="11"/>
      <c r="O8" s="11"/>
      <c r="P8" s="142" t="s">
        <v>23</v>
      </c>
      <c r="Q8" s="143"/>
      <c r="R8" s="61" t="s">
        <v>12</v>
      </c>
      <c r="S8" s="11"/>
      <c r="T8" s="11"/>
      <c r="U8" s="11"/>
      <c r="V8" s="11"/>
      <c r="W8" s="11"/>
      <c r="X8" s="11"/>
      <c r="Y8" s="11"/>
      <c r="Z8" s="11"/>
      <c r="AA8" s="11"/>
      <c r="AB8" s="11"/>
      <c r="AC8" s="11"/>
      <c r="AD8" s="11"/>
      <c r="AE8" s="11"/>
      <c r="AF8" s="11"/>
      <c r="AG8" s="11"/>
      <c r="AH8" s="11"/>
      <c r="AI8" s="11"/>
      <c r="AJ8" s="11"/>
      <c r="AK8" s="11"/>
    </row>
    <row r="9" spans="1:37" ht="16.5" thickBot="1" x14ac:dyDescent="0.3">
      <c r="A9" s="39" t="s">
        <v>24</v>
      </c>
      <c r="B9" s="27" cm="1">
        <f t="array" ref="B9">_xlfn.IFS($B$17="No",SUMPRODUCT(B24:D24),$B$17="Yes",SUMPRODUCT(I24:K24))</f>
        <v>174</v>
      </c>
      <c r="C9" s="27">
        <f>SUMPRODUCT(E24:H24)</f>
        <v>204</v>
      </c>
      <c r="D9" s="47" t="s">
        <v>25</v>
      </c>
      <c r="E9" s="27" t="s">
        <v>22</v>
      </c>
      <c r="F9" s="31">
        <f>IF($B$17="No",SUM(COUNTIFS('De-Icer DM'!$B:$B,Summary!D9),COUNTIFS('De-Icer Trailer'!$B:$B,Summary!D9),COUNTIFS('DE-Icer UNDM'!$B:$B,Summary!D9),COUNTIFS('DM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31">
        <f>IF($B$17="No",SUM(COUNTIFS('De-Icer DM'!$E:$E,"Yes",'De-Icer DM'!$B:$B,Summary!D9),COUNTIFS('De-Icer Trailer'!$E:$E,"Yes",'De-Icer Trailer'!$B:$B,Summary!D9),COUNTIFS('DE-Icer UNDM'!$E:$E,"Yes",'DE-Icer UNDM'!$B:$B,Summary!D9),COUNTIFS('DM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29">
        <f t="shared" si="2"/>
        <v>0</v>
      </c>
      <c r="I9" s="7"/>
      <c r="J9" s="7"/>
      <c r="K9" s="7"/>
      <c r="L9" s="7"/>
      <c r="M9" s="7"/>
      <c r="N9" s="11"/>
      <c r="O9" s="11"/>
      <c r="P9" s="144" t="s">
        <v>26</v>
      </c>
      <c r="Q9" s="145"/>
      <c r="R9" s="27" t="s">
        <v>12</v>
      </c>
      <c r="S9" s="11"/>
      <c r="T9" s="11"/>
      <c r="U9" s="11"/>
      <c r="V9" s="11"/>
      <c r="W9" s="11"/>
      <c r="X9" s="11"/>
      <c r="Y9" s="11"/>
      <c r="Z9" s="11"/>
      <c r="AA9" s="11"/>
      <c r="AB9" s="11"/>
      <c r="AC9" s="11"/>
      <c r="AD9" s="11"/>
      <c r="AE9" s="11"/>
      <c r="AF9" s="11"/>
      <c r="AG9" s="11"/>
      <c r="AH9" s="11"/>
      <c r="AI9" s="11"/>
      <c r="AJ9" s="11"/>
      <c r="AK9" s="11"/>
    </row>
    <row r="10" spans="1:37" x14ac:dyDescent="0.2">
      <c r="A10" s="11"/>
      <c r="B10" s="11"/>
      <c r="C10" s="11"/>
      <c r="D10" s="11"/>
      <c r="E10" s="11"/>
      <c r="F10" s="11"/>
      <c r="G10" s="11"/>
      <c r="H10" s="11"/>
      <c r="I10" s="7"/>
      <c r="J10" s="7"/>
      <c r="K10" s="7"/>
      <c r="L10" s="7"/>
      <c r="M10" s="7"/>
      <c r="N10" s="11"/>
      <c r="O10" s="11"/>
      <c r="P10" s="12"/>
      <c r="Q10" s="12"/>
      <c r="R10" s="12"/>
      <c r="S10" s="11"/>
      <c r="T10" s="11"/>
      <c r="U10" s="11"/>
      <c r="V10" s="11"/>
      <c r="W10" s="11"/>
      <c r="X10" s="11"/>
      <c r="Y10" s="11"/>
      <c r="Z10" s="11"/>
      <c r="AA10" s="11"/>
      <c r="AB10" s="11"/>
      <c r="AC10" s="11"/>
      <c r="AD10" s="11"/>
      <c r="AE10" s="11"/>
      <c r="AF10" s="11"/>
      <c r="AG10" s="11"/>
      <c r="AH10" s="11"/>
      <c r="AI10" s="11"/>
      <c r="AJ10" s="11"/>
      <c r="AK10" s="11"/>
    </row>
    <row r="11" spans="1:37" x14ac:dyDescent="0.2">
      <c r="A11" s="11"/>
      <c r="B11" s="11"/>
      <c r="C11" s="11"/>
      <c r="D11" s="11"/>
      <c r="E11" s="11"/>
      <c r="F11" s="11"/>
      <c r="G11" s="11"/>
      <c r="H11" s="11"/>
      <c r="I11" s="7"/>
      <c r="J11" s="7"/>
      <c r="K11" s="7"/>
      <c r="L11" s="7"/>
      <c r="M11" s="7"/>
      <c r="N11" s="11"/>
      <c r="O11" s="11"/>
      <c r="P11" s="12"/>
      <c r="Q11" s="12"/>
      <c r="R11" s="12"/>
      <c r="S11" s="11"/>
      <c r="T11" s="11"/>
      <c r="U11" s="11"/>
      <c r="V11" s="11"/>
      <c r="W11" s="11"/>
      <c r="X11" s="11"/>
      <c r="Y11" s="11"/>
      <c r="Z11" s="11"/>
      <c r="AA11" s="11"/>
      <c r="AB11" s="11"/>
      <c r="AC11" s="11"/>
      <c r="AD11" s="11"/>
      <c r="AE11" s="11"/>
      <c r="AF11" s="11"/>
      <c r="AG11" s="11"/>
      <c r="AH11" s="11"/>
      <c r="AI11" s="11"/>
      <c r="AJ11" s="11"/>
      <c r="AK11" s="11"/>
    </row>
    <row r="12" spans="1:37" x14ac:dyDescent="0.2">
      <c r="A12" s="11"/>
      <c r="B12" s="11"/>
      <c r="C12" s="11"/>
      <c r="D12" s="11"/>
      <c r="E12" s="11"/>
      <c r="F12" s="11"/>
      <c r="G12" s="11"/>
      <c r="H12" s="11"/>
      <c r="I12" s="7"/>
      <c r="J12" s="7"/>
      <c r="K12" s="7"/>
      <c r="L12" s="7"/>
      <c r="M12" s="7"/>
      <c r="N12" s="11"/>
      <c r="O12" s="11"/>
      <c r="P12" s="12"/>
      <c r="Q12" s="12"/>
      <c r="R12" s="12"/>
      <c r="S12" s="11"/>
      <c r="T12" s="11"/>
      <c r="U12" s="11"/>
      <c r="V12" s="11"/>
      <c r="W12" s="11"/>
      <c r="X12" s="11"/>
      <c r="Y12" s="11"/>
      <c r="Z12" s="11"/>
      <c r="AA12" s="11"/>
      <c r="AB12" s="11"/>
      <c r="AC12" s="11"/>
      <c r="AD12" s="11"/>
      <c r="AE12" s="11"/>
      <c r="AF12" s="11"/>
      <c r="AG12" s="11"/>
      <c r="AH12" s="11"/>
      <c r="AI12" s="11"/>
      <c r="AJ12" s="11"/>
      <c r="AK12" s="11"/>
    </row>
    <row r="13" spans="1:37" x14ac:dyDescent="0.2">
      <c r="A13" s="11"/>
      <c r="B13" s="11"/>
      <c r="C13" s="11"/>
      <c r="D13" s="11"/>
      <c r="E13" s="11"/>
      <c r="F13" s="11"/>
      <c r="G13" s="11"/>
      <c r="H13" s="11"/>
      <c r="I13" s="7"/>
      <c r="J13" s="7"/>
      <c r="K13" s="7"/>
      <c r="L13" s="7"/>
      <c r="M13" s="7"/>
      <c r="N13" s="11"/>
      <c r="O13" s="11"/>
      <c r="P13" s="12"/>
      <c r="Q13" s="12"/>
      <c r="R13" s="12"/>
      <c r="S13" s="11"/>
      <c r="T13" s="11"/>
      <c r="U13" s="11"/>
      <c r="V13" s="11"/>
      <c r="W13" s="11"/>
      <c r="X13" s="11"/>
      <c r="Y13" s="11"/>
      <c r="Z13" s="11"/>
      <c r="AA13" s="11"/>
      <c r="AB13" s="11"/>
      <c r="AC13" s="11"/>
      <c r="AD13" s="11"/>
      <c r="AE13" s="11"/>
      <c r="AF13" s="11"/>
      <c r="AG13" s="11"/>
      <c r="AH13" s="11"/>
      <c r="AI13" s="11"/>
      <c r="AJ13" s="11"/>
      <c r="AK13" s="11"/>
    </row>
    <row r="14" spans="1:37" x14ac:dyDescent="0.2">
      <c r="A14" s="11"/>
      <c r="B14" s="11"/>
      <c r="C14" s="11"/>
      <c r="D14" s="11"/>
      <c r="E14" s="11"/>
      <c r="F14" s="11"/>
      <c r="G14" s="11"/>
      <c r="H14" s="11"/>
      <c r="I14" s="7"/>
      <c r="J14" s="7"/>
      <c r="K14" s="7"/>
      <c r="L14" s="7"/>
      <c r="M14" s="7"/>
      <c r="N14" s="11"/>
      <c r="O14" s="11"/>
      <c r="P14" s="11"/>
      <c r="Q14" s="11"/>
      <c r="R14" s="11"/>
      <c r="S14" s="11"/>
      <c r="T14" s="11"/>
      <c r="U14" s="11"/>
      <c r="V14" s="11"/>
      <c r="W14" s="11"/>
      <c r="X14" s="11"/>
      <c r="Y14" s="11"/>
      <c r="Z14" s="11"/>
      <c r="AA14" s="11"/>
      <c r="AB14" s="11"/>
      <c r="AC14" s="11"/>
      <c r="AD14" s="11"/>
      <c r="AE14" s="11"/>
      <c r="AF14" s="11"/>
      <c r="AG14" s="11"/>
      <c r="AH14" s="11"/>
      <c r="AI14" s="11"/>
      <c r="AJ14" s="11"/>
      <c r="AK14" s="11"/>
    </row>
    <row r="15" spans="1:37" x14ac:dyDescent="0.2">
      <c r="A15" s="18"/>
      <c r="B15" s="11"/>
      <c r="C15" s="11"/>
      <c r="D15" s="11"/>
      <c r="E15" s="11"/>
      <c r="F15" s="11"/>
      <c r="G15" s="11"/>
      <c r="H15" s="11"/>
      <c r="I15" s="7"/>
      <c r="J15" s="87"/>
      <c r="K15" s="87"/>
      <c r="L15" s="87"/>
      <c r="M15" s="7"/>
      <c r="N15" s="11"/>
      <c r="O15" s="11"/>
      <c r="P15" s="11"/>
      <c r="Q15" s="11"/>
      <c r="R15" s="11"/>
      <c r="S15" s="11"/>
      <c r="T15" s="11"/>
      <c r="U15" s="11"/>
      <c r="V15" s="11"/>
      <c r="W15" s="11"/>
      <c r="X15" s="11"/>
      <c r="Y15" s="11"/>
      <c r="Z15" s="11"/>
      <c r="AA15" s="11"/>
      <c r="AB15" s="11"/>
      <c r="AC15" s="11"/>
      <c r="AD15" s="11"/>
      <c r="AE15" s="11"/>
      <c r="AF15" s="11"/>
      <c r="AG15" s="11"/>
      <c r="AH15" s="11"/>
      <c r="AI15" s="11"/>
      <c r="AJ15" s="11"/>
      <c r="AK15" s="11"/>
    </row>
    <row r="16" spans="1:37" x14ac:dyDescent="0.2">
      <c r="A16" s="18"/>
      <c r="B16" s="11"/>
      <c r="C16" s="11"/>
      <c r="D16" s="11"/>
      <c r="E16" s="11"/>
      <c r="F16" s="11"/>
      <c r="G16" s="11"/>
      <c r="H16" s="11"/>
      <c r="I16" s="7"/>
      <c r="J16" s="87"/>
      <c r="K16" s="87"/>
      <c r="L16" s="87"/>
      <c r="M16" s="7"/>
      <c r="N16" s="11"/>
      <c r="O16" s="11"/>
      <c r="P16" s="11"/>
      <c r="Q16" s="11"/>
      <c r="R16" s="11"/>
      <c r="S16" s="11"/>
      <c r="T16" s="11"/>
      <c r="U16" s="11"/>
      <c r="V16" s="11"/>
      <c r="W16" s="11"/>
      <c r="X16" s="11"/>
      <c r="Y16" s="11"/>
      <c r="Z16" s="11"/>
      <c r="AA16" s="11"/>
      <c r="AB16" s="11"/>
      <c r="AC16" s="11"/>
      <c r="AD16" s="11"/>
      <c r="AE16" s="11"/>
      <c r="AF16" s="11"/>
      <c r="AG16" s="11"/>
      <c r="AH16" s="11"/>
      <c r="AI16" s="11"/>
      <c r="AJ16" s="11"/>
      <c r="AK16" s="11"/>
    </row>
    <row r="17" spans="1:37" ht="15.75" x14ac:dyDescent="0.2">
      <c r="A17" s="36"/>
      <c r="B17" s="44" t="s">
        <v>22</v>
      </c>
      <c r="C17" s="11"/>
      <c r="D17" s="11"/>
      <c r="E17" s="11"/>
      <c r="F17" s="11"/>
      <c r="G17" s="11"/>
      <c r="H17" s="11"/>
      <c r="I17" s="7"/>
      <c r="J17" s="87"/>
      <c r="K17" s="87"/>
      <c r="L17" s="87"/>
      <c r="M17" s="7"/>
      <c r="N17" s="11"/>
      <c r="O17" s="11"/>
      <c r="P17" s="11"/>
      <c r="Q17" s="11"/>
      <c r="R17" s="11"/>
      <c r="S17" s="11"/>
      <c r="T17" s="11"/>
      <c r="U17" s="11"/>
      <c r="V17" s="11"/>
      <c r="W17" s="11"/>
      <c r="X17" s="11"/>
      <c r="Y17" s="11"/>
      <c r="Z17" s="11"/>
      <c r="AA17" s="11"/>
      <c r="AB17" s="11"/>
      <c r="AC17" s="11"/>
      <c r="AD17" s="11"/>
      <c r="AE17" s="11"/>
      <c r="AF17" s="11"/>
      <c r="AG17" s="11"/>
      <c r="AH17" s="11"/>
      <c r="AI17" s="11"/>
      <c r="AJ17" s="11"/>
      <c r="AK17" s="11"/>
    </row>
    <row r="18" spans="1:37" x14ac:dyDescent="0.2">
      <c r="A18" s="11"/>
      <c r="B18" s="11"/>
      <c r="C18" s="11"/>
      <c r="D18" s="11"/>
      <c r="E18" s="11"/>
      <c r="F18" s="11"/>
      <c r="G18" s="11"/>
      <c r="H18" s="11"/>
      <c r="I18" s="7"/>
      <c r="J18" s="87"/>
      <c r="K18" s="87"/>
      <c r="L18" s="87"/>
      <c r="M18" s="7"/>
      <c r="N18" s="11"/>
      <c r="O18" s="11"/>
      <c r="P18" s="11"/>
      <c r="Q18" s="11"/>
      <c r="R18" s="11"/>
      <c r="S18" s="11"/>
      <c r="T18" s="11"/>
      <c r="U18" s="11"/>
      <c r="V18" s="11"/>
      <c r="W18" s="11"/>
      <c r="X18" s="11"/>
      <c r="Y18" s="11"/>
      <c r="Z18" s="11"/>
      <c r="AA18" s="11"/>
      <c r="AB18" s="11"/>
      <c r="AC18" s="11"/>
      <c r="AD18" s="11"/>
      <c r="AE18" s="11"/>
      <c r="AF18" s="11"/>
      <c r="AG18" s="11"/>
      <c r="AH18" s="11"/>
      <c r="AI18" s="11"/>
      <c r="AJ18" s="11"/>
      <c r="AK18" s="11"/>
    </row>
    <row r="19" spans="1:37" s="1" customFormat="1" ht="31.5" x14ac:dyDescent="0.2">
      <c r="A19" s="11"/>
      <c r="B19" s="42" t="s">
        <v>27</v>
      </c>
      <c r="C19" s="42" t="s">
        <v>28</v>
      </c>
      <c r="D19" s="42" t="s">
        <v>29</v>
      </c>
      <c r="E19" s="42" t="s">
        <v>30</v>
      </c>
      <c r="F19" s="42" t="s">
        <v>31</v>
      </c>
      <c r="G19" s="42" t="s">
        <v>32</v>
      </c>
      <c r="H19" s="42" t="s">
        <v>33</v>
      </c>
      <c r="I19" s="7"/>
      <c r="J19" s="42"/>
      <c r="K19" s="42"/>
      <c r="L19" s="42" t="s">
        <v>34</v>
      </c>
      <c r="M19" s="7"/>
      <c r="N19" s="12"/>
      <c r="O19" s="12"/>
      <c r="P19" s="12"/>
      <c r="Q19" s="12"/>
      <c r="R19" s="12"/>
      <c r="S19" s="12"/>
      <c r="T19" s="12"/>
      <c r="U19" s="12"/>
      <c r="V19" s="12"/>
      <c r="W19" s="12"/>
      <c r="X19" s="12"/>
      <c r="Y19" s="12"/>
      <c r="Z19" s="12"/>
      <c r="AA19" s="12"/>
      <c r="AB19" s="12"/>
      <c r="AC19" s="12"/>
      <c r="AD19" s="12"/>
      <c r="AE19" s="12"/>
      <c r="AF19" s="12"/>
      <c r="AG19" s="12"/>
      <c r="AH19" s="12"/>
      <c r="AI19" s="12"/>
      <c r="AJ19" s="12"/>
      <c r="AK19" s="12"/>
    </row>
    <row r="20" spans="1:37" x14ac:dyDescent="0.2">
      <c r="A20" s="18"/>
      <c r="B20" s="11"/>
      <c r="C20" s="11"/>
      <c r="D20" s="11"/>
      <c r="E20" s="11"/>
      <c r="F20" s="11"/>
      <c r="G20" s="11"/>
      <c r="H20" s="11"/>
      <c r="I20" s="7"/>
      <c r="J20" s="11"/>
      <c r="K20" s="11"/>
      <c r="L20" s="11"/>
      <c r="M20" s="7"/>
      <c r="N20" s="12"/>
      <c r="O20" s="11"/>
      <c r="P20" s="11"/>
      <c r="Q20" s="11"/>
      <c r="R20" s="11"/>
      <c r="S20" s="11"/>
      <c r="T20" s="11"/>
      <c r="U20" s="11"/>
      <c r="V20" s="11"/>
      <c r="W20" s="11"/>
      <c r="X20" s="11"/>
      <c r="Y20" s="11"/>
      <c r="Z20" s="11"/>
      <c r="AA20" s="11"/>
      <c r="AB20" s="11"/>
      <c r="AC20" s="11"/>
      <c r="AD20" s="11"/>
      <c r="AE20" s="11"/>
      <c r="AF20" s="11"/>
      <c r="AG20" s="11"/>
      <c r="AH20" s="11"/>
      <c r="AI20" s="11"/>
      <c r="AJ20" s="11"/>
      <c r="AK20" s="11"/>
    </row>
    <row r="21" spans="1:37" ht="15.75" x14ac:dyDescent="0.2">
      <c r="A21" s="36" t="s">
        <v>35</v>
      </c>
      <c r="B21">
        <f>IF(B17="No",SUM(IF(E5="Yes",COUNTIF('De-Icer DM'!$B:$B,Summary!D5)),IF(Summary!E6="Yes",COUNTIF('De-Icer DM'!$B:$B,Summary!D6)),IF(Summary!E7="Yes",COUNTIF('De-Icer DM'!$B:$B,Summary!D7)),IF(Summary!E8="Yes",COUNTIF('De-Icer DM'!$B:$B,Summary!D8)),IF(Summary!E9="Yes",COUNTIF('De-Icer DM'!$B:$B,Summary!D9))),"N/A")</f>
        <v>85</v>
      </c>
      <c r="C21">
        <f>IF(B17="No",SUM(IF(E5="Yes",COUNTIF('De-Icer Trailer'!$B:$B,Summary!D5)),IF(Summary!E6="Yes",COUNTIF('De-Icer Trailer'!$B:$B,Summary!D6)),IF(Summary!E7="Yes",COUNTIF('De-Icer Trailer'!$B:$B,Summary!D7)),IF(Summary!E8="Yes",COUNTIF('De-Icer Trailer'!$B:$B,Summary!D8)),,IF(Summary!E9="Yes",COUNTIF('De-Icer Trailer'!$B:$B,Summary!D9))),"N/A")</f>
        <v>37</v>
      </c>
      <c r="D21">
        <f>IF(B17="No",SUM(IF(E5="Yes",COUNTIF('DE-Icer UNDM'!B:B,Summary!D5)),IF(Summary!E6="Yes",COUNTIF('DE-Icer UNDM'!B:B,Summary!D6)),IF(Summary!E7="Yes",COUNTIF('DE-Icer UNDM'!B:B,Summary!D7)),IF(Summary!E8="Yes",COUNTIF('DE-Icer UNDM'!B:B,Summary!D8)),IF(Summary!E9="Yes",COUNTIF('DE-Icer UNDM'!B:B,Summary!D9))),"N/A")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s="7"/>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7"/>
      <c r="N21" s="12"/>
      <c r="O21" s="11"/>
      <c r="P21" s="11"/>
      <c r="Q21" s="11"/>
      <c r="R21" s="11"/>
      <c r="S21" s="11"/>
      <c r="T21" s="11"/>
      <c r="U21" s="11"/>
      <c r="V21" s="11"/>
      <c r="W21" s="11"/>
      <c r="X21" s="11"/>
      <c r="Y21" s="11"/>
      <c r="Z21" s="11"/>
      <c r="AA21" s="11"/>
      <c r="AB21" s="11"/>
      <c r="AC21" s="11"/>
      <c r="AD21" s="11"/>
      <c r="AE21" s="11"/>
      <c r="AF21" s="11"/>
      <c r="AG21" s="11"/>
      <c r="AH21" s="11"/>
      <c r="AI21" s="11"/>
      <c r="AJ21" s="11"/>
      <c r="AK21" s="11"/>
    </row>
    <row r="22" spans="1:37" ht="15.75" x14ac:dyDescent="0.2">
      <c r="A22" s="36" t="s">
        <v>16</v>
      </c>
      <c r="B22" cm="1">
        <f t="array" ref="B22">IF(B17="No",SUM(IF(E5="Yes",SUM(COUNTIFS('De-Icer DM'!$E:$E,{"No",""},'De-Icer DM'!$F:$F,{"No",""},'De-Icer DM'!$G:$G,"",'De-Icer DM'!B:B,Summary!D5))),IF(Summary!E6="Yes",SUM(COUNTIFS('De-Icer DM'!$E:$E,{"No",""},'De-Icer DM'!$F:$F,{"No",""},'De-Icer DM'!$G:$G,"",'De-Icer DM'!B:B,Summary!D6))),IF(Summary!E7="Yes",SUM(COUNTIFS('De-Icer DM'!$E:$E,{"No",""},'De-Icer DM'!$F:$F,{"No",""},'De-Icer DM'!$G:$G,"",'De-Icer DM'!B:B,Summary!D7))),IF(Summary!E8="Yes",SUM(COUNTIFS('De-Icer DM'!$E:$E,{"No",""},'De-Icer DM'!$F:$F,{"No",""},'De-Icer DM'!$G:$G,"",'De-Icer DM'!B:B,Summary!D8))),IF(Summary!E9="Yes",SUM(COUNTIFS('De-Icer DM'!$E:$E,{"No",""},'De-Icer DM'!$F:$F,{"No",""},'De-Icer DM'!$G:$G,"",'De-Icer DM'!B:B,Summary!D9)))),"N/A")</f>
        <v>4</v>
      </c>
      <c r="C22" cm="1">
        <f t="array" ref="C22">IF(B17="No",SUM(IF(E5="Yes",SUM(COUNTIFS('De-Icer Trailer'!$E:$E,{"No",""},'De-Icer Trailer'!$F:$F,{"No",""},'De-Icer Trailer'!$G:$G,"",'De-Icer Trailer'!B:B,Summary!D5))),IF(Summary!E6="Yes",SUM(COUNTIFS('De-Icer Trailer'!$E:$E,{"No",""},'De-Icer Trailer'!$F:$F,{"No",""},'De-Icer Trailer'!$G:$G,"",'De-Icer Trailer'!B:B,Summary!D6))),IF(Summary!E7="Yes",SUM(COUNTIFS('De-Icer Trailer'!$E:$E,{"No",""},'De-Icer Trailer'!$F:$F,{"No",""},'De-Icer Trailer'!$G:$G,"",'De-Icer Trailer'!B:B,Summary!D7))),IF(Summary!E8="Yes",SUM(COUNTIFS('De-Icer Trailer'!$E:$E,{"No",""},'De-Icer Trailer'!$F:$F,{"No",""},'De-Icer Trailer'!$G:$G,"",'De-Icer Trailer'!B:B,Summary!D8))),IF(Summary!E9="Yes",SUM(COUNTIFS('De-Icer Trailer'!$E:$E,{"No",""},'De-Icer Trailer'!$F:$F,{"No",""},'De-Icer Trailer'!$G:$G,"",'De-Icer Trailer'!B:B,Summary!D9)))),"N/A")</f>
        <v>2</v>
      </c>
      <c r="D22" cm="1">
        <f t="array" ref="D22">IF(B17="No",SUM(IF(E5="Yes",SUM(COUNTIFS('DE-Icer UNDM'!$E:$E,{"No",""},'DE-Icer UNDM'!$F:$F,{"No",""},'DE-Icer UNDM'!$G:$G,"",'DE-Icer UNDM'!B:B,Summary!D5))),IF(Summary!E6="Yes",SUM(COUNTIFS('DE-Icer UNDM'!$E:$E,{"No",""},'DE-Icer UNDM'!$F:$F,{"No",""},'DE-Icer UNDM'!$G:$G,"",'DE-Icer UNDM'!B:B,Summary!D6))),IF(Summary!E7="Yes",SUM(COUNTIFS('DE-Icer UNDM'!$E:$E,{"No",""},'DE-Icer UNDM'!$F:$F,{"No",""},'DE-Icer UNDM'!$G:$G,"",'DE-Icer UNDM'!B:B,Summary!D7))),IF(Summary!E8="Yes",SUM(COUNTIFS('DE-Icer UNDM'!$E:$E,{"No",""},'DE-Icer UNDM'!$F:$F,{"No",""},'DE-Icer UNDM'!$G:$G,"",'DE-Icer UNDM'!B:B,Summary!D8))),IF(Summary!E9="Yes",SUM(COUNTIFS('DE-Icer UNDM'!$E:$E,{"No",""},'DE-Icer UNDM'!$F:$F,{"No",""},'DE-Icer UNDM'!$G:$G,"",'DE-Icer UNDM'!B:B,Summary!D9)))),"N/A")</f>
        <v>4</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4</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2</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4</v>
      </c>
      <c r="I22" s="7"/>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7"/>
      <c r="N22" s="12"/>
      <c r="O22" s="11"/>
      <c r="P22" s="11"/>
      <c r="Q22" s="11"/>
      <c r="R22" s="11"/>
      <c r="S22" s="11"/>
      <c r="T22" s="11"/>
      <c r="U22" s="11"/>
      <c r="V22" s="11"/>
      <c r="W22" s="11"/>
      <c r="X22" s="11"/>
      <c r="Y22" s="11"/>
      <c r="Z22" s="11"/>
      <c r="AA22" s="11"/>
      <c r="AB22" s="11"/>
      <c r="AC22" s="11"/>
      <c r="AD22" s="11"/>
      <c r="AE22" s="11"/>
      <c r="AF22" s="11"/>
      <c r="AG22" s="11"/>
      <c r="AH22" s="11"/>
      <c r="AI22" s="11"/>
      <c r="AJ22" s="11"/>
      <c r="AK22" s="11"/>
    </row>
    <row r="23" spans="1:37" ht="15.75" x14ac:dyDescent="0.2">
      <c r="A23" s="36" t="s">
        <v>20</v>
      </c>
      <c r="B23">
        <f>IF(B17="No",SUM(IF(E5="Yes",COUNTIFS('De-Icer DM'!$F:$F,"Yes",'De-Icer DM'!B:B,Summary!D5)),IF(Summary!E6="Yes",COUNTIFS('De-Icer DM'!$F:$F,"Yes",'De-Icer DM'!B:B,Summary!D6)),IF(Summary!E7="Yes",COUNTIFS('De-Icer DM'!$F:$F,"Yes",'De-Icer DM'!B:B,Summary!D7)),IF(Summary!E8="Yes",COUNTIFS('De-Icer DM'!$F:$F,"Yes",'De-Icer DM'!B:B,Summary!D8)),IF(Summary!E9="Yes",COUNTIFS('De-Icer DM'!$F:$F,"Yes",'De-Icer DM'!B:B,Summary!D9))),"N/A")</f>
        <v>0</v>
      </c>
      <c r="C23">
        <f>IF(B17="No",SUM(IF(E5="Yes",COUNTIFS('De-Icer Trailer'!$F:$F,"Yes",'De-Icer Trailer'!B:B,Summary!D5)),IF(Summary!E6="Yes",COUNTIFS('De-Icer Trailer'!$F:$F,"Yes",'De-Icer Trailer'!B:B,Summary!D6)),IF(Summary!E7="Yes",COUNTIFS('De-Icer Trailer'!$F:$F,"Yes",'De-Icer Trailer'!B:B,Summary!D7)),IF(Summary!E8="Yes",COUNTIFS('De-Icer Trailer'!$F:$F,"Yes",'De-Icer Trailer'!B:B,Summary!D8)),IF(Summary!E9="Yes",COUNTIFS('De-Icer Trailer'!$F:$F,"Yes",'De-Icer Trailer'!B:B,Summary!D9))),"N/A")</f>
        <v>0</v>
      </c>
      <c r="D23">
        <f>IF(B17="No",SUM(IF(E5="Yes",COUNTIFS('DE-Icer UNDM'!$F:$F,"Yes",'DE-Icer UNDM'!B:B,Summary!D5)),IF(Summary!E6="Yes",COUNTIFS('DE-Icer UNDM'!$F:$F,"Yes",'DE-Icer UNDM'!B:B,Summary!D6)),IF(Summary!E7="Yes",COUNTIFS('DE-Icer UNDM'!$F:$F,"Yes",'DE-Icer UNDM'!B:B,Summary!D7)),IF(Summary!E8="Yes",COUNTIFS('DE-Icer UNDM'!$F:$F,"Yes",'DE-Icer UNDM'!B:B,Summary!D8)),IF(Summary!E9="Yes",COUNTIFS('DE-Icer UNDM'!$F:$F,"Yes",'DE-Icer UNDM'!B:B,Summary!D9))),"N/A")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s="7"/>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7"/>
      <c r="N23" s="12"/>
      <c r="O23" s="11"/>
      <c r="P23" s="11"/>
      <c r="Q23" s="11"/>
      <c r="R23" s="11"/>
      <c r="S23" s="11"/>
      <c r="T23" s="11"/>
      <c r="U23" s="11"/>
      <c r="V23" s="11"/>
      <c r="W23" s="11"/>
      <c r="X23" s="11"/>
      <c r="Y23" s="11"/>
      <c r="Z23" s="11"/>
      <c r="AA23" s="11"/>
      <c r="AB23" s="11"/>
      <c r="AC23" s="11"/>
      <c r="AD23" s="11"/>
      <c r="AE23" s="11"/>
      <c r="AF23" s="11"/>
      <c r="AG23" s="11"/>
      <c r="AH23" s="11"/>
      <c r="AI23" s="11"/>
      <c r="AJ23" s="11"/>
      <c r="AK23" s="11"/>
    </row>
    <row r="24" spans="1:37" ht="15.75" x14ac:dyDescent="0.2">
      <c r="A24" s="36" t="s">
        <v>24</v>
      </c>
      <c r="B24">
        <f>IF(B17="No",SUM(IF(E5="Yes",COUNTIFS('De-Icer DM'!$E:$E,"Yes",'De-Icer DM'!B:B,Summary!D5)),IF(Summary!E6="Yes",COUNTIFS('De-Icer DM'!$E:$E,"Yes",'De-Icer DM'!B:B,Summary!D6)),IF(Summary!E7="Yes",COUNTIFS('De-Icer DM'!$E:$E,"Yes",'De-Icer DM'!B:B,Summary!D7)),IF(Summary!E8="Yes",COUNTIFS('De-Icer DM'!$E:$E,"Yes",'De-Icer DM'!B:B,Summary!D8)),IF(Summary!E9="Yes",COUNTIFS('De-Icer DM'!$E:$E,"Yes",'De-Icer DM'!B:B,Summary!D9))),"N/A")</f>
        <v>81</v>
      </c>
      <c r="C24">
        <f>IF(B17="No",SUM(IF(E5="Yes",COUNTIFS('De-Icer Trailer'!$E:$E,"Yes",'De-Icer Trailer'!B:B,Summary!D5)),IF(Summary!E6="Yes",COUNTIFS('De-Icer Trailer'!$E:$E,"Yes",'De-Icer Trailer'!B:B,Summary!D6)),IF(Summary!E7="Yes",COUNTIFS('De-Icer Trailer'!$E:$E,"Yes",'De-Icer Trailer'!B:B,Summary!D7)),IF(Summary!E8="Yes",COUNTIFS('De-Icer Trailer'!$E:$E,"Yes",'De-Icer Trailer'!B:B,Summary!D8)),IF(Summary!E9="Yes",COUNTIFS('De-Icer Trailer'!$E:$E,"Yes",'De-Icer Trailer'!B:B,Summary!D9))),"N/A")</f>
        <v>35</v>
      </c>
      <c r="D24">
        <f>IF(B17="No",SUM(IF(E5="Yes",COUNTIFS('DE-Icer UNDM'!$E:$E,"Yes",'DE-Icer UNDM'!B:B,Summary!D5)),IF(Summary!E6="Yes",COUNTIFS('DE-Icer UNDM'!$E:$E,"Yes",'DE-Icer UNDM'!B:B,Summary!D6)),IF(Summary!E7="Yes",COUNTIFS('DE-Icer UNDM'!$E:$E,"Yes",'DE-Icer UNDM'!B:B,Summary!D7)),IF(Summary!E8="Yes",COUNTIFS('DE-Icer UNDM'!$E:$E,"Yes",'DE-Icer UNDM'!B:B,Summary!D8)),IF(Summary!E9="Yes",COUNTIFS('DE-Icer UNDM'!$E:$E,"Yes",'DE-Icer UNDM'!B:B,Summary!D9))),"N/A")</f>
        <v>58</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81</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36</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29</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58</v>
      </c>
      <c r="I24" s="7"/>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7"/>
      <c r="N24" s="12"/>
      <c r="O24" s="11"/>
      <c r="P24" s="11"/>
      <c r="Q24" s="11"/>
      <c r="R24" s="11"/>
      <c r="S24" s="11"/>
      <c r="T24" s="11"/>
      <c r="U24" s="11"/>
      <c r="V24" s="11"/>
      <c r="W24" s="11"/>
      <c r="X24" s="11"/>
      <c r="Y24" s="11"/>
      <c r="Z24" s="11"/>
      <c r="AA24" s="11"/>
      <c r="AB24" s="11"/>
      <c r="AC24" s="11"/>
      <c r="AD24" s="11"/>
      <c r="AE24" s="11"/>
      <c r="AF24" s="11"/>
      <c r="AG24" s="11"/>
      <c r="AH24" s="11"/>
      <c r="AI24" s="11"/>
      <c r="AJ24" s="11"/>
      <c r="AK24" s="11"/>
    </row>
    <row r="25" spans="1:37" ht="15.75" x14ac:dyDescent="0.2">
      <c r="A25" s="36" t="s">
        <v>36</v>
      </c>
      <c r="B25" s="49">
        <f>IFERROR(B21-B24,"N/A")</f>
        <v>4</v>
      </c>
      <c r="C25" s="49">
        <f t="shared" ref="C25:L25" si="3">IFERROR(C21-C24,"N/A")</f>
        <v>2</v>
      </c>
      <c r="D25" s="49">
        <f t="shared" si="3"/>
        <v>4</v>
      </c>
      <c r="E25" s="49">
        <f t="shared" si="3"/>
        <v>4</v>
      </c>
      <c r="F25" s="49">
        <f t="shared" si="3"/>
        <v>2</v>
      </c>
      <c r="G25" s="49">
        <f t="shared" si="3"/>
        <v>0</v>
      </c>
      <c r="H25" s="49">
        <f t="shared" si="3"/>
        <v>4</v>
      </c>
      <c r="I25" s="7"/>
      <c r="J25" s="49" t="str">
        <f t="shared" si="3"/>
        <v>N/A</v>
      </c>
      <c r="K25" s="49" t="str">
        <f t="shared" si="3"/>
        <v>N/A</v>
      </c>
      <c r="L25" s="49">
        <f t="shared" si="3"/>
        <v>6</v>
      </c>
      <c r="M25" s="7"/>
      <c r="N25" s="12"/>
      <c r="O25" s="11"/>
      <c r="P25" s="11"/>
      <c r="Q25" s="11"/>
      <c r="R25" s="11"/>
      <c r="S25" s="11"/>
      <c r="T25" s="11"/>
      <c r="U25" s="11"/>
      <c r="V25" s="11"/>
      <c r="W25" s="11"/>
      <c r="X25" s="11"/>
      <c r="Y25" s="11"/>
      <c r="Z25" s="11"/>
      <c r="AA25" s="11"/>
      <c r="AB25" s="11"/>
      <c r="AC25" s="11"/>
      <c r="AD25" s="11"/>
      <c r="AE25" s="11"/>
      <c r="AF25" s="11"/>
      <c r="AG25" s="11"/>
      <c r="AH25" s="11"/>
      <c r="AI25" s="11"/>
      <c r="AJ25" s="11"/>
      <c r="AK25" s="11"/>
    </row>
    <row r="26" spans="1:37" x14ac:dyDescent="0.2">
      <c r="A26" s="12"/>
      <c r="B26" s="12"/>
      <c r="C26" s="12"/>
      <c r="D26" s="12"/>
      <c r="E26" s="12"/>
      <c r="F26" s="12"/>
      <c r="G26" s="12"/>
      <c r="H26" s="12"/>
      <c r="I26" s="7"/>
      <c r="J26" s="12"/>
      <c r="K26" s="12"/>
      <c r="L26" s="12"/>
      <c r="M26" s="7"/>
      <c r="N26" s="12"/>
      <c r="O26" s="11"/>
      <c r="P26" s="11"/>
      <c r="Q26" s="11"/>
      <c r="R26" s="11"/>
      <c r="S26" s="11"/>
      <c r="T26" s="11"/>
      <c r="U26" s="11"/>
      <c r="V26" s="11"/>
      <c r="W26" s="11"/>
      <c r="X26" s="11"/>
      <c r="Y26" s="11"/>
      <c r="Z26" s="11"/>
      <c r="AA26" s="11"/>
      <c r="AB26" s="11"/>
      <c r="AC26" s="11"/>
      <c r="AD26" s="11"/>
      <c r="AE26" s="11"/>
      <c r="AF26" s="11"/>
      <c r="AG26" s="11"/>
      <c r="AH26" s="11"/>
      <c r="AI26" s="11"/>
      <c r="AJ26" s="11"/>
      <c r="AK26" s="11"/>
    </row>
    <row r="27" spans="1:37" x14ac:dyDescent="0.2">
      <c r="A27" s="18"/>
      <c r="B27" s="11"/>
      <c r="C27" s="11"/>
      <c r="D27" s="11"/>
      <c r="E27" s="11"/>
      <c r="F27" s="11"/>
      <c r="G27" s="11"/>
      <c r="H27" s="11"/>
      <c r="I27" s="7"/>
      <c r="J27" s="11"/>
      <c r="K27" s="11"/>
      <c r="L27" s="11"/>
      <c r="M27" s="7"/>
      <c r="N27" s="11"/>
      <c r="O27" s="11"/>
      <c r="P27" s="11"/>
      <c r="Q27" s="11"/>
      <c r="R27" s="11"/>
      <c r="S27" s="11"/>
      <c r="T27" s="11"/>
      <c r="U27" s="11"/>
      <c r="V27" s="11"/>
      <c r="W27" s="11"/>
      <c r="X27" s="11"/>
      <c r="Y27" s="11"/>
      <c r="Z27" s="11"/>
      <c r="AA27" s="11"/>
      <c r="AB27" s="11"/>
      <c r="AC27" s="11"/>
      <c r="AD27" s="11"/>
      <c r="AE27" s="11"/>
      <c r="AF27" s="11"/>
      <c r="AG27" s="11"/>
      <c r="AH27" s="11"/>
      <c r="AI27" s="11"/>
      <c r="AJ27" s="11"/>
      <c r="AK27" s="11"/>
    </row>
    <row r="28" spans="1:37" x14ac:dyDescent="0.2">
      <c r="A28" s="18"/>
      <c r="B28" s="11"/>
      <c r="C28" s="11"/>
      <c r="D28" s="11"/>
      <c r="E28" s="11"/>
      <c r="F28" s="11"/>
      <c r="G28" s="11"/>
      <c r="H28" s="11"/>
      <c r="I28" s="7"/>
      <c r="J28" s="11"/>
      <c r="K28" s="11"/>
      <c r="L28" s="11"/>
      <c r="M28" s="7"/>
      <c r="N28" s="11"/>
      <c r="O28" s="11"/>
      <c r="P28" s="11"/>
      <c r="Q28" s="11"/>
      <c r="R28" s="11"/>
      <c r="S28" s="11"/>
      <c r="T28" s="11"/>
      <c r="U28" s="11"/>
      <c r="V28" s="11"/>
      <c r="W28" s="11"/>
      <c r="X28" s="11"/>
      <c r="Y28" s="11"/>
      <c r="Z28" s="11"/>
      <c r="AA28" s="11"/>
      <c r="AB28" s="11"/>
      <c r="AC28" s="11"/>
      <c r="AD28" s="11"/>
      <c r="AE28" s="11"/>
      <c r="AF28" s="11"/>
      <c r="AG28" s="11"/>
      <c r="AH28" s="11"/>
      <c r="AI28" s="11"/>
      <c r="AJ28" s="11"/>
      <c r="AK28" s="11"/>
    </row>
    <row r="29" spans="1:37" x14ac:dyDescent="0.2">
      <c r="A29" s="18"/>
      <c r="B29" s="11"/>
      <c r="C29" s="11"/>
      <c r="D29" s="11"/>
      <c r="E29" s="11"/>
      <c r="F29" s="11"/>
      <c r="G29" s="11"/>
      <c r="H29" s="11"/>
      <c r="I29" s="7"/>
      <c r="J29" s="11"/>
      <c r="K29" s="11"/>
      <c r="L29" s="11"/>
      <c r="M29" s="7"/>
      <c r="N29" s="11"/>
      <c r="O29" s="11"/>
      <c r="P29" s="11"/>
      <c r="Q29" s="11"/>
      <c r="R29" s="11"/>
      <c r="S29" s="11"/>
      <c r="T29" s="11"/>
      <c r="U29" s="11"/>
      <c r="V29" s="11"/>
      <c r="W29" s="11"/>
      <c r="X29" s="11"/>
      <c r="Y29" s="11"/>
      <c r="Z29" s="11"/>
      <c r="AA29" s="11"/>
      <c r="AB29" s="11"/>
      <c r="AC29" s="11"/>
      <c r="AD29" s="11"/>
      <c r="AE29" s="11"/>
      <c r="AF29" s="11"/>
      <c r="AG29" s="11"/>
      <c r="AH29" s="11"/>
      <c r="AI29" s="11"/>
      <c r="AJ29" s="11"/>
      <c r="AK29" s="11"/>
    </row>
    <row r="30" spans="1:37" x14ac:dyDescent="0.2">
      <c r="A30" s="18"/>
      <c r="B30" s="11"/>
      <c r="C30" s="11"/>
      <c r="D30" s="11"/>
      <c r="E30" s="11"/>
      <c r="F30" s="11"/>
      <c r="G30" s="11"/>
      <c r="H30" s="11"/>
      <c r="I30" s="7"/>
      <c r="J30" s="11"/>
      <c r="K30" s="11"/>
      <c r="L30" s="11"/>
      <c r="M30" s="7"/>
      <c r="N30" s="11"/>
      <c r="O30" s="11"/>
      <c r="P30" s="11"/>
      <c r="Q30" s="11"/>
      <c r="R30" s="11"/>
      <c r="S30" s="11"/>
      <c r="T30" s="11"/>
      <c r="U30" s="11"/>
      <c r="V30" s="11"/>
      <c r="W30" s="11"/>
      <c r="X30" s="11"/>
      <c r="Y30" s="11"/>
      <c r="Z30" s="11"/>
      <c r="AA30" s="11"/>
      <c r="AB30" s="11"/>
      <c r="AC30" s="11"/>
      <c r="AD30" s="11"/>
      <c r="AE30" s="11"/>
      <c r="AF30" s="11"/>
      <c r="AG30" s="11"/>
      <c r="AH30" s="11"/>
      <c r="AI30" s="11"/>
      <c r="AJ30" s="11"/>
      <c r="AK30" s="11"/>
    </row>
    <row r="31" spans="1:37" x14ac:dyDescent="0.2">
      <c r="A31" s="18"/>
      <c r="B31" s="11"/>
      <c r="C31" s="11"/>
      <c r="D31" s="11"/>
      <c r="E31" s="11"/>
      <c r="F31" s="11"/>
      <c r="G31" s="11"/>
      <c r="H31" s="11"/>
      <c r="I31" s="7"/>
      <c r="J31" s="11"/>
      <c r="K31" s="11"/>
      <c r="L31" s="11"/>
      <c r="M31" s="7"/>
      <c r="N31" s="11"/>
      <c r="O31" s="11"/>
      <c r="P31" s="11"/>
      <c r="Q31" s="11"/>
      <c r="R31" s="11"/>
      <c r="S31" s="11"/>
      <c r="T31" s="11"/>
      <c r="U31" s="11"/>
      <c r="V31" s="11"/>
      <c r="W31" s="11"/>
      <c r="X31" s="11"/>
      <c r="Y31" s="11"/>
      <c r="Z31" s="11"/>
      <c r="AA31" s="11"/>
      <c r="AB31" s="11"/>
      <c r="AC31" s="11"/>
      <c r="AD31" s="11"/>
      <c r="AE31" s="11"/>
      <c r="AF31" s="11"/>
      <c r="AG31" s="11"/>
      <c r="AH31" s="11"/>
      <c r="AI31" s="11"/>
      <c r="AJ31" s="11"/>
      <c r="AK31" s="11"/>
    </row>
    <row r="32" spans="1:37" x14ac:dyDescent="0.2">
      <c r="A32" s="18"/>
      <c r="B32" s="11"/>
      <c r="C32" s="11"/>
      <c r="D32" s="11"/>
      <c r="E32" s="11"/>
      <c r="F32" s="11"/>
      <c r="G32" s="11"/>
      <c r="H32" s="11"/>
      <c r="I32" s="7"/>
      <c r="J32" s="11"/>
      <c r="K32" s="11"/>
      <c r="L32" s="11"/>
      <c r="M32" s="7"/>
      <c r="N32" s="11"/>
      <c r="O32" s="11"/>
      <c r="P32" s="11"/>
      <c r="Q32" s="11"/>
      <c r="R32" s="11"/>
      <c r="S32" s="11"/>
      <c r="T32" s="11"/>
      <c r="U32" s="11"/>
      <c r="V32" s="11"/>
      <c r="W32" s="11"/>
      <c r="X32" s="11"/>
      <c r="Y32" s="11"/>
      <c r="Z32" s="11"/>
      <c r="AA32" s="11"/>
      <c r="AB32" s="11"/>
      <c r="AC32" s="11"/>
      <c r="AD32" s="11"/>
      <c r="AE32" s="11"/>
      <c r="AF32" s="11"/>
      <c r="AG32" s="11"/>
      <c r="AH32" s="11"/>
      <c r="AI32" s="11"/>
      <c r="AJ32" s="11"/>
      <c r="AK32" s="11"/>
    </row>
    <row r="33" spans="1:37" x14ac:dyDescent="0.2">
      <c r="A33" s="18"/>
      <c r="B33" s="11"/>
      <c r="C33" s="11"/>
      <c r="D33" s="11"/>
      <c r="E33" s="11"/>
      <c r="F33" s="11"/>
      <c r="G33" s="11"/>
      <c r="H33" s="11"/>
      <c r="I33" s="7"/>
      <c r="J33" s="11"/>
      <c r="K33" s="11"/>
      <c r="L33" s="11"/>
      <c r="M33" s="7"/>
      <c r="N33" s="11"/>
      <c r="O33" s="11"/>
      <c r="P33" s="11"/>
      <c r="Q33" s="11"/>
      <c r="R33" s="11"/>
      <c r="S33" s="11"/>
      <c r="T33" s="11"/>
      <c r="U33" s="11"/>
      <c r="V33" s="11"/>
      <c r="W33" s="11"/>
      <c r="X33" s="11"/>
      <c r="Y33" s="11"/>
      <c r="Z33" s="11"/>
      <c r="AA33" s="11"/>
      <c r="AB33" s="11"/>
      <c r="AC33" s="11"/>
      <c r="AD33" s="11"/>
      <c r="AE33" s="11"/>
      <c r="AF33" s="11"/>
      <c r="AG33" s="11"/>
      <c r="AH33" s="11"/>
      <c r="AI33" s="11"/>
      <c r="AJ33" s="11"/>
      <c r="AK33" s="11"/>
    </row>
    <row r="34" spans="1:37" x14ac:dyDescent="0.2">
      <c r="A34" s="18"/>
      <c r="B34" s="11"/>
      <c r="C34" s="11"/>
      <c r="D34" s="11"/>
      <c r="E34" s="11"/>
      <c r="F34" s="11"/>
      <c r="G34" s="11"/>
      <c r="H34" s="11"/>
      <c r="I34" s="7"/>
      <c r="J34" s="11"/>
      <c r="K34" s="11"/>
      <c r="L34" s="11"/>
      <c r="M34" s="7"/>
      <c r="N34" s="11"/>
      <c r="O34" s="11"/>
      <c r="P34" s="11"/>
      <c r="Q34" s="11"/>
      <c r="R34" s="11"/>
      <c r="S34" s="11"/>
      <c r="T34" s="11"/>
      <c r="U34" s="11"/>
      <c r="V34" s="11"/>
      <c r="W34" s="11"/>
      <c r="X34" s="11"/>
      <c r="Y34" s="11"/>
      <c r="Z34" s="11"/>
      <c r="AA34" s="11"/>
      <c r="AB34" s="11"/>
      <c r="AC34" s="11"/>
      <c r="AD34" s="11"/>
      <c r="AE34" s="11"/>
      <c r="AF34" s="11"/>
      <c r="AG34" s="11"/>
      <c r="AH34" s="11"/>
      <c r="AI34" s="11"/>
      <c r="AJ34" s="11"/>
      <c r="AK34" s="11"/>
    </row>
    <row r="35" spans="1:37" x14ac:dyDescent="0.2">
      <c r="A35" s="18"/>
      <c r="B35" s="11"/>
      <c r="C35" s="11"/>
      <c r="D35" s="11"/>
      <c r="E35" s="11"/>
      <c r="F35" s="11"/>
      <c r="G35" s="11"/>
      <c r="H35" s="11"/>
      <c r="I35" s="7"/>
      <c r="J35" s="11"/>
      <c r="K35" s="11"/>
      <c r="L35" s="11"/>
      <c r="M35" s="7"/>
      <c r="N35" s="11"/>
      <c r="O35" s="11"/>
      <c r="P35" s="11"/>
      <c r="Q35" s="11"/>
      <c r="R35" s="11"/>
      <c r="S35" s="11"/>
      <c r="T35" s="11"/>
      <c r="U35" s="11"/>
      <c r="V35" s="11"/>
      <c r="W35" s="11"/>
      <c r="X35" s="11"/>
      <c r="Y35" s="11"/>
      <c r="Z35" s="11"/>
      <c r="AA35" s="11"/>
      <c r="AB35" s="11"/>
      <c r="AC35" s="11"/>
      <c r="AD35" s="11"/>
      <c r="AE35" s="11"/>
      <c r="AF35" s="11"/>
      <c r="AG35" s="11"/>
      <c r="AH35" s="11"/>
      <c r="AI35" s="11"/>
      <c r="AJ35" s="11"/>
      <c r="AK35" s="11"/>
    </row>
    <row r="36" spans="1:37" x14ac:dyDescent="0.2">
      <c r="A36" s="18"/>
      <c r="B36" s="11"/>
      <c r="C36" s="11"/>
      <c r="D36" s="11"/>
      <c r="E36" s="11"/>
      <c r="F36" s="11"/>
      <c r="G36" s="11"/>
      <c r="H36" s="11"/>
      <c r="I36" s="7"/>
      <c r="J36" s="11"/>
      <c r="K36" s="11"/>
      <c r="L36" s="11"/>
      <c r="M36" s="7"/>
      <c r="N36" s="11"/>
      <c r="O36" s="11"/>
      <c r="P36" s="11"/>
      <c r="Q36" s="11"/>
      <c r="R36" s="11"/>
      <c r="S36" s="11"/>
      <c r="T36" s="11"/>
      <c r="U36" s="11"/>
      <c r="V36" s="11"/>
      <c r="W36" s="11"/>
      <c r="X36" s="11"/>
      <c r="Y36" s="11"/>
      <c r="Z36" s="11"/>
      <c r="AA36" s="11"/>
      <c r="AB36" s="11"/>
      <c r="AC36" s="11"/>
      <c r="AD36" s="11"/>
      <c r="AE36" s="11"/>
      <c r="AF36" s="11"/>
      <c r="AG36" s="11"/>
      <c r="AH36" s="11"/>
      <c r="AI36" s="11"/>
      <c r="AJ36" s="11"/>
      <c r="AK36" s="11"/>
    </row>
    <row r="37" spans="1:37" x14ac:dyDescent="0.2">
      <c r="A37" s="18"/>
      <c r="B37" s="11"/>
      <c r="C37" s="11"/>
      <c r="D37" s="11"/>
      <c r="E37" s="11"/>
      <c r="F37" s="11"/>
      <c r="G37" s="11"/>
      <c r="H37" s="11"/>
      <c r="I37" s="7"/>
      <c r="J37" s="11"/>
      <c r="K37" s="11"/>
      <c r="L37" s="11"/>
      <c r="M37" s="7"/>
      <c r="N37" s="11"/>
      <c r="O37" s="11"/>
      <c r="P37" s="11"/>
      <c r="Q37" s="11"/>
      <c r="R37" s="11"/>
      <c r="S37" s="11"/>
      <c r="T37" s="11"/>
      <c r="U37" s="11"/>
      <c r="V37" s="11"/>
      <c r="W37" s="11"/>
      <c r="X37" s="11"/>
      <c r="Y37" s="11"/>
      <c r="Z37" s="11"/>
      <c r="AA37" s="11"/>
      <c r="AB37" s="11"/>
      <c r="AC37" s="11"/>
      <c r="AD37" s="11"/>
      <c r="AE37" s="11"/>
      <c r="AF37" s="11"/>
      <c r="AG37" s="11"/>
      <c r="AH37" s="11"/>
      <c r="AI37" s="11"/>
      <c r="AJ37" s="11"/>
      <c r="AK37" s="11"/>
    </row>
    <row r="38" spans="1:37" x14ac:dyDescent="0.2">
      <c r="A38" s="18"/>
      <c r="B38" s="11"/>
      <c r="C38" s="11"/>
      <c r="D38" s="11"/>
      <c r="E38" s="11"/>
      <c r="F38" s="11"/>
      <c r="G38" s="11"/>
      <c r="H38" s="11"/>
      <c r="I38" s="7"/>
      <c r="J38" s="11"/>
      <c r="K38" s="11"/>
      <c r="L38" s="11"/>
      <c r="M38" s="7"/>
      <c r="N38" s="11"/>
      <c r="O38" s="11"/>
      <c r="P38" s="11"/>
      <c r="Q38" s="11"/>
      <c r="R38" s="11"/>
      <c r="S38" s="11"/>
      <c r="T38" s="11"/>
      <c r="U38" s="11"/>
      <c r="V38" s="11"/>
      <c r="W38" s="11"/>
      <c r="X38" s="11"/>
      <c r="Y38" s="11"/>
      <c r="Z38" s="11"/>
      <c r="AA38" s="11"/>
      <c r="AB38" s="11"/>
      <c r="AC38" s="11"/>
      <c r="AD38" s="11"/>
      <c r="AE38" s="11"/>
      <c r="AF38" s="11"/>
      <c r="AG38" s="11"/>
      <c r="AH38" s="11"/>
      <c r="AI38" s="11"/>
      <c r="AJ38" s="11"/>
      <c r="AK38" s="11"/>
    </row>
    <row r="39" spans="1:37" x14ac:dyDescent="0.2">
      <c r="A39" s="18"/>
      <c r="B39" s="11"/>
      <c r="C39" s="11"/>
      <c r="D39" s="11"/>
      <c r="E39" s="11"/>
      <c r="F39" s="11"/>
      <c r="G39" s="11"/>
      <c r="H39" s="11"/>
      <c r="I39" s="7"/>
      <c r="J39" s="11"/>
      <c r="K39" s="11"/>
      <c r="L39" s="11"/>
      <c r="M39" s="7"/>
      <c r="N39" s="11"/>
      <c r="O39" s="11"/>
      <c r="P39" s="11"/>
      <c r="Q39" s="11"/>
      <c r="R39" s="11"/>
      <c r="S39" s="11"/>
      <c r="T39" s="11"/>
      <c r="U39" s="11"/>
      <c r="V39" s="11"/>
      <c r="W39" s="11"/>
      <c r="X39" s="11"/>
      <c r="Y39" s="11"/>
      <c r="Z39" s="11"/>
      <c r="AA39" s="11"/>
      <c r="AB39" s="11"/>
      <c r="AC39" s="11"/>
      <c r="AD39" s="11"/>
      <c r="AE39" s="11"/>
      <c r="AF39" s="11"/>
      <c r="AG39" s="11"/>
      <c r="AH39" s="11"/>
      <c r="AI39" s="11"/>
      <c r="AJ39" s="11"/>
      <c r="AK39" s="11"/>
    </row>
    <row r="40" spans="1:37" x14ac:dyDescent="0.2">
      <c r="A40" s="18"/>
      <c r="B40" s="11"/>
      <c r="C40" s="11"/>
      <c r="D40" s="11"/>
      <c r="E40" s="11"/>
      <c r="F40" s="11"/>
      <c r="G40" s="11"/>
      <c r="H40" s="11"/>
      <c r="I40" s="7"/>
      <c r="J40" s="11"/>
      <c r="K40" s="11"/>
      <c r="L40" s="11"/>
      <c r="M40" s="7"/>
      <c r="N40" s="11"/>
      <c r="O40" s="11"/>
      <c r="P40" s="11"/>
      <c r="Q40" s="11"/>
      <c r="R40" s="11"/>
      <c r="S40" s="11"/>
      <c r="T40" s="11"/>
      <c r="U40" s="11"/>
      <c r="V40" s="11"/>
      <c r="W40" s="11"/>
      <c r="X40" s="11"/>
      <c r="Y40" s="11"/>
      <c r="Z40" s="11"/>
      <c r="AA40" s="11"/>
      <c r="AB40" s="11"/>
      <c r="AC40" s="11"/>
      <c r="AD40" s="11"/>
      <c r="AE40" s="11"/>
      <c r="AF40" s="11"/>
      <c r="AG40" s="11"/>
      <c r="AH40" s="11"/>
      <c r="AI40" s="11"/>
      <c r="AJ40" s="11"/>
      <c r="AK40" s="11"/>
    </row>
    <row r="41" spans="1:37" x14ac:dyDescent="0.2">
      <c r="A41" s="18"/>
      <c r="B41" s="11"/>
      <c r="C41" s="11"/>
      <c r="D41" s="11"/>
      <c r="E41" s="11"/>
      <c r="F41" s="11"/>
      <c r="G41" s="11"/>
      <c r="H41" s="11"/>
      <c r="I41" s="7"/>
      <c r="J41" s="11"/>
      <c r="K41" s="11"/>
      <c r="L41" s="11"/>
      <c r="M41" s="7"/>
      <c r="N41" s="11"/>
      <c r="O41" s="11"/>
      <c r="P41" s="11"/>
      <c r="Q41" s="11"/>
      <c r="R41" s="11"/>
      <c r="S41" s="11"/>
      <c r="T41" s="11"/>
      <c r="U41" s="11"/>
      <c r="V41" s="11"/>
      <c r="W41" s="11"/>
      <c r="X41" s="11"/>
      <c r="Y41" s="11"/>
      <c r="Z41" s="11"/>
      <c r="AA41" s="11"/>
      <c r="AB41" s="11"/>
      <c r="AC41" s="11"/>
      <c r="AD41" s="11"/>
      <c r="AE41" s="11"/>
      <c r="AF41" s="11"/>
      <c r="AG41" s="11"/>
      <c r="AH41" s="11"/>
      <c r="AI41" s="11"/>
      <c r="AJ41" s="11"/>
      <c r="AK41" s="11"/>
    </row>
    <row r="42" spans="1:37" x14ac:dyDescent="0.2">
      <c r="A42" s="18"/>
      <c r="B42" s="11"/>
      <c r="C42" s="11"/>
      <c r="D42" s="11"/>
      <c r="E42" s="11"/>
      <c r="F42" s="11"/>
      <c r="G42" s="11"/>
      <c r="H42" s="11"/>
      <c r="I42" s="7"/>
      <c r="J42" s="11"/>
      <c r="K42" s="11"/>
      <c r="L42" s="11"/>
      <c r="M42" s="7"/>
      <c r="N42" s="11"/>
      <c r="O42" s="11"/>
      <c r="P42" s="11"/>
      <c r="Q42" s="11"/>
      <c r="R42" s="11"/>
      <c r="S42" s="11"/>
      <c r="T42" s="11"/>
      <c r="U42" s="11"/>
      <c r="V42" s="11"/>
      <c r="W42" s="11"/>
      <c r="X42" s="11"/>
      <c r="Y42" s="11"/>
      <c r="Z42" s="11"/>
      <c r="AA42" s="11"/>
      <c r="AB42" s="11"/>
      <c r="AC42" s="11"/>
      <c r="AD42" s="11"/>
      <c r="AE42" s="11"/>
      <c r="AF42" s="11"/>
      <c r="AG42" s="11"/>
      <c r="AH42" s="11"/>
      <c r="AI42" s="11"/>
      <c r="AJ42" s="11"/>
      <c r="AK42" s="11"/>
    </row>
    <row r="43" spans="1:37" x14ac:dyDescent="0.2">
      <c r="A43" s="18"/>
      <c r="B43" s="11"/>
      <c r="C43" s="11"/>
      <c r="D43" s="11"/>
      <c r="E43" s="11"/>
      <c r="F43" s="11"/>
      <c r="G43" s="11"/>
      <c r="H43" s="11"/>
      <c r="I43" s="7"/>
      <c r="J43" s="11"/>
      <c r="K43" s="11"/>
      <c r="L43" s="11"/>
      <c r="M43" s="7"/>
      <c r="N43" s="11"/>
      <c r="O43" s="11"/>
      <c r="P43" s="11"/>
      <c r="Q43" s="11"/>
      <c r="R43" s="11"/>
      <c r="S43" s="11"/>
      <c r="T43" s="11"/>
      <c r="U43" s="11"/>
      <c r="V43" s="11"/>
      <c r="W43" s="11"/>
      <c r="X43" s="11"/>
      <c r="Y43" s="11"/>
      <c r="Z43" s="11"/>
      <c r="AA43" s="11"/>
      <c r="AB43" s="11"/>
      <c r="AC43" s="11"/>
      <c r="AD43" s="11"/>
      <c r="AE43" s="11"/>
      <c r="AF43" s="11"/>
      <c r="AG43" s="11"/>
      <c r="AH43" s="11"/>
      <c r="AI43" s="11"/>
      <c r="AJ43" s="11"/>
      <c r="AK43" s="11"/>
    </row>
    <row r="44" spans="1:37" x14ac:dyDescent="0.2">
      <c r="A44" s="18"/>
      <c r="B44" s="11"/>
      <c r="C44" s="11"/>
      <c r="D44" s="11"/>
      <c r="E44" s="11"/>
      <c r="F44" s="11"/>
      <c r="G44" s="11"/>
      <c r="H44" s="11"/>
      <c r="I44" s="7"/>
      <c r="J44" s="11"/>
      <c r="K44" s="11"/>
      <c r="L44" s="11"/>
      <c r="M44" s="7"/>
      <c r="N44" s="11"/>
      <c r="O44" s="11"/>
      <c r="P44" s="11"/>
      <c r="Q44" s="11"/>
      <c r="R44" s="11"/>
      <c r="S44" s="11"/>
      <c r="T44" s="11"/>
      <c r="U44" s="11"/>
      <c r="V44" s="11"/>
      <c r="W44" s="11"/>
      <c r="X44" s="11"/>
      <c r="Y44" s="11"/>
      <c r="Z44" s="11"/>
      <c r="AA44" s="11"/>
      <c r="AB44" s="11"/>
      <c r="AC44" s="11"/>
      <c r="AD44" s="11"/>
      <c r="AE44" s="11"/>
      <c r="AF44" s="11"/>
      <c r="AG44" s="11"/>
      <c r="AH44" s="11"/>
      <c r="AI44" s="11"/>
      <c r="AJ44" s="11"/>
      <c r="AK44" s="11"/>
    </row>
    <row r="45" spans="1:37" x14ac:dyDescent="0.2">
      <c r="A45" s="18"/>
      <c r="B45" s="11"/>
      <c r="C45" s="11"/>
      <c r="D45" s="11"/>
      <c r="E45" s="11"/>
      <c r="F45" s="11"/>
      <c r="G45" s="11"/>
      <c r="H45" s="11"/>
      <c r="I45" s="7"/>
      <c r="J45" s="11"/>
      <c r="K45" s="11"/>
      <c r="L45" s="11"/>
      <c r="M45" s="7"/>
      <c r="N45" s="11"/>
      <c r="O45" s="11"/>
      <c r="P45" s="11"/>
      <c r="Q45" s="11"/>
      <c r="R45" s="11"/>
      <c r="S45" s="11"/>
      <c r="T45" s="11"/>
      <c r="U45" s="11"/>
      <c r="V45" s="11"/>
      <c r="W45" s="11"/>
      <c r="X45" s="11"/>
      <c r="Y45" s="11"/>
      <c r="Z45" s="11"/>
      <c r="AA45" s="11"/>
      <c r="AB45" s="11"/>
      <c r="AC45" s="11"/>
      <c r="AD45" s="11"/>
      <c r="AE45" s="11"/>
      <c r="AF45" s="11"/>
      <c r="AG45" s="11"/>
      <c r="AH45" s="11"/>
      <c r="AI45" s="11"/>
      <c r="AJ45" s="11"/>
      <c r="AK45" s="11"/>
    </row>
    <row r="46" spans="1:37" x14ac:dyDescent="0.2">
      <c r="A46" s="18"/>
      <c r="B46" s="11"/>
      <c r="C46" s="11"/>
      <c r="D46" s="11"/>
      <c r="E46" s="11"/>
      <c r="F46" s="11"/>
      <c r="G46" s="11"/>
      <c r="H46" s="11"/>
      <c r="I46" s="7"/>
      <c r="J46" s="11"/>
      <c r="K46" s="11"/>
      <c r="L46" s="11"/>
      <c r="M46" s="7"/>
      <c r="N46" s="11"/>
      <c r="O46" s="11"/>
      <c r="P46" s="11"/>
      <c r="Q46" s="11"/>
      <c r="R46" s="11"/>
      <c r="S46" s="11"/>
      <c r="T46" s="11"/>
      <c r="U46" s="11"/>
      <c r="V46" s="11"/>
      <c r="W46" s="11"/>
      <c r="X46" s="11"/>
      <c r="Y46" s="11"/>
      <c r="Z46" s="11"/>
      <c r="AA46" s="11"/>
      <c r="AB46" s="11"/>
      <c r="AC46" s="11"/>
      <c r="AD46" s="11"/>
      <c r="AE46" s="11"/>
      <c r="AF46" s="11"/>
      <c r="AG46" s="11"/>
      <c r="AH46" s="11"/>
      <c r="AI46" s="11"/>
      <c r="AJ46" s="11"/>
      <c r="AK46" s="11"/>
    </row>
    <row r="47" spans="1:37" x14ac:dyDescent="0.2">
      <c r="A47" s="18"/>
      <c r="B47" s="11"/>
      <c r="C47" s="11"/>
      <c r="D47" s="11"/>
      <c r="E47" s="11"/>
      <c r="F47" s="11"/>
      <c r="G47" s="11"/>
      <c r="H47" s="11"/>
      <c r="I47" s="7"/>
      <c r="J47" s="11"/>
      <c r="K47" s="11"/>
      <c r="L47" s="11"/>
      <c r="M47" s="7"/>
      <c r="N47" s="11"/>
      <c r="O47" s="11"/>
      <c r="P47" s="11"/>
      <c r="Q47" s="11"/>
      <c r="R47" s="11"/>
      <c r="S47" s="11"/>
      <c r="T47" s="11"/>
      <c r="U47" s="11"/>
      <c r="V47" s="11"/>
      <c r="W47" s="11"/>
      <c r="X47" s="11"/>
      <c r="Y47" s="11"/>
      <c r="Z47" s="11"/>
      <c r="AA47" s="11"/>
      <c r="AB47" s="11"/>
      <c r="AC47" s="11"/>
      <c r="AD47" s="11"/>
      <c r="AE47" s="11"/>
      <c r="AF47" s="11"/>
      <c r="AG47" s="11"/>
      <c r="AH47" s="11"/>
      <c r="AI47" s="11"/>
      <c r="AJ47" s="11"/>
      <c r="AK47" s="11"/>
    </row>
    <row r="48" spans="1:37" x14ac:dyDescent="0.2">
      <c r="A48" s="18"/>
      <c r="B48" s="11"/>
      <c r="C48" s="11"/>
      <c r="D48" s="11"/>
      <c r="E48" s="11"/>
      <c r="F48" s="11"/>
      <c r="G48" s="11"/>
      <c r="H48" s="11"/>
      <c r="I48" s="7"/>
      <c r="J48" s="11"/>
      <c r="K48" s="11"/>
      <c r="L48" s="11"/>
      <c r="M48" s="7"/>
      <c r="N48" s="11"/>
      <c r="O48" s="11"/>
      <c r="P48" s="11"/>
      <c r="Q48" s="11"/>
      <c r="R48" s="11"/>
      <c r="S48" s="11"/>
      <c r="T48" s="11"/>
      <c r="U48" s="11"/>
      <c r="V48" s="11"/>
      <c r="W48" s="11"/>
      <c r="X48" s="11"/>
      <c r="Y48" s="11"/>
      <c r="Z48" s="11"/>
      <c r="AA48" s="11"/>
      <c r="AB48" s="11"/>
      <c r="AC48" s="11"/>
      <c r="AD48" s="11"/>
      <c r="AE48" s="11"/>
      <c r="AF48" s="11"/>
      <c r="AG48" s="11"/>
      <c r="AH48" s="11"/>
      <c r="AI48" s="11"/>
      <c r="AJ48" s="11"/>
      <c r="AK48" s="11"/>
    </row>
    <row r="49" spans="1:37" x14ac:dyDescent="0.2">
      <c r="A49" s="18"/>
      <c r="B49" s="11"/>
      <c r="C49" s="11"/>
      <c r="D49" s="11"/>
      <c r="E49" s="11"/>
      <c r="F49" s="11"/>
      <c r="G49" s="11"/>
      <c r="H49" s="11"/>
      <c r="I49" s="7"/>
      <c r="J49" s="11"/>
      <c r="K49" s="11"/>
      <c r="L49" s="11"/>
      <c r="M49" s="7"/>
      <c r="N49" s="11"/>
      <c r="O49" s="11"/>
      <c r="P49" s="11"/>
      <c r="Q49" s="11"/>
      <c r="R49" s="11"/>
      <c r="S49" s="11"/>
      <c r="T49" s="11"/>
      <c r="U49" s="11"/>
      <c r="V49" s="11"/>
      <c r="W49" s="11"/>
      <c r="X49" s="11"/>
      <c r="Y49" s="11"/>
      <c r="Z49" s="11"/>
      <c r="AA49" s="11"/>
      <c r="AB49" s="11"/>
      <c r="AC49" s="11"/>
      <c r="AD49" s="11"/>
      <c r="AE49" s="11"/>
      <c r="AF49" s="11"/>
      <c r="AG49" s="11"/>
      <c r="AH49" s="11"/>
      <c r="AI49" s="11"/>
      <c r="AJ49" s="11"/>
      <c r="AK49" s="11"/>
    </row>
    <row r="50" spans="1:37" x14ac:dyDescent="0.2">
      <c r="A50" s="18"/>
      <c r="B50" s="11"/>
      <c r="C50" s="11"/>
      <c r="D50" s="11"/>
      <c r="E50" s="11"/>
      <c r="F50" s="11"/>
      <c r="G50" s="11"/>
      <c r="H50" s="11"/>
      <c r="I50" s="7"/>
      <c r="J50" s="11"/>
      <c r="K50" s="11"/>
      <c r="L50" s="11"/>
      <c r="M50" s="7"/>
      <c r="N50" s="11"/>
      <c r="O50" s="11"/>
      <c r="P50" s="11"/>
      <c r="Q50" s="11"/>
      <c r="R50" s="11"/>
      <c r="S50" s="11"/>
      <c r="T50" s="11"/>
      <c r="U50" s="11"/>
      <c r="V50" s="11"/>
      <c r="W50" s="11"/>
      <c r="X50" s="11"/>
      <c r="Y50" s="11"/>
      <c r="Z50" s="11"/>
      <c r="AA50" s="11"/>
      <c r="AB50" s="11"/>
      <c r="AC50" s="11"/>
      <c r="AD50" s="11"/>
      <c r="AE50" s="11"/>
      <c r="AF50" s="11"/>
      <c r="AG50" s="11"/>
      <c r="AH50" s="11"/>
      <c r="AI50" s="11"/>
      <c r="AJ50" s="11"/>
      <c r="AK50" s="11"/>
    </row>
    <row r="51" spans="1:37" x14ac:dyDescent="0.2">
      <c r="A51" s="18"/>
      <c r="B51" s="11"/>
      <c r="C51" s="11"/>
      <c r="D51" s="11"/>
      <c r="E51" s="11"/>
      <c r="F51" s="11"/>
      <c r="G51" s="11"/>
      <c r="H51" s="11"/>
      <c r="I51" s="7"/>
      <c r="J51" s="11"/>
      <c r="K51" s="11"/>
      <c r="L51" s="11"/>
      <c r="M51" s="7"/>
      <c r="N51" s="11"/>
      <c r="O51" s="11"/>
      <c r="P51" s="11"/>
      <c r="Q51" s="11"/>
      <c r="R51" s="11"/>
      <c r="S51" s="11"/>
      <c r="T51" s="11"/>
      <c r="U51" s="11"/>
      <c r="V51" s="11"/>
      <c r="W51" s="11"/>
      <c r="X51" s="11"/>
      <c r="Y51" s="11"/>
      <c r="Z51" s="11"/>
      <c r="AA51" s="11"/>
      <c r="AB51" s="11"/>
      <c r="AC51" s="11"/>
      <c r="AD51" s="11"/>
      <c r="AE51" s="11"/>
      <c r="AF51" s="11"/>
      <c r="AG51" s="11"/>
      <c r="AH51" s="11"/>
      <c r="AI51" s="11"/>
      <c r="AJ51" s="11"/>
      <c r="AK51" s="11"/>
    </row>
    <row r="52" spans="1:37" x14ac:dyDescent="0.2">
      <c r="A52" s="18"/>
      <c r="B52" s="11"/>
      <c r="C52" s="11"/>
      <c r="D52" s="11"/>
      <c r="E52" s="11"/>
      <c r="F52" s="11"/>
      <c r="G52" s="11"/>
      <c r="H52" s="11"/>
      <c r="I52" s="7"/>
      <c r="J52" s="11"/>
      <c r="K52" s="11"/>
      <c r="L52" s="11"/>
      <c r="M52" s="7"/>
      <c r="N52" s="11"/>
      <c r="O52" s="11"/>
      <c r="P52" s="11"/>
      <c r="Q52" s="11"/>
      <c r="R52" s="11"/>
      <c r="S52" s="11"/>
      <c r="T52" s="11"/>
      <c r="U52" s="11"/>
      <c r="V52" s="11"/>
      <c r="W52" s="11"/>
      <c r="X52" s="11"/>
      <c r="Y52" s="11"/>
      <c r="Z52" s="11"/>
      <c r="AA52" s="11"/>
      <c r="AB52" s="11"/>
      <c r="AC52" s="11"/>
      <c r="AD52" s="11"/>
      <c r="AE52" s="11"/>
      <c r="AF52" s="11"/>
      <c r="AG52" s="11"/>
      <c r="AH52" s="11"/>
      <c r="AI52" s="11"/>
      <c r="AJ52" s="11"/>
      <c r="AK52" s="11"/>
    </row>
    <row r="53" spans="1:37" x14ac:dyDescent="0.2">
      <c r="A53" s="18"/>
      <c r="B53" s="11"/>
      <c r="C53" s="11"/>
      <c r="D53" s="11"/>
      <c r="E53" s="11"/>
      <c r="F53" s="11"/>
      <c r="G53" s="11"/>
      <c r="H53" s="11"/>
      <c r="I53" s="7"/>
      <c r="J53" s="11"/>
      <c r="K53" s="11"/>
      <c r="L53" s="11"/>
      <c r="M53" s="7"/>
      <c r="N53" s="11"/>
      <c r="O53" s="11"/>
      <c r="P53" s="11"/>
      <c r="Q53" s="11"/>
      <c r="R53" s="11"/>
      <c r="S53" s="11"/>
      <c r="T53" s="11"/>
      <c r="U53" s="11"/>
      <c r="V53" s="11"/>
      <c r="W53" s="11"/>
      <c r="X53" s="11"/>
      <c r="Y53" s="11"/>
      <c r="Z53" s="11"/>
      <c r="AA53" s="11"/>
      <c r="AB53" s="11"/>
      <c r="AC53" s="11"/>
      <c r="AD53" s="11"/>
      <c r="AE53" s="11"/>
      <c r="AF53" s="11"/>
      <c r="AG53" s="11"/>
      <c r="AH53" s="11"/>
      <c r="AI53" s="11"/>
      <c r="AJ53" s="11"/>
      <c r="AK53" s="11"/>
    </row>
    <row r="54" spans="1:37" x14ac:dyDescent="0.2">
      <c r="A54" s="18"/>
      <c r="B54" s="11"/>
      <c r="C54" s="11"/>
      <c r="D54" s="11"/>
      <c r="E54" s="11"/>
      <c r="F54" s="11"/>
      <c r="G54" s="11"/>
      <c r="H54" s="11"/>
      <c r="I54" s="7"/>
      <c r="J54" s="11"/>
      <c r="K54" s="11"/>
      <c r="L54" s="11"/>
      <c r="M54" s="7"/>
      <c r="N54" s="11"/>
      <c r="O54" s="11"/>
      <c r="P54" s="11"/>
      <c r="Q54" s="11"/>
      <c r="R54" s="11"/>
      <c r="S54" s="11"/>
      <c r="T54" s="11"/>
      <c r="U54" s="11"/>
      <c r="V54" s="11"/>
      <c r="W54" s="11"/>
      <c r="X54" s="11"/>
      <c r="Y54" s="11"/>
      <c r="Z54" s="11"/>
      <c r="AA54" s="11"/>
      <c r="AB54" s="11"/>
      <c r="AC54" s="11"/>
      <c r="AD54" s="11"/>
      <c r="AE54" s="11"/>
      <c r="AF54" s="11"/>
      <c r="AG54" s="11"/>
      <c r="AH54" s="11"/>
      <c r="AI54" s="11"/>
      <c r="AJ54" s="11"/>
      <c r="AK54" s="11"/>
    </row>
    <row r="55" spans="1:37" x14ac:dyDescent="0.2">
      <c r="A55" s="18"/>
      <c r="B55" s="11"/>
      <c r="C55" s="11"/>
      <c r="D55" s="11"/>
      <c r="E55" s="11"/>
      <c r="F55" s="11"/>
      <c r="G55" s="11"/>
      <c r="H55" s="11"/>
      <c r="I55" s="7"/>
      <c r="J55" s="11"/>
      <c r="K55" s="11"/>
      <c r="L55" s="11"/>
      <c r="M55" s="7"/>
      <c r="N55" s="11"/>
      <c r="O55" s="11"/>
      <c r="P55" s="11"/>
      <c r="Q55" s="11"/>
      <c r="R55" s="11"/>
      <c r="S55" s="11"/>
      <c r="T55" s="11"/>
      <c r="U55" s="11"/>
      <c r="V55" s="11"/>
      <c r="W55" s="11"/>
      <c r="X55" s="11"/>
      <c r="Y55" s="11"/>
      <c r="Z55" s="11"/>
      <c r="AA55" s="11"/>
      <c r="AB55" s="11"/>
      <c r="AC55" s="11"/>
      <c r="AD55" s="11"/>
      <c r="AE55" s="11"/>
      <c r="AF55" s="11"/>
      <c r="AG55" s="11"/>
      <c r="AH55" s="11"/>
      <c r="AI55" s="11"/>
      <c r="AJ55" s="11"/>
      <c r="AK55" s="11"/>
    </row>
    <row r="56" spans="1:37" x14ac:dyDescent="0.2">
      <c r="A56" s="18"/>
      <c r="B56" s="11"/>
      <c r="C56" s="11"/>
      <c r="D56" s="11"/>
      <c r="E56" s="11"/>
      <c r="F56" s="11"/>
      <c r="G56" s="11"/>
      <c r="H56" s="11"/>
      <c r="I56" s="7"/>
      <c r="J56" s="11"/>
      <c r="K56" s="11"/>
      <c r="L56" s="11"/>
      <c r="M56" s="7"/>
      <c r="N56" s="11"/>
      <c r="O56" s="11"/>
      <c r="P56" s="11"/>
      <c r="Q56" s="11"/>
      <c r="R56" s="11"/>
      <c r="S56" s="11"/>
      <c r="T56" s="11"/>
      <c r="U56" s="11"/>
      <c r="V56" s="11"/>
      <c r="W56" s="11"/>
      <c r="X56" s="11"/>
      <c r="Y56" s="11"/>
      <c r="Z56" s="11"/>
      <c r="AA56" s="11"/>
      <c r="AB56" s="11"/>
      <c r="AC56" s="11"/>
      <c r="AD56" s="11"/>
      <c r="AE56" s="11"/>
      <c r="AF56" s="11"/>
      <c r="AG56" s="11"/>
      <c r="AH56" s="11"/>
      <c r="AI56" s="11"/>
      <c r="AJ56" s="11"/>
      <c r="AK56" s="11"/>
    </row>
    <row r="57" spans="1:37" x14ac:dyDescent="0.2">
      <c r="A57" s="18"/>
      <c r="B57" s="11"/>
      <c r="C57" s="11"/>
      <c r="D57" s="11"/>
      <c r="E57" s="11"/>
      <c r="F57" s="11"/>
      <c r="G57" s="11"/>
      <c r="H57" s="11"/>
      <c r="I57" s="7"/>
      <c r="J57" s="11"/>
      <c r="K57" s="11"/>
      <c r="L57" s="11"/>
      <c r="M57" s="7"/>
      <c r="N57" s="11"/>
      <c r="O57" s="11"/>
      <c r="P57" s="11"/>
      <c r="Q57" s="11"/>
      <c r="R57" s="11"/>
      <c r="S57" s="11"/>
      <c r="T57" s="11"/>
      <c r="U57" s="11"/>
      <c r="V57" s="11"/>
      <c r="W57" s="11"/>
      <c r="X57" s="11"/>
      <c r="Y57" s="11"/>
      <c r="Z57" s="11"/>
      <c r="AA57" s="11"/>
      <c r="AB57" s="11"/>
      <c r="AC57" s="11"/>
      <c r="AD57" s="11"/>
      <c r="AE57" s="11"/>
      <c r="AF57" s="11"/>
      <c r="AG57" s="11"/>
      <c r="AH57" s="11"/>
      <c r="AI57" s="11"/>
      <c r="AJ57" s="11"/>
      <c r="AK57" s="11"/>
    </row>
    <row r="58" spans="1:37" x14ac:dyDescent="0.2">
      <c r="A58" s="18"/>
      <c r="B58" s="11"/>
      <c r="C58" s="11"/>
      <c r="D58" s="11"/>
      <c r="E58" s="11"/>
      <c r="F58" s="11"/>
      <c r="G58" s="11"/>
      <c r="H58" s="11"/>
      <c r="I58" s="7"/>
      <c r="J58" s="11"/>
      <c r="K58" s="11"/>
      <c r="L58" s="11"/>
      <c r="M58" s="7"/>
      <c r="N58" s="11"/>
      <c r="O58" s="11"/>
      <c r="P58" s="11"/>
      <c r="Q58" s="11"/>
      <c r="R58" s="11"/>
      <c r="S58" s="11"/>
      <c r="T58" s="11"/>
      <c r="U58" s="11"/>
      <c r="V58" s="11"/>
      <c r="W58" s="11"/>
      <c r="X58" s="11"/>
      <c r="Y58" s="11"/>
      <c r="Z58" s="11"/>
      <c r="AA58" s="11"/>
      <c r="AB58" s="11"/>
      <c r="AC58" s="11"/>
      <c r="AD58" s="11"/>
      <c r="AE58" s="11"/>
      <c r="AF58" s="11"/>
      <c r="AG58" s="11"/>
      <c r="AH58" s="11"/>
      <c r="AI58" s="11"/>
      <c r="AJ58" s="11"/>
      <c r="AK58" s="11"/>
    </row>
    <row r="59" spans="1:37" x14ac:dyDescent="0.2">
      <c r="A59" s="18"/>
      <c r="B59" s="11"/>
      <c r="C59" s="11"/>
      <c r="D59" s="11"/>
      <c r="E59" s="11"/>
      <c r="F59" s="11"/>
      <c r="G59" s="11"/>
      <c r="H59" s="11"/>
      <c r="I59" s="7"/>
      <c r="J59" s="11"/>
      <c r="K59" s="11"/>
      <c r="L59" s="11"/>
      <c r="M59" s="7"/>
      <c r="N59" s="11"/>
      <c r="O59" s="11"/>
      <c r="P59" s="11"/>
      <c r="Q59" s="11"/>
      <c r="R59" s="11"/>
      <c r="S59" s="11"/>
      <c r="T59" s="11"/>
      <c r="U59" s="11"/>
      <c r="V59" s="11"/>
      <c r="W59" s="11"/>
      <c r="X59" s="11"/>
      <c r="Y59" s="11"/>
      <c r="Z59" s="11"/>
      <c r="AA59" s="11"/>
      <c r="AB59" s="11"/>
      <c r="AC59" s="11"/>
      <c r="AD59" s="11"/>
      <c r="AE59" s="11"/>
      <c r="AF59" s="11"/>
      <c r="AG59" s="11"/>
      <c r="AH59" s="11"/>
      <c r="AI59" s="11"/>
      <c r="AJ59" s="11"/>
      <c r="AK59" s="11"/>
    </row>
    <row r="60" spans="1:37" x14ac:dyDescent="0.2">
      <c r="A60" s="18"/>
      <c r="B60" s="11"/>
      <c r="C60" s="11"/>
      <c r="D60" s="11"/>
      <c r="E60" s="11"/>
      <c r="F60" s="11"/>
      <c r="G60" s="11"/>
      <c r="H60" s="11"/>
      <c r="I60" s="7"/>
      <c r="J60" s="11"/>
      <c r="K60" s="11"/>
      <c r="L60" s="11"/>
      <c r="M60" s="7"/>
      <c r="N60" s="11"/>
      <c r="O60" s="11"/>
      <c r="P60" s="11"/>
      <c r="Q60" s="11"/>
      <c r="R60" s="11"/>
      <c r="S60" s="11"/>
      <c r="T60" s="11"/>
      <c r="U60" s="11"/>
      <c r="V60" s="11"/>
      <c r="W60" s="11"/>
      <c r="X60" s="11"/>
      <c r="Y60" s="11"/>
      <c r="Z60" s="11"/>
      <c r="AA60" s="11"/>
      <c r="AB60" s="11"/>
      <c r="AC60" s="11"/>
      <c r="AD60" s="11"/>
      <c r="AE60" s="11"/>
      <c r="AF60" s="11"/>
      <c r="AG60" s="11"/>
      <c r="AH60" s="11"/>
      <c r="AI60" s="11"/>
      <c r="AJ60" s="11"/>
      <c r="AK60" s="11"/>
    </row>
    <row r="61" spans="1:37" x14ac:dyDescent="0.2">
      <c r="A61" s="18"/>
      <c r="B61" s="11"/>
      <c r="C61" s="11"/>
      <c r="D61" s="11"/>
      <c r="E61" s="11"/>
      <c r="F61" s="11"/>
      <c r="G61" s="11"/>
      <c r="H61" s="11"/>
      <c r="I61" s="7"/>
      <c r="J61" s="11"/>
      <c r="K61" s="11"/>
      <c r="L61" s="11"/>
      <c r="M61" s="7"/>
      <c r="N61" s="11"/>
      <c r="O61" s="11"/>
      <c r="P61" s="11"/>
      <c r="Q61" s="11"/>
      <c r="R61" s="11"/>
      <c r="S61" s="11"/>
      <c r="T61" s="11"/>
      <c r="U61" s="11"/>
      <c r="V61" s="11"/>
      <c r="W61" s="11"/>
      <c r="X61" s="11"/>
      <c r="Y61" s="11"/>
      <c r="Z61" s="11"/>
      <c r="AA61" s="11"/>
      <c r="AB61" s="11"/>
      <c r="AC61" s="11"/>
      <c r="AD61" s="11"/>
      <c r="AE61" s="11"/>
      <c r="AF61" s="11"/>
      <c r="AG61" s="11"/>
      <c r="AH61" s="11"/>
      <c r="AI61" s="11"/>
      <c r="AJ61" s="11"/>
      <c r="AK61" s="11"/>
    </row>
    <row r="62" spans="1:37" x14ac:dyDescent="0.2">
      <c r="A62" s="18"/>
      <c r="B62" s="11"/>
      <c r="C62" s="11"/>
      <c r="D62" s="11"/>
      <c r="E62" s="11"/>
      <c r="F62" s="11"/>
      <c r="G62" s="11"/>
      <c r="H62" s="11"/>
      <c r="I62" s="7"/>
      <c r="J62" s="11"/>
      <c r="K62" s="11"/>
      <c r="L62" s="11"/>
      <c r="M62" s="7"/>
      <c r="N62" s="11"/>
      <c r="O62" s="11"/>
      <c r="P62" s="11"/>
      <c r="Q62" s="11"/>
      <c r="R62" s="11"/>
      <c r="S62" s="11"/>
      <c r="T62" s="11"/>
      <c r="U62" s="11"/>
      <c r="V62" s="11"/>
      <c r="W62" s="11"/>
      <c r="X62" s="11"/>
      <c r="Y62" s="11"/>
      <c r="Z62" s="11"/>
      <c r="AA62" s="11"/>
      <c r="AB62" s="11"/>
      <c r="AC62" s="11"/>
      <c r="AD62" s="11"/>
      <c r="AE62" s="11"/>
      <c r="AF62" s="11"/>
      <c r="AG62" s="11"/>
      <c r="AH62" s="11"/>
      <c r="AI62" s="11"/>
      <c r="AJ62" s="11"/>
      <c r="AK62" s="11"/>
    </row>
    <row r="63" spans="1:37" x14ac:dyDescent="0.2">
      <c r="A63" s="18"/>
      <c r="B63" s="11"/>
      <c r="C63" s="11"/>
      <c r="D63" s="11"/>
      <c r="E63" s="11"/>
      <c r="F63" s="11"/>
      <c r="G63" s="11"/>
      <c r="H63" s="11"/>
      <c r="I63" s="7"/>
      <c r="J63" s="11"/>
      <c r="K63" s="11"/>
      <c r="L63" s="11"/>
      <c r="M63" s="7"/>
      <c r="N63" s="11"/>
      <c r="O63" s="11"/>
      <c r="P63" s="11"/>
      <c r="Q63" s="11"/>
      <c r="R63" s="11"/>
      <c r="S63" s="11"/>
      <c r="T63" s="11"/>
      <c r="U63" s="11"/>
      <c r="V63" s="11"/>
      <c r="W63" s="11"/>
      <c r="X63" s="11"/>
      <c r="Y63" s="11"/>
      <c r="Z63" s="11"/>
      <c r="AA63" s="11"/>
      <c r="AB63" s="11"/>
      <c r="AC63" s="11"/>
      <c r="AD63" s="11"/>
      <c r="AE63" s="11"/>
      <c r="AF63" s="11"/>
      <c r="AG63" s="11"/>
      <c r="AH63" s="11"/>
      <c r="AI63" s="11"/>
      <c r="AJ63" s="11"/>
      <c r="AK63" s="11"/>
    </row>
    <row r="64" spans="1:37" x14ac:dyDescent="0.2">
      <c r="A64" s="18"/>
      <c r="B64" s="11"/>
      <c r="C64" s="11"/>
      <c r="D64" s="11"/>
      <c r="E64" s="11"/>
      <c r="F64" s="11"/>
      <c r="G64" s="11"/>
      <c r="H64" s="11"/>
      <c r="I64" s="7"/>
      <c r="J64" s="11"/>
      <c r="K64" s="11"/>
      <c r="L64" s="11"/>
      <c r="M64" s="7"/>
      <c r="N64" s="11"/>
      <c r="O64" s="11"/>
      <c r="P64" s="11"/>
      <c r="Q64" s="11"/>
      <c r="R64" s="11"/>
      <c r="S64" s="11"/>
      <c r="T64" s="11"/>
      <c r="U64" s="11"/>
      <c r="V64" s="11"/>
      <c r="W64" s="11"/>
      <c r="X64" s="11"/>
      <c r="Y64" s="11"/>
      <c r="Z64" s="11"/>
      <c r="AA64" s="11"/>
      <c r="AB64" s="11"/>
      <c r="AC64" s="11"/>
      <c r="AD64" s="11"/>
      <c r="AE64" s="11"/>
      <c r="AF64" s="11"/>
      <c r="AG64" s="11"/>
      <c r="AH64" s="11"/>
      <c r="AI64" s="11"/>
      <c r="AJ64" s="11"/>
      <c r="AK64" s="11"/>
    </row>
    <row r="65" spans="1:37" x14ac:dyDescent="0.2">
      <c r="A65" s="18"/>
      <c r="B65" s="11"/>
      <c r="C65" s="11"/>
      <c r="D65" s="11"/>
      <c r="E65" s="11"/>
      <c r="F65" s="11"/>
      <c r="G65" s="11"/>
      <c r="H65" s="11"/>
      <c r="I65" s="7"/>
      <c r="J65" s="11"/>
      <c r="K65" s="11"/>
      <c r="L65" s="11"/>
      <c r="M65" s="7"/>
      <c r="N65" s="11"/>
      <c r="O65" s="11"/>
      <c r="P65" s="11"/>
      <c r="Q65" s="11"/>
      <c r="R65" s="11"/>
      <c r="S65" s="11"/>
      <c r="T65" s="11"/>
      <c r="U65" s="11"/>
      <c r="V65" s="11"/>
      <c r="W65" s="11"/>
      <c r="X65" s="11"/>
      <c r="Y65" s="11"/>
      <c r="Z65" s="11"/>
      <c r="AA65" s="11"/>
      <c r="AB65" s="11"/>
      <c r="AC65" s="11"/>
      <c r="AD65" s="11"/>
      <c r="AE65" s="11"/>
      <c r="AF65" s="11"/>
      <c r="AG65" s="11"/>
      <c r="AH65" s="11"/>
      <c r="AI65" s="11"/>
      <c r="AJ65" s="11"/>
      <c r="AK65" s="11"/>
    </row>
    <row r="66" spans="1:37" x14ac:dyDescent="0.2">
      <c r="A66" s="18"/>
      <c r="B66" s="11"/>
      <c r="C66" s="11"/>
      <c r="D66" s="11"/>
      <c r="E66" s="11"/>
      <c r="F66" s="11"/>
      <c r="G66" s="11"/>
      <c r="H66" s="11"/>
      <c r="I66" s="7"/>
      <c r="J66" s="11"/>
      <c r="K66" s="11"/>
      <c r="L66" s="11"/>
      <c r="M66" s="7"/>
      <c r="N66" s="11"/>
      <c r="O66" s="11"/>
      <c r="P66" s="11"/>
      <c r="Q66" s="11"/>
      <c r="R66" s="11"/>
      <c r="S66" s="11"/>
      <c r="T66" s="11"/>
      <c r="U66" s="11"/>
      <c r="V66" s="11"/>
      <c r="W66" s="11"/>
      <c r="X66" s="11"/>
      <c r="Y66" s="11"/>
      <c r="Z66" s="11"/>
      <c r="AA66" s="11"/>
      <c r="AB66" s="11"/>
      <c r="AC66" s="11"/>
      <c r="AD66" s="11"/>
      <c r="AE66" s="11"/>
      <c r="AF66" s="11"/>
      <c r="AG66" s="11"/>
      <c r="AH66" s="11"/>
      <c r="AI66" s="11"/>
      <c r="AJ66" s="11"/>
      <c r="AK66" s="11"/>
    </row>
    <row r="67" spans="1:37" x14ac:dyDescent="0.2">
      <c r="A67" s="18"/>
      <c r="B67" s="11"/>
      <c r="C67" s="11"/>
      <c r="D67" s="11"/>
      <c r="E67" s="11"/>
      <c r="F67" s="11"/>
      <c r="G67" s="11"/>
      <c r="H67" s="11"/>
      <c r="I67" s="7"/>
      <c r="J67" s="11"/>
      <c r="K67" s="11"/>
      <c r="L67" s="11"/>
      <c r="M67" s="7"/>
      <c r="N67" s="11"/>
      <c r="O67" s="11"/>
      <c r="P67" s="11"/>
      <c r="Q67" s="11"/>
      <c r="R67" s="11"/>
      <c r="S67" s="11"/>
      <c r="T67" s="11"/>
      <c r="U67" s="11"/>
      <c r="V67" s="11"/>
      <c r="W67" s="11"/>
      <c r="X67" s="11"/>
      <c r="Y67" s="11"/>
      <c r="Z67" s="11"/>
      <c r="AA67" s="11"/>
      <c r="AB67" s="11"/>
      <c r="AC67" s="11"/>
      <c r="AD67" s="11"/>
      <c r="AE67" s="11"/>
      <c r="AF67" s="11"/>
      <c r="AG67" s="11"/>
      <c r="AH67" s="11"/>
      <c r="AI67" s="11"/>
      <c r="AJ67" s="11"/>
      <c r="AK67" s="11"/>
    </row>
    <row r="68" spans="1:37" x14ac:dyDescent="0.2">
      <c r="A68" s="18"/>
      <c r="B68" s="11"/>
      <c r="C68" s="11"/>
      <c r="D68" s="11"/>
      <c r="E68" s="11"/>
      <c r="F68" s="11"/>
      <c r="G68" s="11"/>
      <c r="H68" s="11"/>
      <c r="I68" s="7"/>
      <c r="J68" s="11"/>
      <c r="K68" s="11"/>
      <c r="L68" s="11"/>
      <c r="M68" s="7"/>
      <c r="N68" s="11"/>
      <c r="O68" s="11"/>
      <c r="P68" s="11"/>
      <c r="Q68" s="11"/>
      <c r="R68" s="11"/>
      <c r="S68" s="11"/>
      <c r="T68" s="11"/>
      <c r="U68" s="11"/>
      <c r="V68" s="11"/>
      <c r="W68" s="11"/>
      <c r="X68" s="11"/>
      <c r="Y68" s="11"/>
      <c r="Z68" s="11"/>
      <c r="AA68" s="11"/>
      <c r="AB68" s="11"/>
      <c r="AC68" s="11"/>
      <c r="AD68" s="11"/>
      <c r="AE68" s="11"/>
      <c r="AF68" s="11"/>
      <c r="AG68" s="11"/>
      <c r="AH68" s="11"/>
      <c r="AI68" s="11"/>
      <c r="AJ68" s="11"/>
      <c r="AK68" s="11"/>
    </row>
    <row r="69" spans="1:37" x14ac:dyDescent="0.2">
      <c r="A69" s="18"/>
      <c r="B69" s="11"/>
      <c r="C69" s="11"/>
      <c r="D69" s="11"/>
      <c r="E69" s="11"/>
      <c r="F69" s="11"/>
      <c r="G69" s="11"/>
      <c r="H69" s="11"/>
      <c r="I69" s="7"/>
      <c r="J69" s="11"/>
      <c r="K69" s="11"/>
      <c r="L69" s="11"/>
      <c r="M69" s="7"/>
      <c r="N69" s="11"/>
      <c r="O69" s="11"/>
      <c r="P69" s="11"/>
      <c r="Q69" s="11"/>
      <c r="R69" s="11"/>
      <c r="S69" s="11"/>
      <c r="T69" s="11"/>
      <c r="U69" s="11"/>
      <c r="V69" s="11"/>
      <c r="W69" s="11"/>
      <c r="X69" s="11"/>
      <c r="Y69" s="11"/>
      <c r="Z69" s="11"/>
      <c r="AA69" s="11"/>
      <c r="AB69" s="11"/>
      <c r="AC69" s="11"/>
      <c r="AD69" s="11"/>
      <c r="AE69" s="11"/>
      <c r="AF69" s="11"/>
      <c r="AG69" s="11"/>
      <c r="AH69" s="11"/>
      <c r="AI69" s="11"/>
      <c r="AJ69" s="11"/>
      <c r="AK69" s="11"/>
    </row>
    <row r="70" spans="1:37" x14ac:dyDescent="0.2">
      <c r="A70" s="18"/>
      <c r="B70" s="11"/>
      <c r="C70" s="11"/>
      <c r="D70" s="11"/>
      <c r="E70" s="11"/>
      <c r="F70" s="11"/>
      <c r="G70" s="11"/>
      <c r="H70" s="11"/>
      <c r="I70" s="7"/>
      <c r="J70" s="11"/>
      <c r="K70" s="11"/>
      <c r="L70" s="11"/>
      <c r="M70" s="7"/>
      <c r="N70" s="11"/>
      <c r="O70" s="11"/>
      <c r="P70" s="11"/>
      <c r="Q70" s="11"/>
      <c r="R70" s="11"/>
      <c r="S70" s="11"/>
      <c r="T70" s="11"/>
      <c r="U70" s="11"/>
      <c r="V70" s="11"/>
      <c r="W70" s="11"/>
      <c r="X70" s="11"/>
      <c r="Y70" s="11"/>
      <c r="Z70" s="11"/>
      <c r="AA70" s="11"/>
      <c r="AB70" s="11"/>
      <c r="AC70" s="11"/>
      <c r="AD70" s="11"/>
      <c r="AE70" s="11"/>
      <c r="AF70" s="11"/>
      <c r="AG70" s="11"/>
      <c r="AH70" s="11"/>
      <c r="AI70" s="11"/>
      <c r="AJ70" s="11"/>
      <c r="AK70" s="11"/>
    </row>
    <row r="71" spans="1:37" x14ac:dyDescent="0.2">
      <c r="A71" s="18"/>
      <c r="B71" s="11"/>
      <c r="C71" s="11"/>
      <c r="D71" s="11"/>
      <c r="E71" s="11"/>
      <c r="F71" s="11"/>
      <c r="G71" s="11"/>
      <c r="H71" s="11"/>
      <c r="I71" s="7"/>
      <c r="J71" s="11"/>
      <c r="K71" s="11"/>
      <c r="L71" s="11"/>
      <c r="M71" s="7"/>
      <c r="N71" s="11"/>
      <c r="O71" s="11"/>
      <c r="P71" s="11"/>
      <c r="Q71" s="11"/>
      <c r="R71" s="11"/>
      <c r="S71" s="11"/>
      <c r="T71" s="11"/>
      <c r="U71" s="11"/>
      <c r="V71" s="11"/>
      <c r="W71" s="11"/>
      <c r="X71" s="11"/>
      <c r="Y71" s="11"/>
      <c r="Z71" s="11"/>
      <c r="AA71" s="11"/>
      <c r="AB71" s="11"/>
      <c r="AC71" s="11"/>
      <c r="AD71" s="11"/>
      <c r="AE71" s="11"/>
      <c r="AF71" s="11"/>
      <c r="AG71" s="11"/>
      <c r="AH71" s="11"/>
      <c r="AI71" s="11"/>
      <c r="AJ71" s="11"/>
      <c r="AK71" s="11"/>
    </row>
    <row r="72" spans="1:37" x14ac:dyDescent="0.2">
      <c r="A72" s="18"/>
      <c r="B72" s="11"/>
      <c r="C72" s="11"/>
      <c r="D72" s="11"/>
      <c r="E72" s="11"/>
      <c r="F72" s="11"/>
      <c r="G72" s="11"/>
      <c r="H72" s="11"/>
      <c r="I72" s="7"/>
      <c r="J72" s="11"/>
      <c r="K72" s="11"/>
      <c r="L72" s="11"/>
      <c r="M72" s="7"/>
      <c r="N72" s="11"/>
      <c r="O72" s="11"/>
      <c r="P72" s="11"/>
      <c r="Q72" s="11"/>
      <c r="R72" s="11"/>
      <c r="S72" s="11"/>
      <c r="T72" s="11"/>
      <c r="U72" s="11"/>
      <c r="V72" s="11"/>
      <c r="W72" s="11"/>
      <c r="X72" s="11"/>
      <c r="Y72" s="11"/>
      <c r="Z72" s="11"/>
      <c r="AA72" s="11"/>
      <c r="AB72" s="11"/>
      <c r="AC72" s="11"/>
      <c r="AD72" s="11"/>
      <c r="AE72" s="11"/>
      <c r="AF72" s="11"/>
      <c r="AG72" s="11"/>
      <c r="AH72" s="11"/>
      <c r="AI72" s="11"/>
      <c r="AJ72" s="11"/>
      <c r="AK72" s="11"/>
    </row>
    <row r="73" spans="1:37" x14ac:dyDescent="0.2">
      <c r="A73" s="18"/>
      <c r="B73" s="11"/>
      <c r="C73" s="11"/>
      <c r="D73" s="11"/>
      <c r="E73" s="11"/>
      <c r="F73" s="11"/>
      <c r="G73" s="11"/>
      <c r="H73" s="11"/>
      <c r="I73" s="7"/>
      <c r="J73" s="11"/>
      <c r="K73" s="11"/>
      <c r="L73" s="11"/>
      <c r="M73" s="7"/>
      <c r="N73" s="11"/>
      <c r="O73" s="11"/>
      <c r="P73" s="11"/>
      <c r="Q73" s="11"/>
      <c r="R73" s="11"/>
      <c r="S73" s="11"/>
      <c r="T73" s="11"/>
      <c r="U73" s="11"/>
      <c r="V73" s="11"/>
      <c r="W73" s="11"/>
      <c r="X73" s="11"/>
      <c r="Y73" s="11"/>
      <c r="Z73" s="11"/>
      <c r="AA73" s="11"/>
      <c r="AB73" s="11"/>
      <c r="AC73" s="11"/>
      <c r="AD73" s="11"/>
      <c r="AE73" s="11"/>
      <c r="AF73" s="11"/>
      <c r="AG73" s="11"/>
      <c r="AH73" s="11"/>
      <c r="AI73" s="11"/>
      <c r="AJ73" s="11"/>
      <c r="AK73" s="11"/>
    </row>
    <row r="74" spans="1:37" x14ac:dyDescent="0.2">
      <c r="A74" s="18"/>
      <c r="B74" s="11"/>
      <c r="C74" s="11"/>
      <c r="D74" s="11"/>
      <c r="E74" s="11"/>
      <c r="F74" s="11"/>
      <c r="G74" s="11"/>
      <c r="H74" s="11"/>
      <c r="I74" s="7"/>
      <c r="J74" s="11"/>
      <c r="K74" s="11"/>
      <c r="L74" s="11"/>
      <c r="M74" s="7"/>
      <c r="N74" s="11"/>
      <c r="O74" s="11"/>
      <c r="P74" s="11"/>
      <c r="Q74" s="11"/>
      <c r="R74" s="11"/>
      <c r="S74" s="11"/>
      <c r="T74" s="11"/>
      <c r="U74" s="11"/>
      <c r="V74" s="11"/>
      <c r="W74" s="11"/>
      <c r="X74" s="11"/>
      <c r="Y74" s="11"/>
      <c r="Z74" s="11"/>
      <c r="AA74" s="11"/>
      <c r="AB74" s="11"/>
      <c r="AC74" s="11"/>
      <c r="AD74" s="11"/>
      <c r="AE74" s="11"/>
      <c r="AF74" s="11"/>
      <c r="AG74" s="11"/>
      <c r="AH74" s="11"/>
      <c r="AI74" s="11"/>
      <c r="AJ74" s="11"/>
      <c r="AK74" s="11"/>
    </row>
    <row r="75" spans="1:37" x14ac:dyDescent="0.2">
      <c r="A75" s="18"/>
      <c r="B75" s="11"/>
      <c r="C75" s="11"/>
      <c r="D75" s="11"/>
      <c r="E75" s="11"/>
      <c r="F75" s="11"/>
      <c r="G75" s="11"/>
      <c r="H75" s="11"/>
      <c r="I75" s="7"/>
      <c r="J75" s="11"/>
      <c r="K75" s="11"/>
      <c r="L75" s="11"/>
      <c r="M75" s="7"/>
      <c r="N75" s="11"/>
      <c r="O75" s="11"/>
      <c r="P75" s="11"/>
      <c r="Q75" s="11"/>
      <c r="R75" s="11"/>
      <c r="S75" s="11"/>
      <c r="T75" s="11"/>
      <c r="U75" s="11"/>
      <c r="V75" s="11"/>
      <c r="W75" s="11"/>
      <c r="X75" s="11"/>
      <c r="Y75" s="11"/>
      <c r="Z75" s="11"/>
      <c r="AA75" s="11"/>
      <c r="AB75" s="11"/>
      <c r="AC75" s="11"/>
      <c r="AD75" s="11"/>
      <c r="AE75" s="11"/>
      <c r="AF75" s="11"/>
      <c r="AG75" s="11"/>
      <c r="AH75" s="11"/>
      <c r="AI75" s="11"/>
      <c r="AJ75" s="11"/>
      <c r="AK75" s="11"/>
    </row>
    <row r="76" spans="1:37" x14ac:dyDescent="0.2">
      <c r="A76" s="18"/>
      <c r="B76" s="11"/>
      <c r="C76" s="11"/>
      <c r="D76" s="11"/>
      <c r="E76" s="11"/>
      <c r="F76" s="11"/>
      <c r="G76" s="11"/>
      <c r="H76" s="11"/>
      <c r="I76" s="7"/>
      <c r="J76" s="11"/>
      <c r="K76" s="11"/>
      <c r="L76" s="11"/>
      <c r="M76" s="7"/>
      <c r="N76" s="11"/>
      <c r="O76" s="11"/>
      <c r="P76" s="11"/>
      <c r="Q76" s="11"/>
      <c r="R76" s="11"/>
      <c r="S76" s="11"/>
      <c r="T76" s="11"/>
      <c r="U76" s="11"/>
      <c r="V76" s="11"/>
      <c r="W76" s="11"/>
      <c r="X76" s="11"/>
      <c r="Y76" s="11"/>
      <c r="Z76" s="11"/>
      <c r="AA76" s="11"/>
      <c r="AB76" s="11"/>
      <c r="AC76" s="11"/>
      <c r="AD76" s="11"/>
      <c r="AE76" s="11"/>
      <c r="AF76" s="11"/>
      <c r="AG76" s="11"/>
      <c r="AH76" s="11"/>
      <c r="AI76" s="11"/>
      <c r="AJ76" s="11"/>
      <c r="AK76" s="11"/>
    </row>
    <row r="77" spans="1:37" x14ac:dyDescent="0.2">
      <c r="A77" s="18"/>
      <c r="B77" s="11"/>
      <c r="C77" s="11"/>
      <c r="D77" s="11"/>
      <c r="E77" s="11"/>
      <c r="F77" s="11"/>
      <c r="G77" s="11"/>
      <c r="H77" s="11"/>
      <c r="I77" s="7"/>
      <c r="J77" s="11"/>
      <c r="K77" s="11"/>
      <c r="L77" s="11"/>
      <c r="M77" s="7"/>
      <c r="N77" s="11"/>
      <c r="O77" s="11"/>
      <c r="P77" s="11"/>
      <c r="Q77" s="11"/>
      <c r="R77" s="11"/>
      <c r="S77" s="11"/>
      <c r="T77" s="11"/>
      <c r="U77" s="11"/>
      <c r="V77" s="11"/>
      <c r="W77" s="11"/>
      <c r="X77" s="11"/>
      <c r="Y77" s="11"/>
      <c r="Z77" s="11"/>
      <c r="AA77" s="11"/>
      <c r="AB77" s="11"/>
      <c r="AC77" s="11"/>
      <c r="AD77" s="11"/>
      <c r="AE77" s="11"/>
      <c r="AF77" s="11"/>
      <c r="AG77" s="11"/>
      <c r="AH77" s="11"/>
      <c r="AI77" s="11"/>
      <c r="AJ77" s="11"/>
      <c r="AK77" s="11"/>
    </row>
    <row r="78" spans="1:37" x14ac:dyDescent="0.2">
      <c r="A78" s="18"/>
      <c r="B78" s="11"/>
      <c r="C78" s="11"/>
      <c r="D78" s="11"/>
      <c r="E78" s="11"/>
      <c r="F78" s="11"/>
      <c r="G78" s="11"/>
      <c r="H78" s="11"/>
      <c r="I78" s="7"/>
      <c r="J78" s="11"/>
      <c r="K78" s="11"/>
      <c r="L78" s="11"/>
      <c r="M78" s="7"/>
      <c r="N78" s="11"/>
      <c r="O78" s="11"/>
      <c r="P78" s="11"/>
      <c r="Q78" s="11"/>
      <c r="R78" s="11"/>
      <c r="S78" s="11"/>
      <c r="T78" s="11"/>
      <c r="U78" s="11"/>
      <c r="V78" s="11"/>
      <c r="W78" s="11"/>
      <c r="X78" s="11"/>
      <c r="Y78" s="11"/>
      <c r="Z78" s="11"/>
      <c r="AA78" s="11"/>
      <c r="AB78" s="11"/>
      <c r="AC78" s="11"/>
      <c r="AD78" s="11"/>
      <c r="AE78" s="11"/>
      <c r="AF78" s="11"/>
      <c r="AG78" s="11"/>
      <c r="AH78" s="11"/>
      <c r="AI78" s="11"/>
      <c r="AJ78" s="11"/>
      <c r="AK78" s="11"/>
    </row>
    <row r="79" spans="1:37" x14ac:dyDescent="0.2">
      <c r="A79" s="18"/>
      <c r="B79" s="11"/>
      <c r="C79" s="11"/>
      <c r="D79" s="11"/>
      <c r="E79" s="11"/>
      <c r="F79" s="11"/>
      <c r="G79" s="11"/>
      <c r="H79" s="11"/>
      <c r="I79" s="7"/>
      <c r="J79" s="11"/>
      <c r="K79" s="11"/>
      <c r="L79" s="11"/>
      <c r="M79" s="7"/>
      <c r="N79" s="11"/>
      <c r="O79" s="11"/>
      <c r="P79" s="11"/>
      <c r="Q79" s="11"/>
      <c r="R79" s="11"/>
      <c r="S79" s="11"/>
      <c r="T79" s="11"/>
      <c r="U79" s="11"/>
      <c r="V79" s="11"/>
      <c r="W79" s="11"/>
      <c r="X79" s="11"/>
      <c r="Y79" s="11"/>
      <c r="Z79" s="11"/>
      <c r="AA79" s="11"/>
      <c r="AB79" s="11"/>
      <c r="AC79" s="11"/>
      <c r="AD79" s="11"/>
      <c r="AE79" s="11"/>
      <c r="AF79" s="11"/>
      <c r="AG79" s="11"/>
      <c r="AH79" s="11"/>
      <c r="AI79" s="11"/>
      <c r="AJ79" s="11"/>
      <c r="AK79" s="11"/>
    </row>
    <row r="80" spans="1:37" x14ac:dyDescent="0.2">
      <c r="A80" s="18"/>
      <c r="B80" s="11"/>
      <c r="C80" s="11"/>
      <c r="D80" s="11"/>
      <c r="E80" s="11"/>
      <c r="F80" s="11"/>
      <c r="G80" s="11"/>
      <c r="H80" s="11"/>
      <c r="I80" s="7"/>
      <c r="J80" s="11"/>
      <c r="K80" s="11"/>
      <c r="L80" s="11"/>
      <c r="M80" s="7"/>
      <c r="N80" s="11"/>
      <c r="O80" s="11"/>
      <c r="P80" s="11"/>
      <c r="Q80" s="11"/>
      <c r="R80" s="11"/>
      <c r="S80" s="11"/>
      <c r="T80" s="11"/>
      <c r="U80" s="11"/>
      <c r="V80" s="11"/>
      <c r="W80" s="11"/>
      <c r="X80" s="11"/>
      <c r="Y80" s="11"/>
      <c r="Z80" s="11"/>
      <c r="AA80" s="11"/>
      <c r="AB80" s="11"/>
      <c r="AC80" s="11"/>
      <c r="AD80" s="11"/>
      <c r="AE80" s="11"/>
      <c r="AF80" s="11"/>
      <c r="AG80" s="11"/>
      <c r="AH80" s="11"/>
      <c r="AI80" s="11"/>
      <c r="AJ80" s="11"/>
      <c r="AK80" s="11"/>
    </row>
    <row r="81" spans="1:37" x14ac:dyDescent="0.2">
      <c r="A81" s="18"/>
      <c r="B81" s="11"/>
      <c r="C81" s="11"/>
      <c r="D81" s="11"/>
      <c r="E81" s="11"/>
      <c r="F81" s="11"/>
      <c r="G81" s="11"/>
      <c r="H81" s="11"/>
      <c r="I81" s="7"/>
      <c r="J81" s="11"/>
      <c r="K81" s="11"/>
      <c r="L81" s="11"/>
      <c r="M81" s="7"/>
      <c r="N81" s="11"/>
      <c r="O81" s="11"/>
      <c r="P81" s="11"/>
      <c r="Q81" s="11"/>
      <c r="R81" s="11"/>
      <c r="S81" s="11"/>
      <c r="T81" s="11"/>
      <c r="U81" s="11"/>
      <c r="V81" s="11"/>
      <c r="W81" s="11"/>
      <c r="X81" s="11"/>
      <c r="Y81" s="11"/>
      <c r="Z81" s="11"/>
      <c r="AA81" s="11"/>
      <c r="AB81" s="11"/>
      <c r="AC81" s="11"/>
      <c r="AD81" s="11"/>
      <c r="AE81" s="11"/>
      <c r="AF81" s="11"/>
      <c r="AG81" s="11"/>
      <c r="AH81" s="11"/>
      <c r="AI81" s="11"/>
      <c r="AJ81" s="11"/>
      <c r="AK81" s="11"/>
    </row>
    <row r="82" spans="1:37" x14ac:dyDescent="0.2">
      <c r="A82" s="18"/>
      <c r="B82" s="11"/>
      <c r="C82" s="11"/>
      <c r="D82" s="11"/>
      <c r="E82" s="11"/>
      <c r="F82" s="11"/>
      <c r="G82" s="11"/>
      <c r="H82" s="11"/>
      <c r="I82" s="7"/>
      <c r="J82" s="11"/>
      <c r="K82" s="11"/>
      <c r="L82" s="11"/>
      <c r="M82" s="7"/>
      <c r="N82" s="11"/>
      <c r="O82" s="11"/>
      <c r="P82" s="11"/>
      <c r="Q82" s="11"/>
      <c r="R82" s="11"/>
      <c r="S82" s="11"/>
      <c r="T82" s="11"/>
      <c r="U82" s="11"/>
      <c r="V82" s="11"/>
      <c r="W82" s="11"/>
      <c r="X82" s="11"/>
      <c r="Y82" s="11"/>
      <c r="Z82" s="11"/>
      <c r="AA82" s="11"/>
      <c r="AB82" s="11"/>
      <c r="AC82" s="11"/>
      <c r="AD82" s="11"/>
      <c r="AE82" s="11"/>
      <c r="AF82" s="11"/>
      <c r="AG82" s="11"/>
      <c r="AH82" s="11"/>
      <c r="AI82" s="11"/>
      <c r="AJ82" s="11"/>
      <c r="AK82" s="11"/>
    </row>
    <row r="83" spans="1:37" x14ac:dyDescent="0.2">
      <c r="A83" s="18"/>
      <c r="B83" s="11"/>
      <c r="C83" s="11"/>
      <c r="D83" s="11"/>
      <c r="E83" s="11"/>
      <c r="F83" s="11"/>
      <c r="G83" s="11"/>
      <c r="H83" s="11"/>
      <c r="I83" s="7"/>
      <c r="J83" s="11"/>
      <c r="K83" s="11"/>
      <c r="L83" s="11"/>
      <c r="M83" s="7"/>
      <c r="N83" s="11"/>
      <c r="O83" s="11"/>
      <c r="P83" s="11"/>
      <c r="Q83" s="11"/>
      <c r="R83" s="11"/>
      <c r="S83" s="11"/>
      <c r="T83" s="11"/>
      <c r="U83" s="11"/>
      <c r="V83" s="11"/>
      <c r="W83" s="11"/>
      <c r="X83" s="11"/>
      <c r="Y83" s="11"/>
      <c r="Z83" s="11"/>
      <c r="AA83" s="11"/>
      <c r="AB83" s="11"/>
      <c r="AC83" s="11"/>
      <c r="AD83" s="11"/>
      <c r="AE83" s="11"/>
      <c r="AF83" s="11"/>
      <c r="AG83" s="11"/>
      <c r="AH83" s="11"/>
      <c r="AI83" s="11"/>
      <c r="AJ83" s="11"/>
      <c r="AK83" s="11"/>
    </row>
    <row r="84" spans="1:37" x14ac:dyDescent="0.2">
      <c r="A84" s="18"/>
      <c r="B84" s="11"/>
      <c r="C84" s="11"/>
      <c r="D84" s="11"/>
      <c r="E84" s="11"/>
      <c r="F84" s="11"/>
      <c r="G84" s="11"/>
      <c r="H84" s="11"/>
      <c r="I84" s="7"/>
      <c r="J84" s="11"/>
      <c r="K84" s="11"/>
      <c r="L84" s="11"/>
      <c r="M84" s="7"/>
      <c r="N84" s="11"/>
      <c r="O84" s="11"/>
      <c r="P84" s="11"/>
      <c r="Q84" s="11"/>
      <c r="R84" s="11"/>
      <c r="S84" s="11"/>
      <c r="T84" s="11"/>
      <c r="U84" s="11"/>
      <c r="V84" s="11"/>
      <c r="W84" s="11"/>
      <c r="X84" s="11"/>
      <c r="Y84" s="11"/>
      <c r="Z84" s="11"/>
      <c r="AA84" s="11"/>
      <c r="AB84" s="11"/>
      <c r="AC84" s="11"/>
      <c r="AD84" s="11"/>
      <c r="AE84" s="11"/>
      <c r="AF84" s="11"/>
      <c r="AG84" s="11"/>
      <c r="AH84" s="11"/>
      <c r="AI84" s="11"/>
      <c r="AJ84" s="11"/>
      <c r="AK84" s="11"/>
    </row>
    <row r="85" spans="1:37" x14ac:dyDescent="0.2">
      <c r="A85" s="18"/>
      <c r="B85" s="11"/>
      <c r="C85" s="11"/>
      <c r="D85" s="11"/>
      <c r="E85" s="11"/>
      <c r="F85" s="11"/>
      <c r="G85" s="11"/>
      <c r="H85" s="11"/>
      <c r="I85" s="7"/>
      <c r="J85" s="11"/>
      <c r="K85" s="11"/>
      <c r="L85" s="11"/>
      <c r="M85" s="7"/>
      <c r="N85" s="11"/>
      <c r="O85" s="11"/>
      <c r="P85" s="11"/>
      <c r="Q85" s="11"/>
      <c r="R85" s="11"/>
      <c r="S85" s="11"/>
      <c r="T85" s="11"/>
      <c r="U85" s="11"/>
      <c r="V85" s="11"/>
      <c r="W85" s="11"/>
      <c r="X85" s="11"/>
      <c r="Y85" s="11"/>
      <c r="Z85" s="11"/>
      <c r="AA85" s="11"/>
      <c r="AB85" s="11"/>
      <c r="AC85" s="11"/>
      <c r="AD85" s="11"/>
      <c r="AE85" s="11"/>
      <c r="AF85" s="11"/>
      <c r="AG85" s="11"/>
      <c r="AH85" s="11"/>
      <c r="AI85" s="11"/>
      <c r="AJ85" s="11"/>
      <c r="AK85" s="11"/>
    </row>
    <row r="86" spans="1:37" x14ac:dyDescent="0.2">
      <c r="A86" s="18"/>
      <c r="B86" s="11"/>
      <c r="C86" s="11"/>
      <c r="D86" s="11"/>
      <c r="E86" s="11"/>
      <c r="F86" s="11"/>
      <c r="G86" s="11"/>
      <c r="H86" s="11"/>
      <c r="I86" s="7"/>
      <c r="J86" s="11"/>
      <c r="K86" s="11"/>
      <c r="L86" s="11"/>
      <c r="M86" s="7"/>
      <c r="N86" s="11"/>
      <c r="O86" s="11"/>
      <c r="P86" s="11"/>
      <c r="Q86" s="11"/>
      <c r="R86" s="11"/>
      <c r="S86" s="11"/>
      <c r="T86" s="11"/>
      <c r="U86" s="11"/>
      <c r="V86" s="11"/>
      <c r="W86" s="11"/>
      <c r="X86" s="11"/>
      <c r="Y86" s="11"/>
      <c r="Z86" s="11"/>
      <c r="AA86" s="11"/>
      <c r="AB86" s="11"/>
      <c r="AC86" s="11"/>
      <c r="AD86" s="11"/>
      <c r="AE86" s="11"/>
      <c r="AF86" s="11"/>
      <c r="AG86" s="11"/>
      <c r="AH86" s="11"/>
      <c r="AI86" s="11"/>
      <c r="AJ86" s="11"/>
      <c r="AK86" s="11"/>
    </row>
    <row r="87" spans="1:37" x14ac:dyDescent="0.2">
      <c r="A87" s="18"/>
      <c r="B87" s="11"/>
      <c r="C87" s="11"/>
      <c r="D87" s="11"/>
      <c r="E87" s="11"/>
      <c r="F87" s="11"/>
      <c r="G87" s="11"/>
      <c r="H87" s="11"/>
      <c r="I87" s="7"/>
      <c r="J87" s="11"/>
      <c r="K87" s="11"/>
      <c r="L87" s="11"/>
      <c r="M87" s="7"/>
      <c r="N87" s="11"/>
      <c r="O87" s="11"/>
      <c r="P87" s="11"/>
      <c r="Q87" s="11"/>
      <c r="R87" s="11"/>
      <c r="S87" s="11"/>
      <c r="T87" s="11"/>
      <c r="U87" s="11"/>
      <c r="V87" s="11"/>
      <c r="W87" s="11"/>
      <c r="X87" s="11"/>
      <c r="Y87" s="11"/>
      <c r="Z87" s="11"/>
      <c r="AA87" s="11"/>
      <c r="AB87" s="11"/>
      <c r="AC87" s="11"/>
      <c r="AD87" s="11"/>
      <c r="AE87" s="11"/>
      <c r="AF87" s="11"/>
      <c r="AG87" s="11"/>
      <c r="AH87" s="11"/>
      <c r="AI87" s="11"/>
      <c r="AJ87" s="11"/>
      <c r="AK87" s="11"/>
    </row>
    <row r="88" spans="1:37" x14ac:dyDescent="0.2">
      <c r="A88" s="18"/>
      <c r="B88" s="11"/>
      <c r="C88" s="11"/>
      <c r="D88" s="11"/>
      <c r="E88" s="11"/>
      <c r="F88" s="11"/>
      <c r="G88" s="11"/>
      <c r="H88" s="11"/>
      <c r="I88" s="7"/>
      <c r="J88" s="11"/>
      <c r="K88" s="11"/>
      <c r="L88" s="11"/>
      <c r="M88" s="7"/>
      <c r="N88" s="11"/>
      <c r="O88" s="11"/>
      <c r="P88" s="11"/>
      <c r="Q88" s="11"/>
      <c r="R88" s="11"/>
      <c r="S88" s="11"/>
      <c r="T88" s="11"/>
      <c r="U88" s="11"/>
      <c r="V88" s="11"/>
      <c r="W88" s="11"/>
      <c r="X88" s="11"/>
      <c r="Y88" s="11"/>
      <c r="Z88" s="11"/>
      <c r="AA88" s="11"/>
      <c r="AB88" s="11"/>
      <c r="AC88" s="11"/>
      <c r="AD88" s="11"/>
      <c r="AE88" s="11"/>
      <c r="AF88" s="11"/>
      <c r="AG88" s="11"/>
      <c r="AH88" s="11"/>
      <c r="AI88" s="11"/>
      <c r="AJ88" s="11"/>
      <c r="AK88" s="11"/>
    </row>
    <row r="89" spans="1:37" x14ac:dyDescent="0.2">
      <c r="A89" s="18"/>
      <c r="B89" s="11"/>
      <c r="C89" s="11"/>
      <c r="D89" s="11"/>
      <c r="E89" s="11"/>
      <c r="F89" s="11"/>
      <c r="G89" s="11"/>
      <c r="H89" s="11"/>
      <c r="I89" s="7"/>
      <c r="J89" s="11"/>
      <c r="K89" s="11"/>
      <c r="L89" s="11"/>
      <c r="M89" s="7"/>
      <c r="N89" s="11"/>
      <c r="O89" s="11"/>
      <c r="P89" s="11"/>
      <c r="Q89" s="11"/>
      <c r="R89" s="11"/>
      <c r="S89" s="11"/>
      <c r="T89" s="11"/>
      <c r="U89" s="11"/>
      <c r="V89" s="11"/>
      <c r="W89" s="11"/>
      <c r="X89" s="11"/>
      <c r="Y89" s="11"/>
      <c r="Z89" s="11"/>
      <c r="AA89" s="11"/>
      <c r="AB89" s="11"/>
      <c r="AC89" s="11"/>
      <c r="AD89" s="11"/>
      <c r="AE89" s="11"/>
      <c r="AF89" s="11"/>
      <c r="AG89" s="11"/>
      <c r="AH89" s="11"/>
      <c r="AI89" s="11"/>
      <c r="AJ89" s="11"/>
      <c r="AK89" s="11"/>
    </row>
    <row r="90" spans="1:37" x14ac:dyDescent="0.2">
      <c r="A90" s="18"/>
      <c r="B90" s="11"/>
      <c r="C90" s="11"/>
      <c r="D90" s="11"/>
      <c r="E90" s="11"/>
      <c r="F90" s="11"/>
      <c r="G90" s="11"/>
      <c r="H90" s="11"/>
      <c r="I90" s="7"/>
      <c r="J90" s="11"/>
      <c r="K90" s="11"/>
      <c r="L90" s="11"/>
      <c r="M90" s="7"/>
      <c r="N90" s="11"/>
      <c r="O90" s="11"/>
      <c r="P90" s="11"/>
      <c r="Q90" s="11"/>
      <c r="R90" s="11"/>
      <c r="S90" s="11"/>
      <c r="T90" s="11"/>
      <c r="U90" s="11"/>
      <c r="V90" s="11"/>
      <c r="W90" s="11"/>
      <c r="X90" s="11"/>
      <c r="Y90" s="11"/>
      <c r="Z90" s="11"/>
      <c r="AA90" s="11"/>
      <c r="AB90" s="11"/>
      <c r="AC90" s="11"/>
      <c r="AD90" s="11"/>
      <c r="AE90" s="11"/>
      <c r="AF90" s="11"/>
      <c r="AG90" s="11"/>
      <c r="AH90" s="11"/>
      <c r="AI90" s="11"/>
      <c r="AJ90" s="11"/>
      <c r="AK90" s="11"/>
    </row>
    <row r="91" spans="1:37" x14ac:dyDescent="0.2">
      <c r="A91" s="18"/>
      <c r="B91" s="11"/>
      <c r="C91" s="11"/>
      <c r="D91" s="11"/>
      <c r="E91" s="11"/>
      <c r="F91" s="11"/>
      <c r="G91" s="11"/>
      <c r="H91" s="11"/>
      <c r="I91" s="7"/>
      <c r="J91" s="11"/>
      <c r="K91" s="11"/>
      <c r="L91" s="11"/>
      <c r="M91" s="7"/>
      <c r="N91" s="11"/>
      <c r="O91" s="11"/>
      <c r="P91" s="11"/>
      <c r="Q91" s="11"/>
      <c r="R91" s="11"/>
      <c r="S91" s="11"/>
      <c r="T91" s="11"/>
      <c r="U91" s="11"/>
      <c r="V91" s="11"/>
      <c r="W91" s="11"/>
      <c r="X91" s="11"/>
      <c r="Y91" s="11"/>
      <c r="Z91" s="11"/>
      <c r="AA91" s="11"/>
      <c r="AB91" s="11"/>
      <c r="AC91" s="11"/>
      <c r="AD91" s="11"/>
      <c r="AE91" s="11"/>
      <c r="AF91" s="11"/>
      <c r="AG91" s="11"/>
      <c r="AH91" s="11"/>
      <c r="AI91" s="11"/>
      <c r="AJ91" s="11"/>
      <c r="AK91" s="11"/>
    </row>
    <row r="92" spans="1:37" x14ac:dyDescent="0.2">
      <c r="A92" s="18"/>
      <c r="B92" s="11"/>
      <c r="C92" s="11"/>
      <c r="D92" s="11"/>
      <c r="E92" s="11"/>
      <c r="F92" s="11"/>
      <c r="G92" s="11"/>
      <c r="H92" s="11"/>
      <c r="I92" s="7"/>
      <c r="J92" s="11"/>
      <c r="K92" s="11"/>
      <c r="L92" s="11"/>
      <c r="M92" s="7"/>
      <c r="N92" s="11"/>
      <c r="O92" s="11"/>
      <c r="P92" s="11"/>
      <c r="Q92" s="11"/>
      <c r="R92" s="11"/>
      <c r="S92" s="11"/>
      <c r="T92" s="11"/>
      <c r="U92" s="11"/>
      <c r="V92" s="11"/>
      <c r="W92" s="11"/>
      <c r="X92" s="11"/>
      <c r="Y92" s="11"/>
      <c r="Z92" s="11"/>
      <c r="AA92" s="11"/>
      <c r="AB92" s="11"/>
      <c r="AC92" s="11"/>
      <c r="AD92" s="11"/>
      <c r="AE92" s="11"/>
      <c r="AF92" s="11"/>
      <c r="AG92" s="11"/>
      <c r="AH92" s="11"/>
      <c r="AI92" s="11"/>
      <c r="AJ92" s="11"/>
      <c r="AK92" s="11"/>
    </row>
    <row r="93" spans="1:37" x14ac:dyDescent="0.2">
      <c r="A93" s="18"/>
      <c r="B93" s="11"/>
      <c r="C93" s="11"/>
      <c r="D93" s="11"/>
      <c r="E93" s="11"/>
      <c r="F93" s="11"/>
      <c r="G93" s="11"/>
      <c r="H93" s="11"/>
      <c r="I93" s="7"/>
      <c r="J93" s="11"/>
      <c r="K93" s="11"/>
      <c r="L93" s="11"/>
      <c r="M93" s="7"/>
      <c r="N93" s="11"/>
      <c r="O93" s="11"/>
      <c r="P93" s="11"/>
      <c r="Q93" s="11"/>
      <c r="R93" s="11"/>
      <c r="S93" s="11"/>
      <c r="T93" s="11"/>
      <c r="U93" s="11"/>
      <c r="V93" s="11"/>
      <c r="W93" s="11"/>
      <c r="X93" s="11"/>
      <c r="Y93" s="11"/>
      <c r="Z93" s="11"/>
      <c r="AA93" s="11"/>
      <c r="AB93" s="11"/>
      <c r="AC93" s="11"/>
      <c r="AD93" s="11"/>
      <c r="AE93" s="11"/>
      <c r="AF93" s="11"/>
      <c r="AG93" s="11"/>
      <c r="AH93" s="11"/>
      <c r="AI93" s="11"/>
      <c r="AJ93" s="11"/>
      <c r="AK93" s="11"/>
    </row>
    <row r="94" spans="1:37" x14ac:dyDescent="0.2">
      <c r="A94" s="18"/>
      <c r="B94" s="11"/>
      <c r="C94" s="11"/>
      <c r="D94" s="11"/>
      <c r="E94" s="11"/>
      <c r="F94" s="11"/>
      <c r="G94" s="11"/>
      <c r="H94" s="11"/>
      <c r="I94" s="7"/>
      <c r="J94" s="11"/>
      <c r="K94" s="11"/>
      <c r="L94" s="11"/>
      <c r="M94" s="7"/>
      <c r="N94" s="11"/>
      <c r="O94" s="11"/>
      <c r="P94" s="11"/>
      <c r="Q94" s="11"/>
      <c r="R94" s="11"/>
      <c r="S94" s="11"/>
      <c r="T94" s="11"/>
      <c r="U94" s="11"/>
      <c r="V94" s="11"/>
      <c r="W94" s="11"/>
      <c r="X94" s="11"/>
      <c r="Y94" s="11"/>
      <c r="Z94" s="11"/>
      <c r="AA94" s="11"/>
      <c r="AB94" s="11"/>
      <c r="AC94" s="11"/>
      <c r="AD94" s="11"/>
      <c r="AE94" s="11"/>
      <c r="AF94" s="11"/>
      <c r="AG94" s="11"/>
      <c r="AH94" s="11"/>
      <c r="AI94" s="11"/>
      <c r="AJ94" s="11"/>
      <c r="AK94" s="11"/>
    </row>
    <row r="95" spans="1:37" x14ac:dyDescent="0.2">
      <c r="A95" s="18"/>
      <c r="B95" s="11"/>
      <c r="C95" s="11"/>
      <c r="D95" s="11"/>
      <c r="E95" s="11"/>
      <c r="F95" s="11"/>
      <c r="G95" s="11"/>
      <c r="H95" s="11"/>
      <c r="I95" s="7"/>
      <c r="J95" s="11"/>
      <c r="K95" s="11"/>
      <c r="L95" s="11"/>
      <c r="M95" s="7"/>
      <c r="N95" s="11"/>
      <c r="O95" s="11"/>
      <c r="P95" s="11"/>
      <c r="Q95" s="11"/>
      <c r="R95" s="11"/>
      <c r="S95" s="11"/>
      <c r="T95" s="11"/>
      <c r="U95" s="11"/>
      <c r="V95" s="11"/>
      <c r="W95" s="11"/>
      <c r="X95" s="11"/>
      <c r="Y95" s="11"/>
      <c r="Z95" s="11"/>
      <c r="AA95" s="11"/>
      <c r="AB95" s="11"/>
      <c r="AC95" s="11"/>
      <c r="AD95" s="11"/>
      <c r="AE95" s="11"/>
      <c r="AF95" s="11"/>
      <c r="AG95" s="11"/>
      <c r="AH95" s="11"/>
      <c r="AI95" s="11"/>
      <c r="AJ95" s="11"/>
      <c r="AK95" s="11"/>
    </row>
    <row r="96" spans="1:37" x14ac:dyDescent="0.2">
      <c r="A96" s="18"/>
      <c r="B96" s="11"/>
      <c r="C96" s="11"/>
      <c r="D96" s="11"/>
      <c r="E96" s="11"/>
      <c r="F96" s="11"/>
      <c r="G96" s="11"/>
      <c r="H96" s="11"/>
      <c r="I96" s="7"/>
      <c r="J96" s="11"/>
      <c r="K96" s="11"/>
      <c r="L96" s="11"/>
      <c r="M96" s="7"/>
      <c r="N96" s="11"/>
      <c r="O96" s="11"/>
      <c r="P96" s="11"/>
      <c r="Q96" s="11"/>
      <c r="R96" s="11"/>
      <c r="S96" s="11"/>
      <c r="T96" s="11"/>
      <c r="U96" s="11"/>
      <c r="V96" s="11"/>
      <c r="W96" s="11"/>
      <c r="X96" s="11"/>
      <c r="Y96" s="11"/>
      <c r="Z96" s="11"/>
      <c r="AA96" s="11"/>
      <c r="AB96" s="11"/>
      <c r="AC96" s="11"/>
      <c r="AD96" s="11"/>
      <c r="AE96" s="11"/>
      <c r="AF96" s="11"/>
      <c r="AG96" s="11"/>
      <c r="AH96" s="11"/>
      <c r="AI96" s="11"/>
      <c r="AJ96" s="11"/>
      <c r="AK96" s="11"/>
    </row>
    <row r="97" spans="1:37" x14ac:dyDescent="0.2">
      <c r="A97" s="18"/>
      <c r="B97" s="11"/>
      <c r="C97" s="11"/>
      <c r="D97" s="11"/>
      <c r="E97" s="11"/>
      <c r="F97" s="11"/>
      <c r="G97" s="11"/>
      <c r="H97" s="11"/>
      <c r="I97" s="7"/>
      <c r="J97" s="11"/>
      <c r="K97" s="11"/>
      <c r="L97" s="11"/>
      <c r="M97" s="7"/>
      <c r="N97" s="11"/>
      <c r="O97" s="11"/>
      <c r="P97" s="11"/>
      <c r="Q97" s="11"/>
      <c r="R97" s="11"/>
      <c r="S97" s="11"/>
      <c r="T97" s="11"/>
      <c r="U97" s="11"/>
      <c r="V97" s="11"/>
      <c r="W97" s="11"/>
      <c r="X97" s="11"/>
      <c r="Y97" s="11"/>
      <c r="Z97" s="11"/>
      <c r="AA97" s="11"/>
      <c r="AB97" s="11"/>
      <c r="AC97" s="11"/>
      <c r="AD97" s="11"/>
      <c r="AE97" s="11"/>
      <c r="AF97" s="11"/>
      <c r="AG97" s="11"/>
      <c r="AH97" s="11"/>
      <c r="AI97" s="11"/>
      <c r="AJ97" s="11"/>
      <c r="AK97" s="11"/>
    </row>
    <row r="98" spans="1:37" x14ac:dyDescent="0.2">
      <c r="A98" s="18"/>
      <c r="B98" s="11"/>
      <c r="C98" s="11"/>
      <c r="D98" s="11"/>
      <c r="E98" s="11"/>
      <c r="F98" s="11"/>
      <c r="G98" s="11"/>
      <c r="H98" s="11"/>
      <c r="I98" s="7"/>
      <c r="J98" s="11"/>
      <c r="K98" s="11"/>
      <c r="L98" s="11"/>
      <c r="M98" s="7"/>
      <c r="N98" s="11"/>
      <c r="O98" s="11"/>
      <c r="P98" s="11"/>
      <c r="Q98" s="11"/>
      <c r="R98" s="11"/>
      <c r="S98" s="11"/>
      <c r="T98" s="11"/>
      <c r="U98" s="11"/>
      <c r="V98" s="11"/>
      <c r="W98" s="11"/>
      <c r="X98" s="11"/>
      <c r="Y98" s="11"/>
      <c r="Z98" s="11"/>
      <c r="AA98" s="11"/>
      <c r="AB98" s="11"/>
      <c r="AC98" s="11"/>
      <c r="AD98" s="11"/>
      <c r="AE98" s="11"/>
      <c r="AF98" s="11"/>
      <c r="AG98" s="11"/>
      <c r="AH98" s="11"/>
      <c r="AI98" s="11"/>
      <c r="AJ98" s="11"/>
      <c r="AK98" s="11"/>
    </row>
    <row r="99" spans="1:37" x14ac:dyDescent="0.2">
      <c r="A99" s="18"/>
      <c r="B99" s="11"/>
      <c r="C99" s="11"/>
      <c r="D99" s="11"/>
      <c r="E99" s="11"/>
      <c r="F99" s="11"/>
      <c r="G99" s="11"/>
      <c r="H99" s="11"/>
      <c r="I99" s="7"/>
      <c r="J99" s="11"/>
      <c r="K99" s="11"/>
      <c r="L99" s="11"/>
      <c r="M99" s="7"/>
      <c r="N99" s="11"/>
      <c r="O99" s="11"/>
      <c r="P99" s="11"/>
      <c r="Q99" s="11"/>
      <c r="R99" s="11"/>
      <c r="S99" s="11"/>
      <c r="T99" s="11"/>
      <c r="U99" s="11"/>
      <c r="V99" s="11"/>
      <c r="W99" s="11"/>
      <c r="X99" s="11"/>
      <c r="Y99" s="11"/>
      <c r="Z99" s="11"/>
      <c r="AA99" s="11"/>
      <c r="AB99" s="11"/>
      <c r="AC99" s="11"/>
      <c r="AD99" s="11"/>
      <c r="AE99" s="11"/>
      <c r="AF99" s="11"/>
      <c r="AG99" s="11"/>
      <c r="AH99" s="11"/>
      <c r="AI99" s="11"/>
      <c r="AJ99" s="11"/>
      <c r="AK99" s="11"/>
    </row>
    <row r="100" spans="1:37" x14ac:dyDescent="0.2">
      <c r="A100" s="18"/>
      <c r="B100" s="11"/>
      <c r="C100" s="11"/>
      <c r="D100" s="11"/>
      <c r="E100" s="11"/>
      <c r="F100" s="11"/>
      <c r="G100" s="11"/>
      <c r="H100" s="11"/>
      <c r="I100" s="7"/>
      <c r="J100" s="11"/>
      <c r="K100" s="11"/>
      <c r="L100" s="11"/>
      <c r="M100" s="7"/>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row>
    <row r="101" spans="1:37" x14ac:dyDescent="0.2">
      <c r="A101" s="18"/>
      <c r="B101" s="11"/>
      <c r="C101" s="11"/>
      <c r="D101" s="11"/>
      <c r="E101" s="11"/>
      <c r="F101" s="11"/>
      <c r="G101" s="11"/>
      <c r="H101" s="11"/>
      <c r="I101" s="7"/>
      <c r="J101" s="11"/>
      <c r="K101" s="11"/>
      <c r="L101" s="11"/>
      <c r="M101" s="7"/>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row>
    <row r="102" spans="1:37" x14ac:dyDescent="0.2">
      <c r="A102" s="18"/>
      <c r="B102" s="11"/>
      <c r="C102" s="11"/>
      <c r="D102" s="11"/>
      <c r="E102" s="11"/>
      <c r="F102" s="11"/>
      <c r="G102" s="11"/>
      <c r="H102" s="11"/>
      <c r="I102" s="7"/>
      <c r="J102" s="11"/>
      <c r="K102" s="11"/>
      <c r="L102" s="11"/>
      <c r="M102" s="7"/>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row>
    <row r="103" spans="1:37" x14ac:dyDescent="0.2">
      <c r="A103" s="18"/>
      <c r="B103" s="11"/>
      <c r="C103" s="11"/>
      <c r="D103" s="11"/>
      <c r="E103" s="11"/>
      <c r="F103" s="11"/>
      <c r="G103" s="11"/>
      <c r="H103" s="11"/>
      <c r="I103" s="7"/>
      <c r="J103" s="11"/>
      <c r="K103" s="11"/>
      <c r="L103" s="11"/>
      <c r="M103" s="7"/>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row>
    <row r="104" spans="1:37" x14ac:dyDescent="0.2">
      <c r="A104" s="18"/>
      <c r="B104" s="11"/>
      <c r="C104" s="11"/>
      <c r="D104" s="11"/>
      <c r="E104" s="11"/>
      <c r="F104" s="11"/>
      <c r="G104" s="11"/>
      <c r="H104" s="11"/>
      <c r="I104" s="7"/>
      <c r="J104" s="11"/>
      <c r="K104" s="11"/>
      <c r="L104" s="11"/>
      <c r="M104" s="7"/>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row>
    <row r="105" spans="1:37" x14ac:dyDescent="0.2">
      <c r="A105" s="18"/>
      <c r="B105" s="11"/>
      <c r="C105" s="11"/>
      <c r="D105" s="11"/>
      <c r="E105" s="11"/>
      <c r="F105" s="11"/>
      <c r="G105" s="11"/>
      <c r="H105" s="11"/>
      <c r="I105" s="7"/>
      <c r="J105" s="11"/>
      <c r="K105" s="11"/>
      <c r="L105" s="11"/>
      <c r="M105" s="7"/>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row>
    <row r="106" spans="1:37" x14ac:dyDescent="0.2">
      <c r="A106" s="18"/>
      <c r="B106" s="11"/>
      <c r="C106" s="11"/>
      <c r="D106" s="11"/>
      <c r="E106" s="11"/>
      <c r="F106" s="11"/>
      <c r="G106" s="11"/>
      <c r="H106" s="11"/>
      <c r="I106" s="7"/>
      <c r="J106" s="11"/>
      <c r="K106" s="11"/>
      <c r="L106" s="11"/>
      <c r="M106" s="7"/>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row>
    <row r="107" spans="1:37" x14ac:dyDescent="0.2">
      <c r="A107" s="18"/>
      <c r="B107" s="11"/>
      <c r="C107" s="11"/>
      <c r="D107" s="11"/>
      <c r="E107" s="11"/>
      <c r="F107" s="11"/>
      <c r="G107" s="11"/>
      <c r="H107" s="11"/>
      <c r="I107" s="7"/>
      <c r="J107" s="11"/>
      <c r="K107" s="11"/>
      <c r="L107" s="11"/>
      <c r="M107" s="7"/>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row>
    <row r="108" spans="1:37" x14ac:dyDescent="0.2">
      <c r="A108" s="18"/>
      <c r="B108" s="11"/>
      <c r="C108" s="11"/>
      <c r="D108" s="11"/>
      <c r="E108" s="11"/>
      <c r="F108" s="11"/>
      <c r="G108" s="11"/>
      <c r="H108" s="11"/>
      <c r="I108" s="7"/>
      <c r="J108" s="11"/>
      <c r="K108" s="11"/>
      <c r="L108" s="11"/>
      <c r="M108" s="7"/>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row>
    <row r="109" spans="1:37" x14ac:dyDescent="0.2">
      <c r="A109" s="18"/>
      <c r="B109" s="11"/>
      <c r="C109" s="11"/>
      <c r="D109" s="11"/>
      <c r="E109" s="11"/>
      <c r="F109" s="11"/>
      <c r="G109" s="11"/>
      <c r="H109" s="11"/>
      <c r="I109" s="7"/>
      <c r="J109" s="11"/>
      <c r="K109" s="11"/>
      <c r="L109" s="11"/>
      <c r="M109" s="7"/>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row>
    <row r="110" spans="1:37" x14ac:dyDescent="0.2">
      <c r="A110" s="18"/>
      <c r="B110" s="11"/>
      <c r="C110" s="11"/>
      <c r="D110" s="11"/>
      <c r="E110" s="11"/>
      <c r="F110" s="11"/>
      <c r="G110" s="11"/>
      <c r="H110" s="11"/>
      <c r="I110" s="7"/>
      <c r="J110" s="11"/>
      <c r="K110" s="11"/>
      <c r="L110" s="11"/>
      <c r="M110" s="7"/>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row>
    <row r="111" spans="1:37" x14ac:dyDescent="0.2">
      <c r="A111" s="18"/>
      <c r="B111" s="11"/>
      <c r="C111" s="11"/>
      <c r="D111" s="11"/>
      <c r="E111" s="11"/>
      <c r="F111" s="11"/>
      <c r="G111" s="11"/>
      <c r="H111" s="11"/>
      <c r="I111" s="7"/>
      <c r="J111" s="11"/>
      <c r="K111" s="11"/>
      <c r="L111" s="11"/>
      <c r="M111" s="7"/>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row>
    <row r="112" spans="1:37" x14ac:dyDescent="0.2">
      <c r="A112" s="18"/>
      <c r="B112" s="11"/>
      <c r="C112" s="11"/>
      <c r="D112" s="11"/>
      <c r="E112" s="11"/>
      <c r="F112" s="11"/>
      <c r="G112" s="11"/>
      <c r="H112" s="11"/>
      <c r="I112" s="7"/>
      <c r="J112" s="11"/>
      <c r="K112" s="11"/>
      <c r="L112" s="11"/>
      <c r="M112" s="7"/>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row>
    <row r="113" spans="1:37" x14ac:dyDescent="0.2">
      <c r="A113" s="18"/>
      <c r="B113" s="11"/>
      <c r="C113" s="11"/>
      <c r="D113" s="11"/>
      <c r="E113" s="11"/>
      <c r="F113" s="11"/>
      <c r="G113" s="11"/>
      <c r="H113" s="11"/>
      <c r="I113" s="7"/>
      <c r="J113" s="11"/>
      <c r="K113" s="11"/>
      <c r="L113" s="11"/>
      <c r="M113" s="7"/>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row>
    <row r="114" spans="1:37" x14ac:dyDescent="0.2">
      <c r="A114" s="18"/>
      <c r="B114" s="11"/>
      <c r="C114" s="11"/>
      <c r="D114" s="11"/>
      <c r="E114" s="11"/>
      <c r="F114" s="11"/>
      <c r="G114" s="11"/>
      <c r="H114" s="11"/>
      <c r="I114" s="7"/>
      <c r="J114" s="11"/>
      <c r="K114" s="11"/>
      <c r="L114" s="11"/>
      <c r="M114" s="7"/>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row>
    <row r="115" spans="1:37" x14ac:dyDescent="0.2">
      <c r="A115" s="18"/>
      <c r="B115" s="11"/>
      <c r="C115" s="11"/>
      <c r="D115" s="11"/>
      <c r="E115" s="11"/>
      <c r="F115" s="11"/>
      <c r="G115" s="11"/>
      <c r="H115" s="11"/>
      <c r="I115" s="7"/>
      <c r="J115" s="11"/>
      <c r="K115" s="11"/>
      <c r="L115" s="11"/>
      <c r="M115" s="7"/>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row>
    <row r="116" spans="1:37" x14ac:dyDescent="0.2">
      <c r="A116" s="18"/>
      <c r="B116" s="11"/>
      <c r="C116" s="11"/>
      <c r="D116" s="11"/>
      <c r="E116" s="11"/>
      <c r="F116" s="11"/>
      <c r="G116" s="11"/>
      <c r="H116" s="11"/>
      <c r="I116" s="7"/>
      <c r="J116" s="11"/>
      <c r="K116" s="11"/>
      <c r="L116" s="11"/>
      <c r="M116" s="7"/>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row>
    <row r="117" spans="1:37" x14ac:dyDescent="0.2">
      <c r="A117" s="18"/>
      <c r="B117" s="11"/>
      <c r="C117" s="11"/>
      <c r="D117" s="11"/>
      <c r="E117" s="11"/>
      <c r="F117" s="11"/>
      <c r="G117" s="11"/>
      <c r="H117" s="11"/>
      <c r="I117" s="7"/>
      <c r="J117" s="11"/>
      <c r="K117" s="11"/>
      <c r="L117" s="11"/>
      <c r="M117" s="7"/>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row>
    <row r="118" spans="1:37" x14ac:dyDescent="0.2">
      <c r="A118" s="18"/>
      <c r="B118" s="11"/>
      <c r="C118" s="11"/>
      <c r="D118" s="11"/>
      <c r="E118" s="11"/>
      <c r="F118" s="11"/>
      <c r="G118" s="11"/>
      <c r="H118" s="11"/>
      <c r="I118" s="7"/>
      <c r="J118" s="11"/>
      <c r="K118" s="11"/>
      <c r="L118" s="11"/>
      <c r="M118" s="7"/>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row>
    <row r="119" spans="1:37" x14ac:dyDescent="0.2">
      <c r="A119" s="18"/>
      <c r="B119" s="11"/>
      <c r="C119" s="11"/>
      <c r="D119" s="11"/>
      <c r="E119" s="11"/>
      <c r="F119" s="11"/>
      <c r="G119" s="11"/>
      <c r="H119" s="11"/>
      <c r="I119" s="7"/>
      <c r="J119" s="11"/>
      <c r="K119" s="11"/>
      <c r="L119" s="11"/>
      <c r="M119" s="7"/>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row>
    <row r="120" spans="1:37" x14ac:dyDescent="0.2">
      <c r="A120" s="18"/>
      <c r="B120" s="11"/>
      <c r="C120" s="11"/>
      <c r="D120" s="11"/>
      <c r="E120" s="11"/>
      <c r="F120" s="11"/>
      <c r="G120" s="11"/>
      <c r="H120" s="11"/>
      <c r="I120" s="7"/>
      <c r="J120" s="11"/>
      <c r="K120" s="11"/>
      <c r="L120" s="11"/>
      <c r="M120" s="7"/>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row>
    <row r="121" spans="1:37" x14ac:dyDescent="0.2">
      <c r="A121" s="18"/>
      <c r="B121" s="11"/>
      <c r="C121" s="11"/>
      <c r="D121" s="11"/>
      <c r="E121" s="11"/>
      <c r="F121" s="11"/>
      <c r="G121" s="11"/>
      <c r="H121" s="11"/>
      <c r="I121" s="7"/>
      <c r="J121" s="11"/>
      <c r="K121" s="11"/>
      <c r="L121" s="11"/>
      <c r="M121" s="7"/>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row>
    <row r="122" spans="1:37" x14ac:dyDescent="0.2">
      <c r="A122" s="18"/>
      <c r="B122" s="11"/>
      <c r="C122" s="11"/>
      <c r="D122" s="11"/>
      <c r="E122" s="11"/>
      <c r="F122" s="11"/>
      <c r="G122" s="11"/>
      <c r="H122" s="11"/>
      <c r="I122" s="7"/>
      <c r="J122" s="11"/>
      <c r="K122" s="11"/>
      <c r="L122" s="11"/>
      <c r="M122" s="7"/>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row>
    <row r="123" spans="1:37" x14ac:dyDescent="0.2">
      <c r="A123" s="18"/>
      <c r="B123" s="11"/>
      <c r="C123" s="11"/>
      <c r="D123" s="11"/>
      <c r="E123" s="11"/>
      <c r="F123" s="11"/>
      <c r="G123" s="11"/>
      <c r="H123" s="11"/>
      <c r="I123" s="7"/>
      <c r="J123" s="11"/>
      <c r="K123" s="11"/>
      <c r="L123" s="11"/>
      <c r="M123" s="7"/>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row>
    <row r="124" spans="1:37" x14ac:dyDescent="0.2">
      <c r="A124" s="18"/>
      <c r="B124" s="11"/>
      <c r="C124" s="11"/>
      <c r="D124" s="11"/>
      <c r="E124" s="11"/>
      <c r="F124" s="11"/>
      <c r="G124" s="11"/>
      <c r="H124" s="11"/>
      <c r="I124" s="7"/>
      <c r="J124" s="11"/>
      <c r="K124" s="11"/>
      <c r="L124" s="11"/>
      <c r="M124" s="7"/>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row>
    <row r="125" spans="1:37" x14ac:dyDescent="0.2">
      <c r="A125" s="18"/>
      <c r="B125" s="11"/>
      <c r="C125" s="11"/>
      <c r="D125" s="11"/>
      <c r="E125" s="11"/>
      <c r="F125" s="11"/>
      <c r="G125" s="11"/>
      <c r="H125" s="11"/>
      <c r="I125" s="7"/>
      <c r="J125" s="11"/>
      <c r="K125" s="11"/>
      <c r="L125" s="11"/>
      <c r="M125" s="7"/>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row>
    <row r="126" spans="1:37" x14ac:dyDescent="0.2">
      <c r="A126" s="18"/>
      <c r="B126" s="11"/>
      <c r="C126" s="11"/>
      <c r="D126" s="11"/>
      <c r="E126" s="11"/>
      <c r="F126" s="11"/>
      <c r="G126" s="11"/>
      <c r="H126" s="11"/>
      <c r="I126" s="7"/>
      <c r="J126" s="11"/>
      <c r="K126" s="11"/>
      <c r="L126" s="11"/>
      <c r="M126" s="7"/>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row>
    <row r="127" spans="1:37" x14ac:dyDescent="0.2">
      <c r="A127" s="18"/>
      <c r="B127" s="11"/>
      <c r="C127" s="11"/>
      <c r="D127" s="11"/>
      <c r="E127" s="11"/>
      <c r="F127" s="11"/>
      <c r="G127" s="11"/>
      <c r="H127" s="11"/>
      <c r="I127" s="7"/>
      <c r="J127" s="11"/>
      <c r="K127" s="11"/>
      <c r="L127" s="11"/>
      <c r="M127" s="7"/>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row>
    <row r="128" spans="1:37" x14ac:dyDescent="0.2">
      <c r="A128" s="18"/>
      <c r="B128" s="11"/>
      <c r="C128" s="11"/>
      <c r="D128" s="11"/>
      <c r="E128" s="11"/>
      <c r="F128" s="11"/>
      <c r="G128" s="11"/>
      <c r="H128" s="11"/>
      <c r="I128" s="7"/>
      <c r="J128" s="11"/>
      <c r="K128" s="11"/>
      <c r="L128" s="11"/>
      <c r="M128" s="7"/>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row>
    <row r="129" spans="1:37" x14ac:dyDescent="0.2">
      <c r="A129" s="18"/>
      <c r="B129" s="11"/>
      <c r="C129" s="11"/>
      <c r="D129" s="11"/>
      <c r="E129" s="11"/>
      <c r="F129" s="11"/>
      <c r="G129" s="11"/>
      <c r="H129" s="11"/>
      <c r="I129" s="7"/>
      <c r="J129" s="11"/>
      <c r="K129" s="11"/>
      <c r="L129" s="11"/>
      <c r="M129" s="7"/>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row>
    <row r="130" spans="1:37" x14ac:dyDescent="0.2">
      <c r="A130" s="18"/>
      <c r="B130" s="11"/>
      <c r="C130" s="11"/>
      <c r="D130" s="11"/>
      <c r="E130" s="11"/>
      <c r="F130" s="11"/>
      <c r="G130" s="11"/>
      <c r="H130" s="11"/>
      <c r="I130" s="7"/>
      <c r="J130" s="11"/>
      <c r="K130" s="11"/>
      <c r="L130" s="11"/>
      <c r="M130" s="7"/>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row>
    <row r="131" spans="1:37" x14ac:dyDescent="0.2">
      <c r="A131" s="18"/>
      <c r="B131" s="11"/>
      <c r="C131" s="11"/>
      <c r="D131" s="11"/>
      <c r="E131" s="11"/>
      <c r="F131" s="11"/>
      <c r="G131" s="11"/>
      <c r="H131" s="11"/>
      <c r="I131" s="11"/>
      <c r="J131" s="11"/>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row>
    <row r="132" spans="1:37" x14ac:dyDescent="0.2">
      <c r="A132" s="18"/>
      <c r="B132" s="11"/>
      <c r="C132" s="11"/>
      <c r="D132" s="11"/>
      <c r="E132" s="11"/>
      <c r="F132" s="11"/>
      <c r="G132" s="11"/>
      <c r="H132" s="11"/>
      <c r="I132" s="11"/>
      <c r="J132" s="11"/>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row>
    <row r="133" spans="1:37" x14ac:dyDescent="0.2">
      <c r="A133" s="18"/>
      <c r="B133" s="11"/>
      <c r="C133" s="11"/>
      <c r="D133" s="11"/>
      <c r="E133" s="11"/>
      <c r="F133" s="11"/>
      <c r="G133" s="11"/>
      <c r="H133" s="11"/>
      <c r="I133" s="11"/>
      <c r="J133" s="11"/>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row>
    <row r="134" spans="1:37" x14ac:dyDescent="0.2">
      <c r="A134" s="18"/>
      <c r="B134" s="11"/>
      <c r="C134" s="11"/>
      <c r="D134" s="11"/>
      <c r="E134" s="11"/>
      <c r="F134" s="11"/>
      <c r="G134" s="11"/>
      <c r="H134" s="11"/>
      <c r="I134" s="11"/>
      <c r="J134" s="11"/>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row>
    <row r="135" spans="1:37" x14ac:dyDescent="0.2">
      <c r="A135" s="18"/>
      <c r="B135" s="11"/>
      <c r="C135" s="11"/>
      <c r="D135" s="11"/>
      <c r="E135" s="11"/>
      <c r="F135" s="11"/>
      <c r="G135" s="11"/>
      <c r="H135" s="11"/>
      <c r="I135" s="11"/>
      <c r="J135" s="11"/>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row>
    <row r="136" spans="1:37" x14ac:dyDescent="0.2">
      <c r="A136" s="18"/>
      <c r="B136" s="11"/>
      <c r="C136" s="11"/>
      <c r="D136" s="11"/>
      <c r="E136" s="11"/>
      <c r="F136" s="11"/>
      <c r="G136" s="11"/>
      <c r="H136" s="11"/>
      <c r="I136" s="11"/>
      <c r="J136" s="11"/>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row>
    <row r="137" spans="1:37" x14ac:dyDescent="0.2">
      <c r="A137" s="18"/>
      <c r="B137" s="11"/>
      <c r="C137" s="11"/>
      <c r="D137" s="11"/>
      <c r="E137" s="11"/>
      <c r="F137" s="11"/>
      <c r="G137" s="11"/>
      <c r="H137" s="11"/>
      <c r="I137" s="11"/>
      <c r="J137" s="11"/>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row>
    <row r="138" spans="1:37" x14ac:dyDescent="0.2">
      <c r="A138" s="18"/>
      <c r="B138" s="11"/>
      <c r="C138" s="11"/>
      <c r="D138" s="11"/>
      <c r="E138" s="11"/>
      <c r="F138" s="11"/>
      <c r="G138" s="11"/>
      <c r="H138" s="11"/>
      <c r="I138" s="11"/>
      <c r="J138" s="11"/>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row>
    <row r="139" spans="1:37" x14ac:dyDescent="0.2">
      <c r="A139" s="18"/>
      <c r="B139" s="11"/>
      <c r="C139" s="11"/>
      <c r="D139" s="11"/>
      <c r="E139" s="11"/>
      <c r="F139" s="11"/>
      <c r="G139" s="11"/>
      <c r="H139" s="11"/>
      <c r="I139" s="11"/>
      <c r="J139" s="11"/>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row>
    <row r="140" spans="1:37" x14ac:dyDescent="0.2">
      <c r="A140" s="18"/>
      <c r="B140" s="11"/>
      <c r="C140" s="11"/>
      <c r="D140" s="11"/>
      <c r="E140" s="11"/>
      <c r="F140" s="11"/>
      <c r="G140" s="11"/>
      <c r="H140" s="11"/>
      <c r="I140" s="11"/>
      <c r="J140" s="11"/>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row>
    <row r="141" spans="1:37" x14ac:dyDescent="0.2">
      <c r="A141" s="18"/>
      <c r="B141" s="11"/>
      <c r="C141" s="11"/>
      <c r="D141" s="11"/>
      <c r="E141" s="11"/>
      <c r="F141" s="11"/>
      <c r="G141" s="11"/>
      <c r="H141" s="11"/>
      <c r="I141" s="11"/>
      <c r="J141" s="11"/>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row>
    <row r="142" spans="1:37" x14ac:dyDescent="0.2">
      <c r="A142" s="18"/>
      <c r="B142" s="11"/>
      <c r="C142" s="11"/>
      <c r="D142" s="11"/>
      <c r="E142" s="11"/>
      <c r="F142" s="11"/>
      <c r="G142" s="11"/>
      <c r="H142" s="11"/>
      <c r="I142" s="11"/>
      <c r="J142" s="11"/>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row>
    <row r="143" spans="1:37" x14ac:dyDescent="0.2">
      <c r="A143" s="18"/>
      <c r="B143" s="11"/>
      <c r="C143" s="11"/>
      <c r="D143" s="11"/>
      <c r="E143" s="11"/>
      <c r="F143" s="11"/>
      <c r="G143" s="11"/>
      <c r="H143" s="11"/>
      <c r="I143" s="11"/>
      <c r="J143" s="11"/>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row>
    <row r="144" spans="1:37" x14ac:dyDescent="0.2">
      <c r="A144" s="18"/>
      <c r="B144" s="11"/>
      <c r="C144" s="11"/>
      <c r="D144" s="11"/>
      <c r="E144" s="11"/>
      <c r="F144" s="11"/>
      <c r="G144" s="11"/>
      <c r="H144" s="11"/>
      <c r="I144" s="11"/>
      <c r="J144" s="11"/>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row>
    <row r="145" spans="1:37" x14ac:dyDescent="0.2">
      <c r="A145" s="18"/>
      <c r="B145" s="11"/>
      <c r="C145" s="11"/>
      <c r="D145" s="11"/>
      <c r="E145" s="11"/>
      <c r="F145" s="11"/>
      <c r="G145" s="11"/>
      <c r="H145" s="11"/>
      <c r="I145" s="11"/>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row>
    <row r="146" spans="1:37" x14ac:dyDescent="0.2">
      <c r="A146" s="18"/>
      <c r="B146" s="11"/>
      <c r="C146" s="11"/>
      <c r="D146" s="11"/>
      <c r="E146" s="11"/>
      <c r="F146" s="11"/>
      <c r="G146" s="11"/>
      <c r="H146" s="11"/>
      <c r="I146" s="11"/>
      <c r="J146" s="11"/>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row>
    <row r="147" spans="1:37" x14ac:dyDescent="0.2">
      <c r="A147" s="18"/>
      <c r="B147" s="11"/>
      <c r="C147" s="11"/>
      <c r="D147" s="11"/>
      <c r="E147" s="11"/>
      <c r="F147" s="11"/>
      <c r="G147" s="11"/>
      <c r="H147" s="11"/>
      <c r="I147" s="11"/>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row>
    <row r="148" spans="1:37" x14ac:dyDescent="0.2">
      <c r="A148" s="18"/>
      <c r="B148" s="11"/>
      <c r="C148" s="11"/>
      <c r="D148" s="11"/>
      <c r="E148" s="11"/>
      <c r="F148" s="11"/>
      <c r="G148" s="11"/>
      <c r="H148" s="11"/>
      <c r="I148" s="11"/>
      <c r="J148" s="11"/>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row>
    <row r="149" spans="1:37" x14ac:dyDescent="0.2">
      <c r="A149" s="18"/>
      <c r="B149" s="11"/>
      <c r="C149" s="11"/>
      <c r="D149" s="11"/>
      <c r="E149" s="11"/>
      <c r="F149" s="11"/>
      <c r="G149" s="11"/>
      <c r="H149" s="11"/>
      <c r="I149" s="11"/>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row>
    <row r="150" spans="1:37" x14ac:dyDescent="0.2">
      <c r="A150" s="18"/>
      <c r="B150" s="11"/>
      <c r="C150" s="11"/>
      <c r="D150" s="11"/>
      <c r="E150" s="11"/>
      <c r="F150" s="11"/>
      <c r="G150" s="11"/>
      <c r="H150" s="11"/>
      <c r="I150" s="11"/>
      <c r="J150" s="11"/>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row>
    <row r="151" spans="1:37" x14ac:dyDescent="0.2">
      <c r="A151" s="18"/>
      <c r="B151" s="11"/>
      <c r="C151" s="11"/>
      <c r="D151" s="11"/>
      <c r="E151" s="11"/>
      <c r="F151" s="11"/>
      <c r="G151" s="11"/>
      <c r="H151" s="11"/>
      <c r="I151" s="11"/>
      <c r="J151" s="11"/>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row>
    <row r="152" spans="1:37" x14ac:dyDescent="0.2">
      <c r="A152" s="18"/>
      <c r="B152" s="11"/>
      <c r="C152" s="11"/>
      <c r="D152" s="11"/>
      <c r="E152" s="11"/>
      <c r="F152" s="11"/>
      <c r="G152" s="11"/>
      <c r="H152" s="11"/>
      <c r="I152" s="11"/>
      <c r="J152" s="11"/>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row>
    <row r="153" spans="1:37" x14ac:dyDescent="0.2">
      <c r="A153" s="18"/>
      <c r="B153" s="11"/>
      <c r="C153" s="11"/>
      <c r="D153" s="11"/>
      <c r="E153" s="11"/>
      <c r="F153" s="11"/>
      <c r="G153" s="11"/>
      <c r="H153" s="11"/>
      <c r="I153" s="11"/>
      <c r="J153" s="11"/>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row>
    <row r="154" spans="1:37" x14ac:dyDescent="0.2">
      <c r="A154" s="18"/>
      <c r="B154" s="11"/>
      <c r="C154" s="11"/>
      <c r="D154" s="11"/>
      <c r="E154" s="11"/>
      <c r="F154" s="11"/>
      <c r="G154" s="11"/>
      <c r="H154" s="11"/>
      <c r="I154" s="11"/>
      <c r="J154" s="11"/>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row>
    <row r="155" spans="1:37" x14ac:dyDescent="0.2">
      <c r="A155" s="18"/>
      <c r="B155" s="11"/>
      <c r="C155" s="11"/>
      <c r="D155" s="11"/>
      <c r="E155" s="11"/>
      <c r="F155" s="11"/>
      <c r="G155" s="11"/>
      <c r="H155" s="11"/>
      <c r="I155" s="11"/>
      <c r="J155" s="11"/>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row>
    <row r="156" spans="1:37" x14ac:dyDescent="0.2">
      <c r="A156" s="18"/>
      <c r="B156" s="11"/>
      <c r="C156" s="11"/>
      <c r="D156" s="11"/>
      <c r="E156" s="11"/>
      <c r="F156" s="11"/>
      <c r="G156" s="11"/>
      <c r="H156" s="11"/>
      <c r="I156" s="11"/>
      <c r="J156" s="11"/>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row>
    <row r="157" spans="1:37" x14ac:dyDescent="0.2">
      <c r="A157" s="18"/>
      <c r="B157" s="11"/>
      <c r="C157" s="11"/>
      <c r="D157" s="11"/>
      <c r="E157" s="11"/>
      <c r="F157" s="11"/>
      <c r="G157" s="11"/>
      <c r="H157" s="11"/>
      <c r="I157" s="11"/>
      <c r="J157" s="11"/>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row>
    <row r="158" spans="1:37" x14ac:dyDescent="0.2">
      <c r="A158" s="18"/>
      <c r="B158" s="11"/>
      <c r="C158" s="11"/>
      <c r="D158" s="11"/>
      <c r="E158" s="11"/>
      <c r="F158" s="11"/>
      <c r="G158" s="11"/>
      <c r="H158" s="11"/>
      <c r="I158" s="11"/>
      <c r="J158" s="11"/>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row>
    <row r="159" spans="1:37" x14ac:dyDescent="0.2">
      <c r="A159" s="18"/>
      <c r="B159" s="11"/>
      <c r="C159" s="11"/>
      <c r="D159" s="11"/>
      <c r="E159" s="11"/>
      <c r="F159" s="11"/>
      <c r="G159" s="11"/>
      <c r="H159" s="11"/>
      <c r="I159" s="11"/>
      <c r="J159" s="11"/>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row>
    <row r="160" spans="1:37" x14ac:dyDescent="0.2">
      <c r="A160" s="18"/>
      <c r="B160" s="11"/>
      <c r="C160" s="11"/>
      <c r="D160" s="11"/>
      <c r="E160" s="11"/>
      <c r="F160" s="11"/>
      <c r="G160" s="11"/>
      <c r="H160" s="11"/>
      <c r="I160" s="11"/>
      <c r="J160" s="11"/>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row>
    <row r="161" spans="1:37" x14ac:dyDescent="0.2">
      <c r="A161" s="18"/>
      <c r="B161" s="11"/>
      <c r="C161" s="11"/>
      <c r="D161" s="11"/>
      <c r="E161" s="11"/>
      <c r="F161" s="11"/>
      <c r="G161" s="11"/>
      <c r="H161" s="11"/>
      <c r="I161" s="11"/>
      <c r="J161" s="11"/>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row>
    <row r="162" spans="1:37" x14ac:dyDescent="0.2">
      <c r="A162" s="18"/>
      <c r="B162" s="11"/>
      <c r="C162" s="11"/>
      <c r="D162" s="11"/>
      <c r="E162" s="11"/>
      <c r="F162" s="11"/>
      <c r="G162" s="11"/>
      <c r="H162" s="11"/>
      <c r="I162" s="11"/>
      <c r="J162" s="11"/>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row>
    <row r="163" spans="1:37" x14ac:dyDescent="0.2">
      <c r="A163" s="18"/>
      <c r="B163" s="11"/>
      <c r="C163" s="11"/>
      <c r="D163" s="11"/>
      <c r="E163" s="11"/>
      <c r="F163" s="11"/>
      <c r="G163" s="11"/>
      <c r="H163" s="11"/>
      <c r="I163" s="11"/>
      <c r="J163" s="11"/>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row>
    <row r="164" spans="1:37" x14ac:dyDescent="0.2">
      <c r="A164" s="18"/>
      <c r="B164" s="11"/>
      <c r="C164" s="11"/>
      <c r="D164" s="11"/>
      <c r="E164" s="11"/>
      <c r="F164" s="11"/>
      <c r="G164" s="11"/>
      <c r="H164" s="11"/>
      <c r="I164" s="11"/>
      <c r="J164" s="11"/>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row>
    <row r="165" spans="1:37" x14ac:dyDescent="0.2">
      <c r="A165" s="18"/>
      <c r="B165" s="11"/>
      <c r="C165" s="11"/>
      <c r="D165" s="11"/>
      <c r="E165" s="11"/>
      <c r="F165" s="11"/>
      <c r="G165" s="11"/>
      <c r="H165" s="11"/>
      <c r="I165" s="11"/>
      <c r="J165" s="11"/>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row>
    <row r="166" spans="1:37" x14ac:dyDescent="0.2">
      <c r="A166" s="18"/>
      <c r="B166" s="11"/>
      <c r="C166" s="11"/>
      <c r="D166" s="11"/>
      <c r="E166" s="11"/>
      <c r="F166" s="11"/>
      <c r="G166" s="11"/>
      <c r="H166" s="11"/>
      <c r="I166" s="11"/>
      <c r="J166" s="11"/>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row>
    <row r="167" spans="1:37" x14ac:dyDescent="0.2">
      <c r="A167" s="18"/>
      <c r="B167" s="11"/>
      <c r="C167" s="11"/>
      <c r="D167" s="11"/>
      <c r="E167" s="11"/>
      <c r="F167" s="11"/>
      <c r="G167" s="11"/>
      <c r="H167" s="11"/>
      <c r="I167" s="11"/>
      <c r="J167" s="11"/>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row>
    <row r="168" spans="1:37" x14ac:dyDescent="0.2">
      <c r="A168" s="18"/>
      <c r="B168" s="11"/>
      <c r="C168" s="11"/>
      <c r="D168" s="11"/>
      <c r="E168" s="11"/>
      <c r="F168" s="11"/>
      <c r="G168" s="11"/>
      <c r="H168" s="11"/>
      <c r="I168" s="11"/>
      <c r="J168" s="11"/>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row>
    <row r="169" spans="1:37" x14ac:dyDescent="0.2">
      <c r="A169" s="18"/>
      <c r="B169" s="11"/>
      <c r="C169" s="11"/>
      <c r="D169" s="11"/>
      <c r="E169" s="11"/>
      <c r="F169" s="11"/>
      <c r="G169" s="11"/>
      <c r="H169" s="11"/>
      <c r="I169" s="11"/>
      <c r="J169" s="11"/>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row>
    <row r="170" spans="1:37" x14ac:dyDescent="0.2">
      <c r="A170" s="18"/>
      <c r="B170" s="11"/>
      <c r="C170" s="11"/>
      <c r="D170" s="11"/>
      <c r="E170" s="11"/>
      <c r="F170" s="11"/>
      <c r="G170" s="11"/>
      <c r="H170" s="11"/>
      <c r="I170" s="11"/>
      <c r="J170" s="11"/>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row>
    <row r="171" spans="1:37" x14ac:dyDescent="0.2">
      <c r="A171" s="18"/>
      <c r="B171" s="11"/>
      <c r="C171" s="11"/>
      <c r="D171" s="11"/>
      <c r="E171" s="11"/>
      <c r="F171" s="11"/>
      <c r="G171" s="11"/>
      <c r="H171" s="11"/>
      <c r="I171" s="11"/>
      <c r="J171" s="11"/>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row>
    <row r="172" spans="1:37" x14ac:dyDescent="0.2">
      <c r="A172" s="18"/>
      <c r="B172" s="11"/>
      <c r="C172" s="11"/>
      <c r="D172" s="11"/>
      <c r="E172" s="11"/>
      <c r="F172" s="11"/>
      <c r="G172" s="11"/>
      <c r="H172" s="11"/>
      <c r="I172" s="11"/>
      <c r="J172" s="11"/>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row>
    <row r="173" spans="1:37" x14ac:dyDescent="0.2">
      <c r="A173" s="18"/>
      <c r="B173" s="11"/>
      <c r="C173" s="11"/>
      <c r="D173" s="11"/>
      <c r="E173" s="11"/>
      <c r="F173" s="11"/>
      <c r="G173" s="11"/>
      <c r="H173" s="11"/>
      <c r="I173" s="11"/>
      <c r="J173" s="11"/>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row>
    <row r="174" spans="1:37" x14ac:dyDescent="0.2">
      <c r="A174" s="18"/>
      <c r="B174" s="11"/>
      <c r="C174" s="11"/>
      <c r="D174" s="11"/>
      <c r="E174" s="11"/>
      <c r="F174" s="11"/>
      <c r="G174" s="11"/>
      <c r="H174" s="11"/>
      <c r="I174" s="11"/>
      <c r="J174" s="11"/>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row>
    <row r="175" spans="1:37" x14ac:dyDescent="0.2">
      <c r="A175" s="18"/>
      <c r="B175" s="11"/>
      <c r="C175" s="11"/>
      <c r="D175" s="11"/>
      <c r="E175" s="11"/>
      <c r="F175" s="11"/>
      <c r="G175" s="11"/>
      <c r="H175" s="11"/>
      <c r="I175" s="11"/>
      <c r="J175" s="11"/>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row>
    <row r="176" spans="1:37" x14ac:dyDescent="0.2">
      <c r="A176" s="18"/>
      <c r="B176" s="11"/>
      <c r="C176" s="11"/>
      <c r="D176" s="11"/>
      <c r="E176" s="11"/>
      <c r="F176" s="11"/>
      <c r="G176" s="11"/>
      <c r="H176" s="11"/>
      <c r="I176" s="11"/>
      <c r="J176" s="11"/>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row>
    <row r="177" spans="1:37" x14ac:dyDescent="0.2">
      <c r="A177" s="18"/>
      <c r="B177" s="11"/>
      <c r="C177" s="11"/>
      <c r="D177" s="11"/>
      <c r="E177" s="11"/>
      <c r="F177" s="11"/>
      <c r="G177" s="11"/>
      <c r="H177" s="11"/>
      <c r="I177" s="11"/>
      <c r="J177" s="11"/>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row>
    <row r="178" spans="1:37" x14ac:dyDescent="0.2">
      <c r="A178" s="18"/>
      <c r="B178" s="11"/>
      <c r="C178" s="11"/>
      <c r="D178" s="11"/>
      <c r="E178" s="11"/>
      <c r="F178" s="11"/>
      <c r="G178" s="11"/>
      <c r="H178" s="11"/>
      <c r="I178" s="11"/>
      <c r="J178" s="11"/>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row>
    <row r="179" spans="1:37" x14ac:dyDescent="0.2">
      <c r="A179" s="18"/>
      <c r="B179" s="11"/>
      <c r="C179" s="11"/>
      <c r="D179" s="11"/>
      <c r="E179" s="11"/>
      <c r="F179" s="11"/>
      <c r="G179" s="11"/>
      <c r="H179" s="11"/>
      <c r="I179" s="11"/>
      <c r="J179" s="11"/>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row>
    <row r="180" spans="1:37" x14ac:dyDescent="0.2">
      <c r="A180" s="18"/>
      <c r="B180" s="11"/>
      <c r="C180" s="11"/>
      <c r="D180" s="11"/>
      <c r="E180" s="11"/>
      <c r="F180" s="11"/>
      <c r="G180" s="11"/>
      <c r="H180" s="11"/>
      <c r="I180" s="11"/>
      <c r="J180" s="11"/>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row>
    <row r="181" spans="1:37" x14ac:dyDescent="0.2">
      <c r="A181" s="18"/>
      <c r="B181" s="11"/>
      <c r="C181" s="11"/>
      <c r="D181" s="11"/>
      <c r="E181" s="11"/>
      <c r="F181" s="11"/>
      <c r="G181" s="11"/>
      <c r="H181" s="11"/>
      <c r="I181" s="11"/>
      <c r="J181" s="11"/>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row>
    <row r="182" spans="1:37" x14ac:dyDescent="0.2">
      <c r="A182" s="18"/>
      <c r="B182" s="11"/>
      <c r="C182" s="11"/>
      <c r="D182" s="11"/>
      <c r="E182" s="11"/>
      <c r="F182" s="11"/>
      <c r="G182" s="11"/>
      <c r="H182" s="11"/>
      <c r="I182" s="11"/>
      <c r="J182" s="11"/>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row>
    <row r="183" spans="1:37" x14ac:dyDescent="0.2">
      <c r="A183" s="18"/>
      <c r="B183" s="11"/>
      <c r="C183" s="11"/>
      <c r="D183" s="11"/>
      <c r="E183" s="11"/>
      <c r="F183" s="11"/>
      <c r="G183" s="11"/>
      <c r="H183" s="11"/>
      <c r="I183" s="11"/>
      <c r="J183" s="11"/>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row>
    <row r="184" spans="1:37" x14ac:dyDescent="0.2">
      <c r="A184" s="18"/>
      <c r="B184" s="11"/>
      <c r="C184" s="11"/>
      <c r="D184" s="11"/>
      <c r="E184" s="11"/>
      <c r="F184" s="11"/>
      <c r="G184" s="11"/>
      <c r="H184" s="11"/>
      <c r="I184" s="11"/>
      <c r="J184" s="11"/>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row>
    <row r="185" spans="1:37" x14ac:dyDescent="0.2">
      <c r="A185" s="18"/>
      <c r="B185" s="11"/>
      <c r="C185" s="11"/>
      <c r="D185" s="11"/>
      <c r="E185" s="11"/>
      <c r="F185" s="11"/>
      <c r="G185" s="11"/>
      <c r="H185" s="11"/>
      <c r="I185" s="11"/>
      <c r="J185" s="11"/>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row>
    <row r="186" spans="1:37" x14ac:dyDescent="0.2">
      <c r="A186" s="18"/>
      <c r="B186" s="11"/>
      <c r="C186" s="11"/>
      <c r="D186" s="11"/>
      <c r="E186" s="11"/>
      <c r="F186" s="11"/>
      <c r="G186" s="11"/>
      <c r="H186" s="11"/>
      <c r="I186" s="11"/>
      <c r="J186" s="11"/>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row>
    <row r="187" spans="1:37" x14ac:dyDescent="0.2">
      <c r="A187" s="18"/>
      <c r="B187" s="11"/>
      <c r="C187" s="11"/>
      <c r="D187" s="11"/>
      <c r="E187" s="11"/>
      <c r="F187" s="11"/>
      <c r="G187" s="11"/>
      <c r="H187" s="11"/>
      <c r="I187" s="11"/>
      <c r="J187" s="11"/>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row>
    <row r="188" spans="1:37" x14ac:dyDescent="0.2">
      <c r="A188" s="18"/>
      <c r="B188" s="11"/>
      <c r="C188" s="11"/>
      <c r="D188" s="11"/>
      <c r="E188" s="11"/>
      <c r="F188" s="11"/>
      <c r="G188" s="11"/>
      <c r="H188" s="11"/>
      <c r="I188" s="11"/>
      <c r="J188" s="11"/>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row>
    <row r="189" spans="1:37" x14ac:dyDescent="0.2">
      <c r="A189" s="18"/>
      <c r="B189" s="11"/>
      <c r="C189" s="11"/>
      <c r="D189" s="11"/>
      <c r="E189" s="11"/>
      <c r="F189" s="11"/>
      <c r="G189" s="11"/>
      <c r="H189" s="11"/>
      <c r="I189" s="11"/>
      <c r="J189" s="11"/>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row>
    <row r="190" spans="1:37" x14ac:dyDescent="0.2">
      <c r="A190" s="18"/>
      <c r="B190" s="11"/>
      <c r="C190" s="11"/>
      <c r="D190" s="11"/>
      <c r="E190" s="11"/>
      <c r="F190" s="11"/>
      <c r="G190" s="11"/>
      <c r="H190" s="11"/>
      <c r="I190" s="11"/>
      <c r="J190" s="11"/>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row>
    <row r="191" spans="1:37" x14ac:dyDescent="0.2">
      <c r="A191" s="18"/>
      <c r="B191" s="11"/>
      <c r="C191" s="11"/>
      <c r="D191" s="11"/>
      <c r="E191" s="11"/>
      <c r="F191" s="11"/>
      <c r="G191" s="11"/>
      <c r="H191" s="11"/>
      <c r="I191" s="11"/>
      <c r="J191" s="11"/>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row>
    <row r="192" spans="1:37" x14ac:dyDescent="0.2">
      <c r="A192" s="18"/>
      <c r="B192" s="11"/>
      <c r="C192" s="11"/>
      <c r="D192" s="11"/>
      <c r="E192" s="11"/>
      <c r="F192" s="11"/>
      <c r="G192" s="11"/>
      <c r="H192" s="11"/>
      <c r="I192" s="11"/>
      <c r="J192" s="11"/>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row>
    <row r="193" spans="1:37" x14ac:dyDescent="0.2">
      <c r="A193" s="18"/>
      <c r="B193" s="11"/>
      <c r="C193" s="11"/>
      <c r="D193" s="11"/>
      <c r="E193" s="11"/>
      <c r="F193" s="11"/>
      <c r="G193" s="11"/>
      <c r="H193" s="11"/>
      <c r="I193" s="11"/>
      <c r="J193" s="11"/>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row>
    <row r="194" spans="1:37" x14ac:dyDescent="0.2">
      <c r="A194" s="18"/>
      <c r="B194" s="11"/>
      <c r="C194" s="11"/>
      <c r="D194" s="11"/>
      <c r="E194" s="11"/>
      <c r="F194" s="11"/>
      <c r="G194" s="11"/>
      <c r="H194" s="11"/>
      <c r="I194" s="11"/>
      <c r="J194" s="11"/>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row>
    <row r="195" spans="1:37" x14ac:dyDescent="0.2">
      <c r="A195" s="18"/>
      <c r="B195" s="11"/>
      <c r="C195" s="11"/>
      <c r="D195" s="11"/>
      <c r="E195" s="11"/>
      <c r="F195" s="11"/>
      <c r="G195" s="11"/>
      <c r="H195" s="11"/>
      <c r="I195" s="11"/>
      <c r="J195" s="11"/>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c r="AJ195" s="11"/>
      <c r="AK195" s="11"/>
    </row>
    <row r="196" spans="1:37" x14ac:dyDescent="0.2">
      <c r="A196" s="18"/>
      <c r="B196" s="11"/>
      <c r="C196" s="11"/>
      <c r="D196" s="11"/>
      <c r="E196" s="11"/>
      <c r="F196" s="11"/>
      <c r="G196" s="11"/>
      <c r="H196" s="11"/>
      <c r="I196" s="11"/>
      <c r="J196" s="11"/>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c r="AJ196" s="11"/>
      <c r="AK196" s="11"/>
    </row>
    <row r="197" spans="1:37" x14ac:dyDescent="0.2">
      <c r="A197" s="18"/>
      <c r="B197" s="11"/>
      <c r="C197" s="11"/>
      <c r="D197" s="11"/>
      <c r="E197" s="11"/>
      <c r="F197" s="11"/>
      <c r="G197" s="11"/>
      <c r="H197" s="11"/>
      <c r="I197" s="11"/>
      <c r="J197" s="11"/>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c r="AJ197" s="11"/>
      <c r="AK197" s="11"/>
    </row>
    <row r="198" spans="1:37" x14ac:dyDescent="0.2">
      <c r="A198" s="18"/>
      <c r="B198" s="11"/>
      <c r="C198" s="11"/>
      <c r="D198" s="11"/>
      <c r="E198" s="11"/>
      <c r="F198" s="11"/>
      <c r="G198" s="11"/>
      <c r="H198" s="11"/>
      <c r="I198" s="11"/>
      <c r="J198" s="11"/>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c r="AJ198" s="11"/>
      <c r="AK198" s="11"/>
    </row>
    <row r="199" spans="1:37" x14ac:dyDescent="0.2">
      <c r="A199" s="18"/>
      <c r="B199" s="11"/>
      <c r="C199" s="11"/>
      <c r="D199" s="11"/>
      <c r="E199" s="11"/>
      <c r="F199" s="11"/>
      <c r="G199" s="11"/>
      <c r="H199" s="11"/>
      <c r="I199" s="11"/>
      <c r="J199" s="11"/>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c r="AJ199" s="11"/>
      <c r="AK199" s="11"/>
    </row>
    <row r="200" spans="1:37" x14ac:dyDescent="0.2">
      <c r="A200" s="18"/>
      <c r="B200" s="11"/>
      <c r="C200" s="11"/>
      <c r="D200" s="11"/>
      <c r="E200" s="11"/>
      <c r="F200" s="11"/>
      <c r="G200" s="11"/>
      <c r="H200" s="11"/>
      <c r="I200" s="11"/>
      <c r="J200" s="11"/>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c r="AJ200" s="11"/>
      <c r="AK200" s="11"/>
    </row>
    <row r="201" spans="1:37" x14ac:dyDescent="0.2">
      <c r="A201" s="18"/>
      <c r="B201" s="11"/>
      <c r="C201" s="11"/>
      <c r="D201" s="11"/>
      <c r="E201" s="11"/>
      <c r="F201" s="11"/>
      <c r="G201" s="11"/>
      <c r="H201" s="11"/>
      <c r="I201" s="11"/>
      <c r="J201" s="11"/>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c r="AJ201" s="11"/>
      <c r="AK201" s="11"/>
    </row>
    <row r="202" spans="1:37" x14ac:dyDescent="0.2">
      <c r="A202" s="18"/>
      <c r="B202" s="11"/>
      <c r="C202" s="11"/>
      <c r="D202" s="11"/>
      <c r="E202" s="11"/>
      <c r="F202" s="11"/>
      <c r="G202" s="11"/>
      <c r="H202" s="11"/>
      <c r="I202" s="11"/>
      <c r="J202" s="11"/>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c r="AJ202" s="11"/>
      <c r="AK202" s="11"/>
    </row>
    <row r="203" spans="1:37" x14ac:dyDescent="0.2">
      <c r="A203" s="18"/>
      <c r="B203" s="11"/>
      <c r="C203" s="11"/>
      <c r="D203" s="11"/>
      <c r="E203" s="11"/>
      <c r="F203" s="11"/>
      <c r="G203" s="11"/>
      <c r="H203" s="11"/>
      <c r="I203" s="11"/>
      <c r="J203" s="11"/>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c r="AJ203" s="11"/>
      <c r="AK203" s="11"/>
    </row>
    <row r="204" spans="1:37" x14ac:dyDescent="0.2">
      <c r="A204" s="18"/>
      <c r="B204" s="11"/>
      <c r="C204" s="11"/>
      <c r="D204" s="11"/>
      <c r="E204" s="11"/>
      <c r="F204" s="11"/>
      <c r="G204" s="11"/>
      <c r="H204" s="11"/>
      <c r="I204" s="11"/>
      <c r="J204" s="11"/>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c r="AJ204" s="11"/>
      <c r="AK204" s="11"/>
    </row>
    <row r="205" spans="1:37" x14ac:dyDescent="0.2">
      <c r="A205" s="18"/>
      <c r="B205" s="11"/>
      <c r="C205" s="11"/>
      <c r="D205" s="11"/>
      <c r="E205" s="11"/>
      <c r="F205" s="11"/>
      <c r="G205" s="11"/>
      <c r="H205" s="11"/>
      <c r="I205" s="11"/>
      <c r="J205" s="11"/>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c r="AJ205" s="11"/>
      <c r="AK205" s="11"/>
    </row>
    <row r="206" spans="1:37" x14ac:dyDescent="0.2">
      <c r="A206" s="18"/>
      <c r="B206" s="11"/>
      <c r="C206" s="11"/>
      <c r="D206" s="11"/>
      <c r="E206" s="11"/>
      <c r="F206" s="11"/>
      <c r="G206" s="11"/>
      <c r="H206" s="11"/>
      <c r="I206" s="11"/>
      <c r="J206" s="11"/>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c r="AJ206" s="11"/>
      <c r="AK206" s="11"/>
    </row>
    <row r="207" spans="1:37" x14ac:dyDescent="0.2">
      <c r="A207" s="18"/>
      <c r="B207" s="11"/>
      <c r="C207" s="11"/>
      <c r="D207" s="11"/>
      <c r="E207" s="11"/>
      <c r="F207" s="11"/>
      <c r="G207" s="11"/>
      <c r="H207" s="11"/>
      <c r="I207" s="11"/>
      <c r="J207" s="11"/>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c r="AJ207" s="11"/>
      <c r="AK207" s="11"/>
    </row>
    <row r="208" spans="1:37" x14ac:dyDescent="0.2">
      <c r="A208" s="18"/>
      <c r="B208" s="11"/>
      <c r="C208" s="11"/>
      <c r="D208" s="11"/>
      <c r="E208" s="11"/>
      <c r="F208" s="11"/>
      <c r="G208" s="11"/>
      <c r="H208" s="11"/>
      <c r="I208" s="11"/>
      <c r="J208" s="11"/>
      <c r="K208" s="11"/>
      <c r="L208" s="11"/>
      <c r="M208" s="11"/>
      <c r="N208" s="11"/>
      <c r="O208" s="11"/>
      <c r="P208" s="11"/>
      <c r="Q208" s="11"/>
      <c r="R208" s="11"/>
      <c r="S208" s="11"/>
      <c r="T208" s="11"/>
      <c r="U208" s="11"/>
      <c r="V208" s="11"/>
      <c r="W208" s="11"/>
      <c r="X208" s="11"/>
      <c r="Y208" s="11"/>
      <c r="Z208" s="11"/>
      <c r="AA208" s="11"/>
      <c r="AB208" s="11"/>
      <c r="AC208" s="11"/>
      <c r="AD208" s="11"/>
      <c r="AE208" s="11"/>
      <c r="AF208" s="11"/>
      <c r="AG208" s="11"/>
      <c r="AH208" s="11"/>
      <c r="AI208" s="11"/>
      <c r="AJ208" s="11"/>
      <c r="AK208" s="11"/>
    </row>
    <row r="209" spans="1:37" x14ac:dyDescent="0.2">
      <c r="A209" s="18"/>
      <c r="B209" s="11"/>
      <c r="C209" s="11"/>
      <c r="D209" s="11"/>
      <c r="E209" s="11"/>
      <c r="F209" s="11"/>
      <c r="G209" s="11"/>
      <c r="H209" s="11"/>
      <c r="I209" s="11"/>
      <c r="J209" s="11"/>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c r="AJ209" s="11"/>
      <c r="AK209" s="11"/>
    </row>
    <row r="210" spans="1:37" x14ac:dyDescent="0.2">
      <c r="A210" s="18"/>
      <c r="B210" s="11"/>
      <c r="C210" s="11"/>
      <c r="D210" s="11"/>
      <c r="E210" s="11"/>
      <c r="F210" s="11"/>
      <c r="G210" s="11"/>
      <c r="H210" s="11"/>
      <c r="I210" s="11"/>
      <c r="J210" s="11"/>
      <c r="K210" s="11"/>
      <c r="L210" s="11"/>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c r="AJ210" s="11"/>
      <c r="AK210" s="11"/>
    </row>
    <row r="211" spans="1:37" x14ac:dyDescent="0.2">
      <c r="A211" s="18"/>
      <c r="B211" s="11"/>
      <c r="C211" s="11"/>
      <c r="D211" s="11"/>
      <c r="E211" s="11"/>
      <c r="F211" s="11"/>
      <c r="G211" s="11"/>
      <c r="H211" s="11"/>
      <c r="I211" s="11"/>
      <c r="J211" s="11"/>
      <c r="K211" s="11"/>
      <c r="L211" s="11"/>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c r="AJ211" s="11"/>
      <c r="AK211" s="11"/>
    </row>
    <row r="212" spans="1:37" x14ac:dyDescent="0.2">
      <c r="A212" s="18"/>
      <c r="B212" s="11"/>
      <c r="C212" s="11"/>
      <c r="D212" s="11"/>
      <c r="E212" s="11"/>
      <c r="F212" s="11"/>
      <c r="G212" s="11"/>
      <c r="H212" s="11"/>
      <c r="I212" s="11"/>
      <c r="J212" s="11"/>
      <c r="K212" s="11"/>
      <c r="L212" s="11"/>
      <c r="M212" s="11"/>
      <c r="N212" s="11"/>
      <c r="O212" s="11"/>
      <c r="P212" s="11"/>
      <c r="Q212" s="11"/>
      <c r="R212" s="11"/>
      <c r="S212" s="11"/>
      <c r="T212" s="11"/>
      <c r="U212" s="11"/>
      <c r="V212" s="11"/>
      <c r="W212" s="11"/>
      <c r="X212" s="11"/>
      <c r="Y212" s="11"/>
      <c r="Z212" s="11"/>
      <c r="AA212" s="11"/>
      <c r="AB212" s="11"/>
      <c r="AC212" s="11"/>
      <c r="AD212" s="11"/>
      <c r="AE212" s="11"/>
      <c r="AF212" s="11"/>
      <c r="AG212" s="11"/>
      <c r="AH212" s="11"/>
      <c r="AI212" s="11"/>
      <c r="AJ212" s="11"/>
      <c r="AK212" s="11"/>
    </row>
    <row r="213" spans="1:37" x14ac:dyDescent="0.2">
      <c r="A213" s="18"/>
      <c r="B213" s="11"/>
      <c r="C213" s="11"/>
      <c r="D213" s="11"/>
      <c r="E213" s="11"/>
      <c r="F213" s="11"/>
      <c r="G213" s="11"/>
      <c r="H213" s="11"/>
      <c r="I213" s="11"/>
      <c r="J213" s="11"/>
      <c r="K213" s="11"/>
      <c r="L213" s="11"/>
      <c r="M213" s="11"/>
      <c r="N213" s="11"/>
      <c r="O213" s="11"/>
      <c r="P213" s="11"/>
      <c r="Q213" s="11"/>
      <c r="R213" s="11"/>
      <c r="S213" s="11"/>
      <c r="T213" s="11"/>
      <c r="U213" s="11"/>
      <c r="V213" s="11"/>
      <c r="W213" s="11"/>
      <c r="X213" s="11"/>
      <c r="Y213" s="11"/>
      <c r="Z213" s="11"/>
      <c r="AA213" s="11"/>
      <c r="AB213" s="11"/>
      <c r="AC213" s="11"/>
      <c r="AD213" s="11"/>
      <c r="AE213" s="11"/>
      <c r="AF213" s="11"/>
      <c r="AG213" s="11"/>
      <c r="AH213" s="11"/>
      <c r="AI213" s="11"/>
      <c r="AJ213" s="11"/>
      <c r="AK213" s="11"/>
    </row>
    <row r="214" spans="1:37" x14ac:dyDescent="0.2">
      <c r="A214" s="18"/>
      <c r="B214" s="11"/>
      <c r="C214" s="11"/>
      <c r="D214" s="11"/>
      <c r="E214" s="11"/>
      <c r="F214" s="11"/>
      <c r="G214" s="11"/>
      <c r="H214" s="11"/>
      <c r="I214" s="11"/>
      <c r="J214" s="11"/>
      <c r="K214" s="11"/>
      <c r="L214" s="11"/>
      <c r="M214" s="11"/>
      <c r="N214" s="11"/>
      <c r="O214" s="11"/>
      <c r="P214" s="11"/>
      <c r="Q214" s="11"/>
      <c r="R214" s="11"/>
      <c r="S214" s="11"/>
      <c r="T214" s="11"/>
      <c r="U214" s="11"/>
      <c r="V214" s="11"/>
      <c r="W214" s="11"/>
      <c r="X214" s="11"/>
      <c r="Y214" s="11"/>
      <c r="Z214" s="11"/>
      <c r="AA214" s="11"/>
      <c r="AB214" s="11"/>
      <c r="AC214" s="11"/>
      <c r="AD214" s="11"/>
      <c r="AE214" s="11"/>
      <c r="AF214" s="11"/>
      <c r="AG214" s="11"/>
      <c r="AH214" s="11"/>
      <c r="AI214" s="11"/>
      <c r="AJ214" s="11"/>
      <c r="AK214" s="11"/>
    </row>
    <row r="215" spans="1:37" x14ac:dyDescent="0.2">
      <c r="A215" s="18"/>
      <c r="B215" s="11"/>
      <c r="C215" s="11"/>
      <c r="D215" s="11"/>
      <c r="E215" s="11"/>
      <c r="F215" s="11"/>
      <c r="G215" s="11"/>
      <c r="H215" s="11"/>
      <c r="I215" s="11"/>
      <c r="J215" s="11"/>
      <c r="K215" s="11"/>
      <c r="L215" s="11"/>
      <c r="M215" s="11"/>
      <c r="N215" s="11"/>
      <c r="O215" s="11"/>
      <c r="P215" s="11"/>
      <c r="Q215" s="11"/>
      <c r="R215" s="11"/>
      <c r="S215" s="11"/>
      <c r="T215" s="11"/>
      <c r="U215" s="11"/>
      <c r="V215" s="11"/>
      <c r="W215" s="11"/>
      <c r="X215" s="11"/>
      <c r="Y215" s="11"/>
      <c r="Z215" s="11"/>
      <c r="AA215" s="11"/>
      <c r="AB215" s="11"/>
      <c r="AC215" s="11"/>
      <c r="AD215" s="11"/>
      <c r="AE215" s="11"/>
      <c r="AF215" s="11"/>
      <c r="AG215" s="11"/>
      <c r="AH215" s="11"/>
      <c r="AI215" s="11"/>
      <c r="AJ215" s="11"/>
      <c r="AK215" s="11"/>
    </row>
    <row r="216" spans="1:37" x14ac:dyDescent="0.2">
      <c r="A216" s="18"/>
      <c r="B216" s="11"/>
      <c r="C216" s="11"/>
      <c r="D216" s="11"/>
      <c r="E216" s="11"/>
      <c r="F216" s="11"/>
      <c r="G216" s="11"/>
      <c r="H216" s="11"/>
      <c r="I216" s="11"/>
      <c r="J216" s="11"/>
      <c r="K216" s="11"/>
      <c r="L216" s="11"/>
      <c r="M216" s="11"/>
      <c r="N216" s="11"/>
      <c r="O216" s="11"/>
      <c r="P216" s="11"/>
      <c r="Q216" s="11"/>
      <c r="R216" s="11"/>
      <c r="S216" s="11"/>
      <c r="T216" s="11"/>
      <c r="U216" s="11"/>
      <c r="V216" s="11"/>
      <c r="W216" s="11"/>
      <c r="X216" s="11"/>
      <c r="Y216" s="11"/>
      <c r="Z216" s="11"/>
      <c r="AA216" s="11"/>
      <c r="AB216" s="11"/>
      <c r="AC216" s="11"/>
      <c r="AD216" s="11"/>
      <c r="AE216" s="11"/>
      <c r="AF216" s="11"/>
      <c r="AG216" s="11"/>
      <c r="AH216" s="11"/>
      <c r="AI216" s="11"/>
      <c r="AJ216" s="11"/>
      <c r="AK216" s="11"/>
    </row>
    <row r="217" spans="1:37" x14ac:dyDescent="0.2">
      <c r="A217" s="18"/>
      <c r="B217" s="11"/>
      <c r="C217" s="11"/>
      <c r="D217" s="11"/>
      <c r="E217" s="11"/>
      <c r="F217" s="11"/>
      <c r="G217" s="11"/>
      <c r="H217" s="11"/>
      <c r="I217" s="11"/>
      <c r="J217" s="11"/>
      <c r="K217" s="11"/>
      <c r="L217" s="11"/>
      <c r="M217" s="11"/>
      <c r="N217" s="11"/>
      <c r="O217" s="11"/>
      <c r="P217" s="11"/>
      <c r="Q217" s="11"/>
      <c r="R217" s="11"/>
      <c r="S217" s="11"/>
      <c r="T217" s="11"/>
      <c r="U217" s="11"/>
      <c r="V217" s="11"/>
      <c r="W217" s="11"/>
      <c r="X217" s="11"/>
      <c r="Y217" s="11"/>
      <c r="Z217" s="11"/>
      <c r="AA217" s="11"/>
      <c r="AB217" s="11"/>
      <c r="AC217" s="11"/>
      <c r="AD217" s="11"/>
      <c r="AE217" s="11"/>
      <c r="AF217" s="11"/>
      <c r="AG217" s="11"/>
      <c r="AH217" s="11"/>
      <c r="AI217" s="11"/>
      <c r="AJ217" s="11"/>
      <c r="AK217" s="11"/>
    </row>
    <row r="218" spans="1:37" x14ac:dyDescent="0.2">
      <c r="A218" s="18"/>
      <c r="B218" s="11"/>
      <c r="C218" s="11"/>
      <c r="D218" s="11"/>
      <c r="E218" s="11"/>
      <c r="F218" s="11"/>
      <c r="G218" s="11"/>
      <c r="H218" s="11"/>
      <c r="I218" s="11"/>
      <c r="J218" s="11"/>
      <c r="K218" s="11"/>
      <c r="L218" s="11"/>
      <c r="M218" s="11"/>
      <c r="N218" s="11"/>
      <c r="O218" s="11"/>
      <c r="P218" s="11"/>
      <c r="Q218" s="11"/>
      <c r="R218" s="11"/>
      <c r="S218" s="11"/>
      <c r="T218" s="11"/>
      <c r="U218" s="11"/>
      <c r="V218" s="11"/>
      <c r="W218" s="11"/>
      <c r="X218" s="11"/>
      <c r="Y218" s="11"/>
      <c r="Z218" s="11"/>
      <c r="AA218" s="11"/>
      <c r="AB218" s="11"/>
      <c r="AC218" s="11"/>
      <c r="AD218" s="11"/>
      <c r="AE218" s="11"/>
      <c r="AF218" s="11"/>
      <c r="AG218" s="11"/>
      <c r="AH218" s="11"/>
      <c r="AI218" s="11"/>
      <c r="AJ218" s="11"/>
      <c r="AK218" s="11"/>
    </row>
    <row r="219" spans="1:37" x14ac:dyDescent="0.2">
      <c r="A219" s="18"/>
      <c r="B219" s="11"/>
      <c r="C219" s="11"/>
      <c r="D219" s="11"/>
      <c r="E219" s="11"/>
      <c r="F219" s="11"/>
      <c r="G219" s="11"/>
      <c r="H219" s="11"/>
      <c r="I219" s="11"/>
      <c r="J219" s="11"/>
      <c r="K219" s="11"/>
      <c r="L219" s="11"/>
      <c r="M219" s="11"/>
      <c r="N219" s="11"/>
      <c r="O219" s="11"/>
      <c r="P219" s="11"/>
      <c r="Q219" s="11"/>
      <c r="R219" s="11"/>
      <c r="S219" s="11"/>
      <c r="T219" s="11"/>
      <c r="U219" s="11"/>
      <c r="V219" s="11"/>
      <c r="W219" s="11"/>
      <c r="X219" s="11"/>
      <c r="Y219" s="11"/>
      <c r="Z219" s="11"/>
      <c r="AA219" s="11"/>
      <c r="AB219" s="11"/>
      <c r="AC219" s="11"/>
      <c r="AD219" s="11"/>
      <c r="AE219" s="11"/>
      <c r="AF219" s="11"/>
      <c r="AG219" s="11"/>
      <c r="AH219" s="11"/>
      <c r="AI219" s="11"/>
      <c r="AJ219" s="11"/>
      <c r="AK219" s="11"/>
    </row>
    <row r="220" spans="1:37" x14ac:dyDescent="0.2">
      <c r="A220" s="18"/>
      <c r="B220" s="11"/>
      <c r="C220" s="11"/>
      <c r="D220" s="11"/>
      <c r="E220" s="11"/>
      <c r="F220" s="11"/>
      <c r="G220" s="11"/>
      <c r="H220" s="11"/>
      <c r="I220" s="11"/>
      <c r="J220" s="11"/>
      <c r="K220" s="11"/>
      <c r="L220" s="11"/>
      <c r="M220" s="11"/>
      <c r="N220" s="11"/>
      <c r="O220" s="11"/>
      <c r="P220" s="11"/>
      <c r="Q220" s="11"/>
      <c r="R220" s="11"/>
      <c r="S220" s="11"/>
      <c r="T220" s="11"/>
      <c r="U220" s="11"/>
      <c r="V220" s="11"/>
      <c r="W220" s="11"/>
      <c r="X220" s="11"/>
      <c r="Y220" s="11"/>
      <c r="Z220" s="11"/>
      <c r="AA220" s="11"/>
      <c r="AB220" s="11"/>
      <c r="AC220" s="11"/>
      <c r="AD220" s="11"/>
      <c r="AE220" s="11"/>
      <c r="AF220" s="11"/>
      <c r="AG220" s="11"/>
      <c r="AH220" s="11"/>
      <c r="AI220" s="11"/>
      <c r="AJ220" s="11"/>
      <c r="AK220" s="11"/>
    </row>
    <row r="221" spans="1:37" x14ac:dyDescent="0.2">
      <c r="A221" s="18"/>
      <c r="B221" s="11"/>
      <c r="C221" s="11"/>
      <c r="D221" s="11"/>
      <c r="E221" s="11"/>
      <c r="F221" s="11"/>
      <c r="G221" s="11"/>
      <c r="H221" s="11"/>
      <c r="I221" s="11"/>
      <c r="J221" s="11"/>
      <c r="K221" s="11"/>
      <c r="L221" s="11"/>
      <c r="M221" s="11"/>
      <c r="N221" s="11"/>
      <c r="O221" s="11"/>
      <c r="P221" s="11"/>
      <c r="Q221" s="11"/>
      <c r="R221" s="11"/>
      <c r="S221" s="11"/>
      <c r="T221" s="11"/>
      <c r="U221" s="11"/>
      <c r="V221" s="11"/>
      <c r="W221" s="11"/>
      <c r="X221" s="11"/>
      <c r="Y221" s="11"/>
      <c r="Z221" s="11"/>
      <c r="AA221" s="11"/>
      <c r="AB221" s="11"/>
      <c r="AC221" s="11"/>
      <c r="AD221" s="11"/>
      <c r="AE221" s="11"/>
      <c r="AF221" s="11"/>
      <c r="AG221" s="11"/>
      <c r="AH221" s="11"/>
      <c r="AI221" s="11"/>
      <c r="AJ221" s="11"/>
      <c r="AK221" s="11"/>
    </row>
    <row r="222" spans="1:37" x14ac:dyDescent="0.2">
      <c r="A222" s="18"/>
      <c r="B222" s="11"/>
      <c r="C222" s="11"/>
      <c r="D222" s="11"/>
      <c r="E222" s="11"/>
      <c r="F222" s="11"/>
      <c r="G222" s="11"/>
      <c r="H222" s="11"/>
      <c r="I222" s="11"/>
      <c r="J222" s="11"/>
      <c r="K222" s="11"/>
      <c r="L222" s="11"/>
      <c r="M222" s="11"/>
      <c r="N222" s="11"/>
      <c r="O222" s="11"/>
      <c r="P222" s="11"/>
      <c r="Q222" s="11"/>
      <c r="R222" s="11"/>
      <c r="S222" s="11"/>
      <c r="T222" s="11"/>
      <c r="U222" s="11"/>
      <c r="V222" s="11"/>
      <c r="W222" s="11"/>
      <c r="X222" s="11"/>
      <c r="Y222" s="11"/>
      <c r="Z222" s="11"/>
      <c r="AA222" s="11"/>
      <c r="AB222" s="11"/>
      <c r="AC222" s="11"/>
      <c r="AD222" s="11"/>
      <c r="AE222" s="11"/>
      <c r="AF222" s="11"/>
      <c r="AG222" s="11"/>
      <c r="AH222" s="11"/>
      <c r="AI222" s="11"/>
      <c r="AJ222" s="11"/>
      <c r="AK222" s="11"/>
    </row>
    <row r="223" spans="1:37" x14ac:dyDescent="0.2">
      <c r="A223" s="18"/>
      <c r="B223" s="11"/>
      <c r="C223" s="11"/>
      <c r="D223" s="11"/>
      <c r="E223" s="11"/>
      <c r="F223" s="11"/>
      <c r="G223" s="11"/>
      <c r="H223" s="11"/>
      <c r="I223" s="11"/>
      <c r="J223" s="11"/>
      <c r="K223" s="11"/>
      <c r="L223" s="11"/>
      <c r="M223" s="11"/>
      <c r="N223" s="11"/>
      <c r="O223" s="11"/>
      <c r="P223" s="11"/>
      <c r="Q223" s="11"/>
      <c r="R223" s="11"/>
      <c r="S223" s="11"/>
      <c r="T223" s="11"/>
      <c r="U223" s="11"/>
      <c r="V223" s="11"/>
      <c r="W223" s="11"/>
      <c r="X223" s="11"/>
      <c r="Y223" s="11"/>
      <c r="Z223" s="11"/>
      <c r="AA223" s="11"/>
      <c r="AB223" s="11"/>
      <c r="AC223" s="11"/>
      <c r="AD223" s="11"/>
      <c r="AE223" s="11"/>
      <c r="AF223" s="11"/>
      <c r="AG223" s="11"/>
      <c r="AH223" s="11"/>
      <c r="AI223" s="11"/>
      <c r="AJ223" s="11"/>
      <c r="AK223" s="11"/>
    </row>
    <row r="224" spans="1:37" x14ac:dyDescent="0.2">
      <c r="A224" s="18"/>
      <c r="B224" s="11"/>
      <c r="C224" s="11"/>
      <c r="D224" s="11"/>
      <c r="E224" s="11"/>
      <c r="F224" s="11"/>
      <c r="G224" s="11"/>
      <c r="H224" s="11"/>
      <c r="I224" s="11"/>
      <c r="J224" s="11"/>
      <c r="K224" s="11"/>
      <c r="L224" s="11"/>
      <c r="M224" s="11"/>
      <c r="N224" s="11"/>
      <c r="O224" s="11"/>
      <c r="P224" s="11"/>
      <c r="Q224" s="11"/>
      <c r="R224" s="11"/>
      <c r="S224" s="11"/>
      <c r="T224" s="11"/>
      <c r="U224" s="11"/>
      <c r="V224" s="11"/>
      <c r="W224" s="11"/>
      <c r="X224" s="11"/>
      <c r="Y224" s="11"/>
      <c r="Z224" s="11"/>
      <c r="AA224" s="11"/>
      <c r="AB224" s="11"/>
      <c r="AC224" s="11"/>
      <c r="AD224" s="11"/>
      <c r="AE224" s="11"/>
      <c r="AF224" s="11"/>
      <c r="AG224" s="11"/>
      <c r="AH224" s="11"/>
      <c r="AI224" s="11"/>
      <c r="AJ224" s="11"/>
      <c r="AK224" s="11"/>
    </row>
    <row r="225" spans="1:37" x14ac:dyDescent="0.2">
      <c r="A225" s="18"/>
      <c r="B225" s="11"/>
      <c r="C225" s="11"/>
      <c r="D225" s="11"/>
      <c r="E225" s="11"/>
      <c r="F225" s="11"/>
      <c r="G225" s="11"/>
      <c r="H225" s="11"/>
      <c r="I225" s="11"/>
      <c r="J225" s="11"/>
      <c r="K225" s="11"/>
      <c r="L225" s="11"/>
      <c r="M225" s="11"/>
      <c r="N225" s="11"/>
      <c r="O225" s="11"/>
      <c r="P225" s="11"/>
      <c r="Q225" s="11"/>
      <c r="R225" s="11"/>
      <c r="S225" s="11"/>
      <c r="T225" s="11"/>
      <c r="U225" s="11"/>
      <c r="V225" s="11"/>
      <c r="W225" s="11"/>
      <c r="X225" s="11"/>
      <c r="Y225" s="11"/>
      <c r="Z225" s="11"/>
      <c r="AA225" s="11"/>
      <c r="AB225" s="11"/>
      <c r="AC225" s="11"/>
      <c r="AD225" s="11"/>
      <c r="AE225" s="11"/>
      <c r="AF225" s="11"/>
      <c r="AG225" s="11"/>
      <c r="AH225" s="11"/>
      <c r="AI225" s="11"/>
      <c r="AJ225" s="11"/>
      <c r="AK225" s="11"/>
    </row>
    <row r="226" spans="1:37" x14ac:dyDescent="0.2">
      <c r="A226" s="18"/>
      <c r="B226" s="11"/>
      <c r="C226" s="11"/>
      <c r="D226" s="11"/>
      <c r="E226" s="11"/>
      <c r="F226" s="11"/>
      <c r="G226" s="11"/>
      <c r="H226" s="11"/>
      <c r="I226" s="11"/>
      <c r="J226" s="11"/>
      <c r="K226" s="11"/>
      <c r="L226" s="11"/>
      <c r="M226" s="11"/>
      <c r="N226" s="11"/>
      <c r="O226" s="11"/>
      <c r="P226" s="11"/>
      <c r="Q226" s="11"/>
      <c r="R226" s="11"/>
      <c r="S226" s="11"/>
      <c r="T226" s="11"/>
      <c r="U226" s="11"/>
      <c r="V226" s="11"/>
      <c r="W226" s="11"/>
      <c r="X226" s="11"/>
      <c r="Y226" s="11"/>
      <c r="Z226" s="11"/>
      <c r="AA226" s="11"/>
      <c r="AB226" s="11"/>
      <c r="AC226" s="11"/>
      <c r="AD226" s="11"/>
      <c r="AE226" s="11"/>
      <c r="AF226" s="11"/>
      <c r="AG226" s="11"/>
      <c r="AH226" s="11"/>
      <c r="AI226" s="11"/>
      <c r="AJ226" s="11"/>
      <c r="AK226" s="11"/>
    </row>
    <row r="227" spans="1:37" x14ac:dyDescent="0.2">
      <c r="A227" s="18"/>
      <c r="B227" s="11"/>
      <c r="C227" s="11"/>
      <c r="D227" s="11"/>
      <c r="E227" s="11"/>
      <c r="F227" s="11"/>
      <c r="G227" s="11"/>
      <c r="H227" s="11"/>
      <c r="I227" s="11"/>
      <c r="J227" s="11"/>
      <c r="K227" s="11"/>
      <c r="L227" s="11"/>
      <c r="M227" s="11"/>
      <c r="N227" s="11"/>
      <c r="O227" s="11"/>
      <c r="P227" s="11"/>
      <c r="Q227" s="11"/>
      <c r="R227" s="11"/>
      <c r="S227" s="11"/>
      <c r="T227" s="11"/>
      <c r="U227" s="11"/>
      <c r="V227" s="11"/>
      <c r="W227" s="11"/>
      <c r="X227" s="11"/>
      <c r="Y227" s="11"/>
      <c r="Z227" s="11"/>
      <c r="AA227" s="11"/>
      <c r="AB227" s="11"/>
      <c r="AC227" s="11"/>
      <c r="AD227" s="11"/>
      <c r="AE227" s="11"/>
      <c r="AF227" s="11"/>
      <c r="AG227" s="11"/>
      <c r="AH227" s="11"/>
      <c r="AI227" s="11"/>
      <c r="AJ227" s="11"/>
      <c r="AK227" s="11"/>
    </row>
    <row r="228" spans="1:37" x14ac:dyDescent="0.2">
      <c r="A228" s="18"/>
      <c r="B228" s="11"/>
      <c r="C228" s="11"/>
      <c r="D228" s="11"/>
      <c r="E228" s="11"/>
      <c r="F228" s="11"/>
      <c r="G228" s="11"/>
      <c r="H228" s="11"/>
      <c r="I228" s="11"/>
      <c r="J228" s="11"/>
      <c r="K228" s="11"/>
      <c r="L228" s="11"/>
      <c r="M228" s="11"/>
      <c r="N228" s="11"/>
      <c r="O228" s="11"/>
      <c r="P228" s="11"/>
      <c r="Q228" s="11"/>
      <c r="R228" s="11"/>
      <c r="S228" s="11"/>
      <c r="T228" s="11"/>
      <c r="U228" s="11"/>
      <c r="V228" s="11"/>
      <c r="W228" s="11"/>
      <c r="X228" s="11"/>
      <c r="Y228" s="11"/>
      <c r="Z228" s="11"/>
      <c r="AA228" s="11"/>
      <c r="AB228" s="11"/>
      <c r="AC228" s="11"/>
      <c r="AD228" s="11"/>
      <c r="AE228" s="11"/>
      <c r="AF228" s="11"/>
      <c r="AG228" s="11"/>
      <c r="AH228" s="11"/>
      <c r="AI228" s="11"/>
      <c r="AJ228" s="11"/>
      <c r="AK228" s="11"/>
    </row>
    <row r="229" spans="1:37" x14ac:dyDescent="0.2">
      <c r="A229" s="18"/>
      <c r="B229" s="11"/>
      <c r="C229" s="11"/>
      <c r="D229" s="11"/>
      <c r="E229" s="11"/>
      <c r="F229" s="11"/>
      <c r="G229" s="11"/>
      <c r="H229" s="11"/>
      <c r="I229" s="11"/>
      <c r="J229" s="11"/>
      <c r="K229" s="11"/>
      <c r="L229" s="11"/>
      <c r="M229" s="11"/>
      <c r="N229" s="11"/>
      <c r="O229" s="11"/>
      <c r="P229" s="11"/>
      <c r="Q229" s="11"/>
      <c r="R229" s="11"/>
      <c r="S229" s="11"/>
      <c r="T229" s="11"/>
      <c r="U229" s="11"/>
      <c r="V229" s="11"/>
      <c r="W229" s="11"/>
      <c r="X229" s="11"/>
      <c r="Y229" s="11"/>
      <c r="Z229" s="11"/>
      <c r="AA229" s="11"/>
      <c r="AB229" s="11"/>
      <c r="AC229" s="11"/>
      <c r="AD229" s="11"/>
      <c r="AE229" s="11"/>
      <c r="AF229" s="11"/>
      <c r="AG229" s="11"/>
      <c r="AH229" s="11"/>
      <c r="AI229" s="11"/>
      <c r="AJ229" s="11"/>
      <c r="AK229" s="11"/>
    </row>
  </sheetData>
  <mergeCells count="4">
    <mergeCell ref="P6:R6"/>
    <mergeCell ref="P7:Q7"/>
    <mergeCell ref="P8:Q8"/>
    <mergeCell ref="P9:Q9"/>
  </mergeCells>
  <conditionalFormatting sqref="B21 B24">
    <cfRule type="duplicateValues" dxfId="464" priority="11"/>
  </conditionalFormatting>
  <conditionalFormatting sqref="C21 C24">
    <cfRule type="duplicateValues" dxfId="463" priority="10"/>
  </conditionalFormatting>
  <conditionalFormatting sqref="D21 D24">
    <cfRule type="duplicateValues" dxfId="462" priority="9"/>
  </conditionalFormatting>
  <conditionalFormatting sqref="E21 E24">
    <cfRule type="duplicateValues" dxfId="461" priority="8"/>
  </conditionalFormatting>
  <conditionalFormatting sqref="F21 F24">
    <cfRule type="duplicateValues" dxfId="460" priority="7"/>
  </conditionalFormatting>
  <conditionalFormatting sqref="G21 G24">
    <cfRule type="duplicateValues" dxfId="459" priority="6"/>
  </conditionalFormatting>
  <conditionalFormatting sqref="H21 H24">
    <cfRule type="duplicateValues" dxfId="458" priority="5"/>
  </conditionalFormatting>
  <conditionalFormatting sqref="J21 J24">
    <cfRule type="duplicateValues" dxfId="457" priority="3"/>
  </conditionalFormatting>
  <conditionalFormatting sqref="K21 K24">
    <cfRule type="duplicateValues" dxfId="456" priority="2"/>
  </conditionalFormatting>
  <conditionalFormatting sqref="L21 L24">
    <cfRule type="duplicateValues" dxfId="455" priority="1"/>
  </conditionalFormatting>
  <dataValidations count="3">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s>
  <hyperlinks>
    <hyperlink ref="H19" location="'UNDM 4 car'!A1" display="UNDM 4 Car" xr:uid="{D1552B77-CA57-4BE9-BD5D-3EDC5031FF48}"/>
    <hyperlink ref="G19" location="'Special Trailer 4 Car'!A1" display="Special Trailer 4 Car" xr:uid="{093FAF9C-3C6F-4398-B010-232E474DDB6D}"/>
    <hyperlink ref="F19" location="'Trailer 4 Car'!A1" display="Trailer 4 Car" xr:uid="{DADAB628-47A9-4209-87FA-16D0CC04523D}"/>
    <hyperlink ref="E19" location="'DM 4 Car'!A1" display="DM 4 Car" xr:uid="{01737368-9E7B-4B6B-AACF-1D86679682FB}"/>
    <hyperlink ref="L19" location="'Train Tests'!A1" display="Final Tests" xr:uid="{5673C455-41D5-4758-AAD3-41F533CC49DE}"/>
    <hyperlink ref="B19" location="'De-Icer DM'!A1" display="De-Icer DM" xr:uid="{0F2904CE-EAA0-4EE8-BEE6-B39985F05076}"/>
    <hyperlink ref="C19" location="'De-Icer Trailer'!A1" display="De-Icer Trailer" xr:uid="{FB5484F2-574E-45BE-AA13-435D59025C1B}"/>
    <hyperlink ref="D19" location="'DE-Icer UNDM'!A1" display="De-Icer UNDM" xr:uid="{96C40D73-6954-478B-BDF7-3ABCE33C8ECD}"/>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8" r:id="rId8" name="Button 10">
              <controlPr defaultSize="0" print="0" autoFill="0" autoPict="0" macro="[0]!PRINTFORMAT">
                <anchor moveWithCells="1" sizeWithCells="1">
                  <from>
                    <xdr:col>9</xdr:col>
                    <xdr:colOff>66675</xdr:colOff>
                    <xdr:row>14</xdr:row>
                    <xdr:rowOff>95250</xdr:rowOff>
                  </from>
                  <to>
                    <xdr:col>11</xdr:col>
                    <xdr:colOff>666750</xdr:colOff>
                    <xdr:row>17</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D4" sqref="D4"/>
    </sheetView>
  </sheetViews>
  <sheetFormatPr defaultRowHeight="15" x14ac:dyDescent="0.2"/>
  <cols>
    <col min="1" max="1" width="5.6640625" style="22" customWidth="1"/>
    <col min="2" max="2" width="7.6640625" style="22" customWidth="1"/>
    <col min="3" max="3" width="17.21875" style="22" customWidth="1"/>
    <col min="4" max="4" width="16.6640625" style="22" customWidth="1"/>
    <col min="5" max="7" width="5.6640625" style="22" customWidth="1"/>
    <col min="8" max="8" width="10.6640625" style="22" customWidth="1"/>
  </cols>
  <sheetData>
    <row r="1" spans="1:57" s="3" customFormat="1" ht="20.25" customHeight="1" thickBot="1" x14ac:dyDescent="0.25">
      <c r="A1" s="25"/>
      <c r="B1" s="25"/>
      <c r="C1" s="59" t="s">
        <v>37</v>
      </c>
      <c r="D1" s="23"/>
      <c r="E1" s="23"/>
      <c r="F1" s="23"/>
      <c r="G1" s="23"/>
      <c r="H1" s="23"/>
    </row>
    <row r="2" spans="1:57" s="10" customFormat="1" ht="84" customHeight="1" thickBot="1" x14ac:dyDescent="0.25">
      <c r="A2" s="50" t="s">
        <v>38</v>
      </c>
      <c r="B2" s="50" t="s">
        <v>39</v>
      </c>
      <c r="C2" s="51" t="s">
        <v>40</v>
      </c>
      <c r="D2" s="52" t="s">
        <v>41</v>
      </c>
      <c r="E2" s="53" t="s">
        <v>24</v>
      </c>
      <c r="F2" s="53" t="s">
        <v>20</v>
      </c>
      <c r="G2" s="54" t="s">
        <v>42</v>
      </c>
      <c r="H2" s="54" t="s">
        <v>43</v>
      </c>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row>
  </sheetData>
  <sortState xmlns:xlrd2="http://schemas.microsoft.com/office/spreadsheetml/2017/richdata2" ref="H2">
    <sortCondition ref="H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dimension ref="A1:BT180"/>
  <sheetViews>
    <sheetView showWhiteSpace="0" zoomScale="60" zoomScaleNormal="60" workbookViewId="0">
      <pane ySplit="2" topLeftCell="A128" activePane="bottomLeft" state="frozen"/>
      <selection pane="bottomLeft" activeCell="F142" sqref="F142"/>
    </sheetView>
  </sheetViews>
  <sheetFormatPr defaultColWidth="8.88671875" defaultRowHeight="15" x14ac:dyDescent="0.2"/>
  <cols>
    <col min="1" max="1" width="8.88671875" style="3" customWidth="1"/>
    <col min="2" max="2" width="7.77734375" style="22" customWidth="1"/>
    <col min="3" max="3" width="60.77734375" style="22" customWidth="1"/>
    <col min="4" max="4" width="38.77734375" style="22" customWidth="1"/>
    <col min="5" max="5" width="8" style="22" customWidth="1"/>
    <col min="6" max="6" width="7.5546875" style="22" customWidth="1"/>
    <col min="7" max="7" width="38.77734375" style="22" customWidth="1"/>
    <col min="8" max="8" width="14.77734375" style="22" customWidth="1"/>
    <col min="9" max="10" width="10.33203125" style="22" customWidth="1"/>
    <col min="11" max="11" width="10.77734375" style="22" customWidth="1"/>
    <col min="12" max="12" width="16.109375" style="22" customWidth="1"/>
    <col min="13" max="13" width="8.88671875" style="3" customWidth="1"/>
    <col min="14" max="14" width="9.109375" style="3" customWidth="1"/>
    <col min="15" max="15" width="7.5546875" style="70" customWidth="1"/>
    <col min="16" max="17" width="8.88671875" style="3" customWidth="1"/>
    <col min="18" max="16384" width="8.88671875" style="3"/>
  </cols>
  <sheetData>
    <row r="1" spans="1:72" ht="21" customHeight="1" thickBot="1" x14ac:dyDescent="0.25">
      <c r="B1" s="88" t="s">
        <v>44</v>
      </c>
      <c r="C1" s="62" t="s">
        <v>45</v>
      </c>
      <c r="D1" s="23"/>
      <c r="E1" s="23"/>
      <c r="F1" s="23"/>
      <c r="G1" s="23"/>
      <c r="H1" s="23"/>
      <c r="I1" s="23"/>
      <c r="J1" s="23"/>
      <c r="L1" s="23"/>
    </row>
    <row r="2" spans="1:72" s="10" customFormat="1" ht="87.95" customHeight="1" thickBot="1" x14ac:dyDescent="0.25">
      <c r="A2" s="50" t="s">
        <v>38</v>
      </c>
      <c r="B2" s="64" t="s">
        <v>39</v>
      </c>
      <c r="C2" s="65" t="s">
        <v>40</v>
      </c>
      <c r="D2" s="66" t="s">
        <v>41</v>
      </c>
      <c r="E2" s="67" t="s">
        <v>24</v>
      </c>
      <c r="F2" s="67" t="s">
        <v>20</v>
      </c>
      <c r="G2" s="68" t="s">
        <v>42</v>
      </c>
      <c r="H2" s="68" t="s">
        <v>43</v>
      </c>
      <c r="I2" s="63" t="s">
        <v>46</v>
      </c>
      <c r="J2" s="63" t="s">
        <v>47</v>
      </c>
      <c r="K2" s="63" t="s">
        <v>48</v>
      </c>
      <c r="L2" s="63" t="s">
        <v>49</v>
      </c>
      <c r="M2" s="63" t="s">
        <v>50</v>
      </c>
      <c r="N2" s="55" t="s">
        <v>51</v>
      </c>
      <c r="O2" s="71" t="s">
        <v>52</v>
      </c>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row>
    <row r="3" spans="1:72" s="101" customFormat="1" ht="54" customHeight="1" thickTop="1" thickBot="1" x14ac:dyDescent="0.25">
      <c r="A3" s="72"/>
      <c r="B3" s="92" t="s">
        <v>11</v>
      </c>
      <c r="C3" s="93" t="s">
        <v>53</v>
      </c>
      <c r="D3" s="93" t="s">
        <v>54</v>
      </c>
      <c r="E3" s="94" t="s">
        <v>12</v>
      </c>
      <c r="F3" s="94" t="s">
        <v>22</v>
      </c>
      <c r="G3" s="93" t="s">
        <v>55</v>
      </c>
      <c r="H3" s="95" t="s">
        <v>55</v>
      </c>
      <c r="I3" s="94" t="s">
        <v>56</v>
      </c>
      <c r="J3" s="94" t="s">
        <v>57</v>
      </c>
      <c r="K3" s="94">
        <v>0</v>
      </c>
      <c r="L3" s="94" t="s">
        <v>58</v>
      </c>
      <c r="M3" s="94" t="s">
        <v>59</v>
      </c>
      <c r="N3" s="93">
        <v>1</v>
      </c>
      <c r="O3" s="96">
        <v>5.2083333333333333E-4</v>
      </c>
    </row>
    <row r="4" spans="1:72" s="101" customFormat="1" ht="54" customHeight="1" thickTop="1" thickBot="1" x14ac:dyDescent="0.25">
      <c r="A4" s="72"/>
      <c r="B4" s="73" t="s">
        <v>11</v>
      </c>
      <c r="C4" s="89" t="s">
        <v>60</v>
      </c>
      <c r="D4" s="74" t="s">
        <v>61</v>
      </c>
      <c r="E4" s="75" t="s">
        <v>12</v>
      </c>
      <c r="F4" s="75" t="s">
        <v>22</v>
      </c>
      <c r="G4" s="74" t="s">
        <v>55</v>
      </c>
      <c r="H4" s="85" t="s">
        <v>55</v>
      </c>
      <c r="I4" s="94" t="s">
        <v>56</v>
      </c>
      <c r="J4" s="94" t="s">
        <v>57</v>
      </c>
      <c r="K4" s="94">
        <v>0</v>
      </c>
      <c r="L4" s="94" t="s">
        <v>62</v>
      </c>
      <c r="M4" s="94" t="s">
        <v>63</v>
      </c>
      <c r="N4" s="74">
        <v>1</v>
      </c>
      <c r="O4" s="77">
        <v>3.4722222222222224E-4</v>
      </c>
    </row>
    <row r="5" spans="1:72" s="101" customFormat="1" ht="54" customHeight="1" thickTop="1" thickBot="1" x14ac:dyDescent="0.25">
      <c r="A5" s="72"/>
      <c r="B5" s="73" t="s">
        <v>11</v>
      </c>
      <c r="C5" s="74" t="s">
        <v>64</v>
      </c>
      <c r="D5" s="74" t="s">
        <v>61</v>
      </c>
      <c r="E5" s="75" t="s">
        <v>12</v>
      </c>
      <c r="F5" s="75" t="s">
        <v>22</v>
      </c>
      <c r="G5" s="74" t="s">
        <v>55</v>
      </c>
      <c r="H5" s="85" t="s">
        <v>55</v>
      </c>
      <c r="I5" s="94" t="s">
        <v>56</v>
      </c>
      <c r="J5" s="94" t="s">
        <v>57</v>
      </c>
      <c r="K5" s="94">
        <v>0</v>
      </c>
      <c r="L5" s="94" t="s">
        <v>62</v>
      </c>
      <c r="M5" s="94" t="s">
        <v>63</v>
      </c>
      <c r="N5" s="74">
        <v>1</v>
      </c>
      <c r="O5" s="77">
        <v>3.4722222222222224E-4</v>
      </c>
    </row>
    <row r="6" spans="1:72" s="101" customFormat="1" ht="54" customHeight="1" thickTop="1" thickBot="1" x14ac:dyDescent="0.25">
      <c r="A6" s="72"/>
      <c r="B6" s="73" t="s">
        <v>11</v>
      </c>
      <c r="C6" s="74" t="s">
        <v>65</v>
      </c>
      <c r="D6" s="74" t="s">
        <v>66</v>
      </c>
      <c r="E6" s="75" t="s">
        <v>12</v>
      </c>
      <c r="F6" s="75" t="s">
        <v>22</v>
      </c>
      <c r="G6" s="74" t="s">
        <v>55</v>
      </c>
      <c r="H6" s="85" t="s">
        <v>55</v>
      </c>
      <c r="I6" s="94" t="s">
        <v>56</v>
      </c>
      <c r="J6" s="94" t="s">
        <v>57</v>
      </c>
      <c r="K6" s="94">
        <v>0</v>
      </c>
      <c r="L6" s="94" t="s">
        <v>62</v>
      </c>
      <c r="M6" s="94" t="s">
        <v>63</v>
      </c>
      <c r="N6" s="74">
        <v>1</v>
      </c>
      <c r="O6" s="77">
        <v>1.3888888888888889E-3</v>
      </c>
    </row>
    <row r="7" spans="1:72" s="101" customFormat="1" ht="54" customHeight="1" thickTop="1" thickBot="1" x14ac:dyDescent="0.25">
      <c r="A7" s="72"/>
      <c r="B7" s="73" t="s">
        <v>11</v>
      </c>
      <c r="C7" s="74" t="s">
        <v>67</v>
      </c>
      <c r="D7" s="74" t="s">
        <v>68</v>
      </c>
      <c r="E7" s="75" t="s">
        <v>12</v>
      </c>
      <c r="F7" s="75" t="s">
        <v>22</v>
      </c>
      <c r="G7" s="74" t="s">
        <v>55</v>
      </c>
      <c r="H7" s="85" t="s">
        <v>55</v>
      </c>
      <c r="I7" s="94" t="s">
        <v>56</v>
      </c>
      <c r="J7" s="94" t="s">
        <v>57</v>
      </c>
      <c r="K7" s="94">
        <v>0</v>
      </c>
      <c r="L7" s="94" t="s">
        <v>69</v>
      </c>
      <c r="M7" s="94" t="s">
        <v>70</v>
      </c>
      <c r="N7" s="74">
        <v>1</v>
      </c>
      <c r="O7" s="77">
        <v>1.2152777777777778E-3</v>
      </c>
    </row>
    <row r="8" spans="1:72" s="101" customFormat="1" ht="54" customHeight="1" thickTop="1" thickBot="1" x14ac:dyDescent="0.25">
      <c r="A8" s="72"/>
      <c r="B8" s="73" t="s">
        <v>11</v>
      </c>
      <c r="C8" s="74" t="s">
        <v>71</v>
      </c>
      <c r="D8" s="74" t="s">
        <v>72</v>
      </c>
      <c r="E8" s="75" t="s">
        <v>12</v>
      </c>
      <c r="F8" s="75" t="s">
        <v>22</v>
      </c>
      <c r="G8" s="74" t="s">
        <v>55</v>
      </c>
      <c r="H8" s="85" t="s">
        <v>55</v>
      </c>
      <c r="I8" s="94" t="s">
        <v>56</v>
      </c>
      <c r="J8" s="94" t="s">
        <v>57</v>
      </c>
      <c r="K8" s="94">
        <v>0</v>
      </c>
      <c r="L8" s="94" t="s">
        <v>69</v>
      </c>
      <c r="M8" s="94" t="s">
        <v>70</v>
      </c>
      <c r="N8" s="74">
        <v>1</v>
      </c>
      <c r="O8" s="77">
        <v>3.4722222222222224E-4</v>
      </c>
    </row>
    <row r="9" spans="1:72" s="101" customFormat="1" ht="54" customHeight="1" thickTop="1" thickBot="1" x14ac:dyDescent="0.25">
      <c r="A9" s="72"/>
      <c r="B9" s="73" t="s">
        <v>11</v>
      </c>
      <c r="C9" s="74" t="s">
        <v>73</v>
      </c>
      <c r="D9" s="74" t="s">
        <v>74</v>
      </c>
      <c r="E9" s="75" t="s">
        <v>12</v>
      </c>
      <c r="F9" s="75" t="s">
        <v>22</v>
      </c>
      <c r="G9" s="74" t="s">
        <v>55</v>
      </c>
      <c r="H9" s="85" t="s">
        <v>55</v>
      </c>
      <c r="I9" s="94" t="s">
        <v>56</v>
      </c>
      <c r="J9" s="94" t="s">
        <v>57</v>
      </c>
      <c r="K9" s="94">
        <v>0</v>
      </c>
      <c r="L9" s="94" t="s">
        <v>75</v>
      </c>
      <c r="M9" s="94" t="s">
        <v>59</v>
      </c>
      <c r="N9" s="74">
        <v>2</v>
      </c>
      <c r="O9" s="97">
        <v>3.4722222222222224E-4</v>
      </c>
    </row>
    <row r="10" spans="1:72" s="101" customFormat="1" ht="54" customHeight="1" thickTop="1" thickBot="1" x14ac:dyDescent="0.25">
      <c r="A10" s="72"/>
      <c r="B10" s="73" t="s">
        <v>11</v>
      </c>
      <c r="C10" s="74" t="s">
        <v>76</v>
      </c>
      <c r="D10" s="74" t="s">
        <v>77</v>
      </c>
      <c r="E10" s="75" t="s">
        <v>12</v>
      </c>
      <c r="F10" s="75" t="s">
        <v>22</v>
      </c>
      <c r="G10" s="74" t="s">
        <v>55</v>
      </c>
      <c r="H10" s="85" t="s">
        <v>55</v>
      </c>
      <c r="I10" s="94" t="s">
        <v>56</v>
      </c>
      <c r="J10" s="94" t="s">
        <v>57</v>
      </c>
      <c r="K10" s="94">
        <v>0</v>
      </c>
      <c r="L10" s="94" t="s">
        <v>78</v>
      </c>
      <c r="M10" s="94" t="s">
        <v>59</v>
      </c>
      <c r="N10" s="74">
        <v>1</v>
      </c>
      <c r="O10" s="77">
        <v>1.3888888888888889E-3</v>
      </c>
    </row>
    <row r="11" spans="1:72" s="101" customFormat="1" ht="54" customHeight="1" thickTop="1" thickBot="1" x14ac:dyDescent="0.25">
      <c r="A11" s="72"/>
      <c r="B11" s="73" t="s">
        <v>11</v>
      </c>
      <c r="C11" s="74" t="s">
        <v>79</v>
      </c>
      <c r="D11" s="74" t="s">
        <v>80</v>
      </c>
      <c r="E11" s="75" t="s">
        <v>12</v>
      </c>
      <c r="F11" s="75" t="s">
        <v>22</v>
      </c>
      <c r="G11" s="74" t="s">
        <v>55</v>
      </c>
      <c r="H11" s="85" t="s">
        <v>55</v>
      </c>
      <c r="I11" s="94" t="s">
        <v>56</v>
      </c>
      <c r="J11" s="94" t="s">
        <v>57</v>
      </c>
      <c r="K11" s="94">
        <v>0</v>
      </c>
      <c r="L11" s="94" t="s">
        <v>81</v>
      </c>
      <c r="M11" s="94" t="s">
        <v>59</v>
      </c>
      <c r="N11" s="74">
        <v>1</v>
      </c>
      <c r="O11" s="77">
        <v>3.4722222222222224E-4</v>
      </c>
    </row>
    <row r="12" spans="1:72" s="101" customFormat="1" ht="54" customHeight="1" thickTop="1" thickBot="1" x14ac:dyDescent="0.25">
      <c r="A12" s="72"/>
      <c r="B12" s="73" t="s">
        <v>11</v>
      </c>
      <c r="C12" s="74" t="s">
        <v>82</v>
      </c>
      <c r="D12" s="74" t="s">
        <v>83</v>
      </c>
      <c r="E12" s="75" t="s">
        <v>12</v>
      </c>
      <c r="F12" s="75" t="s">
        <v>22</v>
      </c>
      <c r="G12" s="74" t="s">
        <v>55</v>
      </c>
      <c r="H12" s="85" t="s">
        <v>55</v>
      </c>
      <c r="I12" s="94" t="s">
        <v>84</v>
      </c>
      <c r="J12" s="94" t="s">
        <v>57</v>
      </c>
      <c r="K12" s="94" t="s">
        <v>808</v>
      </c>
      <c r="L12" s="94" t="s">
        <v>85</v>
      </c>
      <c r="M12" s="94" t="s">
        <v>807</v>
      </c>
      <c r="N12" s="74">
        <v>1</v>
      </c>
      <c r="O12" s="77">
        <v>3.4722222222222224E-4</v>
      </c>
    </row>
    <row r="13" spans="1:72" s="101" customFormat="1" ht="54" customHeight="1" thickTop="1" thickBot="1" x14ac:dyDescent="0.25">
      <c r="A13" s="72"/>
      <c r="B13" s="73" t="s">
        <v>11</v>
      </c>
      <c r="C13" s="74" t="s">
        <v>86</v>
      </c>
      <c r="D13" s="74" t="s">
        <v>87</v>
      </c>
      <c r="E13" s="75" t="s">
        <v>12</v>
      </c>
      <c r="F13" s="75" t="s">
        <v>22</v>
      </c>
      <c r="G13" s="74" t="s">
        <v>55</v>
      </c>
      <c r="H13" s="85" t="s">
        <v>55</v>
      </c>
      <c r="I13" s="94" t="s">
        <v>56</v>
      </c>
      <c r="J13" s="94" t="s">
        <v>57</v>
      </c>
      <c r="K13" s="94">
        <v>0</v>
      </c>
      <c r="L13" s="94" t="s">
        <v>88</v>
      </c>
      <c r="M13" s="94" t="s">
        <v>59</v>
      </c>
      <c r="N13" s="74">
        <v>1</v>
      </c>
      <c r="O13" s="77">
        <v>1.3888888888888889E-3</v>
      </c>
    </row>
    <row r="14" spans="1:72" s="101" customFormat="1" ht="54" customHeight="1" thickTop="1" thickBot="1" x14ac:dyDescent="0.25">
      <c r="A14" s="72"/>
      <c r="B14" s="73" t="s">
        <v>11</v>
      </c>
      <c r="C14" s="74" t="s">
        <v>89</v>
      </c>
      <c r="D14" s="74" t="s">
        <v>90</v>
      </c>
      <c r="E14" s="75" t="s">
        <v>12</v>
      </c>
      <c r="F14" s="75" t="s">
        <v>22</v>
      </c>
      <c r="G14" s="74" t="s">
        <v>55</v>
      </c>
      <c r="H14" s="85" t="s">
        <v>55</v>
      </c>
      <c r="I14" s="94" t="s">
        <v>56</v>
      </c>
      <c r="J14" s="94" t="s">
        <v>57</v>
      </c>
      <c r="K14" s="94">
        <v>0</v>
      </c>
      <c r="L14" s="94" t="s">
        <v>88</v>
      </c>
      <c r="M14" s="94" t="s">
        <v>59</v>
      </c>
      <c r="N14" s="74">
        <v>1</v>
      </c>
      <c r="O14" s="77">
        <v>1.3888888888888889E-3</v>
      </c>
    </row>
    <row r="15" spans="1:72" s="101" customFormat="1" ht="54" customHeight="1" thickTop="1" thickBot="1" x14ac:dyDescent="0.25">
      <c r="A15" s="72"/>
      <c r="B15" s="73" t="s">
        <v>11</v>
      </c>
      <c r="C15" s="74" t="s">
        <v>91</v>
      </c>
      <c r="D15" s="74" t="s">
        <v>92</v>
      </c>
      <c r="E15" s="75" t="s">
        <v>12</v>
      </c>
      <c r="F15" s="75" t="s">
        <v>22</v>
      </c>
      <c r="G15" s="74" t="s">
        <v>55</v>
      </c>
      <c r="H15" s="85" t="s">
        <v>55</v>
      </c>
      <c r="I15" s="94" t="s">
        <v>56</v>
      </c>
      <c r="J15" s="94" t="s">
        <v>57</v>
      </c>
      <c r="K15" s="94">
        <v>0</v>
      </c>
      <c r="L15" s="94" t="s">
        <v>93</v>
      </c>
      <c r="M15" s="94" t="s">
        <v>59</v>
      </c>
      <c r="N15" s="74">
        <v>1</v>
      </c>
      <c r="O15" s="77">
        <v>5.2083333333333333E-4</v>
      </c>
    </row>
    <row r="16" spans="1:72" s="101" customFormat="1" ht="54" customHeight="1" thickTop="1" thickBot="1" x14ac:dyDescent="0.25">
      <c r="A16" s="72"/>
      <c r="B16" s="73" t="s">
        <v>11</v>
      </c>
      <c r="C16" s="74" t="s">
        <v>94</v>
      </c>
      <c r="D16" s="74" t="s">
        <v>95</v>
      </c>
      <c r="E16" s="75" t="s">
        <v>12</v>
      </c>
      <c r="F16" s="75" t="s">
        <v>22</v>
      </c>
      <c r="G16" s="74" t="s">
        <v>55</v>
      </c>
      <c r="H16" s="85" t="s">
        <v>55</v>
      </c>
      <c r="I16" s="94" t="s">
        <v>56</v>
      </c>
      <c r="J16" s="94" t="s">
        <v>57</v>
      </c>
      <c r="K16" s="94">
        <v>0</v>
      </c>
      <c r="L16" s="94" t="s">
        <v>93</v>
      </c>
      <c r="M16" s="94" t="s">
        <v>59</v>
      </c>
      <c r="N16" s="74">
        <v>1</v>
      </c>
      <c r="O16" s="77">
        <v>5.2083333333333333E-4</v>
      </c>
    </row>
    <row r="17" spans="1:15" s="101" customFormat="1" ht="54" customHeight="1" thickTop="1" thickBot="1" x14ac:dyDescent="0.25">
      <c r="A17" s="72"/>
      <c r="B17" s="73" t="s">
        <v>11</v>
      </c>
      <c r="C17" s="74" t="s">
        <v>96</v>
      </c>
      <c r="D17" s="74" t="s">
        <v>97</v>
      </c>
      <c r="E17" s="75" t="s">
        <v>12</v>
      </c>
      <c r="F17" s="75" t="s">
        <v>22</v>
      </c>
      <c r="G17" s="74" t="s">
        <v>55</v>
      </c>
      <c r="H17" s="85" t="s">
        <v>55</v>
      </c>
      <c r="I17" s="94" t="s">
        <v>56</v>
      </c>
      <c r="J17" s="94" t="s">
        <v>57</v>
      </c>
      <c r="K17" s="94">
        <v>0</v>
      </c>
      <c r="L17" s="94" t="s">
        <v>93</v>
      </c>
      <c r="M17" s="94" t="s">
        <v>59</v>
      </c>
      <c r="N17" s="74">
        <v>1</v>
      </c>
      <c r="O17" s="77">
        <v>3.4722222222222224E-4</v>
      </c>
    </row>
    <row r="18" spans="1:15" s="101" customFormat="1" ht="54" customHeight="1" thickTop="1" thickBot="1" x14ac:dyDescent="0.25">
      <c r="A18" s="72"/>
      <c r="B18" s="73" t="s">
        <v>11</v>
      </c>
      <c r="C18" s="74" t="s">
        <v>98</v>
      </c>
      <c r="D18" s="74" t="s">
        <v>99</v>
      </c>
      <c r="E18" s="75" t="s">
        <v>12</v>
      </c>
      <c r="F18" s="75" t="s">
        <v>22</v>
      </c>
      <c r="G18" s="74" t="s">
        <v>55</v>
      </c>
      <c r="H18" s="85" t="s">
        <v>55</v>
      </c>
      <c r="I18" s="94" t="s">
        <v>84</v>
      </c>
      <c r="J18" s="94" t="s">
        <v>57</v>
      </c>
      <c r="K18" s="94">
        <v>0</v>
      </c>
      <c r="L18" s="94" t="s">
        <v>100</v>
      </c>
      <c r="M18" s="94" t="s">
        <v>101</v>
      </c>
      <c r="N18" s="74">
        <v>1</v>
      </c>
      <c r="O18" s="97">
        <v>6.9444444444444447E-4</v>
      </c>
    </row>
    <row r="19" spans="1:15" s="101" customFormat="1" ht="54" customHeight="1" thickTop="1" thickBot="1" x14ac:dyDescent="0.25">
      <c r="A19" s="72"/>
      <c r="B19" s="73" t="s">
        <v>11</v>
      </c>
      <c r="C19" s="74" t="s">
        <v>102</v>
      </c>
      <c r="D19" s="74" t="s">
        <v>103</v>
      </c>
      <c r="E19" s="75" t="s">
        <v>12</v>
      </c>
      <c r="F19" s="75" t="s">
        <v>22</v>
      </c>
      <c r="G19" s="74" t="s">
        <v>55</v>
      </c>
      <c r="H19" s="85" t="s">
        <v>55</v>
      </c>
      <c r="I19" s="94" t="s">
        <v>84</v>
      </c>
      <c r="J19" s="94" t="s">
        <v>57</v>
      </c>
      <c r="K19" s="94">
        <v>0</v>
      </c>
      <c r="L19" s="94" t="s">
        <v>104</v>
      </c>
      <c r="M19" s="94" t="s">
        <v>101</v>
      </c>
      <c r="N19" s="74">
        <v>1</v>
      </c>
      <c r="O19" s="97">
        <v>6.9444444444444447E-4</v>
      </c>
    </row>
    <row r="20" spans="1:15" s="101" customFormat="1" ht="54" customHeight="1" thickTop="1" thickBot="1" x14ac:dyDescent="0.25">
      <c r="A20" s="72"/>
      <c r="B20" s="73" t="s">
        <v>11</v>
      </c>
      <c r="C20" s="74" t="s">
        <v>105</v>
      </c>
      <c r="D20" s="74" t="s">
        <v>106</v>
      </c>
      <c r="E20" s="75" t="s">
        <v>12</v>
      </c>
      <c r="F20" s="75" t="s">
        <v>22</v>
      </c>
      <c r="G20" s="90" t="s">
        <v>55</v>
      </c>
      <c r="H20" s="91" t="s">
        <v>55</v>
      </c>
      <c r="I20" s="94" t="s">
        <v>56</v>
      </c>
      <c r="J20" s="94" t="s">
        <v>57</v>
      </c>
      <c r="K20" s="94">
        <v>0</v>
      </c>
      <c r="L20" s="94">
        <v>0</v>
      </c>
      <c r="M20" s="94" t="s">
        <v>59</v>
      </c>
      <c r="N20" s="74">
        <v>2</v>
      </c>
      <c r="O20" s="77">
        <v>5.2083333333333333E-4</v>
      </c>
    </row>
    <row r="21" spans="1:15" s="101" customFormat="1" ht="54" customHeight="1" thickTop="1" thickBot="1" x14ac:dyDescent="0.25">
      <c r="A21" s="72"/>
      <c r="B21" s="73" t="s">
        <v>11</v>
      </c>
      <c r="C21" s="74" t="s">
        <v>107</v>
      </c>
      <c r="D21" s="74" t="s">
        <v>108</v>
      </c>
      <c r="E21" s="75" t="s">
        <v>12</v>
      </c>
      <c r="F21" s="75" t="s">
        <v>22</v>
      </c>
      <c r="G21" s="90" t="s">
        <v>55</v>
      </c>
      <c r="H21" s="91" t="s">
        <v>55</v>
      </c>
      <c r="I21" s="94" t="s">
        <v>84</v>
      </c>
      <c r="J21" s="94" t="s">
        <v>57</v>
      </c>
      <c r="K21" s="94">
        <v>0</v>
      </c>
      <c r="L21" s="94" t="s">
        <v>109</v>
      </c>
      <c r="M21" s="94" t="s">
        <v>101</v>
      </c>
      <c r="N21" s="74">
        <v>2</v>
      </c>
      <c r="O21" s="77">
        <v>45.000520833333333</v>
      </c>
    </row>
    <row r="22" spans="1:15" s="101" customFormat="1" ht="54" customHeight="1" thickTop="1" thickBot="1" x14ac:dyDescent="0.25">
      <c r="A22" s="72"/>
      <c r="B22" s="73" t="s">
        <v>11</v>
      </c>
      <c r="C22" s="74" t="s">
        <v>110</v>
      </c>
      <c r="D22" s="74" t="s">
        <v>111</v>
      </c>
      <c r="E22" s="75" t="s">
        <v>12</v>
      </c>
      <c r="F22" s="75" t="s">
        <v>22</v>
      </c>
      <c r="G22" s="90" t="s">
        <v>55</v>
      </c>
      <c r="H22" s="91" t="s">
        <v>55</v>
      </c>
      <c r="I22" s="94" t="s">
        <v>84</v>
      </c>
      <c r="J22" s="94" t="s">
        <v>57</v>
      </c>
      <c r="K22" s="94">
        <v>0</v>
      </c>
      <c r="L22" s="94" t="s">
        <v>112</v>
      </c>
      <c r="M22" s="94" t="s">
        <v>101</v>
      </c>
      <c r="N22" s="74">
        <v>2</v>
      </c>
      <c r="O22" s="77">
        <v>45.042187499999997</v>
      </c>
    </row>
    <row r="23" spans="1:15" s="101" customFormat="1" ht="54" customHeight="1" thickTop="1" thickBot="1" x14ac:dyDescent="0.25">
      <c r="A23" s="72"/>
      <c r="B23" s="73" t="s">
        <v>11</v>
      </c>
      <c r="C23" s="74" t="s">
        <v>113</v>
      </c>
      <c r="D23" s="74" t="s">
        <v>114</v>
      </c>
      <c r="E23" s="75" t="s">
        <v>12</v>
      </c>
      <c r="F23" s="75" t="s">
        <v>22</v>
      </c>
      <c r="G23" s="75" t="s">
        <v>115</v>
      </c>
      <c r="H23" s="76" t="s">
        <v>55</v>
      </c>
      <c r="I23" s="94" t="s">
        <v>84</v>
      </c>
      <c r="J23" s="94" t="s">
        <v>57</v>
      </c>
      <c r="K23" s="94">
        <v>0</v>
      </c>
      <c r="L23" s="94" t="s">
        <v>116</v>
      </c>
      <c r="M23" s="94" t="s">
        <v>804</v>
      </c>
      <c r="N23" s="74">
        <v>1</v>
      </c>
      <c r="O23" s="77">
        <v>5.2083333333333333E-4</v>
      </c>
    </row>
    <row r="24" spans="1:15" s="101" customFormat="1" ht="54" customHeight="1" thickTop="1" thickBot="1" x14ac:dyDescent="0.25">
      <c r="A24" s="72"/>
      <c r="B24" s="73" t="s">
        <v>11</v>
      </c>
      <c r="C24" s="74" t="s">
        <v>118</v>
      </c>
      <c r="D24" s="74" t="s">
        <v>119</v>
      </c>
      <c r="E24" s="75" t="s">
        <v>12</v>
      </c>
      <c r="F24" s="75" t="s">
        <v>22</v>
      </c>
      <c r="G24" s="75" t="s">
        <v>115</v>
      </c>
      <c r="H24" s="76" t="s">
        <v>55</v>
      </c>
      <c r="I24" s="94" t="s">
        <v>84</v>
      </c>
      <c r="J24" s="94" t="s">
        <v>57</v>
      </c>
      <c r="K24" s="94">
        <v>0</v>
      </c>
      <c r="L24" s="94" t="s">
        <v>120</v>
      </c>
      <c r="M24" s="94" t="s">
        <v>804</v>
      </c>
      <c r="N24" s="74">
        <v>2</v>
      </c>
      <c r="O24" s="77">
        <v>6.9444444444444447E-4</v>
      </c>
    </row>
    <row r="25" spans="1:15" s="101" customFormat="1" ht="54" customHeight="1" thickTop="1" thickBot="1" x14ac:dyDescent="0.25">
      <c r="A25" s="72"/>
      <c r="B25" s="78" t="s">
        <v>11</v>
      </c>
      <c r="C25" s="79" t="s">
        <v>121</v>
      </c>
      <c r="D25" s="79" t="s">
        <v>122</v>
      </c>
      <c r="E25" s="80" t="s">
        <v>12</v>
      </c>
      <c r="F25" s="80" t="s">
        <v>22</v>
      </c>
      <c r="G25" s="80" t="s">
        <v>123</v>
      </c>
      <c r="H25" s="81" t="s">
        <v>55</v>
      </c>
      <c r="I25" s="94" t="s">
        <v>84</v>
      </c>
      <c r="J25" s="94" t="s">
        <v>57</v>
      </c>
      <c r="K25" s="94">
        <v>0</v>
      </c>
      <c r="L25" s="94">
        <v>0</v>
      </c>
      <c r="M25" s="94" t="s">
        <v>101</v>
      </c>
      <c r="N25" s="79"/>
      <c r="O25" s="83"/>
    </row>
    <row r="26" spans="1:15" s="101" customFormat="1" ht="54" customHeight="1" thickTop="1" thickBot="1" x14ac:dyDescent="0.25">
      <c r="A26" s="72"/>
      <c r="B26" s="92" t="s">
        <v>14</v>
      </c>
      <c r="C26" s="93" t="s">
        <v>124</v>
      </c>
      <c r="D26" s="93" t="s">
        <v>125</v>
      </c>
      <c r="E26" s="94" t="s">
        <v>12</v>
      </c>
      <c r="F26" s="94" t="s">
        <v>22</v>
      </c>
      <c r="G26" s="94" t="s">
        <v>126</v>
      </c>
      <c r="H26" s="98">
        <v>45671</v>
      </c>
      <c r="I26" s="94" t="s">
        <v>127</v>
      </c>
      <c r="J26" s="94" t="s">
        <v>128</v>
      </c>
      <c r="K26" s="94">
        <v>0</v>
      </c>
      <c r="L26" s="94" t="s">
        <v>129</v>
      </c>
      <c r="M26" s="94" t="s">
        <v>101</v>
      </c>
      <c r="N26" s="93">
        <v>4</v>
      </c>
      <c r="O26" s="96">
        <v>1.736111111111111E-3</v>
      </c>
    </row>
    <row r="27" spans="1:15" s="101" customFormat="1" ht="54" customHeight="1" thickTop="1" thickBot="1" x14ac:dyDescent="0.25">
      <c r="A27" s="72"/>
      <c r="B27" s="73" t="s">
        <v>14</v>
      </c>
      <c r="C27" s="74" t="s">
        <v>130</v>
      </c>
      <c r="D27" s="74" t="s">
        <v>131</v>
      </c>
      <c r="E27" s="75" t="s">
        <v>12</v>
      </c>
      <c r="F27" s="75" t="s">
        <v>22</v>
      </c>
      <c r="G27" s="75" t="s">
        <v>132</v>
      </c>
      <c r="H27" s="76">
        <v>45680</v>
      </c>
      <c r="I27" s="94" t="s">
        <v>127</v>
      </c>
      <c r="J27" s="94" t="s">
        <v>128</v>
      </c>
      <c r="K27" s="94">
        <v>0</v>
      </c>
      <c r="L27" s="94" t="s">
        <v>129</v>
      </c>
      <c r="M27" s="94" t="s">
        <v>101</v>
      </c>
      <c r="N27" s="74">
        <v>4</v>
      </c>
      <c r="O27" s="77">
        <v>1.736111111111111E-3</v>
      </c>
    </row>
    <row r="28" spans="1:15" s="101" customFormat="1" ht="54" customHeight="1" thickTop="1" thickBot="1" x14ac:dyDescent="0.25">
      <c r="A28" s="72"/>
      <c r="B28" s="73" t="s">
        <v>14</v>
      </c>
      <c r="C28" s="74" t="s">
        <v>133</v>
      </c>
      <c r="D28" s="74" t="s">
        <v>134</v>
      </c>
      <c r="E28" s="75" t="s">
        <v>12</v>
      </c>
      <c r="F28" s="75" t="s">
        <v>22</v>
      </c>
      <c r="G28" s="75" t="s">
        <v>126</v>
      </c>
      <c r="H28" s="76">
        <v>45671</v>
      </c>
      <c r="I28" s="94" t="s">
        <v>127</v>
      </c>
      <c r="J28" s="94" t="s">
        <v>128</v>
      </c>
      <c r="K28" s="94">
        <v>0</v>
      </c>
      <c r="L28" s="94" t="s">
        <v>129</v>
      </c>
      <c r="M28" s="94" t="s">
        <v>101</v>
      </c>
      <c r="N28" s="74">
        <v>4</v>
      </c>
      <c r="O28" s="77">
        <v>1.736111111111111E-3</v>
      </c>
    </row>
    <row r="29" spans="1:15" s="101" customFormat="1" ht="54" customHeight="1" thickTop="1" thickBot="1" x14ac:dyDescent="0.25">
      <c r="A29" s="72"/>
      <c r="B29" s="73" t="s">
        <v>14</v>
      </c>
      <c r="C29" s="74" t="s">
        <v>135</v>
      </c>
      <c r="D29" s="74" t="s">
        <v>136</v>
      </c>
      <c r="E29" s="75" t="s">
        <v>12</v>
      </c>
      <c r="F29" s="75" t="s">
        <v>22</v>
      </c>
      <c r="G29" s="75" t="s">
        <v>126</v>
      </c>
      <c r="H29" s="76">
        <v>45681</v>
      </c>
      <c r="I29" s="94" t="s">
        <v>127</v>
      </c>
      <c r="J29" s="94" t="s">
        <v>128</v>
      </c>
      <c r="K29" s="94">
        <v>0</v>
      </c>
      <c r="L29" s="94" t="s">
        <v>129</v>
      </c>
      <c r="M29" s="94" t="s">
        <v>101</v>
      </c>
      <c r="N29" s="74">
        <v>4</v>
      </c>
      <c r="O29" s="77">
        <v>1.736111111111111E-3</v>
      </c>
    </row>
    <row r="30" spans="1:15" s="101" customFormat="1" ht="54" customHeight="1" thickTop="1" thickBot="1" x14ac:dyDescent="0.25">
      <c r="A30" s="72"/>
      <c r="B30" s="73" t="s">
        <v>14</v>
      </c>
      <c r="C30" s="74" t="s">
        <v>137</v>
      </c>
      <c r="D30" s="74" t="s">
        <v>138</v>
      </c>
      <c r="E30" s="75" t="s">
        <v>12</v>
      </c>
      <c r="F30" s="75" t="s">
        <v>22</v>
      </c>
      <c r="G30" s="75" t="s">
        <v>139</v>
      </c>
      <c r="H30" s="76">
        <v>45674</v>
      </c>
      <c r="I30" s="94" t="s">
        <v>127</v>
      </c>
      <c r="J30" s="94" t="s">
        <v>57</v>
      </c>
      <c r="K30" s="94">
        <v>0</v>
      </c>
      <c r="L30" s="94" t="s">
        <v>140</v>
      </c>
      <c r="M30" s="94" t="s">
        <v>117</v>
      </c>
      <c r="N30" s="74">
        <v>2</v>
      </c>
      <c r="O30" s="77">
        <v>5.2083333333333333E-4</v>
      </c>
    </row>
    <row r="31" spans="1:15" s="101" customFormat="1" ht="54" customHeight="1" thickTop="1" thickBot="1" x14ac:dyDescent="0.25">
      <c r="A31" s="72"/>
      <c r="B31" s="73" t="s">
        <v>14</v>
      </c>
      <c r="C31" s="74" t="s">
        <v>141</v>
      </c>
      <c r="D31" s="74" t="s">
        <v>138</v>
      </c>
      <c r="E31" s="75" t="s">
        <v>12</v>
      </c>
      <c r="F31" s="75" t="s">
        <v>22</v>
      </c>
      <c r="G31" s="75" t="s">
        <v>139</v>
      </c>
      <c r="H31" s="76">
        <v>45674</v>
      </c>
      <c r="I31" s="94" t="s">
        <v>127</v>
      </c>
      <c r="J31" s="94" t="s">
        <v>57</v>
      </c>
      <c r="K31" s="94">
        <v>0</v>
      </c>
      <c r="L31" s="94" t="s">
        <v>140</v>
      </c>
      <c r="M31" s="94" t="s">
        <v>117</v>
      </c>
      <c r="N31" s="74">
        <v>2</v>
      </c>
      <c r="O31" s="77">
        <v>5.2083333333333333E-4</v>
      </c>
    </row>
    <row r="32" spans="1:15" s="101" customFormat="1" ht="54" customHeight="1" thickTop="1" thickBot="1" x14ac:dyDescent="0.25">
      <c r="A32" s="72"/>
      <c r="B32" s="73" t="s">
        <v>14</v>
      </c>
      <c r="C32" s="74" t="s">
        <v>142</v>
      </c>
      <c r="D32" s="74" t="s">
        <v>143</v>
      </c>
      <c r="E32" s="75" t="s">
        <v>12</v>
      </c>
      <c r="F32" s="75" t="s">
        <v>22</v>
      </c>
      <c r="G32" s="75" t="s">
        <v>139</v>
      </c>
      <c r="H32" s="76">
        <v>45674</v>
      </c>
      <c r="I32" s="94" t="s">
        <v>127</v>
      </c>
      <c r="J32" s="94" t="s">
        <v>57</v>
      </c>
      <c r="K32" s="94">
        <v>0</v>
      </c>
      <c r="L32" s="94" t="s">
        <v>144</v>
      </c>
      <c r="M32" s="94" t="s">
        <v>117</v>
      </c>
      <c r="N32" s="74">
        <v>1</v>
      </c>
      <c r="O32" s="77">
        <v>2.3148148148148146E-4</v>
      </c>
    </row>
    <row r="33" spans="1:15" s="101" customFormat="1" ht="54" customHeight="1" thickTop="1" thickBot="1" x14ac:dyDescent="0.25">
      <c r="A33" s="72"/>
      <c r="B33" s="73" t="s">
        <v>14</v>
      </c>
      <c r="C33" s="74" t="s">
        <v>145</v>
      </c>
      <c r="D33" s="74" t="s">
        <v>146</v>
      </c>
      <c r="E33" s="75" t="s">
        <v>12</v>
      </c>
      <c r="F33" s="75" t="s">
        <v>22</v>
      </c>
      <c r="G33" s="75" t="s">
        <v>139</v>
      </c>
      <c r="H33" s="76">
        <v>45674</v>
      </c>
      <c r="I33" s="94" t="s">
        <v>127</v>
      </c>
      <c r="J33" s="94" t="s">
        <v>57</v>
      </c>
      <c r="K33" s="94">
        <v>0</v>
      </c>
      <c r="L33" s="94" t="s">
        <v>147</v>
      </c>
      <c r="M33" s="94" t="s">
        <v>117</v>
      </c>
      <c r="N33" s="74">
        <v>2</v>
      </c>
      <c r="O33" s="77">
        <v>2.3148148148148146E-4</v>
      </c>
    </row>
    <row r="34" spans="1:15" s="101" customFormat="1" ht="54" customHeight="1" thickTop="1" thickBot="1" x14ac:dyDescent="0.25">
      <c r="B34" s="107" t="s">
        <v>14</v>
      </c>
      <c r="C34" s="100" t="s">
        <v>148</v>
      </c>
      <c r="D34" s="100" t="s">
        <v>149</v>
      </c>
      <c r="E34" s="108" t="s">
        <v>22</v>
      </c>
      <c r="F34" s="108" t="s">
        <v>22</v>
      </c>
      <c r="G34" s="108"/>
      <c r="H34" s="111"/>
      <c r="I34" s="94" t="s">
        <v>127</v>
      </c>
      <c r="J34" s="94" t="s">
        <v>57</v>
      </c>
      <c r="K34" s="94">
        <v>0</v>
      </c>
      <c r="L34" s="94" t="s">
        <v>150</v>
      </c>
      <c r="M34" s="94" t="s">
        <v>117</v>
      </c>
      <c r="N34" s="100">
        <v>2</v>
      </c>
      <c r="O34" s="110">
        <v>3.4722222222222224E-4</v>
      </c>
    </row>
    <row r="35" spans="1:15" s="101" customFormat="1" ht="54" customHeight="1" thickTop="1" thickBot="1" x14ac:dyDescent="0.25">
      <c r="A35" s="72"/>
      <c r="B35" s="73" t="s">
        <v>14</v>
      </c>
      <c r="C35" s="74" t="s">
        <v>151</v>
      </c>
      <c r="D35" s="74" t="s">
        <v>152</v>
      </c>
      <c r="E35" s="75" t="s">
        <v>12</v>
      </c>
      <c r="F35" s="75" t="s">
        <v>22</v>
      </c>
      <c r="G35" s="75" t="s">
        <v>132</v>
      </c>
      <c r="H35" s="76">
        <v>45680</v>
      </c>
      <c r="I35" s="94" t="s">
        <v>56</v>
      </c>
      <c r="J35" s="94" t="s">
        <v>128</v>
      </c>
      <c r="K35" s="94">
        <v>0</v>
      </c>
      <c r="L35" s="94" t="s">
        <v>153</v>
      </c>
      <c r="M35" s="94" t="s">
        <v>154</v>
      </c>
      <c r="N35" s="74">
        <v>2</v>
      </c>
      <c r="O35" s="77">
        <v>4.6296296296296293E-4</v>
      </c>
    </row>
    <row r="36" spans="1:15" s="101" customFormat="1" ht="54" customHeight="1" thickTop="1" thickBot="1" x14ac:dyDescent="0.25">
      <c r="A36" s="72"/>
      <c r="B36" s="73" t="s">
        <v>14</v>
      </c>
      <c r="C36" s="74" t="s">
        <v>155</v>
      </c>
      <c r="D36" s="74" t="s">
        <v>156</v>
      </c>
      <c r="E36" s="75" t="s">
        <v>12</v>
      </c>
      <c r="F36" s="75" t="s">
        <v>22</v>
      </c>
      <c r="G36" s="75" t="s">
        <v>132</v>
      </c>
      <c r="H36" s="76">
        <v>45680</v>
      </c>
      <c r="I36" s="94" t="s">
        <v>56</v>
      </c>
      <c r="J36" s="94" t="s">
        <v>128</v>
      </c>
      <c r="K36" s="94">
        <v>0</v>
      </c>
      <c r="L36" s="94" t="s">
        <v>153</v>
      </c>
      <c r="M36" s="94" t="s">
        <v>154</v>
      </c>
      <c r="N36" s="74">
        <v>2</v>
      </c>
      <c r="O36" s="77">
        <v>4.6296296296296293E-4</v>
      </c>
    </row>
    <row r="37" spans="1:15" s="101" customFormat="1" ht="54" customHeight="1" thickTop="1" thickBot="1" x14ac:dyDescent="0.25">
      <c r="A37" s="72"/>
      <c r="B37" s="73" t="s">
        <v>14</v>
      </c>
      <c r="C37" s="74" t="s">
        <v>157</v>
      </c>
      <c r="D37" s="74" t="s">
        <v>158</v>
      </c>
      <c r="E37" s="75" t="s">
        <v>12</v>
      </c>
      <c r="F37" s="75" t="s">
        <v>22</v>
      </c>
      <c r="G37" s="75" t="s">
        <v>132</v>
      </c>
      <c r="H37" s="76">
        <v>45680</v>
      </c>
      <c r="I37" s="94" t="s">
        <v>56</v>
      </c>
      <c r="J37" s="94" t="s">
        <v>128</v>
      </c>
      <c r="K37" s="94">
        <v>0</v>
      </c>
      <c r="L37" s="94" t="s">
        <v>159</v>
      </c>
      <c r="M37" s="94" t="s">
        <v>154</v>
      </c>
      <c r="N37" s="74">
        <v>1</v>
      </c>
      <c r="O37" s="77">
        <v>4.6296296296296293E-4</v>
      </c>
    </row>
    <row r="38" spans="1:15" s="101" customFormat="1" ht="54" customHeight="1" thickTop="1" thickBot="1" x14ac:dyDescent="0.25">
      <c r="A38" s="72"/>
      <c r="B38" s="73" t="s">
        <v>14</v>
      </c>
      <c r="C38" s="74" t="s">
        <v>160</v>
      </c>
      <c r="D38" s="74" t="s">
        <v>161</v>
      </c>
      <c r="E38" s="75" t="s">
        <v>12</v>
      </c>
      <c r="F38" s="75" t="s">
        <v>22</v>
      </c>
      <c r="G38" s="75" t="s">
        <v>132</v>
      </c>
      <c r="H38" s="76">
        <v>45680</v>
      </c>
      <c r="I38" s="94" t="s">
        <v>56</v>
      </c>
      <c r="J38" s="94" t="s">
        <v>128</v>
      </c>
      <c r="K38" s="94">
        <v>0</v>
      </c>
      <c r="L38" s="94" t="s">
        <v>159</v>
      </c>
      <c r="M38" s="94" t="s">
        <v>154</v>
      </c>
      <c r="N38" s="74">
        <v>1</v>
      </c>
      <c r="O38" s="77">
        <v>4.6296296296296293E-4</v>
      </c>
    </row>
    <row r="39" spans="1:15" s="101" customFormat="1" ht="54" customHeight="1" thickTop="1" thickBot="1" x14ac:dyDescent="0.25">
      <c r="A39" s="72"/>
      <c r="B39" s="73" t="s">
        <v>14</v>
      </c>
      <c r="C39" s="74" t="s">
        <v>162</v>
      </c>
      <c r="D39" s="74" t="s">
        <v>163</v>
      </c>
      <c r="E39" s="75" t="s">
        <v>12</v>
      </c>
      <c r="F39" s="75" t="s">
        <v>22</v>
      </c>
      <c r="G39" s="75" t="s">
        <v>132</v>
      </c>
      <c r="H39" s="76">
        <v>45680</v>
      </c>
      <c r="I39" s="94" t="s">
        <v>56</v>
      </c>
      <c r="J39" s="94" t="s">
        <v>128</v>
      </c>
      <c r="K39" s="94">
        <v>0</v>
      </c>
      <c r="L39" s="94" t="s">
        <v>159</v>
      </c>
      <c r="M39" s="94" t="s">
        <v>154</v>
      </c>
      <c r="N39" s="74">
        <v>1</v>
      </c>
      <c r="O39" s="77">
        <v>4.6296296296296293E-4</v>
      </c>
    </row>
    <row r="40" spans="1:15" s="101" customFormat="1" ht="54" customHeight="1" thickTop="1" thickBot="1" x14ac:dyDescent="0.25">
      <c r="A40" s="72"/>
      <c r="B40" s="73" t="s">
        <v>14</v>
      </c>
      <c r="C40" s="74" t="s">
        <v>164</v>
      </c>
      <c r="D40" s="74" t="s">
        <v>152</v>
      </c>
      <c r="E40" s="75" t="s">
        <v>12</v>
      </c>
      <c r="F40" s="75" t="s">
        <v>22</v>
      </c>
      <c r="G40" s="75" t="s">
        <v>126</v>
      </c>
      <c r="H40" s="76">
        <v>45681</v>
      </c>
      <c r="I40" s="94" t="s">
        <v>56</v>
      </c>
      <c r="J40" s="94" t="s">
        <v>128</v>
      </c>
      <c r="K40" s="94">
        <v>0</v>
      </c>
      <c r="L40" s="94" t="s">
        <v>153</v>
      </c>
      <c r="M40" s="94" t="s">
        <v>154</v>
      </c>
      <c r="N40" s="74">
        <v>2</v>
      </c>
      <c r="O40" s="77">
        <v>4.6296296296296293E-4</v>
      </c>
    </row>
    <row r="41" spans="1:15" s="101" customFormat="1" ht="54" customHeight="1" thickTop="1" thickBot="1" x14ac:dyDescent="0.25">
      <c r="A41" s="72"/>
      <c r="B41" s="73" t="s">
        <v>14</v>
      </c>
      <c r="C41" s="74" t="s">
        <v>165</v>
      </c>
      <c r="D41" s="74" t="s">
        <v>156</v>
      </c>
      <c r="E41" s="75" t="s">
        <v>12</v>
      </c>
      <c r="F41" s="75" t="s">
        <v>22</v>
      </c>
      <c r="G41" s="75" t="s">
        <v>126</v>
      </c>
      <c r="H41" s="76">
        <v>45681</v>
      </c>
      <c r="I41" s="94" t="s">
        <v>56</v>
      </c>
      <c r="J41" s="94" t="s">
        <v>128</v>
      </c>
      <c r="K41" s="94">
        <v>0</v>
      </c>
      <c r="L41" s="94" t="s">
        <v>153</v>
      </c>
      <c r="M41" s="94" t="s">
        <v>154</v>
      </c>
      <c r="N41" s="74">
        <v>2</v>
      </c>
      <c r="O41" s="77">
        <v>4.6296296296296293E-4</v>
      </c>
    </row>
    <row r="42" spans="1:15" s="101" customFormat="1" ht="54" customHeight="1" thickTop="1" thickBot="1" x14ac:dyDescent="0.25">
      <c r="A42" s="72"/>
      <c r="B42" s="73" t="s">
        <v>14</v>
      </c>
      <c r="C42" s="74" t="s">
        <v>166</v>
      </c>
      <c r="D42" s="74" t="s">
        <v>167</v>
      </c>
      <c r="E42" s="75" t="s">
        <v>12</v>
      </c>
      <c r="F42" s="75" t="s">
        <v>22</v>
      </c>
      <c r="G42" s="75" t="s">
        <v>168</v>
      </c>
      <c r="H42" s="76">
        <v>45675</v>
      </c>
      <c r="I42" s="94" t="s">
        <v>84</v>
      </c>
      <c r="J42" s="94" t="s">
        <v>57</v>
      </c>
      <c r="K42" s="94">
        <v>0</v>
      </c>
      <c r="L42" s="94" t="s">
        <v>169</v>
      </c>
      <c r="M42" s="94" t="s">
        <v>101</v>
      </c>
      <c r="N42" s="74">
        <v>1</v>
      </c>
      <c r="O42" s="77">
        <v>6.9444444444444447E-4</v>
      </c>
    </row>
    <row r="43" spans="1:15" s="101" customFormat="1" ht="54" customHeight="1" thickTop="1" thickBot="1" x14ac:dyDescent="0.25">
      <c r="B43" s="112" t="s">
        <v>14</v>
      </c>
      <c r="C43" s="113" t="s">
        <v>170</v>
      </c>
      <c r="D43" s="113" t="s">
        <v>171</v>
      </c>
      <c r="E43" s="114" t="s">
        <v>22</v>
      </c>
      <c r="F43" s="114" t="s">
        <v>22</v>
      </c>
      <c r="G43" s="114"/>
      <c r="H43" s="117"/>
      <c r="I43" s="94" t="s">
        <v>56</v>
      </c>
      <c r="J43" s="94" t="s">
        <v>57</v>
      </c>
      <c r="K43" s="94">
        <v>0</v>
      </c>
      <c r="L43" s="94" t="s">
        <v>172</v>
      </c>
      <c r="M43" s="94" t="s">
        <v>117</v>
      </c>
      <c r="N43" s="113">
        <v>2</v>
      </c>
      <c r="O43" s="115">
        <v>6.9444444444444447E-4</v>
      </c>
    </row>
    <row r="44" spans="1:15" s="101" customFormat="1" ht="54" customHeight="1" thickTop="1" thickBot="1" x14ac:dyDescent="0.25">
      <c r="B44" s="102" t="s">
        <v>17</v>
      </c>
      <c r="C44" s="103" t="s">
        <v>173</v>
      </c>
      <c r="D44" s="103" t="s">
        <v>174</v>
      </c>
      <c r="E44" s="104" t="s">
        <v>22</v>
      </c>
      <c r="F44" s="104" t="s">
        <v>22</v>
      </c>
      <c r="G44" s="104"/>
      <c r="H44" s="116"/>
      <c r="I44" s="94" t="s">
        <v>127</v>
      </c>
      <c r="J44" s="94" t="s">
        <v>57</v>
      </c>
      <c r="K44" s="94">
        <v>0</v>
      </c>
      <c r="L44" s="94" t="s">
        <v>175</v>
      </c>
      <c r="M44" s="94" t="s">
        <v>176</v>
      </c>
      <c r="N44" s="103">
        <v>2</v>
      </c>
      <c r="O44" s="106">
        <v>1.0416666666666667E-3</v>
      </c>
    </row>
    <row r="45" spans="1:15" s="101" customFormat="1" ht="54" customHeight="1" thickTop="1" thickBot="1" x14ac:dyDescent="0.25">
      <c r="A45" s="72"/>
      <c r="B45" s="73" t="s">
        <v>17</v>
      </c>
      <c r="C45" s="74" t="s">
        <v>177</v>
      </c>
      <c r="D45" s="74" t="s">
        <v>178</v>
      </c>
      <c r="E45" s="75" t="s">
        <v>12</v>
      </c>
      <c r="F45" s="75" t="s">
        <v>22</v>
      </c>
      <c r="G45" s="75" t="s">
        <v>179</v>
      </c>
      <c r="H45" s="76">
        <v>45671</v>
      </c>
      <c r="I45" s="94" t="s">
        <v>127</v>
      </c>
      <c r="J45" s="94" t="s">
        <v>57</v>
      </c>
      <c r="K45" s="94">
        <v>0</v>
      </c>
      <c r="L45" s="94" t="s">
        <v>180</v>
      </c>
      <c r="M45" s="94" t="s">
        <v>117</v>
      </c>
      <c r="N45" s="74">
        <v>2</v>
      </c>
      <c r="O45" s="77">
        <v>1.5624999999999999E-3</v>
      </c>
    </row>
    <row r="46" spans="1:15" s="101" customFormat="1" ht="54" customHeight="1" thickTop="1" thickBot="1" x14ac:dyDescent="0.25">
      <c r="A46" s="72"/>
      <c r="B46" s="73" t="s">
        <v>17</v>
      </c>
      <c r="C46" s="74" t="s">
        <v>181</v>
      </c>
      <c r="D46" s="74" t="s">
        <v>182</v>
      </c>
      <c r="E46" s="75" t="s">
        <v>12</v>
      </c>
      <c r="F46" s="75" t="s">
        <v>22</v>
      </c>
      <c r="G46" s="75" t="s">
        <v>183</v>
      </c>
      <c r="H46" s="76">
        <v>45671</v>
      </c>
      <c r="I46" s="94" t="s">
        <v>127</v>
      </c>
      <c r="J46" s="94" t="s">
        <v>57</v>
      </c>
      <c r="K46" s="94">
        <v>0</v>
      </c>
      <c r="L46" s="94" t="s">
        <v>184</v>
      </c>
      <c r="M46" s="94" t="s">
        <v>117</v>
      </c>
      <c r="N46" s="74">
        <v>2</v>
      </c>
      <c r="O46" s="77">
        <v>6.9444444444444447E-4</v>
      </c>
    </row>
    <row r="47" spans="1:15" s="101" customFormat="1" ht="54" customHeight="1" thickTop="1" thickBot="1" x14ac:dyDescent="0.25">
      <c r="A47" s="72"/>
      <c r="B47" s="73" t="s">
        <v>17</v>
      </c>
      <c r="C47" s="74" t="s">
        <v>185</v>
      </c>
      <c r="D47" s="74" t="s">
        <v>186</v>
      </c>
      <c r="E47" s="75" t="s">
        <v>12</v>
      </c>
      <c r="F47" s="75" t="s">
        <v>22</v>
      </c>
      <c r="G47" s="75" t="s">
        <v>183</v>
      </c>
      <c r="H47" s="76">
        <v>45671</v>
      </c>
      <c r="I47" s="94" t="s">
        <v>127</v>
      </c>
      <c r="J47" s="94" t="s">
        <v>57</v>
      </c>
      <c r="K47" s="94">
        <v>0</v>
      </c>
      <c r="L47" s="94" t="s">
        <v>187</v>
      </c>
      <c r="M47" s="94" t="s">
        <v>117</v>
      </c>
      <c r="N47" s="74">
        <v>2</v>
      </c>
      <c r="O47" s="77">
        <v>6.9444444444444447E-4</v>
      </c>
    </row>
    <row r="48" spans="1:15" s="101" customFormat="1" ht="54" customHeight="1" thickTop="1" thickBot="1" x14ac:dyDescent="0.25">
      <c r="A48" s="72"/>
      <c r="B48" s="73" t="s">
        <v>17</v>
      </c>
      <c r="C48" s="74" t="s">
        <v>188</v>
      </c>
      <c r="D48" s="74" t="s">
        <v>189</v>
      </c>
      <c r="E48" s="75" t="s">
        <v>12</v>
      </c>
      <c r="F48" s="75" t="s">
        <v>22</v>
      </c>
      <c r="G48" s="75" t="s">
        <v>179</v>
      </c>
      <c r="H48" s="76">
        <v>45671</v>
      </c>
      <c r="I48" s="94" t="s">
        <v>127</v>
      </c>
      <c r="J48" s="94" t="s">
        <v>128</v>
      </c>
      <c r="K48" s="94">
        <v>0</v>
      </c>
      <c r="L48" s="94" t="s">
        <v>190</v>
      </c>
      <c r="M48" s="94" t="s">
        <v>117</v>
      </c>
      <c r="N48" s="74">
        <v>2</v>
      </c>
      <c r="O48" s="77">
        <v>5.2083333333333333E-4</v>
      </c>
    </row>
    <row r="49" spans="1:15" s="101" customFormat="1" ht="54" customHeight="1" thickTop="1" thickBot="1" x14ac:dyDescent="0.25">
      <c r="A49" s="72"/>
      <c r="B49" s="73" t="s">
        <v>17</v>
      </c>
      <c r="C49" s="74" t="s">
        <v>191</v>
      </c>
      <c r="D49" s="74" t="s">
        <v>192</v>
      </c>
      <c r="E49" s="75" t="s">
        <v>12</v>
      </c>
      <c r="F49" s="75" t="s">
        <v>22</v>
      </c>
      <c r="G49" s="75" t="s">
        <v>193</v>
      </c>
      <c r="H49" s="76">
        <v>45673</v>
      </c>
      <c r="I49" s="94" t="s">
        <v>127</v>
      </c>
      <c r="J49" s="94" t="s">
        <v>57</v>
      </c>
      <c r="K49" s="94">
        <v>0</v>
      </c>
      <c r="L49" s="94" t="s">
        <v>194</v>
      </c>
      <c r="M49" s="94" t="s">
        <v>195</v>
      </c>
      <c r="N49" s="74">
        <v>2</v>
      </c>
      <c r="O49" s="77">
        <v>6.9444444444444447E-4</v>
      </c>
    </row>
    <row r="50" spans="1:15" s="101" customFormat="1" ht="54" customHeight="1" thickTop="1" thickBot="1" x14ac:dyDescent="0.25">
      <c r="A50" s="72"/>
      <c r="B50" s="73" t="s">
        <v>17</v>
      </c>
      <c r="C50" s="74" t="s">
        <v>196</v>
      </c>
      <c r="D50" s="74" t="s">
        <v>197</v>
      </c>
      <c r="E50" s="75" t="s">
        <v>12</v>
      </c>
      <c r="F50" s="75" t="s">
        <v>22</v>
      </c>
      <c r="G50" s="75" t="s">
        <v>198</v>
      </c>
      <c r="H50" s="76">
        <v>45673</v>
      </c>
      <c r="I50" s="94" t="s">
        <v>127</v>
      </c>
      <c r="J50" s="94" t="s">
        <v>128</v>
      </c>
      <c r="K50" s="94">
        <v>0</v>
      </c>
      <c r="L50" s="94" t="s">
        <v>199</v>
      </c>
      <c r="M50" s="94" t="s">
        <v>195</v>
      </c>
      <c r="N50" s="74">
        <v>1</v>
      </c>
      <c r="O50" s="77">
        <v>3.4722222222222224E-4</v>
      </c>
    </row>
    <row r="51" spans="1:15" s="101" customFormat="1" ht="54" customHeight="1" thickTop="1" thickBot="1" x14ac:dyDescent="0.25">
      <c r="A51" s="72"/>
      <c r="B51" s="73" t="s">
        <v>17</v>
      </c>
      <c r="C51" s="74" t="s">
        <v>200</v>
      </c>
      <c r="D51" s="74" t="s">
        <v>197</v>
      </c>
      <c r="E51" s="75" t="s">
        <v>12</v>
      </c>
      <c r="F51" s="75" t="s">
        <v>22</v>
      </c>
      <c r="G51" s="75" t="s">
        <v>198</v>
      </c>
      <c r="H51" s="76">
        <v>45673</v>
      </c>
      <c r="I51" s="94" t="s">
        <v>127</v>
      </c>
      <c r="J51" s="94" t="s">
        <v>128</v>
      </c>
      <c r="K51" s="94">
        <v>0</v>
      </c>
      <c r="L51" s="94" t="s">
        <v>199</v>
      </c>
      <c r="M51" s="94" t="s">
        <v>195</v>
      </c>
      <c r="N51" s="74">
        <v>1</v>
      </c>
      <c r="O51" s="77">
        <v>3.4722222222222224E-4</v>
      </c>
    </row>
    <row r="52" spans="1:15" s="101" customFormat="1" ht="54" customHeight="1" thickTop="1" thickBot="1" x14ac:dyDescent="0.25">
      <c r="A52" s="72"/>
      <c r="B52" s="73" t="s">
        <v>17</v>
      </c>
      <c r="C52" s="74" t="s">
        <v>201</v>
      </c>
      <c r="D52" s="74" t="s">
        <v>700</v>
      </c>
      <c r="E52" s="75" t="s">
        <v>12</v>
      </c>
      <c r="F52" s="75" t="s">
        <v>22</v>
      </c>
      <c r="G52" s="75" t="s">
        <v>202</v>
      </c>
      <c r="H52" s="76">
        <v>45672</v>
      </c>
      <c r="I52" s="94" t="s">
        <v>84</v>
      </c>
      <c r="J52" s="94" t="s">
        <v>128</v>
      </c>
      <c r="K52" s="94">
        <v>0</v>
      </c>
      <c r="L52" s="94" t="s">
        <v>203</v>
      </c>
      <c r="M52" s="94" t="s">
        <v>806</v>
      </c>
      <c r="N52" s="74">
        <v>1</v>
      </c>
      <c r="O52" s="77">
        <v>3.4722222222222224E-4</v>
      </c>
    </row>
    <row r="53" spans="1:15" s="101" customFormat="1" ht="54" customHeight="1" thickTop="1" thickBot="1" x14ac:dyDescent="0.25">
      <c r="A53" s="72"/>
      <c r="B53" s="73" t="s">
        <v>17</v>
      </c>
      <c r="C53" s="74" t="s">
        <v>204</v>
      </c>
      <c r="D53" s="74" t="s">
        <v>205</v>
      </c>
      <c r="E53" s="75" t="s">
        <v>12</v>
      </c>
      <c r="F53" s="75" t="s">
        <v>22</v>
      </c>
      <c r="G53" s="75" t="s">
        <v>206</v>
      </c>
      <c r="H53" s="76">
        <v>45673</v>
      </c>
      <c r="I53" s="94" t="s">
        <v>127</v>
      </c>
      <c r="J53" s="94" t="s">
        <v>128</v>
      </c>
      <c r="K53" s="94">
        <v>0</v>
      </c>
      <c r="L53" s="94" t="s">
        <v>207</v>
      </c>
      <c r="M53" s="94" t="s">
        <v>195</v>
      </c>
      <c r="N53" s="74">
        <v>1</v>
      </c>
      <c r="O53" s="77">
        <v>5.7870370370370378E-4</v>
      </c>
    </row>
    <row r="54" spans="1:15" s="101" customFormat="1" ht="54" customHeight="1" thickTop="1" thickBot="1" x14ac:dyDescent="0.25">
      <c r="A54" s="72"/>
      <c r="B54" s="73" t="s">
        <v>17</v>
      </c>
      <c r="C54" s="74" t="s">
        <v>208</v>
      </c>
      <c r="D54" s="74" t="s">
        <v>209</v>
      </c>
      <c r="E54" s="75" t="s">
        <v>12</v>
      </c>
      <c r="F54" s="75" t="s">
        <v>22</v>
      </c>
      <c r="G54" s="75" t="s">
        <v>210</v>
      </c>
      <c r="H54" s="76">
        <v>45673</v>
      </c>
      <c r="I54" s="94" t="s">
        <v>127</v>
      </c>
      <c r="J54" s="94" t="s">
        <v>128</v>
      </c>
      <c r="K54" s="94">
        <v>0</v>
      </c>
      <c r="L54" s="94" t="s">
        <v>211</v>
      </c>
      <c r="M54" s="94" t="s">
        <v>195</v>
      </c>
      <c r="N54" s="74">
        <v>2</v>
      </c>
      <c r="O54" s="77">
        <v>6.9444444444444447E-4</v>
      </c>
    </row>
    <row r="55" spans="1:15" s="101" customFormat="1" ht="54" customHeight="1" thickTop="1" thickBot="1" x14ac:dyDescent="0.25">
      <c r="A55" s="72"/>
      <c r="B55" s="73" t="s">
        <v>17</v>
      </c>
      <c r="C55" s="74" t="s">
        <v>212</v>
      </c>
      <c r="D55" s="74" t="s">
        <v>213</v>
      </c>
      <c r="E55" s="75" t="s">
        <v>12</v>
      </c>
      <c r="F55" s="75" t="s">
        <v>22</v>
      </c>
      <c r="G55" s="75" t="s">
        <v>214</v>
      </c>
      <c r="H55" s="76">
        <v>45672</v>
      </c>
      <c r="I55" s="94" t="s">
        <v>56</v>
      </c>
      <c r="J55" s="94" t="s">
        <v>128</v>
      </c>
      <c r="K55" s="94">
        <v>0</v>
      </c>
      <c r="L55" s="94" t="s">
        <v>215</v>
      </c>
      <c r="M55" s="94" t="s">
        <v>195</v>
      </c>
      <c r="N55" s="74">
        <v>1</v>
      </c>
      <c r="O55" s="77">
        <v>3.4722222222222224E-4</v>
      </c>
    </row>
    <row r="56" spans="1:15" s="101" customFormat="1" ht="54" customHeight="1" thickTop="1" thickBot="1" x14ac:dyDescent="0.25">
      <c r="A56" s="72"/>
      <c r="B56" s="73" t="s">
        <v>17</v>
      </c>
      <c r="C56" s="74" t="s">
        <v>216</v>
      </c>
      <c r="D56" s="74" t="s">
        <v>217</v>
      </c>
      <c r="E56" s="75" t="s">
        <v>12</v>
      </c>
      <c r="F56" s="75" t="s">
        <v>22</v>
      </c>
      <c r="G56" s="75" t="s">
        <v>210</v>
      </c>
      <c r="H56" s="76">
        <v>45673</v>
      </c>
      <c r="I56" s="94" t="s">
        <v>127</v>
      </c>
      <c r="J56" s="94" t="s">
        <v>57</v>
      </c>
      <c r="K56" s="94">
        <v>0</v>
      </c>
      <c r="L56" s="94" t="s">
        <v>207</v>
      </c>
      <c r="M56" s="94" t="s">
        <v>195</v>
      </c>
      <c r="N56" s="74">
        <v>1</v>
      </c>
      <c r="O56" s="77">
        <v>1.0416666666666667E-3</v>
      </c>
    </row>
    <row r="57" spans="1:15" s="101" customFormat="1" ht="54" customHeight="1" thickTop="1" thickBot="1" x14ac:dyDescent="0.25">
      <c r="A57" s="72"/>
      <c r="B57" s="73" t="s">
        <v>17</v>
      </c>
      <c r="C57" s="74" t="s">
        <v>218</v>
      </c>
      <c r="D57" s="74" t="s">
        <v>219</v>
      </c>
      <c r="E57" s="75" t="s">
        <v>12</v>
      </c>
      <c r="F57" s="75" t="s">
        <v>22</v>
      </c>
      <c r="G57" s="75" t="s">
        <v>220</v>
      </c>
      <c r="H57" s="76">
        <v>45673</v>
      </c>
      <c r="I57" s="94" t="s">
        <v>127</v>
      </c>
      <c r="J57" s="94" t="s">
        <v>128</v>
      </c>
      <c r="K57" s="94">
        <v>0</v>
      </c>
      <c r="L57" s="94" t="s">
        <v>221</v>
      </c>
      <c r="M57" s="94" t="s">
        <v>195</v>
      </c>
      <c r="N57" s="74">
        <v>1</v>
      </c>
      <c r="O57" s="77">
        <v>1.1574074074074073E-4</v>
      </c>
    </row>
    <row r="58" spans="1:15" s="101" customFormat="1" ht="54" customHeight="1" thickTop="1" thickBot="1" x14ac:dyDescent="0.25">
      <c r="A58" s="72"/>
      <c r="B58" s="73" t="s">
        <v>17</v>
      </c>
      <c r="C58" s="74" t="s">
        <v>222</v>
      </c>
      <c r="D58" s="74" t="s">
        <v>223</v>
      </c>
      <c r="E58" s="75" t="s">
        <v>12</v>
      </c>
      <c r="F58" s="75" t="s">
        <v>22</v>
      </c>
      <c r="G58" s="75" t="s">
        <v>224</v>
      </c>
      <c r="H58" s="76">
        <v>45672</v>
      </c>
      <c r="I58" s="94" t="s">
        <v>127</v>
      </c>
      <c r="J58" s="94" t="s">
        <v>128</v>
      </c>
      <c r="K58" s="94">
        <v>0</v>
      </c>
      <c r="L58" s="94" t="s">
        <v>225</v>
      </c>
      <c r="M58" s="94" t="s">
        <v>226</v>
      </c>
      <c r="N58" s="74">
        <v>2</v>
      </c>
      <c r="O58" s="77">
        <v>3.4722222222222224E-4</v>
      </c>
    </row>
    <row r="59" spans="1:15" s="101" customFormat="1" ht="54" customHeight="1" thickTop="1" thickBot="1" x14ac:dyDescent="0.25">
      <c r="A59" s="72"/>
      <c r="B59" s="73" t="s">
        <v>17</v>
      </c>
      <c r="C59" s="74" t="s">
        <v>227</v>
      </c>
      <c r="D59" s="74" t="s">
        <v>228</v>
      </c>
      <c r="E59" s="75" t="s">
        <v>12</v>
      </c>
      <c r="F59" s="75" t="s">
        <v>22</v>
      </c>
      <c r="G59" s="75" t="s">
        <v>229</v>
      </c>
      <c r="H59" s="76">
        <v>45673</v>
      </c>
      <c r="I59" s="94" t="s">
        <v>127</v>
      </c>
      <c r="J59" s="94" t="s">
        <v>128</v>
      </c>
      <c r="K59" s="94">
        <v>0</v>
      </c>
      <c r="L59" s="94" t="s">
        <v>230</v>
      </c>
      <c r="M59" s="94" t="s">
        <v>195</v>
      </c>
      <c r="N59" s="74">
        <v>2</v>
      </c>
      <c r="O59" s="77">
        <v>6.9444444444444447E-4</v>
      </c>
    </row>
    <row r="60" spans="1:15" s="101" customFormat="1" ht="54" customHeight="1" thickTop="1" thickBot="1" x14ac:dyDescent="0.25">
      <c r="A60" s="72"/>
      <c r="B60" s="73" t="s">
        <v>17</v>
      </c>
      <c r="C60" s="74" t="s">
        <v>231</v>
      </c>
      <c r="D60" s="74" t="s">
        <v>232</v>
      </c>
      <c r="E60" s="75" t="s">
        <v>12</v>
      </c>
      <c r="F60" s="75" t="s">
        <v>22</v>
      </c>
      <c r="G60" s="75" t="s">
        <v>233</v>
      </c>
      <c r="H60" s="76">
        <v>45672</v>
      </c>
      <c r="I60" s="94" t="s">
        <v>127</v>
      </c>
      <c r="J60" s="94" t="s">
        <v>128</v>
      </c>
      <c r="K60" s="94">
        <v>0</v>
      </c>
      <c r="L60" s="94" t="s">
        <v>234</v>
      </c>
      <c r="M60" s="94" t="s">
        <v>195</v>
      </c>
      <c r="N60" s="74">
        <v>1</v>
      </c>
      <c r="O60" s="77">
        <v>6.9444444444444447E-4</v>
      </c>
    </row>
    <row r="61" spans="1:15" s="101" customFormat="1" ht="54" customHeight="1" thickTop="1" thickBot="1" x14ac:dyDescent="0.25">
      <c r="A61" s="72"/>
      <c r="B61" s="73" t="s">
        <v>17</v>
      </c>
      <c r="C61" s="74" t="s">
        <v>235</v>
      </c>
      <c r="D61" s="74" t="s">
        <v>236</v>
      </c>
      <c r="E61" s="75" t="s">
        <v>12</v>
      </c>
      <c r="F61" s="75" t="s">
        <v>22</v>
      </c>
      <c r="G61" s="75" t="s">
        <v>224</v>
      </c>
      <c r="H61" s="76">
        <v>45672</v>
      </c>
      <c r="I61" s="94" t="s">
        <v>127</v>
      </c>
      <c r="J61" s="94" t="s">
        <v>128</v>
      </c>
      <c r="K61" s="94">
        <v>0</v>
      </c>
      <c r="L61" s="94" t="s">
        <v>237</v>
      </c>
      <c r="M61" s="94" t="s">
        <v>226</v>
      </c>
      <c r="N61" s="74">
        <v>1</v>
      </c>
      <c r="O61" s="77">
        <v>6.9444444444444447E-4</v>
      </c>
    </row>
    <row r="62" spans="1:15" s="101" customFormat="1" ht="54" customHeight="1" thickTop="1" thickBot="1" x14ac:dyDescent="0.25">
      <c r="A62" s="72"/>
      <c r="B62" s="73" t="s">
        <v>17</v>
      </c>
      <c r="C62" s="74" t="s">
        <v>238</v>
      </c>
      <c r="D62" s="74" t="s">
        <v>239</v>
      </c>
      <c r="E62" s="75" t="s">
        <v>12</v>
      </c>
      <c r="F62" s="75" t="s">
        <v>22</v>
      </c>
      <c r="G62" s="75" t="s">
        <v>240</v>
      </c>
      <c r="H62" s="76">
        <v>45672</v>
      </c>
      <c r="I62" s="94" t="s">
        <v>56</v>
      </c>
      <c r="J62" s="94" t="s">
        <v>128</v>
      </c>
      <c r="K62" s="94">
        <v>0</v>
      </c>
      <c r="L62" s="94" t="s">
        <v>241</v>
      </c>
      <c r="M62" s="94" t="s">
        <v>195</v>
      </c>
      <c r="N62" s="74">
        <v>1</v>
      </c>
      <c r="O62" s="77">
        <v>3.4722222222222224E-4</v>
      </c>
    </row>
    <row r="63" spans="1:15" s="101" customFormat="1" ht="54" customHeight="1" thickTop="1" thickBot="1" x14ac:dyDescent="0.25">
      <c r="A63" s="72"/>
      <c r="B63" s="73" t="s">
        <v>17</v>
      </c>
      <c r="C63" s="74" t="s">
        <v>242</v>
      </c>
      <c r="D63" s="133" t="s">
        <v>792</v>
      </c>
      <c r="E63" s="75" t="s">
        <v>12</v>
      </c>
      <c r="F63" s="75" t="s">
        <v>22</v>
      </c>
      <c r="G63" s="75" t="s">
        <v>243</v>
      </c>
      <c r="H63" s="76">
        <v>45672</v>
      </c>
      <c r="I63" s="94" t="s">
        <v>56</v>
      </c>
      <c r="J63" s="94" t="s">
        <v>128</v>
      </c>
      <c r="K63" s="94">
        <v>0</v>
      </c>
      <c r="L63" s="94" t="s">
        <v>244</v>
      </c>
      <c r="M63" s="94" t="s">
        <v>195</v>
      </c>
      <c r="N63" s="74">
        <v>2</v>
      </c>
      <c r="O63" s="77">
        <v>3.4722222222222224E-4</v>
      </c>
    </row>
    <row r="64" spans="1:15" s="101" customFormat="1" ht="54" customHeight="1" thickTop="1" thickBot="1" x14ac:dyDescent="0.25">
      <c r="A64" s="72"/>
      <c r="B64" s="73" t="s">
        <v>17</v>
      </c>
      <c r="C64" s="74" t="s">
        <v>245</v>
      </c>
      <c r="D64" s="79" t="s">
        <v>793</v>
      </c>
      <c r="E64" s="75" t="s">
        <v>12</v>
      </c>
      <c r="F64" s="75" t="s">
        <v>22</v>
      </c>
      <c r="G64" s="75" t="s">
        <v>247</v>
      </c>
      <c r="H64" s="76">
        <v>45672</v>
      </c>
      <c r="I64" s="94" t="s">
        <v>56</v>
      </c>
      <c r="J64" s="94" t="s">
        <v>128</v>
      </c>
      <c r="K64" s="94">
        <v>0</v>
      </c>
      <c r="L64" s="94" t="s">
        <v>244</v>
      </c>
      <c r="M64" s="94" t="s">
        <v>195</v>
      </c>
      <c r="N64" s="74">
        <v>1</v>
      </c>
      <c r="O64" s="77">
        <v>3.4722222222222224E-4</v>
      </c>
    </row>
    <row r="65" spans="1:15" s="101" customFormat="1" ht="54" customHeight="1" thickTop="1" thickBot="1" x14ac:dyDescent="0.25">
      <c r="A65" s="72"/>
      <c r="B65" s="73" t="s">
        <v>17</v>
      </c>
      <c r="C65" s="74" t="s">
        <v>248</v>
      </c>
      <c r="D65" s="74" t="s">
        <v>249</v>
      </c>
      <c r="E65" s="75" t="s">
        <v>12</v>
      </c>
      <c r="F65" s="75" t="s">
        <v>22</v>
      </c>
      <c r="G65" s="75" t="s">
        <v>247</v>
      </c>
      <c r="H65" s="76">
        <v>45672</v>
      </c>
      <c r="I65" s="94" t="s">
        <v>56</v>
      </c>
      <c r="J65" s="94" t="s">
        <v>128</v>
      </c>
      <c r="K65" s="94">
        <v>0</v>
      </c>
      <c r="L65" s="94" t="s">
        <v>250</v>
      </c>
      <c r="M65" s="94" t="s">
        <v>195</v>
      </c>
      <c r="N65" s="74">
        <v>1</v>
      </c>
      <c r="O65" s="77">
        <v>3.4722222222222224E-4</v>
      </c>
    </row>
    <row r="66" spans="1:15" s="101" customFormat="1" ht="54" customHeight="1" thickTop="1" thickBot="1" x14ac:dyDescent="0.25">
      <c r="A66" s="72"/>
      <c r="B66" s="73" t="s">
        <v>17</v>
      </c>
      <c r="C66" s="74" t="s">
        <v>251</v>
      </c>
      <c r="D66" s="74" t="s">
        <v>252</v>
      </c>
      <c r="E66" s="75" t="s">
        <v>12</v>
      </c>
      <c r="F66" s="75" t="s">
        <v>22</v>
      </c>
      <c r="G66" s="75" t="s">
        <v>253</v>
      </c>
      <c r="H66" s="76">
        <v>45672</v>
      </c>
      <c r="I66" s="94" t="s">
        <v>56</v>
      </c>
      <c r="J66" s="94" t="s">
        <v>128</v>
      </c>
      <c r="K66" s="94">
        <v>0</v>
      </c>
      <c r="L66" s="94" t="s">
        <v>254</v>
      </c>
      <c r="M66" s="94" t="s">
        <v>195</v>
      </c>
      <c r="N66" s="74">
        <v>1</v>
      </c>
      <c r="O66" s="77">
        <v>3.4722222222222224E-4</v>
      </c>
    </row>
    <row r="67" spans="1:15" s="101" customFormat="1" ht="54" customHeight="1" thickTop="1" thickBot="1" x14ac:dyDescent="0.25">
      <c r="A67" s="72"/>
      <c r="B67" s="73" t="s">
        <v>17</v>
      </c>
      <c r="C67" s="74" t="s">
        <v>255</v>
      </c>
      <c r="D67" s="74" t="s">
        <v>256</v>
      </c>
      <c r="E67" s="75" t="s">
        <v>12</v>
      </c>
      <c r="F67" s="75" t="s">
        <v>22</v>
      </c>
      <c r="G67" s="75" t="s">
        <v>257</v>
      </c>
      <c r="H67" s="76">
        <v>45672</v>
      </c>
      <c r="I67" s="94" t="s">
        <v>56</v>
      </c>
      <c r="J67" s="94" t="s">
        <v>128</v>
      </c>
      <c r="K67" s="94">
        <v>0</v>
      </c>
      <c r="L67" s="94" t="s">
        <v>258</v>
      </c>
      <c r="M67" s="94" t="s">
        <v>195</v>
      </c>
      <c r="N67" s="74">
        <v>1</v>
      </c>
      <c r="O67" s="77">
        <v>3.4722222222222224E-4</v>
      </c>
    </row>
    <row r="68" spans="1:15" s="101" customFormat="1" ht="54" customHeight="1" thickTop="1" thickBot="1" x14ac:dyDescent="0.25">
      <c r="A68" s="72"/>
      <c r="B68" s="73" t="s">
        <v>17</v>
      </c>
      <c r="C68" s="74" t="s">
        <v>259</v>
      </c>
      <c r="D68" s="74" t="s">
        <v>260</v>
      </c>
      <c r="E68" s="75" t="s">
        <v>12</v>
      </c>
      <c r="F68" s="75" t="s">
        <v>22</v>
      </c>
      <c r="G68" s="75" t="s">
        <v>261</v>
      </c>
      <c r="H68" s="76">
        <v>45672</v>
      </c>
      <c r="I68" s="94" t="s">
        <v>56</v>
      </c>
      <c r="J68" s="94" t="s">
        <v>128</v>
      </c>
      <c r="K68" s="94">
        <v>0</v>
      </c>
      <c r="L68" s="94" t="s">
        <v>262</v>
      </c>
      <c r="M68" s="94" t="s">
        <v>195</v>
      </c>
      <c r="N68" s="74">
        <v>1</v>
      </c>
      <c r="O68" s="77">
        <v>3.4722222222222224E-4</v>
      </c>
    </row>
    <row r="69" spans="1:15" s="101" customFormat="1" ht="54" customHeight="1" thickTop="1" thickBot="1" x14ac:dyDescent="0.25">
      <c r="A69" s="72"/>
      <c r="B69" s="73" t="s">
        <v>17</v>
      </c>
      <c r="C69" s="74" t="s">
        <v>263</v>
      </c>
      <c r="D69" s="74" t="s">
        <v>264</v>
      </c>
      <c r="E69" s="75" t="s">
        <v>12</v>
      </c>
      <c r="F69" s="75" t="s">
        <v>22</v>
      </c>
      <c r="G69" s="75" t="s">
        <v>253</v>
      </c>
      <c r="H69" s="76">
        <v>45672</v>
      </c>
      <c r="I69" s="94" t="s">
        <v>56</v>
      </c>
      <c r="J69" s="94" t="s">
        <v>128</v>
      </c>
      <c r="K69" s="94">
        <v>0</v>
      </c>
      <c r="L69" s="94" t="s">
        <v>265</v>
      </c>
      <c r="M69" s="94" t="s">
        <v>195</v>
      </c>
      <c r="N69" s="74">
        <v>1</v>
      </c>
      <c r="O69" s="77">
        <v>5.2083333333333333E-4</v>
      </c>
    </row>
    <row r="70" spans="1:15" s="101" customFormat="1" ht="54" customHeight="1" thickTop="1" thickBot="1" x14ac:dyDescent="0.25">
      <c r="A70" s="72"/>
      <c r="B70" s="73" t="s">
        <v>17</v>
      </c>
      <c r="C70" s="74" t="s">
        <v>266</v>
      </c>
      <c r="D70" s="74" t="s">
        <v>267</v>
      </c>
      <c r="E70" s="75" t="s">
        <v>12</v>
      </c>
      <c r="F70" s="75" t="s">
        <v>22</v>
      </c>
      <c r="G70" s="75" t="s">
        <v>268</v>
      </c>
      <c r="H70" s="76">
        <v>45672</v>
      </c>
      <c r="I70" s="94" t="s">
        <v>84</v>
      </c>
      <c r="J70" s="94" t="s">
        <v>128</v>
      </c>
      <c r="K70" s="94">
        <v>0</v>
      </c>
      <c r="L70" s="94" t="s">
        <v>269</v>
      </c>
      <c r="M70" s="94" t="s">
        <v>806</v>
      </c>
      <c r="N70" s="74">
        <v>1</v>
      </c>
      <c r="O70" s="77">
        <v>6.9444444444444447E-4</v>
      </c>
    </row>
    <row r="71" spans="1:15" s="101" customFormat="1" ht="54" customHeight="1" thickTop="1" thickBot="1" x14ac:dyDescent="0.25">
      <c r="A71" s="72"/>
      <c r="B71" s="73" t="s">
        <v>17</v>
      </c>
      <c r="C71" s="74" t="s">
        <v>270</v>
      </c>
      <c r="D71" s="74" t="s">
        <v>271</v>
      </c>
      <c r="E71" s="75" t="s">
        <v>12</v>
      </c>
      <c r="F71" s="75" t="s">
        <v>22</v>
      </c>
      <c r="G71" s="75" t="s">
        <v>268</v>
      </c>
      <c r="H71" s="76">
        <v>45672</v>
      </c>
      <c r="I71" s="94" t="s">
        <v>84</v>
      </c>
      <c r="J71" s="94" t="s">
        <v>128</v>
      </c>
      <c r="K71" s="94">
        <v>0</v>
      </c>
      <c r="L71" s="94" t="s">
        <v>272</v>
      </c>
      <c r="M71" s="94" t="s">
        <v>806</v>
      </c>
      <c r="N71" s="74">
        <v>1</v>
      </c>
      <c r="O71" s="77">
        <v>3.4722222222222224E-4</v>
      </c>
    </row>
    <row r="72" spans="1:15" s="101" customFormat="1" ht="54" customHeight="1" thickTop="1" thickBot="1" x14ac:dyDescent="0.25">
      <c r="A72" s="72"/>
      <c r="B72" s="73" t="s">
        <v>17</v>
      </c>
      <c r="C72" s="74" t="s">
        <v>273</v>
      </c>
      <c r="D72" s="74" t="s">
        <v>274</v>
      </c>
      <c r="E72" s="75" t="s">
        <v>12</v>
      </c>
      <c r="F72" s="75" t="s">
        <v>22</v>
      </c>
      <c r="G72" s="75" t="s">
        <v>268</v>
      </c>
      <c r="H72" s="76">
        <v>45672</v>
      </c>
      <c r="I72" s="94" t="s">
        <v>84</v>
      </c>
      <c r="J72" s="94" t="s">
        <v>128</v>
      </c>
      <c r="K72" s="94">
        <v>0</v>
      </c>
      <c r="L72" s="94" t="s">
        <v>275</v>
      </c>
      <c r="M72" s="94" t="s">
        <v>806</v>
      </c>
      <c r="N72" s="74">
        <v>1</v>
      </c>
      <c r="O72" s="77">
        <v>6.9444444444444447E-4</v>
      </c>
    </row>
    <row r="73" spans="1:15" s="101" customFormat="1" ht="54" customHeight="1" thickTop="1" thickBot="1" x14ac:dyDescent="0.25">
      <c r="A73" s="72"/>
      <c r="B73" s="73" t="s">
        <v>17</v>
      </c>
      <c r="C73" s="74" t="s">
        <v>276</v>
      </c>
      <c r="D73" s="74" t="s">
        <v>277</v>
      </c>
      <c r="E73" s="75" t="s">
        <v>12</v>
      </c>
      <c r="F73" s="75" t="s">
        <v>22</v>
      </c>
      <c r="G73" s="75" t="s">
        <v>261</v>
      </c>
      <c r="H73" s="76">
        <v>45672</v>
      </c>
      <c r="I73" s="94" t="s">
        <v>56</v>
      </c>
      <c r="J73" s="94" t="s">
        <v>128</v>
      </c>
      <c r="K73" s="94">
        <v>0</v>
      </c>
      <c r="L73" s="94" t="s">
        <v>278</v>
      </c>
      <c r="M73" s="94" t="s">
        <v>195</v>
      </c>
      <c r="N73" s="74">
        <v>1</v>
      </c>
      <c r="O73" s="77">
        <v>1.3888888888888889E-3</v>
      </c>
    </row>
    <row r="74" spans="1:15" s="101" customFormat="1" ht="54" customHeight="1" thickTop="1" thickBot="1" x14ac:dyDescent="0.25">
      <c r="A74" s="72"/>
      <c r="B74" s="73" t="s">
        <v>17</v>
      </c>
      <c r="C74" s="74" t="s">
        <v>279</v>
      </c>
      <c r="D74" s="74" t="s">
        <v>280</v>
      </c>
      <c r="E74" s="75" t="s">
        <v>12</v>
      </c>
      <c r="F74" s="75" t="s">
        <v>22</v>
      </c>
      <c r="G74" s="75" t="s">
        <v>281</v>
      </c>
      <c r="H74" s="76">
        <v>45673</v>
      </c>
      <c r="I74" s="94" t="s">
        <v>127</v>
      </c>
      <c r="J74" s="94" t="s">
        <v>128</v>
      </c>
      <c r="K74" s="94">
        <v>0</v>
      </c>
      <c r="L74" s="94" t="s">
        <v>282</v>
      </c>
      <c r="M74" s="94" t="s">
        <v>195</v>
      </c>
      <c r="N74" s="74">
        <v>1</v>
      </c>
      <c r="O74" s="77">
        <v>3.4722222222222224E-4</v>
      </c>
    </row>
    <row r="75" spans="1:15" s="101" customFormat="1" ht="54" customHeight="1" thickTop="1" thickBot="1" x14ac:dyDescent="0.25">
      <c r="A75" s="72"/>
      <c r="B75" s="73" t="s">
        <v>17</v>
      </c>
      <c r="C75" s="74" t="s">
        <v>283</v>
      </c>
      <c r="D75" s="74" t="s">
        <v>284</v>
      </c>
      <c r="E75" s="75" t="s">
        <v>12</v>
      </c>
      <c r="F75" s="75" t="s">
        <v>22</v>
      </c>
      <c r="G75" s="75" t="s">
        <v>281</v>
      </c>
      <c r="H75" s="76">
        <v>45673</v>
      </c>
      <c r="I75" s="94" t="s">
        <v>127</v>
      </c>
      <c r="J75" s="94" t="s">
        <v>128</v>
      </c>
      <c r="K75" s="94">
        <v>0</v>
      </c>
      <c r="L75" s="94" t="s">
        <v>285</v>
      </c>
      <c r="M75" s="94" t="s">
        <v>195</v>
      </c>
      <c r="N75" s="74">
        <v>1</v>
      </c>
      <c r="O75" s="77">
        <v>3.4722222222222224E-4</v>
      </c>
    </row>
    <row r="76" spans="1:15" s="101" customFormat="1" ht="54" customHeight="1" thickTop="1" thickBot="1" x14ac:dyDescent="0.25">
      <c r="A76" s="72"/>
      <c r="B76" s="73" t="s">
        <v>17</v>
      </c>
      <c r="C76" s="74" t="s">
        <v>286</v>
      </c>
      <c r="D76" s="74" t="s">
        <v>287</v>
      </c>
      <c r="E76" s="75" t="s">
        <v>12</v>
      </c>
      <c r="F76" s="75" t="s">
        <v>22</v>
      </c>
      <c r="G76" s="75" t="s">
        <v>281</v>
      </c>
      <c r="H76" s="76">
        <v>45673</v>
      </c>
      <c r="I76" s="94" t="s">
        <v>127</v>
      </c>
      <c r="J76" s="94" t="s">
        <v>128</v>
      </c>
      <c r="K76" s="94">
        <v>0</v>
      </c>
      <c r="L76" s="94" t="s">
        <v>285</v>
      </c>
      <c r="M76" s="94" t="s">
        <v>195</v>
      </c>
      <c r="N76" s="74">
        <v>1</v>
      </c>
      <c r="O76" s="77">
        <v>3.4722222222222224E-4</v>
      </c>
    </row>
    <row r="77" spans="1:15" s="101" customFormat="1" ht="54" customHeight="1" thickTop="1" thickBot="1" x14ac:dyDescent="0.25">
      <c r="A77" s="72"/>
      <c r="B77" s="73" t="s">
        <v>17</v>
      </c>
      <c r="C77" s="74" t="s">
        <v>288</v>
      </c>
      <c r="D77" s="74" t="s">
        <v>289</v>
      </c>
      <c r="E77" s="75" t="s">
        <v>12</v>
      </c>
      <c r="F77" s="75" t="s">
        <v>22</v>
      </c>
      <c r="G77" s="75" t="s">
        <v>281</v>
      </c>
      <c r="H77" s="76">
        <v>45673</v>
      </c>
      <c r="I77" s="94" t="s">
        <v>127</v>
      </c>
      <c r="J77" s="94" t="s">
        <v>128</v>
      </c>
      <c r="K77" s="94">
        <v>0</v>
      </c>
      <c r="L77" s="94" t="s">
        <v>285</v>
      </c>
      <c r="M77" s="94" t="s">
        <v>195</v>
      </c>
      <c r="N77" s="74">
        <v>1</v>
      </c>
      <c r="O77" s="77">
        <v>6.9444444444444447E-4</v>
      </c>
    </row>
    <row r="78" spans="1:15" s="101" customFormat="1" ht="54" customHeight="1" thickTop="1" thickBot="1" x14ac:dyDescent="0.25">
      <c r="A78" s="72"/>
      <c r="B78" s="73" t="s">
        <v>17</v>
      </c>
      <c r="C78" s="74" t="s">
        <v>290</v>
      </c>
      <c r="D78" s="74" t="s">
        <v>291</v>
      </c>
      <c r="E78" s="75" t="s">
        <v>12</v>
      </c>
      <c r="F78" s="75" t="s">
        <v>22</v>
      </c>
      <c r="G78" s="75" t="s">
        <v>240</v>
      </c>
      <c r="H78" s="76">
        <v>45672</v>
      </c>
      <c r="I78" s="94" t="s">
        <v>56</v>
      </c>
      <c r="J78" s="94" t="s">
        <v>128</v>
      </c>
      <c r="K78" s="94">
        <v>0</v>
      </c>
      <c r="L78" s="94" t="s">
        <v>292</v>
      </c>
      <c r="M78" s="94" t="s">
        <v>195</v>
      </c>
      <c r="N78" s="74">
        <v>1</v>
      </c>
      <c r="O78" s="77">
        <v>3.4722222222222224E-4</v>
      </c>
    </row>
    <row r="79" spans="1:15" s="101" customFormat="1" ht="54" customHeight="1" thickTop="1" thickBot="1" x14ac:dyDescent="0.25">
      <c r="A79" s="72"/>
      <c r="B79" s="73" t="s">
        <v>17</v>
      </c>
      <c r="C79" s="74" t="s">
        <v>293</v>
      </c>
      <c r="D79" s="74" t="s">
        <v>794</v>
      </c>
      <c r="E79" s="75" t="s">
        <v>12</v>
      </c>
      <c r="F79" s="75" t="s">
        <v>22</v>
      </c>
      <c r="G79" s="75" t="s">
        <v>202</v>
      </c>
      <c r="H79" s="76">
        <v>45672</v>
      </c>
      <c r="I79" s="94" t="s">
        <v>84</v>
      </c>
      <c r="J79" s="94" t="s">
        <v>128</v>
      </c>
      <c r="K79" s="94">
        <v>0</v>
      </c>
      <c r="L79" s="94" t="s">
        <v>203</v>
      </c>
      <c r="M79" s="94" t="s">
        <v>806</v>
      </c>
      <c r="N79" s="74">
        <v>1</v>
      </c>
      <c r="O79" s="77">
        <v>8.6805555555555551E-4</v>
      </c>
    </row>
    <row r="80" spans="1:15" s="101" customFormat="1" ht="54" customHeight="1" thickTop="1" thickBot="1" x14ac:dyDescent="0.25">
      <c r="A80" s="72"/>
      <c r="B80" s="73" t="s">
        <v>17</v>
      </c>
      <c r="C80" s="74" t="s">
        <v>294</v>
      </c>
      <c r="D80" s="74" t="s">
        <v>295</v>
      </c>
      <c r="E80" s="75" t="s">
        <v>12</v>
      </c>
      <c r="F80" s="75" t="s">
        <v>22</v>
      </c>
      <c r="G80" s="75" t="s">
        <v>296</v>
      </c>
      <c r="H80" s="76">
        <v>45672</v>
      </c>
      <c r="I80" s="94" t="s">
        <v>56</v>
      </c>
      <c r="J80" s="94" t="s">
        <v>128</v>
      </c>
      <c r="K80" s="94">
        <v>0</v>
      </c>
      <c r="L80" s="94" t="s">
        <v>297</v>
      </c>
      <c r="M80" s="94" t="s">
        <v>195</v>
      </c>
      <c r="N80" s="74">
        <v>1</v>
      </c>
      <c r="O80" s="77">
        <v>6.9444444444444447E-4</v>
      </c>
    </row>
    <row r="81" spans="1:15" s="101" customFormat="1" ht="54" customHeight="1" thickTop="1" thickBot="1" x14ac:dyDescent="0.25">
      <c r="A81" s="72"/>
      <c r="B81" s="73" t="s">
        <v>17</v>
      </c>
      <c r="C81" s="74" t="s">
        <v>298</v>
      </c>
      <c r="D81" s="74" t="s">
        <v>299</v>
      </c>
      <c r="E81" s="75" t="s">
        <v>12</v>
      </c>
      <c r="F81" s="75" t="s">
        <v>22</v>
      </c>
      <c r="G81" s="75" t="s">
        <v>233</v>
      </c>
      <c r="H81" s="76">
        <v>45672</v>
      </c>
      <c r="I81" s="94" t="s">
        <v>127</v>
      </c>
      <c r="J81" s="94" t="s">
        <v>128</v>
      </c>
      <c r="K81" s="94">
        <v>0</v>
      </c>
      <c r="L81" s="94" t="s">
        <v>300</v>
      </c>
      <c r="M81" s="94" t="s">
        <v>195</v>
      </c>
      <c r="N81" s="74">
        <v>1</v>
      </c>
      <c r="O81" s="77">
        <v>6.9444444444444447E-4</v>
      </c>
    </row>
    <row r="82" spans="1:15" s="101" customFormat="1" ht="54" customHeight="1" thickTop="1" thickBot="1" x14ac:dyDescent="0.25">
      <c r="A82" s="72"/>
      <c r="B82" s="73" t="s">
        <v>17</v>
      </c>
      <c r="C82" s="74" t="s">
        <v>301</v>
      </c>
      <c r="D82" s="74" t="s">
        <v>302</v>
      </c>
      <c r="E82" s="75" t="s">
        <v>12</v>
      </c>
      <c r="F82" s="75" t="s">
        <v>22</v>
      </c>
      <c r="G82" s="75" t="s">
        <v>303</v>
      </c>
      <c r="H82" s="76">
        <v>45672</v>
      </c>
      <c r="I82" s="94" t="s">
        <v>56</v>
      </c>
      <c r="J82" s="94" t="s">
        <v>128</v>
      </c>
      <c r="K82" s="94">
        <v>0</v>
      </c>
      <c r="L82" s="94" t="s">
        <v>304</v>
      </c>
      <c r="M82" s="94" t="s">
        <v>195</v>
      </c>
      <c r="N82" s="74">
        <v>1</v>
      </c>
      <c r="O82" s="77">
        <v>6.9444444444444447E-4</v>
      </c>
    </row>
    <row r="83" spans="1:15" s="101" customFormat="1" ht="54" customHeight="1" thickTop="1" thickBot="1" x14ac:dyDescent="0.25">
      <c r="A83" s="72"/>
      <c r="B83" s="73" t="s">
        <v>17</v>
      </c>
      <c r="C83" s="74" t="s">
        <v>305</v>
      </c>
      <c r="D83" s="74" t="s">
        <v>306</v>
      </c>
      <c r="E83" s="75" t="s">
        <v>12</v>
      </c>
      <c r="F83" s="75" t="s">
        <v>22</v>
      </c>
      <c r="G83" s="75" t="s">
        <v>233</v>
      </c>
      <c r="H83" s="76">
        <v>45672</v>
      </c>
      <c r="I83" s="94" t="s">
        <v>127</v>
      </c>
      <c r="J83" s="94" t="s">
        <v>128</v>
      </c>
      <c r="K83" s="94">
        <v>0</v>
      </c>
      <c r="L83" s="94" t="s">
        <v>300</v>
      </c>
      <c r="M83" s="94" t="s">
        <v>195</v>
      </c>
      <c r="N83" s="74">
        <v>1</v>
      </c>
      <c r="O83" s="77">
        <v>1.7361111111111112E-4</v>
      </c>
    </row>
    <row r="84" spans="1:15" s="101" customFormat="1" ht="54" customHeight="1" thickTop="1" thickBot="1" x14ac:dyDescent="0.25">
      <c r="A84" s="72"/>
      <c r="B84" s="73" t="s">
        <v>17</v>
      </c>
      <c r="C84" s="74" t="s">
        <v>307</v>
      </c>
      <c r="D84" s="74" t="s">
        <v>308</v>
      </c>
      <c r="E84" s="75" t="s">
        <v>12</v>
      </c>
      <c r="F84" s="75" t="s">
        <v>22</v>
      </c>
      <c r="G84" s="75" t="s">
        <v>309</v>
      </c>
      <c r="H84" s="76">
        <v>45673</v>
      </c>
      <c r="I84" s="94" t="s">
        <v>56</v>
      </c>
      <c r="J84" s="94" t="s">
        <v>57</v>
      </c>
      <c r="K84" s="94">
        <v>0</v>
      </c>
      <c r="L84" s="94" t="s">
        <v>310</v>
      </c>
      <c r="M84" s="94" t="s">
        <v>117</v>
      </c>
      <c r="N84" s="74">
        <v>2</v>
      </c>
      <c r="O84" s="77">
        <v>5.2083333333333333E-4</v>
      </c>
    </row>
    <row r="85" spans="1:15" s="101" customFormat="1" ht="54" customHeight="1" thickTop="1" thickBot="1" x14ac:dyDescent="0.25">
      <c r="B85" s="107" t="s">
        <v>17</v>
      </c>
      <c r="C85" s="100" t="s">
        <v>311</v>
      </c>
      <c r="D85" s="100" t="s">
        <v>312</v>
      </c>
      <c r="E85" s="108" t="s">
        <v>22</v>
      </c>
      <c r="F85" s="108" t="s">
        <v>22</v>
      </c>
      <c r="G85" s="108"/>
      <c r="H85" s="111"/>
      <c r="I85" s="94" t="s">
        <v>56</v>
      </c>
      <c r="J85" s="94" t="s">
        <v>128</v>
      </c>
      <c r="K85" s="94">
        <v>0</v>
      </c>
      <c r="L85" s="94" t="s">
        <v>313</v>
      </c>
      <c r="M85" s="94" t="s">
        <v>226</v>
      </c>
      <c r="N85" s="100">
        <v>3</v>
      </c>
      <c r="O85" s="110">
        <v>5.2083333333333333E-4</v>
      </c>
    </row>
    <row r="86" spans="1:15" s="101" customFormat="1" ht="54" customHeight="1" thickTop="1" thickBot="1" x14ac:dyDescent="0.25">
      <c r="A86" s="72"/>
      <c r="B86" s="73" t="s">
        <v>17</v>
      </c>
      <c r="C86" s="74" t="s">
        <v>314</v>
      </c>
      <c r="D86" s="74" t="s">
        <v>315</v>
      </c>
      <c r="E86" s="75" t="s">
        <v>12</v>
      </c>
      <c r="F86" s="75" t="s">
        <v>22</v>
      </c>
      <c r="G86" s="75" t="s">
        <v>309</v>
      </c>
      <c r="H86" s="76">
        <v>45673</v>
      </c>
      <c r="I86" s="94" t="s">
        <v>56</v>
      </c>
      <c r="J86" s="94" t="s">
        <v>57</v>
      </c>
      <c r="K86" s="94">
        <v>0</v>
      </c>
      <c r="L86" s="94">
        <v>0</v>
      </c>
      <c r="M86" s="94" t="s">
        <v>117</v>
      </c>
      <c r="N86" s="74">
        <v>4</v>
      </c>
      <c r="O86" s="77">
        <v>5.2083333333333333E-4</v>
      </c>
    </row>
    <row r="87" spans="1:15" s="101" customFormat="1" ht="54" customHeight="1" thickTop="1" thickBot="1" x14ac:dyDescent="0.25">
      <c r="A87" s="72"/>
      <c r="B87" s="78" t="s">
        <v>17</v>
      </c>
      <c r="C87" s="79" t="s">
        <v>316</v>
      </c>
      <c r="D87" s="79" t="s">
        <v>317</v>
      </c>
      <c r="E87" s="82" t="s">
        <v>12</v>
      </c>
      <c r="F87" s="82" t="s">
        <v>22</v>
      </c>
      <c r="G87" s="82" t="s">
        <v>318</v>
      </c>
      <c r="H87" s="99">
        <v>45671</v>
      </c>
      <c r="I87" s="94" t="s">
        <v>56</v>
      </c>
      <c r="J87" s="94" t="s">
        <v>57</v>
      </c>
      <c r="K87" s="94">
        <v>0</v>
      </c>
      <c r="L87" s="94">
        <v>0</v>
      </c>
      <c r="M87" s="94" t="s">
        <v>117</v>
      </c>
      <c r="N87" s="79">
        <v>2</v>
      </c>
      <c r="O87" s="83">
        <v>3.4722222222222224E-4</v>
      </c>
    </row>
    <row r="88" spans="1:15" s="101" customFormat="1" ht="66" customHeight="1" thickTop="1" thickBot="1" x14ac:dyDescent="0.25">
      <c r="B88" s="102" t="s">
        <v>21</v>
      </c>
      <c r="C88" s="103" t="s">
        <v>319</v>
      </c>
      <c r="D88" s="103" t="s">
        <v>320</v>
      </c>
      <c r="E88" s="104" t="s">
        <v>22</v>
      </c>
      <c r="F88" s="104" t="s">
        <v>22</v>
      </c>
      <c r="G88" s="104"/>
      <c r="H88" s="116"/>
      <c r="I88" s="94" t="s">
        <v>127</v>
      </c>
      <c r="J88" s="94" t="s">
        <v>128</v>
      </c>
      <c r="K88" s="94">
        <v>0</v>
      </c>
      <c r="L88" s="94" t="s">
        <v>321</v>
      </c>
      <c r="M88" s="94" t="s">
        <v>322</v>
      </c>
      <c r="N88" s="103">
        <v>4</v>
      </c>
      <c r="O88" s="106" t="s">
        <v>323</v>
      </c>
    </row>
    <row r="89" spans="1:15" s="101" customFormat="1" ht="54" customHeight="1" thickTop="1" thickBot="1" x14ac:dyDescent="0.25">
      <c r="B89" s="107" t="s">
        <v>21</v>
      </c>
      <c r="C89" s="74" t="s">
        <v>795</v>
      </c>
      <c r="D89" s="74" t="s">
        <v>796</v>
      </c>
      <c r="E89" s="108" t="s">
        <v>22</v>
      </c>
      <c r="F89" s="108" t="s">
        <v>22</v>
      </c>
      <c r="G89" s="108"/>
      <c r="H89" s="111"/>
      <c r="I89" s="94" t="s">
        <v>127</v>
      </c>
      <c r="J89" s="94" t="s">
        <v>128</v>
      </c>
      <c r="K89" s="94">
        <v>0</v>
      </c>
      <c r="L89" s="94" t="s">
        <v>324</v>
      </c>
      <c r="M89" s="94" t="s">
        <v>322</v>
      </c>
      <c r="N89" s="100">
        <v>4</v>
      </c>
      <c r="O89" s="110">
        <v>1.3888888888888889E-3</v>
      </c>
    </row>
    <row r="90" spans="1:15" s="101" customFormat="1" ht="54" customHeight="1" thickTop="1" thickBot="1" x14ac:dyDescent="0.25">
      <c r="B90" s="107" t="s">
        <v>21</v>
      </c>
      <c r="C90" s="100" t="s">
        <v>325</v>
      </c>
      <c r="D90" s="100" t="s">
        <v>326</v>
      </c>
      <c r="E90" s="108" t="s">
        <v>22</v>
      </c>
      <c r="F90" s="108" t="s">
        <v>22</v>
      </c>
      <c r="G90" s="108"/>
      <c r="H90" s="111"/>
      <c r="I90" s="94" t="s">
        <v>127</v>
      </c>
      <c r="J90" s="94" t="s">
        <v>128</v>
      </c>
      <c r="K90" s="94">
        <v>0</v>
      </c>
      <c r="L90" s="94" t="s">
        <v>327</v>
      </c>
      <c r="M90" s="94" t="s">
        <v>328</v>
      </c>
      <c r="N90" s="100">
        <v>2</v>
      </c>
      <c r="O90" s="110">
        <v>2.0833333333333333E-3</v>
      </c>
    </row>
    <row r="91" spans="1:15" s="101" customFormat="1" ht="54" customHeight="1" thickTop="1" thickBot="1" x14ac:dyDescent="0.25">
      <c r="B91" s="107" t="s">
        <v>21</v>
      </c>
      <c r="C91" s="100" t="s">
        <v>329</v>
      </c>
      <c r="D91" s="100" t="s">
        <v>330</v>
      </c>
      <c r="E91" s="108" t="s">
        <v>22</v>
      </c>
      <c r="F91" s="108" t="s">
        <v>22</v>
      </c>
      <c r="G91" s="108"/>
      <c r="H91" s="111"/>
      <c r="I91" s="94" t="s">
        <v>127</v>
      </c>
      <c r="J91" s="94" t="s">
        <v>128</v>
      </c>
      <c r="K91" s="94">
        <v>0</v>
      </c>
      <c r="L91" s="94" t="s">
        <v>331</v>
      </c>
      <c r="M91" s="94" t="s">
        <v>328</v>
      </c>
      <c r="N91" s="100">
        <v>2</v>
      </c>
      <c r="O91" s="110">
        <v>2.0833333333333333E-3</v>
      </c>
    </row>
    <row r="92" spans="1:15" s="101" customFormat="1" ht="54" customHeight="1" thickTop="1" thickBot="1" x14ac:dyDescent="0.25">
      <c r="A92" s="72"/>
      <c r="B92" s="73" t="s">
        <v>21</v>
      </c>
      <c r="C92" s="74" t="s">
        <v>332</v>
      </c>
      <c r="D92" s="74" t="s">
        <v>333</v>
      </c>
      <c r="E92" s="75" t="s">
        <v>12</v>
      </c>
      <c r="F92" s="75" t="s">
        <v>22</v>
      </c>
      <c r="G92" s="75" t="s">
        <v>309</v>
      </c>
      <c r="H92" s="76">
        <v>45673</v>
      </c>
      <c r="I92" s="94" t="s">
        <v>56</v>
      </c>
      <c r="J92" s="94" t="s">
        <v>57</v>
      </c>
      <c r="K92" s="94">
        <v>0</v>
      </c>
      <c r="L92" s="94" t="s">
        <v>334</v>
      </c>
      <c r="M92" s="94" t="s">
        <v>117</v>
      </c>
      <c r="N92" s="74">
        <v>2</v>
      </c>
      <c r="O92" s="77">
        <v>6.9444444444444447E-4</v>
      </c>
    </row>
    <row r="93" spans="1:15" s="101" customFormat="1" ht="54" customHeight="1" thickTop="1" thickBot="1" x14ac:dyDescent="0.25">
      <c r="B93" s="107" t="s">
        <v>21</v>
      </c>
      <c r="C93" s="100" t="s">
        <v>335</v>
      </c>
      <c r="D93" s="100" t="s">
        <v>336</v>
      </c>
      <c r="E93" s="108" t="s">
        <v>22</v>
      </c>
      <c r="F93" s="108" t="s">
        <v>22</v>
      </c>
      <c r="G93" s="108"/>
      <c r="H93" s="111"/>
      <c r="I93" s="94" t="s">
        <v>127</v>
      </c>
      <c r="J93" s="94" t="s">
        <v>128</v>
      </c>
      <c r="K93" s="94">
        <v>0</v>
      </c>
      <c r="L93" s="94" t="s">
        <v>337</v>
      </c>
      <c r="M93" s="94" t="s">
        <v>338</v>
      </c>
      <c r="N93" s="100">
        <v>1</v>
      </c>
      <c r="O93" s="110">
        <v>1.2152777777777778E-3</v>
      </c>
    </row>
    <row r="94" spans="1:15" s="101" customFormat="1" ht="54" customHeight="1" thickTop="1" thickBot="1" x14ac:dyDescent="0.25">
      <c r="B94" s="107" t="s">
        <v>21</v>
      </c>
      <c r="C94" s="100" t="s">
        <v>339</v>
      </c>
      <c r="D94" s="100" t="s">
        <v>340</v>
      </c>
      <c r="E94" s="108" t="s">
        <v>22</v>
      </c>
      <c r="F94" s="108" t="s">
        <v>22</v>
      </c>
      <c r="G94" s="108"/>
      <c r="H94" s="111"/>
      <c r="I94" s="94" t="s">
        <v>127</v>
      </c>
      <c r="J94" s="94" t="s">
        <v>128</v>
      </c>
      <c r="K94" s="94">
        <v>0</v>
      </c>
      <c r="L94" s="94" t="s">
        <v>341</v>
      </c>
      <c r="M94" s="94" t="s">
        <v>338</v>
      </c>
      <c r="N94" s="100">
        <v>2</v>
      </c>
      <c r="O94" s="110">
        <v>2.7777777777777779E-3</v>
      </c>
    </row>
    <row r="95" spans="1:15" s="101" customFormat="1" ht="54" customHeight="1" thickTop="1" thickBot="1" x14ac:dyDescent="0.25">
      <c r="B95" s="107" t="s">
        <v>21</v>
      </c>
      <c r="C95" s="100" t="s">
        <v>342</v>
      </c>
      <c r="D95" s="100" t="s">
        <v>343</v>
      </c>
      <c r="E95" s="108" t="s">
        <v>22</v>
      </c>
      <c r="F95" s="108" t="s">
        <v>22</v>
      </c>
      <c r="G95" s="108"/>
      <c r="H95" s="111"/>
      <c r="I95" s="94" t="s">
        <v>127</v>
      </c>
      <c r="J95" s="94" t="s">
        <v>128</v>
      </c>
      <c r="K95" s="94">
        <v>0</v>
      </c>
      <c r="L95" s="94" t="s">
        <v>344</v>
      </c>
      <c r="M95" s="94" t="s">
        <v>338</v>
      </c>
      <c r="N95" s="100">
        <v>2</v>
      </c>
      <c r="O95" s="110">
        <v>6.9444444444444447E-4</v>
      </c>
    </row>
    <row r="96" spans="1:15" s="101" customFormat="1" ht="54" customHeight="1" thickTop="1" thickBot="1" x14ac:dyDescent="0.25">
      <c r="B96" s="107" t="s">
        <v>21</v>
      </c>
      <c r="C96" s="100" t="s">
        <v>345</v>
      </c>
      <c r="D96" s="100" t="s">
        <v>346</v>
      </c>
      <c r="E96" s="108" t="s">
        <v>22</v>
      </c>
      <c r="F96" s="108" t="s">
        <v>22</v>
      </c>
      <c r="G96" s="108"/>
      <c r="H96" s="111"/>
      <c r="I96" s="94" t="s">
        <v>127</v>
      </c>
      <c r="J96" s="94" t="s">
        <v>128</v>
      </c>
      <c r="K96" s="94">
        <v>0</v>
      </c>
      <c r="L96" s="94" t="s">
        <v>347</v>
      </c>
      <c r="M96" s="94" t="s">
        <v>195</v>
      </c>
      <c r="N96" s="100">
        <v>2</v>
      </c>
      <c r="O96" s="110">
        <v>1.736111111111111E-3</v>
      </c>
    </row>
    <row r="97" spans="1:15" s="101" customFormat="1" ht="54" customHeight="1" thickTop="1" thickBot="1" x14ac:dyDescent="0.25">
      <c r="B97" s="107" t="s">
        <v>21</v>
      </c>
      <c r="C97" s="100" t="s">
        <v>348</v>
      </c>
      <c r="D97" s="100" t="s">
        <v>349</v>
      </c>
      <c r="E97" s="108" t="s">
        <v>22</v>
      </c>
      <c r="F97" s="108" t="s">
        <v>22</v>
      </c>
      <c r="G97" s="108"/>
      <c r="H97" s="111"/>
      <c r="I97" s="94" t="s">
        <v>56</v>
      </c>
      <c r="J97" s="94" t="s">
        <v>128</v>
      </c>
      <c r="K97" s="94">
        <v>0</v>
      </c>
      <c r="L97" s="94" t="s">
        <v>350</v>
      </c>
      <c r="M97" s="94" t="s">
        <v>154</v>
      </c>
      <c r="N97" s="100">
        <v>2</v>
      </c>
      <c r="O97" s="110">
        <v>5.2083333333333333E-4</v>
      </c>
    </row>
    <row r="98" spans="1:15" s="101" customFormat="1" ht="54" customHeight="1" thickTop="1" thickBot="1" x14ac:dyDescent="0.25">
      <c r="B98" s="107" t="s">
        <v>21</v>
      </c>
      <c r="C98" s="100" t="s">
        <v>351</v>
      </c>
      <c r="D98" s="100" t="s">
        <v>352</v>
      </c>
      <c r="E98" s="108" t="s">
        <v>22</v>
      </c>
      <c r="F98" s="108" t="s">
        <v>22</v>
      </c>
      <c r="G98" s="108"/>
      <c r="H98" s="111"/>
      <c r="I98" s="94" t="s">
        <v>56</v>
      </c>
      <c r="J98" s="94" t="s">
        <v>128</v>
      </c>
      <c r="K98" s="94">
        <v>0</v>
      </c>
      <c r="L98" s="94" t="s">
        <v>353</v>
      </c>
      <c r="M98" s="94" t="s">
        <v>154</v>
      </c>
      <c r="N98" s="100">
        <v>1</v>
      </c>
      <c r="O98" s="110">
        <v>9.2592592592592585E-4</v>
      </c>
    </row>
    <row r="99" spans="1:15" s="101" customFormat="1" ht="54" customHeight="1" thickTop="1" thickBot="1" x14ac:dyDescent="0.25">
      <c r="B99" s="107" t="s">
        <v>21</v>
      </c>
      <c r="C99" s="100" t="s">
        <v>354</v>
      </c>
      <c r="D99" s="100" t="s">
        <v>355</v>
      </c>
      <c r="E99" s="108" t="s">
        <v>22</v>
      </c>
      <c r="F99" s="108" t="s">
        <v>22</v>
      </c>
      <c r="G99" s="108"/>
      <c r="H99" s="111"/>
      <c r="I99" s="94" t="s">
        <v>56</v>
      </c>
      <c r="J99" s="94" t="s">
        <v>57</v>
      </c>
      <c r="K99" s="94">
        <v>0</v>
      </c>
      <c r="L99" s="94" t="s">
        <v>356</v>
      </c>
      <c r="M99" s="94" t="s">
        <v>338</v>
      </c>
      <c r="N99" s="100">
        <v>1</v>
      </c>
      <c r="O99" s="110">
        <v>1.1574074074074073E-4</v>
      </c>
    </row>
    <row r="100" spans="1:15" s="101" customFormat="1" ht="54" customHeight="1" thickTop="1" thickBot="1" x14ac:dyDescent="0.25">
      <c r="B100" s="107" t="s">
        <v>21</v>
      </c>
      <c r="C100" s="100" t="s">
        <v>357</v>
      </c>
      <c r="D100" s="100" t="s">
        <v>358</v>
      </c>
      <c r="E100" s="108" t="s">
        <v>22</v>
      </c>
      <c r="F100" s="108" t="s">
        <v>22</v>
      </c>
      <c r="G100" s="108"/>
      <c r="H100" s="111"/>
      <c r="I100" s="94" t="s">
        <v>84</v>
      </c>
      <c r="J100" s="94" t="s">
        <v>57</v>
      </c>
      <c r="K100" s="94">
        <v>0</v>
      </c>
      <c r="L100" s="94" t="s">
        <v>359</v>
      </c>
      <c r="M100" s="94" t="s">
        <v>804</v>
      </c>
      <c r="N100" s="100">
        <v>1</v>
      </c>
      <c r="O100" s="110">
        <v>6.9444444444444447E-4</v>
      </c>
    </row>
    <row r="101" spans="1:15" s="101" customFormat="1" ht="54" customHeight="1" thickTop="1" thickBot="1" x14ac:dyDescent="0.25">
      <c r="B101" s="107" t="s">
        <v>21</v>
      </c>
      <c r="C101" s="100" t="s">
        <v>360</v>
      </c>
      <c r="D101" s="100" t="s">
        <v>361</v>
      </c>
      <c r="E101" s="108" t="s">
        <v>22</v>
      </c>
      <c r="F101" s="108" t="s">
        <v>22</v>
      </c>
      <c r="G101" s="108"/>
      <c r="H101" s="111"/>
      <c r="I101" s="94" t="s">
        <v>56</v>
      </c>
      <c r="J101" s="94" t="s">
        <v>128</v>
      </c>
      <c r="K101" s="94">
        <v>0</v>
      </c>
      <c r="L101" s="94" t="s">
        <v>362</v>
      </c>
      <c r="M101" s="94" t="s">
        <v>101</v>
      </c>
      <c r="N101" s="100">
        <v>1</v>
      </c>
      <c r="O101" s="110">
        <v>6.9444444444444447E-4</v>
      </c>
    </row>
    <row r="102" spans="1:15" s="101" customFormat="1" ht="54" customHeight="1" thickTop="1" thickBot="1" x14ac:dyDescent="0.25">
      <c r="B102" s="107" t="s">
        <v>21</v>
      </c>
      <c r="C102" s="100" t="s">
        <v>363</v>
      </c>
      <c r="D102" s="100" t="s">
        <v>364</v>
      </c>
      <c r="E102" s="108" t="s">
        <v>22</v>
      </c>
      <c r="F102" s="108" t="s">
        <v>22</v>
      </c>
      <c r="G102" s="108"/>
      <c r="H102" s="111"/>
      <c r="I102" s="94" t="s">
        <v>56</v>
      </c>
      <c r="J102" s="94" t="s">
        <v>128</v>
      </c>
      <c r="K102" s="94">
        <v>0</v>
      </c>
      <c r="L102" s="94" t="s">
        <v>365</v>
      </c>
      <c r="M102" s="94" t="s">
        <v>101</v>
      </c>
      <c r="N102" s="100">
        <v>1</v>
      </c>
      <c r="O102" s="110">
        <v>4.0509259259259258E-4</v>
      </c>
    </row>
    <row r="103" spans="1:15" s="101" customFormat="1" ht="54" customHeight="1" thickTop="1" thickBot="1" x14ac:dyDescent="0.25">
      <c r="B103" s="107" t="s">
        <v>21</v>
      </c>
      <c r="C103" s="100" t="s">
        <v>366</v>
      </c>
      <c r="D103" s="100" t="s">
        <v>367</v>
      </c>
      <c r="E103" s="108" t="s">
        <v>22</v>
      </c>
      <c r="F103" s="108" t="s">
        <v>22</v>
      </c>
      <c r="G103" s="108"/>
      <c r="H103" s="111"/>
      <c r="I103" s="94" t="s">
        <v>127</v>
      </c>
      <c r="J103" s="94" t="s">
        <v>57</v>
      </c>
      <c r="K103" s="94">
        <v>0</v>
      </c>
      <c r="L103" s="94" t="s">
        <v>368</v>
      </c>
      <c r="M103" s="94" t="s">
        <v>117</v>
      </c>
      <c r="N103" s="100">
        <v>2</v>
      </c>
      <c r="O103" s="110">
        <v>1.3888888888888889E-3</v>
      </c>
    </row>
    <row r="104" spans="1:15" s="101" customFormat="1" ht="54" customHeight="1" thickTop="1" thickBot="1" x14ac:dyDescent="0.25">
      <c r="B104" s="107" t="s">
        <v>21</v>
      </c>
      <c r="C104" s="100" t="s">
        <v>369</v>
      </c>
      <c r="D104" s="100" t="s">
        <v>370</v>
      </c>
      <c r="E104" s="108" t="s">
        <v>22</v>
      </c>
      <c r="F104" s="108" t="s">
        <v>22</v>
      </c>
      <c r="G104" s="108"/>
      <c r="H104" s="111"/>
      <c r="I104" s="94" t="s">
        <v>127</v>
      </c>
      <c r="J104" s="94" t="s">
        <v>57</v>
      </c>
      <c r="K104" s="94">
        <v>0</v>
      </c>
      <c r="L104" s="94" t="s">
        <v>371</v>
      </c>
      <c r="M104" s="94" t="s">
        <v>805</v>
      </c>
      <c r="N104" s="100">
        <v>2</v>
      </c>
      <c r="O104" s="110">
        <v>1.736111111111111E-3</v>
      </c>
    </row>
    <row r="105" spans="1:15" s="101" customFormat="1" ht="54" customHeight="1" thickTop="1" thickBot="1" x14ac:dyDescent="0.25">
      <c r="A105" s="72"/>
      <c r="B105" s="73" t="s">
        <v>21</v>
      </c>
      <c r="C105" s="74" t="s">
        <v>372</v>
      </c>
      <c r="D105" s="74" t="s">
        <v>373</v>
      </c>
      <c r="E105" s="75" t="s">
        <v>12</v>
      </c>
      <c r="F105" s="75" t="s">
        <v>22</v>
      </c>
      <c r="G105" s="75" t="s">
        <v>374</v>
      </c>
      <c r="H105" s="76">
        <v>45674</v>
      </c>
      <c r="I105" s="94" t="s">
        <v>56</v>
      </c>
      <c r="J105" s="94" t="s">
        <v>57</v>
      </c>
      <c r="K105" s="94">
        <v>0</v>
      </c>
      <c r="L105" s="94" t="s">
        <v>375</v>
      </c>
      <c r="M105" s="94" t="s">
        <v>117</v>
      </c>
      <c r="N105" s="74">
        <v>1</v>
      </c>
      <c r="O105" s="77">
        <v>6.9444444444444447E-4</v>
      </c>
    </row>
    <row r="106" spans="1:15" s="101" customFormat="1" ht="54" customHeight="1" thickTop="1" thickBot="1" x14ac:dyDescent="0.25">
      <c r="B106" s="107" t="s">
        <v>21</v>
      </c>
      <c r="C106" s="100" t="s">
        <v>376</v>
      </c>
      <c r="D106" s="134" t="s">
        <v>797</v>
      </c>
      <c r="E106" s="108" t="s">
        <v>22</v>
      </c>
      <c r="F106" s="108" t="s">
        <v>22</v>
      </c>
      <c r="G106" s="108"/>
      <c r="H106" s="111"/>
      <c r="I106" s="94" t="s">
        <v>56</v>
      </c>
      <c r="J106" s="94" t="s">
        <v>57</v>
      </c>
      <c r="K106" s="94">
        <v>0</v>
      </c>
      <c r="L106" s="94" t="s">
        <v>377</v>
      </c>
      <c r="M106" s="94" t="s">
        <v>117</v>
      </c>
      <c r="N106" s="100">
        <v>2</v>
      </c>
      <c r="O106" s="110">
        <v>3.4722222222222224E-4</v>
      </c>
    </row>
    <row r="107" spans="1:15" s="101" customFormat="1" ht="54" customHeight="1" thickTop="1" thickBot="1" x14ac:dyDescent="0.25">
      <c r="B107" s="107" t="s">
        <v>21</v>
      </c>
      <c r="C107" s="100" t="s">
        <v>378</v>
      </c>
      <c r="D107" s="100" t="s">
        <v>379</v>
      </c>
      <c r="E107" s="108" t="s">
        <v>22</v>
      </c>
      <c r="F107" s="108" t="s">
        <v>22</v>
      </c>
      <c r="G107" s="108"/>
      <c r="H107" s="111"/>
      <c r="I107" s="94" t="s">
        <v>84</v>
      </c>
      <c r="J107" s="94" t="s">
        <v>57</v>
      </c>
      <c r="K107" s="94">
        <v>0</v>
      </c>
      <c r="L107" s="94" t="s">
        <v>380</v>
      </c>
      <c r="M107" s="94" t="s">
        <v>804</v>
      </c>
      <c r="N107" s="100">
        <v>2</v>
      </c>
      <c r="O107" s="110">
        <v>6.9444444444444447E-4</v>
      </c>
    </row>
    <row r="108" spans="1:15" s="101" customFormat="1" ht="54" customHeight="1" thickTop="1" thickBot="1" x14ac:dyDescent="0.25">
      <c r="A108" s="72"/>
      <c r="B108" s="73" t="s">
        <v>21</v>
      </c>
      <c r="C108" s="74" t="s">
        <v>381</v>
      </c>
      <c r="D108" s="74" t="s">
        <v>382</v>
      </c>
      <c r="E108" s="75" t="s">
        <v>12</v>
      </c>
      <c r="F108" s="75" t="s">
        <v>22</v>
      </c>
      <c r="G108" s="75" t="s">
        <v>318</v>
      </c>
      <c r="H108" s="76">
        <v>45671</v>
      </c>
      <c r="I108" s="94" t="s">
        <v>56</v>
      </c>
      <c r="J108" s="94" t="s">
        <v>57</v>
      </c>
      <c r="K108" s="94">
        <v>0</v>
      </c>
      <c r="L108" s="94" t="s">
        <v>383</v>
      </c>
      <c r="M108" s="94" t="s">
        <v>117</v>
      </c>
      <c r="N108" s="74">
        <v>2</v>
      </c>
      <c r="O108" s="77">
        <v>6.9444444444444447E-4</v>
      </c>
    </row>
    <row r="109" spans="1:15" s="101" customFormat="1" ht="54" customHeight="1" thickTop="1" thickBot="1" x14ac:dyDescent="0.25">
      <c r="B109" s="107" t="s">
        <v>21</v>
      </c>
      <c r="C109" s="100" t="s">
        <v>384</v>
      </c>
      <c r="D109" s="100" t="s">
        <v>385</v>
      </c>
      <c r="E109" s="108" t="s">
        <v>22</v>
      </c>
      <c r="F109" s="108" t="s">
        <v>22</v>
      </c>
      <c r="G109" s="108"/>
      <c r="H109" s="111"/>
      <c r="I109" s="94" t="s">
        <v>84</v>
      </c>
      <c r="J109" s="94" t="s">
        <v>57</v>
      </c>
      <c r="K109" s="94">
        <v>0</v>
      </c>
      <c r="L109" s="94" t="s">
        <v>386</v>
      </c>
      <c r="M109" s="94" t="s">
        <v>101</v>
      </c>
      <c r="N109" s="100">
        <v>4</v>
      </c>
      <c r="O109" s="110">
        <v>2.0833333333333333E-3</v>
      </c>
    </row>
    <row r="110" spans="1:15" s="101" customFormat="1" ht="54" customHeight="1" thickTop="1" thickBot="1" x14ac:dyDescent="0.25">
      <c r="B110" s="107" t="s">
        <v>21</v>
      </c>
      <c r="C110" s="100" t="s">
        <v>387</v>
      </c>
      <c r="D110" s="100" t="s">
        <v>388</v>
      </c>
      <c r="E110" s="108" t="s">
        <v>22</v>
      </c>
      <c r="F110" s="108" t="s">
        <v>22</v>
      </c>
      <c r="G110" s="108"/>
      <c r="H110" s="111"/>
      <c r="I110" s="94" t="s">
        <v>56</v>
      </c>
      <c r="J110" s="94" t="s">
        <v>57</v>
      </c>
      <c r="K110" s="94">
        <v>0</v>
      </c>
      <c r="L110" s="94" t="s">
        <v>389</v>
      </c>
      <c r="M110" s="94" t="s">
        <v>101</v>
      </c>
      <c r="N110" s="100">
        <v>2</v>
      </c>
      <c r="O110" s="110">
        <v>6.9444444444444447E-4</v>
      </c>
    </row>
    <row r="111" spans="1:15" s="101" customFormat="1" ht="54" customHeight="1" thickTop="1" thickBot="1" x14ac:dyDescent="0.25">
      <c r="A111" s="72"/>
      <c r="B111" s="73" t="s">
        <v>21</v>
      </c>
      <c r="C111" s="74" t="s">
        <v>390</v>
      </c>
      <c r="D111" s="74" t="s">
        <v>391</v>
      </c>
      <c r="E111" s="75" t="s">
        <v>12</v>
      </c>
      <c r="F111" s="75" t="s">
        <v>22</v>
      </c>
      <c r="G111" s="75" t="s">
        <v>318</v>
      </c>
      <c r="H111" s="76">
        <v>45671</v>
      </c>
      <c r="I111" s="94" t="s">
        <v>56</v>
      </c>
      <c r="J111" s="94" t="s">
        <v>57</v>
      </c>
      <c r="K111" s="94">
        <v>0</v>
      </c>
      <c r="L111" s="94" t="s">
        <v>392</v>
      </c>
      <c r="M111" s="94" t="s">
        <v>117</v>
      </c>
      <c r="N111" s="74">
        <v>2</v>
      </c>
      <c r="O111" s="77">
        <v>6.9444444444444447E-4</v>
      </c>
    </row>
    <row r="112" spans="1:15" s="101" customFormat="1" ht="54" customHeight="1" thickTop="1" thickBot="1" x14ac:dyDescent="0.25">
      <c r="B112" s="107" t="s">
        <v>21</v>
      </c>
      <c r="C112" s="100" t="s">
        <v>393</v>
      </c>
      <c r="D112" s="100" t="s">
        <v>394</v>
      </c>
      <c r="E112" s="108" t="s">
        <v>22</v>
      </c>
      <c r="F112" s="108" t="s">
        <v>22</v>
      </c>
      <c r="G112" s="108"/>
      <c r="H112" s="111"/>
      <c r="I112" s="94" t="s">
        <v>84</v>
      </c>
      <c r="J112" s="94" t="s">
        <v>128</v>
      </c>
      <c r="K112" s="94">
        <v>0</v>
      </c>
      <c r="L112" s="94" t="s">
        <v>803</v>
      </c>
      <c r="M112" s="94" t="s">
        <v>101</v>
      </c>
      <c r="N112" s="100">
        <v>2</v>
      </c>
      <c r="O112" s="110">
        <v>1.3888888888888889E-3</v>
      </c>
    </row>
    <row r="113" spans="2:16" s="101" customFormat="1" ht="54" customHeight="1" thickTop="1" thickBot="1" x14ac:dyDescent="0.25">
      <c r="B113" s="112" t="s">
        <v>21</v>
      </c>
      <c r="C113" s="113" t="s">
        <v>395</v>
      </c>
      <c r="D113" s="135" t="s">
        <v>385</v>
      </c>
      <c r="E113" s="114" t="s">
        <v>22</v>
      </c>
      <c r="F113" s="114" t="s">
        <v>22</v>
      </c>
      <c r="G113" s="114"/>
      <c r="H113" s="117"/>
      <c r="I113" s="94" t="s">
        <v>84</v>
      </c>
      <c r="J113" s="94" t="s">
        <v>57</v>
      </c>
      <c r="K113" s="94">
        <v>0</v>
      </c>
      <c r="L113" s="94" t="s">
        <v>386</v>
      </c>
      <c r="M113" s="94" t="s">
        <v>101</v>
      </c>
      <c r="N113" s="113">
        <v>2</v>
      </c>
      <c r="O113" s="115">
        <v>6.9444444444444447E-4</v>
      </c>
    </row>
    <row r="114" spans="2:16" s="101" customFormat="1" ht="54" customHeight="1" thickTop="1" thickBot="1" x14ac:dyDescent="0.25">
      <c r="B114" s="102" t="s">
        <v>25</v>
      </c>
      <c r="C114" s="103" t="s">
        <v>398</v>
      </c>
      <c r="D114" s="103" t="s">
        <v>399</v>
      </c>
      <c r="E114" s="104" t="s">
        <v>22</v>
      </c>
      <c r="F114" s="104" t="s">
        <v>22</v>
      </c>
      <c r="G114" s="104"/>
      <c r="H114" s="116"/>
      <c r="I114" s="94" t="s">
        <v>127</v>
      </c>
      <c r="J114" s="94" t="s">
        <v>57</v>
      </c>
      <c r="K114" s="94">
        <v>0</v>
      </c>
      <c r="L114" s="94" t="s">
        <v>400</v>
      </c>
      <c r="M114" s="94" t="s">
        <v>101</v>
      </c>
      <c r="N114" s="103">
        <v>1</v>
      </c>
      <c r="O114" s="106">
        <v>6.9444444444444447E-4</v>
      </c>
    </row>
    <row r="115" spans="2:16" s="101" customFormat="1" ht="54" customHeight="1" thickTop="1" thickBot="1" x14ac:dyDescent="0.25">
      <c r="B115" s="107" t="s">
        <v>25</v>
      </c>
      <c r="C115" s="100" t="s">
        <v>401</v>
      </c>
      <c r="D115" s="100" t="s">
        <v>402</v>
      </c>
      <c r="E115" s="108" t="s">
        <v>22</v>
      </c>
      <c r="F115" s="108" t="s">
        <v>22</v>
      </c>
      <c r="G115" s="108"/>
      <c r="H115" s="111"/>
      <c r="I115" s="94" t="s">
        <v>127</v>
      </c>
      <c r="J115" s="94" t="s">
        <v>57</v>
      </c>
      <c r="K115" s="94">
        <v>0</v>
      </c>
      <c r="L115" s="94" t="s">
        <v>403</v>
      </c>
      <c r="M115" s="94" t="s">
        <v>226</v>
      </c>
      <c r="N115" s="100">
        <v>1</v>
      </c>
      <c r="O115" s="110">
        <v>4.6296296296296293E-4</v>
      </c>
    </row>
    <row r="116" spans="2:16" s="101" customFormat="1" ht="54" customHeight="1" thickTop="1" thickBot="1" x14ac:dyDescent="0.25">
      <c r="B116" s="107" t="s">
        <v>25</v>
      </c>
      <c r="C116" s="100" t="s">
        <v>404</v>
      </c>
      <c r="D116" s="100" t="s">
        <v>405</v>
      </c>
      <c r="E116" s="108" t="s">
        <v>22</v>
      </c>
      <c r="F116" s="108" t="s">
        <v>22</v>
      </c>
      <c r="G116" s="108"/>
      <c r="H116" s="111"/>
      <c r="I116" s="94" t="s">
        <v>127</v>
      </c>
      <c r="J116" s="94" t="s">
        <v>57</v>
      </c>
      <c r="K116" s="94">
        <v>0</v>
      </c>
      <c r="L116" s="94" t="s">
        <v>406</v>
      </c>
      <c r="M116" s="94" t="s">
        <v>226</v>
      </c>
      <c r="N116" s="100">
        <v>1</v>
      </c>
      <c r="O116" s="110">
        <v>6.9444444444444447E-4</v>
      </c>
    </row>
    <row r="117" spans="2:16" s="101" customFormat="1" ht="54" customHeight="1" thickTop="1" thickBot="1" x14ac:dyDescent="0.25">
      <c r="B117" s="107" t="s">
        <v>25</v>
      </c>
      <c r="C117" s="100" t="s">
        <v>407</v>
      </c>
      <c r="D117" s="100" t="s">
        <v>408</v>
      </c>
      <c r="E117" s="108" t="s">
        <v>22</v>
      </c>
      <c r="F117" s="108" t="s">
        <v>22</v>
      </c>
      <c r="G117" s="108"/>
      <c r="H117" s="111"/>
      <c r="I117" s="94" t="s">
        <v>127</v>
      </c>
      <c r="J117" s="94" t="s">
        <v>57</v>
      </c>
      <c r="K117" s="94">
        <v>0</v>
      </c>
      <c r="L117" s="94" t="s">
        <v>409</v>
      </c>
      <c r="M117" s="94" t="s">
        <v>802</v>
      </c>
      <c r="N117" s="100">
        <v>1</v>
      </c>
      <c r="O117" s="110">
        <v>6.9444444444444447E-4</v>
      </c>
    </row>
    <row r="118" spans="2:16" s="101" customFormat="1" ht="54" customHeight="1" thickTop="1" thickBot="1" x14ac:dyDescent="0.25">
      <c r="B118" s="107" t="s">
        <v>25</v>
      </c>
      <c r="C118" s="100" t="s">
        <v>410</v>
      </c>
      <c r="D118" s="100" t="s">
        <v>411</v>
      </c>
      <c r="E118" s="108" t="s">
        <v>22</v>
      </c>
      <c r="F118" s="108" t="s">
        <v>22</v>
      </c>
      <c r="G118" s="108"/>
      <c r="H118" s="111"/>
      <c r="I118" s="94" t="s">
        <v>127</v>
      </c>
      <c r="J118" s="94" t="s">
        <v>57</v>
      </c>
      <c r="K118" s="94">
        <v>0</v>
      </c>
      <c r="L118" s="94" t="s">
        <v>412</v>
      </c>
      <c r="M118" s="94" t="s">
        <v>802</v>
      </c>
      <c r="N118" s="100">
        <v>1</v>
      </c>
      <c r="O118" s="110">
        <v>6.9444444444444447E-4</v>
      </c>
    </row>
    <row r="119" spans="2:16" s="101" customFormat="1" ht="54" customHeight="1" thickTop="1" thickBot="1" x14ac:dyDescent="0.25">
      <c r="B119" s="107" t="s">
        <v>25</v>
      </c>
      <c r="C119" s="100" t="s">
        <v>413</v>
      </c>
      <c r="D119" s="100" t="s">
        <v>414</v>
      </c>
      <c r="E119" s="108" t="s">
        <v>22</v>
      </c>
      <c r="F119" s="108" t="s">
        <v>22</v>
      </c>
      <c r="G119" s="108"/>
      <c r="H119" s="111"/>
      <c r="I119" s="94" t="s">
        <v>127</v>
      </c>
      <c r="J119" s="94" t="s">
        <v>57</v>
      </c>
      <c r="K119" s="94">
        <v>0</v>
      </c>
      <c r="L119" s="94" t="s">
        <v>415</v>
      </c>
      <c r="M119" s="94" t="s">
        <v>802</v>
      </c>
      <c r="N119" s="100">
        <v>1</v>
      </c>
      <c r="O119" s="110">
        <v>3.4722222222222224E-4</v>
      </c>
    </row>
    <row r="120" spans="2:16" s="101" customFormat="1" ht="54" customHeight="1" thickTop="1" thickBot="1" x14ac:dyDescent="0.25">
      <c r="B120" s="107" t="s">
        <v>25</v>
      </c>
      <c r="C120" s="100" t="s">
        <v>416</v>
      </c>
      <c r="D120" s="100" t="s">
        <v>417</v>
      </c>
      <c r="E120" s="108" t="s">
        <v>22</v>
      </c>
      <c r="F120" s="108" t="s">
        <v>22</v>
      </c>
      <c r="G120" s="108"/>
      <c r="H120" s="111"/>
      <c r="I120" s="94" t="s">
        <v>127</v>
      </c>
      <c r="J120" s="94" t="s">
        <v>57</v>
      </c>
      <c r="K120" s="94">
        <v>0</v>
      </c>
      <c r="L120" s="94" t="s">
        <v>418</v>
      </c>
      <c r="M120" s="94" t="s">
        <v>226</v>
      </c>
      <c r="N120" s="100">
        <v>1</v>
      </c>
      <c r="O120" s="110">
        <v>6.9444444444444447E-4</v>
      </c>
    </row>
    <row r="121" spans="2:16" s="101" customFormat="1" ht="54" customHeight="1" thickTop="1" thickBot="1" x14ac:dyDescent="0.25">
      <c r="B121" s="107" t="s">
        <v>25</v>
      </c>
      <c r="C121" s="100" t="s">
        <v>419</v>
      </c>
      <c r="D121" s="100" t="s">
        <v>420</v>
      </c>
      <c r="E121" s="108" t="s">
        <v>22</v>
      </c>
      <c r="F121" s="108" t="s">
        <v>22</v>
      </c>
      <c r="G121" s="108"/>
      <c r="H121" s="111"/>
      <c r="I121" s="94" t="s">
        <v>127</v>
      </c>
      <c r="J121" s="94" t="s">
        <v>57</v>
      </c>
      <c r="K121" s="94">
        <v>0</v>
      </c>
      <c r="L121" s="94" t="s">
        <v>421</v>
      </c>
      <c r="M121" s="94" t="s">
        <v>226</v>
      </c>
      <c r="N121" s="100">
        <v>2</v>
      </c>
      <c r="O121" s="110">
        <v>1.0416666666666667E-3</v>
      </c>
    </row>
    <row r="122" spans="2:16" s="101" customFormat="1" ht="54" customHeight="1" thickTop="1" thickBot="1" x14ac:dyDescent="0.25">
      <c r="B122" s="107" t="s">
        <v>25</v>
      </c>
      <c r="C122" s="100" t="s">
        <v>422</v>
      </c>
      <c r="D122" s="100" t="s">
        <v>423</v>
      </c>
      <c r="E122" s="108" t="s">
        <v>22</v>
      </c>
      <c r="F122" s="108" t="s">
        <v>22</v>
      </c>
      <c r="G122" s="108"/>
      <c r="H122" s="111"/>
      <c r="I122" s="94" t="s">
        <v>127</v>
      </c>
      <c r="J122" s="94" t="s">
        <v>57</v>
      </c>
      <c r="K122" s="94">
        <v>0</v>
      </c>
      <c r="L122" s="94" t="s">
        <v>424</v>
      </c>
      <c r="M122" s="94" t="s">
        <v>226</v>
      </c>
      <c r="N122" s="100">
        <v>1</v>
      </c>
      <c r="O122" s="110">
        <v>1.0416666666666667E-3</v>
      </c>
    </row>
    <row r="123" spans="2:16" s="101" customFormat="1" ht="54" customHeight="1" thickTop="1" thickBot="1" x14ac:dyDescent="0.25">
      <c r="B123" s="107" t="s">
        <v>25</v>
      </c>
      <c r="C123" s="100" t="s">
        <v>425</v>
      </c>
      <c r="D123" s="100" t="s">
        <v>426</v>
      </c>
      <c r="E123" s="108" t="s">
        <v>22</v>
      </c>
      <c r="F123" s="108" t="s">
        <v>22</v>
      </c>
      <c r="G123" s="108"/>
      <c r="H123" s="111"/>
      <c r="I123" s="94" t="s">
        <v>127</v>
      </c>
      <c r="J123" s="94" t="s">
        <v>57</v>
      </c>
      <c r="K123" s="94">
        <v>0</v>
      </c>
      <c r="L123" s="94" t="s">
        <v>427</v>
      </c>
      <c r="M123" s="94" t="s">
        <v>117</v>
      </c>
      <c r="N123" s="100">
        <v>1</v>
      </c>
      <c r="O123" s="110">
        <v>1.0416666666666667E-3</v>
      </c>
    </row>
    <row r="124" spans="2:16" s="101" customFormat="1" ht="54" customHeight="1" thickTop="1" thickBot="1" x14ac:dyDescent="0.25">
      <c r="B124" s="107" t="s">
        <v>25</v>
      </c>
      <c r="C124" s="100" t="s">
        <v>428</v>
      </c>
      <c r="D124" s="100" t="s">
        <v>429</v>
      </c>
      <c r="E124" s="108" t="s">
        <v>22</v>
      </c>
      <c r="F124" s="108" t="s">
        <v>22</v>
      </c>
      <c r="G124" s="108"/>
      <c r="H124" s="111"/>
      <c r="I124" s="94" t="s">
        <v>84</v>
      </c>
      <c r="J124" s="94" t="s">
        <v>57</v>
      </c>
      <c r="K124" s="94">
        <v>0</v>
      </c>
      <c r="L124" s="94" t="s">
        <v>430</v>
      </c>
      <c r="M124" s="94" t="s">
        <v>801</v>
      </c>
      <c r="N124" s="100">
        <v>2</v>
      </c>
      <c r="O124" s="110">
        <v>6.9444444444444447E-4</v>
      </c>
    </row>
    <row r="125" spans="2:16" s="101" customFormat="1" ht="54" customHeight="1" thickTop="1" thickBot="1" x14ac:dyDescent="0.25">
      <c r="B125" s="107" t="s">
        <v>25</v>
      </c>
      <c r="C125" s="100" t="s">
        <v>431</v>
      </c>
      <c r="D125" s="100" t="s">
        <v>432</v>
      </c>
      <c r="E125" s="108" t="s">
        <v>22</v>
      </c>
      <c r="F125" s="108" t="s">
        <v>22</v>
      </c>
      <c r="G125" s="108"/>
      <c r="H125" s="111"/>
      <c r="I125" s="94" t="s">
        <v>84</v>
      </c>
      <c r="J125" s="94" t="s">
        <v>128</v>
      </c>
      <c r="K125" s="94">
        <v>0</v>
      </c>
      <c r="L125" s="94" t="s">
        <v>365</v>
      </c>
      <c r="M125" s="94" t="s">
        <v>101</v>
      </c>
      <c r="N125" s="100">
        <v>3</v>
      </c>
      <c r="O125" s="110">
        <v>1.736111111111111E-3</v>
      </c>
    </row>
    <row r="126" spans="2:16" s="101" customFormat="1" ht="54" customHeight="1" thickTop="1" thickBot="1" x14ac:dyDescent="0.25">
      <c r="B126" s="107" t="s">
        <v>25</v>
      </c>
      <c r="C126" s="100" t="s">
        <v>433</v>
      </c>
      <c r="D126" s="100" t="s">
        <v>434</v>
      </c>
      <c r="E126" s="108" t="s">
        <v>22</v>
      </c>
      <c r="F126" s="108" t="s">
        <v>22</v>
      </c>
      <c r="G126" s="108"/>
      <c r="H126" s="111"/>
      <c r="I126" s="94" t="s">
        <v>56</v>
      </c>
      <c r="J126" s="94" t="s">
        <v>57</v>
      </c>
      <c r="K126" s="94">
        <v>0</v>
      </c>
      <c r="L126" s="94" t="s">
        <v>438</v>
      </c>
      <c r="M126" s="94" t="s">
        <v>800</v>
      </c>
      <c r="N126" s="100">
        <v>2</v>
      </c>
      <c r="O126" s="110">
        <v>6.9444444444444447E-4</v>
      </c>
    </row>
    <row r="127" spans="2:16" s="101" customFormat="1" ht="54" customHeight="1" thickTop="1" thickBot="1" x14ac:dyDescent="0.25">
      <c r="B127" s="112" t="s">
        <v>25</v>
      </c>
      <c r="C127" s="113" t="s">
        <v>436</v>
      </c>
      <c r="D127" s="113" t="s">
        <v>437</v>
      </c>
      <c r="E127" s="114" t="s">
        <v>22</v>
      </c>
      <c r="F127" s="114" t="s">
        <v>22</v>
      </c>
      <c r="G127" s="113"/>
      <c r="H127" s="119"/>
      <c r="I127" s="94" t="s">
        <v>56</v>
      </c>
      <c r="J127" s="94" t="s">
        <v>57</v>
      </c>
      <c r="K127" s="94">
        <v>0</v>
      </c>
      <c r="L127" s="94" t="s">
        <v>438</v>
      </c>
      <c r="M127" s="94" t="s">
        <v>800</v>
      </c>
      <c r="N127" s="113">
        <v>2</v>
      </c>
      <c r="O127" s="115">
        <v>6.9444444444444447E-4</v>
      </c>
    </row>
    <row r="128" spans="2:16" s="101" customFormat="1" ht="66" customHeight="1" thickTop="1" thickBot="1" x14ac:dyDescent="0.3">
      <c r="B128" s="120" t="s">
        <v>439</v>
      </c>
      <c r="C128" s="121" t="s">
        <v>440</v>
      </c>
      <c r="D128" s="121" t="s">
        <v>441</v>
      </c>
      <c r="E128" s="121" t="s">
        <v>22</v>
      </c>
      <c r="F128" s="121"/>
      <c r="G128" s="121"/>
      <c r="H128" s="121"/>
      <c r="I128" s="125" t="s">
        <v>84</v>
      </c>
      <c r="J128" s="125" t="s">
        <v>128</v>
      </c>
      <c r="K128" s="125">
        <v>0</v>
      </c>
      <c r="L128" s="125" t="s">
        <v>799</v>
      </c>
      <c r="M128" s="101" t="s">
        <v>798</v>
      </c>
      <c r="N128" s="122">
        <v>2</v>
      </c>
      <c r="O128" s="123">
        <v>2.0013888888888891</v>
      </c>
      <c r="P128" s="124"/>
    </row>
    <row r="129" spans="2:15" s="101" customFormat="1" ht="15.75" thickTop="1" x14ac:dyDescent="0.2">
      <c r="B129" s="125"/>
      <c r="C129" s="125"/>
      <c r="D129" s="125"/>
      <c r="E129" s="125"/>
      <c r="F129" s="125"/>
      <c r="G129" s="125"/>
      <c r="H129" s="125"/>
      <c r="I129" s="125"/>
      <c r="J129" s="125"/>
      <c r="K129" s="125"/>
      <c r="L129" s="125"/>
      <c r="O129" s="126"/>
    </row>
    <row r="130" spans="2:15" s="101" customFormat="1" x14ac:dyDescent="0.2">
      <c r="B130" s="125"/>
      <c r="C130" s="125"/>
      <c r="D130" s="125"/>
      <c r="E130" s="125"/>
      <c r="F130" s="125"/>
      <c r="G130" s="125"/>
      <c r="H130" s="125"/>
      <c r="I130" s="125"/>
      <c r="J130" s="125"/>
      <c r="K130" s="125"/>
      <c r="L130" s="125"/>
      <c r="O130" s="126"/>
    </row>
    <row r="131" spans="2:15" s="101" customFormat="1" x14ac:dyDescent="0.2">
      <c r="B131" s="125"/>
      <c r="C131" s="125"/>
      <c r="D131" s="125"/>
      <c r="E131" s="125"/>
      <c r="F131" s="125"/>
      <c r="G131" s="125"/>
      <c r="H131" s="125"/>
      <c r="I131" s="125"/>
      <c r="J131" s="125"/>
      <c r="K131" s="125"/>
      <c r="L131" s="125"/>
      <c r="O131" s="126"/>
    </row>
    <row r="132" spans="2:15" s="101" customFormat="1" x14ac:dyDescent="0.2">
      <c r="B132" s="125"/>
      <c r="C132" s="125"/>
      <c r="D132" s="125"/>
      <c r="E132" s="125"/>
      <c r="F132" s="125"/>
      <c r="G132" s="125"/>
      <c r="H132" s="125"/>
      <c r="I132" s="125"/>
      <c r="J132" s="125"/>
      <c r="K132" s="125"/>
      <c r="L132" s="125"/>
      <c r="O132" s="126"/>
    </row>
    <row r="133" spans="2:15" s="101" customFormat="1" x14ac:dyDescent="0.2">
      <c r="B133" s="125"/>
      <c r="C133" s="125"/>
      <c r="D133" s="125"/>
      <c r="E133" s="125"/>
      <c r="F133" s="125"/>
      <c r="G133" s="125"/>
      <c r="H133" s="125"/>
      <c r="I133" s="125"/>
      <c r="J133" s="125"/>
      <c r="K133" s="125"/>
      <c r="L133" s="125"/>
      <c r="O133" s="126"/>
    </row>
    <row r="134" spans="2:15" s="101" customFormat="1" x14ac:dyDescent="0.2">
      <c r="B134" s="125"/>
      <c r="C134" s="125"/>
      <c r="D134" s="125"/>
      <c r="E134" s="125"/>
      <c r="F134" s="125"/>
      <c r="G134" s="125"/>
      <c r="H134" s="125"/>
      <c r="I134" s="125"/>
      <c r="J134" s="125"/>
      <c r="K134" s="125"/>
      <c r="L134" s="125"/>
      <c r="O134" s="126"/>
    </row>
    <row r="135" spans="2:15" s="101" customFormat="1" x14ac:dyDescent="0.2">
      <c r="B135" s="125"/>
      <c r="C135" s="125"/>
      <c r="D135" s="125"/>
      <c r="E135" s="125"/>
      <c r="F135" s="125"/>
      <c r="G135" s="125"/>
      <c r="H135" s="125"/>
      <c r="I135" s="125"/>
      <c r="J135" s="125"/>
      <c r="K135" s="125"/>
      <c r="L135" s="125"/>
      <c r="O135" s="126"/>
    </row>
    <row r="136" spans="2:15" s="101" customFormat="1" x14ac:dyDescent="0.2">
      <c r="B136" s="125"/>
      <c r="C136" s="125"/>
      <c r="D136" s="125"/>
      <c r="E136" s="125"/>
      <c r="F136" s="125"/>
      <c r="G136" s="125"/>
      <c r="H136" s="125"/>
      <c r="I136" s="125"/>
      <c r="J136" s="125"/>
      <c r="K136" s="125"/>
      <c r="L136" s="125"/>
      <c r="O136" s="126"/>
    </row>
    <row r="137" spans="2:15" s="101" customFormat="1" x14ac:dyDescent="0.2">
      <c r="B137" s="125"/>
      <c r="C137" s="125"/>
      <c r="D137" s="125"/>
      <c r="E137" s="125"/>
      <c r="F137" s="125"/>
      <c r="G137" s="125"/>
      <c r="H137" s="125"/>
      <c r="I137" s="125"/>
      <c r="J137" s="125"/>
      <c r="K137" s="125"/>
      <c r="L137" s="125"/>
      <c r="O137" s="126"/>
    </row>
    <row r="138" spans="2:15" s="101" customFormat="1" x14ac:dyDescent="0.2">
      <c r="B138" s="125"/>
      <c r="C138" s="125"/>
      <c r="D138" s="125"/>
      <c r="E138" s="125"/>
      <c r="F138" s="125"/>
      <c r="G138" s="125"/>
      <c r="H138" s="125"/>
      <c r="I138" s="125"/>
      <c r="J138" s="125"/>
      <c r="K138" s="125"/>
      <c r="L138" s="125"/>
      <c r="O138" s="126"/>
    </row>
    <row r="139" spans="2:15" s="101" customFormat="1" x14ac:dyDescent="0.2">
      <c r="B139" s="125"/>
      <c r="C139" s="125"/>
      <c r="D139" s="125"/>
      <c r="E139" s="125"/>
      <c r="F139" s="125"/>
      <c r="G139" s="125"/>
      <c r="H139" s="125"/>
      <c r="I139" s="125"/>
      <c r="J139" s="125"/>
      <c r="K139" s="125"/>
      <c r="L139" s="125"/>
      <c r="O139" s="126"/>
    </row>
    <row r="140" spans="2:15" s="101" customFormat="1" x14ac:dyDescent="0.2">
      <c r="B140" s="125"/>
      <c r="C140" s="125"/>
      <c r="D140" s="125"/>
      <c r="E140" s="125"/>
      <c r="F140" s="125"/>
      <c r="G140" s="125"/>
      <c r="H140" s="125"/>
      <c r="I140" s="125"/>
      <c r="J140" s="125"/>
      <c r="K140" s="125"/>
      <c r="L140" s="125"/>
      <c r="O140" s="126"/>
    </row>
    <row r="141" spans="2:15" s="101" customFormat="1" x14ac:dyDescent="0.2">
      <c r="B141" s="125"/>
      <c r="C141" s="125"/>
      <c r="D141" s="125"/>
      <c r="E141" s="125"/>
      <c r="F141" s="125"/>
      <c r="G141" s="125"/>
      <c r="H141" s="125"/>
      <c r="I141" s="125"/>
      <c r="J141" s="125"/>
      <c r="K141" s="125"/>
      <c r="L141" s="125"/>
      <c r="O141" s="126"/>
    </row>
    <row r="142" spans="2:15" s="101" customFormat="1" x14ac:dyDescent="0.2">
      <c r="B142" s="125"/>
      <c r="C142" s="125"/>
      <c r="D142" s="125"/>
      <c r="E142" s="125"/>
      <c r="F142" s="125"/>
      <c r="G142" s="125"/>
      <c r="H142" s="125"/>
      <c r="I142" s="125"/>
      <c r="J142" s="125"/>
      <c r="K142" s="125"/>
      <c r="L142" s="125"/>
      <c r="O142" s="126"/>
    </row>
    <row r="143" spans="2:15" s="101" customFormat="1" x14ac:dyDescent="0.2">
      <c r="B143" s="125"/>
      <c r="C143" s="125"/>
      <c r="D143" s="125"/>
      <c r="E143" s="125"/>
      <c r="F143" s="125"/>
      <c r="G143" s="125"/>
      <c r="H143" s="125"/>
      <c r="I143" s="125"/>
      <c r="J143" s="125"/>
      <c r="K143" s="125"/>
      <c r="L143" s="125"/>
      <c r="O143" s="126"/>
    </row>
    <row r="144" spans="2:15" s="101" customFormat="1" x14ac:dyDescent="0.2">
      <c r="B144" s="125"/>
      <c r="C144" s="125"/>
      <c r="D144" s="125"/>
      <c r="E144" s="125"/>
      <c r="F144" s="125"/>
      <c r="G144" s="125"/>
      <c r="H144" s="125"/>
      <c r="I144" s="125"/>
      <c r="J144" s="125"/>
      <c r="K144" s="125"/>
      <c r="L144" s="125"/>
      <c r="O144" s="126"/>
    </row>
    <row r="145" spans="2:15" s="101" customFormat="1" x14ac:dyDescent="0.2">
      <c r="B145" s="125"/>
      <c r="C145" s="125"/>
      <c r="D145" s="125"/>
      <c r="E145" s="125"/>
      <c r="F145" s="125"/>
      <c r="G145" s="125"/>
      <c r="H145" s="125"/>
      <c r="I145" s="125"/>
      <c r="J145" s="125"/>
      <c r="K145" s="125"/>
      <c r="L145" s="125"/>
      <c r="O145" s="126"/>
    </row>
    <row r="146" spans="2:15" s="101" customFormat="1" x14ac:dyDescent="0.2">
      <c r="B146" s="125"/>
      <c r="C146" s="125"/>
      <c r="D146" s="125"/>
      <c r="E146" s="125"/>
      <c r="F146" s="125"/>
      <c r="G146" s="125"/>
      <c r="H146" s="125"/>
      <c r="I146" s="125"/>
      <c r="J146" s="125"/>
      <c r="K146" s="125"/>
      <c r="L146" s="125"/>
      <c r="O146" s="126"/>
    </row>
    <row r="147" spans="2:15" s="101" customFormat="1" x14ac:dyDescent="0.2">
      <c r="B147" s="125"/>
      <c r="C147" s="125"/>
      <c r="D147" s="125"/>
      <c r="E147" s="125"/>
      <c r="F147" s="125"/>
      <c r="G147" s="125"/>
      <c r="H147" s="125"/>
      <c r="I147" s="125"/>
      <c r="J147" s="125"/>
      <c r="K147" s="125"/>
      <c r="L147" s="125"/>
      <c r="O147" s="126"/>
    </row>
    <row r="148" spans="2:15" s="101" customFormat="1" x14ac:dyDescent="0.2">
      <c r="B148" s="125"/>
      <c r="C148" s="125"/>
      <c r="D148" s="125"/>
      <c r="E148" s="125"/>
      <c r="F148" s="125"/>
      <c r="G148" s="125"/>
      <c r="H148" s="125"/>
      <c r="I148" s="125"/>
      <c r="J148" s="125"/>
      <c r="K148" s="125"/>
      <c r="L148" s="125"/>
      <c r="O148" s="126"/>
    </row>
    <row r="149" spans="2:15" s="101" customFormat="1" x14ac:dyDescent="0.2">
      <c r="B149" s="125"/>
      <c r="C149" s="125"/>
      <c r="D149" s="125"/>
      <c r="E149" s="125"/>
      <c r="F149" s="125"/>
      <c r="G149" s="125"/>
      <c r="H149" s="125"/>
      <c r="I149" s="125"/>
      <c r="J149" s="125"/>
      <c r="K149" s="125"/>
      <c r="L149" s="125"/>
      <c r="O149" s="126"/>
    </row>
    <row r="150" spans="2:15" s="101" customFormat="1" x14ac:dyDescent="0.2">
      <c r="B150" s="125"/>
      <c r="C150" s="125"/>
      <c r="D150" s="125"/>
      <c r="E150" s="125"/>
      <c r="F150" s="125"/>
      <c r="G150" s="125"/>
      <c r="H150" s="125"/>
      <c r="I150" s="125"/>
      <c r="J150" s="125"/>
      <c r="K150" s="125"/>
      <c r="L150" s="125"/>
      <c r="O150" s="126"/>
    </row>
    <row r="151" spans="2:15" s="101" customFormat="1" x14ac:dyDescent="0.2">
      <c r="B151" s="125"/>
      <c r="C151" s="125"/>
      <c r="D151" s="125"/>
      <c r="E151" s="125"/>
      <c r="F151" s="125"/>
      <c r="G151" s="125"/>
      <c r="H151" s="125"/>
      <c r="I151" s="125"/>
      <c r="J151" s="125"/>
      <c r="K151" s="125"/>
      <c r="L151" s="125"/>
      <c r="O151" s="126"/>
    </row>
    <row r="152" spans="2:15" s="101" customFormat="1" x14ac:dyDescent="0.2">
      <c r="B152" s="125"/>
      <c r="C152" s="125"/>
      <c r="D152" s="125"/>
      <c r="E152" s="125"/>
      <c r="F152" s="125"/>
      <c r="G152" s="125"/>
      <c r="H152" s="125"/>
      <c r="I152" s="125"/>
      <c r="J152" s="125"/>
      <c r="K152" s="125"/>
      <c r="L152" s="125"/>
      <c r="O152" s="126"/>
    </row>
    <row r="153" spans="2:15" s="101" customFormat="1" x14ac:dyDescent="0.2">
      <c r="B153" s="125"/>
      <c r="C153" s="125"/>
      <c r="D153" s="125"/>
      <c r="E153" s="125"/>
      <c r="F153" s="125"/>
      <c r="G153" s="125"/>
      <c r="H153" s="125"/>
      <c r="I153" s="125"/>
      <c r="J153" s="125"/>
      <c r="K153" s="125"/>
      <c r="L153" s="125"/>
      <c r="O153" s="126"/>
    </row>
    <row r="154" spans="2:15" s="101" customFormat="1" x14ac:dyDescent="0.2">
      <c r="B154" s="125"/>
      <c r="C154" s="125"/>
      <c r="D154" s="125"/>
      <c r="E154" s="125"/>
      <c r="F154" s="125"/>
      <c r="G154" s="125"/>
      <c r="H154" s="125"/>
      <c r="I154" s="125"/>
      <c r="J154" s="125"/>
      <c r="K154" s="125"/>
      <c r="L154" s="125"/>
      <c r="O154" s="126"/>
    </row>
    <row r="155" spans="2:15" s="101" customFormat="1" x14ac:dyDescent="0.2">
      <c r="B155" s="125"/>
      <c r="C155" s="125"/>
      <c r="D155" s="125"/>
      <c r="E155" s="125"/>
      <c r="F155" s="125"/>
      <c r="G155" s="125"/>
      <c r="H155" s="125"/>
      <c r="I155" s="125"/>
      <c r="J155" s="125"/>
      <c r="K155" s="125"/>
      <c r="L155" s="125"/>
      <c r="O155" s="126"/>
    </row>
    <row r="156" spans="2:15" s="101" customFormat="1" x14ac:dyDescent="0.2">
      <c r="B156" s="125"/>
      <c r="C156" s="125"/>
      <c r="D156" s="125"/>
      <c r="E156" s="125"/>
      <c r="F156" s="125"/>
      <c r="G156" s="125"/>
      <c r="H156" s="125"/>
      <c r="I156" s="125"/>
      <c r="J156" s="125"/>
      <c r="K156" s="125"/>
      <c r="L156" s="125"/>
      <c r="O156" s="126"/>
    </row>
    <row r="157" spans="2:15" s="101" customFormat="1" x14ac:dyDescent="0.2">
      <c r="B157" s="125"/>
      <c r="C157" s="125"/>
      <c r="D157" s="125"/>
      <c r="E157" s="125"/>
      <c r="F157" s="125"/>
      <c r="G157" s="125"/>
      <c r="H157" s="125"/>
      <c r="I157" s="125"/>
      <c r="J157" s="125"/>
      <c r="K157" s="125"/>
      <c r="L157" s="125"/>
      <c r="O157" s="126"/>
    </row>
    <row r="158" spans="2:15" s="101" customFormat="1" x14ac:dyDescent="0.2">
      <c r="B158" s="125"/>
      <c r="C158" s="125"/>
      <c r="D158" s="125"/>
      <c r="E158" s="125"/>
      <c r="F158" s="125"/>
      <c r="G158" s="125"/>
      <c r="H158" s="125"/>
      <c r="I158" s="125"/>
      <c r="J158" s="125"/>
      <c r="K158" s="125"/>
      <c r="L158" s="125"/>
      <c r="O158" s="126"/>
    </row>
    <row r="159" spans="2:15" s="101" customFormat="1" x14ac:dyDescent="0.2">
      <c r="B159" s="125"/>
      <c r="C159" s="125"/>
      <c r="D159" s="125"/>
      <c r="E159" s="125"/>
      <c r="F159" s="125"/>
      <c r="G159" s="125"/>
      <c r="H159" s="125"/>
      <c r="I159" s="125"/>
      <c r="J159" s="125"/>
      <c r="K159" s="125"/>
      <c r="L159" s="125"/>
      <c r="O159" s="126"/>
    </row>
    <row r="160" spans="2:15" s="101" customFormat="1" x14ac:dyDescent="0.2">
      <c r="B160" s="125"/>
      <c r="C160" s="125"/>
      <c r="D160" s="125"/>
      <c r="E160" s="125"/>
      <c r="F160" s="125"/>
      <c r="G160" s="125"/>
      <c r="H160" s="125"/>
      <c r="I160" s="125"/>
      <c r="J160" s="125"/>
      <c r="K160" s="125"/>
      <c r="L160" s="125"/>
      <c r="O160" s="126"/>
    </row>
    <row r="161" spans="2:15" s="101" customFormat="1" x14ac:dyDescent="0.2">
      <c r="B161" s="125"/>
      <c r="C161" s="125"/>
      <c r="D161" s="125"/>
      <c r="E161" s="125"/>
      <c r="F161" s="125"/>
      <c r="G161" s="125"/>
      <c r="H161" s="125"/>
      <c r="I161" s="125"/>
      <c r="J161" s="125"/>
      <c r="K161" s="125"/>
      <c r="L161" s="125"/>
      <c r="O161" s="126"/>
    </row>
    <row r="162" spans="2:15" s="101" customFormat="1" x14ac:dyDescent="0.2">
      <c r="B162" s="125"/>
      <c r="C162" s="125"/>
      <c r="D162" s="125"/>
      <c r="E162" s="125"/>
      <c r="F162" s="125"/>
      <c r="G162" s="125"/>
      <c r="H162" s="125"/>
      <c r="I162" s="125"/>
      <c r="J162" s="125"/>
      <c r="K162" s="125"/>
      <c r="L162" s="125"/>
      <c r="O162" s="126"/>
    </row>
    <row r="163" spans="2:15" s="101" customFormat="1" x14ac:dyDescent="0.2">
      <c r="B163" s="125"/>
      <c r="C163" s="125"/>
      <c r="D163" s="125"/>
      <c r="E163" s="125"/>
      <c r="F163" s="125"/>
      <c r="G163" s="125"/>
      <c r="H163" s="125"/>
      <c r="I163" s="125"/>
      <c r="J163" s="125"/>
      <c r="K163" s="125"/>
      <c r="L163" s="125"/>
      <c r="O163" s="126"/>
    </row>
    <row r="164" spans="2:15" s="101" customFormat="1" x14ac:dyDescent="0.2">
      <c r="B164" s="125"/>
      <c r="C164" s="125"/>
      <c r="D164" s="125"/>
      <c r="E164" s="125"/>
      <c r="F164" s="125"/>
      <c r="G164" s="125"/>
      <c r="H164" s="125"/>
      <c r="I164" s="125"/>
      <c r="J164" s="125"/>
      <c r="K164" s="125"/>
      <c r="L164" s="125"/>
      <c r="O164" s="126"/>
    </row>
    <row r="165" spans="2:15" s="101" customFormat="1" x14ac:dyDescent="0.2">
      <c r="B165" s="125"/>
      <c r="C165" s="125"/>
      <c r="D165" s="125"/>
      <c r="E165" s="125"/>
      <c r="F165" s="125"/>
      <c r="G165" s="125"/>
      <c r="H165" s="125"/>
      <c r="I165" s="125"/>
      <c r="J165" s="125"/>
      <c r="K165" s="125"/>
      <c r="L165" s="125"/>
      <c r="O165" s="126"/>
    </row>
    <row r="166" spans="2:15" s="101" customFormat="1" x14ac:dyDescent="0.2">
      <c r="B166" s="125"/>
      <c r="C166" s="125"/>
      <c r="D166" s="125"/>
      <c r="E166" s="125"/>
      <c r="F166" s="125"/>
      <c r="G166" s="125"/>
      <c r="H166" s="125"/>
      <c r="I166" s="125"/>
      <c r="J166" s="125"/>
      <c r="K166" s="125"/>
      <c r="L166" s="125"/>
      <c r="O166" s="126"/>
    </row>
    <row r="167" spans="2:15" s="101" customFormat="1" x14ac:dyDescent="0.2">
      <c r="B167" s="125"/>
      <c r="C167" s="125"/>
      <c r="D167" s="125"/>
      <c r="E167" s="125"/>
      <c r="F167" s="125"/>
      <c r="G167" s="125"/>
      <c r="H167" s="125"/>
      <c r="I167" s="125"/>
      <c r="J167" s="125"/>
      <c r="K167" s="125"/>
      <c r="L167" s="125"/>
      <c r="O167" s="126"/>
    </row>
    <row r="168" spans="2:15" s="101" customFormat="1" x14ac:dyDescent="0.2">
      <c r="B168" s="125"/>
      <c r="C168" s="125"/>
      <c r="D168" s="125"/>
      <c r="E168" s="125"/>
      <c r="F168" s="125"/>
      <c r="G168" s="125"/>
      <c r="H168" s="125"/>
      <c r="I168" s="125"/>
      <c r="J168" s="125"/>
      <c r="K168" s="125"/>
      <c r="L168" s="125"/>
      <c r="O168" s="126"/>
    </row>
    <row r="169" spans="2:15" s="101" customFormat="1" x14ac:dyDescent="0.2">
      <c r="B169" s="125"/>
      <c r="C169" s="125"/>
      <c r="D169" s="125"/>
      <c r="E169" s="125"/>
      <c r="F169" s="125"/>
      <c r="G169" s="125"/>
      <c r="H169" s="125"/>
      <c r="I169" s="125"/>
      <c r="J169" s="125"/>
      <c r="K169" s="125"/>
      <c r="L169" s="125"/>
      <c r="O169" s="126"/>
    </row>
    <row r="170" spans="2:15" s="101" customFormat="1" x14ac:dyDescent="0.2">
      <c r="B170" s="125"/>
      <c r="C170" s="125"/>
      <c r="D170" s="125"/>
      <c r="E170" s="125"/>
      <c r="F170" s="125"/>
      <c r="G170" s="125"/>
      <c r="H170" s="125"/>
      <c r="I170" s="125"/>
      <c r="J170" s="125"/>
      <c r="K170" s="125"/>
      <c r="L170" s="125"/>
      <c r="O170" s="126"/>
    </row>
    <row r="171" spans="2:15" s="101" customFormat="1" x14ac:dyDescent="0.2">
      <c r="B171" s="125"/>
      <c r="C171" s="125"/>
      <c r="D171" s="125"/>
      <c r="E171" s="125"/>
      <c r="F171" s="125"/>
      <c r="G171" s="125"/>
      <c r="H171" s="125"/>
      <c r="I171" s="125"/>
      <c r="J171" s="125"/>
      <c r="K171" s="125"/>
      <c r="L171" s="125"/>
      <c r="O171" s="126"/>
    </row>
    <row r="172" spans="2:15" s="101" customFormat="1" x14ac:dyDescent="0.2">
      <c r="B172" s="125"/>
      <c r="C172" s="125"/>
      <c r="D172" s="125"/>
      <c r="E172" s="125"/>
      <c r="F172" s="125"/>
      <c r="G172" s="125"/>
      <c r="H172" s="125"/>
      <c r="I172" s="125"/>
      <c r="J172" s="125"/>
      <c r="K172" s="125"/>
      <c r="L172" s="125"/>
      <c r="O172" s="126"/>
    </row>
    <row r="173" spans="2:15" s="101" customFormat="1" x14ac:dyDescent="0.2">
      <c r="B173" s="125"/>
      <c r="C173" s="125"/>
      <c r="D173" s="125"/>
      <c r="E173" s="125"/>
      <c r="F173" s="125"/>
      <c r="G173" s="125"/>
      <c r="H173" s="125"/>
      <c r="I173" s="125"/>
      <c r="J173" s="125"/>
      <c r="K173" s="125"/>
      <c r="L173" s="125"/>
      <c r="O173" s="126"/>
    </row>
    <row r="174" spans="2:15" s="101" customFormat="1" x14ac:dyDescent="0.2">
      <c r="B174" s="125"/>
      <c r="C174" s="125"/>
      <c r="D174" s="125"/>
      <c r="E174" s="125"/>
      <c r="F174" s="125"/>
      <c r="G174" s="125"/>
      <c r="H174" s="125"/>
      <c r="I174" s="125"/>
      <c r="J174" s="125"/>
      <c r="K174" s="125"/>
      <c r="L174" s="125"/>
      <c r="O174" s="126"/>
    </row>
    <row r="175" spans="2:15" s="101" customFormat="1" x14ac:dyDescent="0.2">
      <c r="B175" s="125"/>
      <c r="C175" s="125"/>
      <c r="D175" s="125"/>
      <c r="E175" s="125"/>
      <c r="F175" s="125"/>
      <c r="G175" s="125"/>
      <c r="H175" s="125"/>
      <c r="I175" s="125"/>
      <c r="J175" s="125"/>
      <c r="K175" s="125"/>
      <c r="L175" s="125"/>
      <c r="O175" s="126"/>
    </row>
    <row r="176" spans="2:15" s="101" customFormat="1" x14ac:dyDescent="0.2">
      <c r="B176" s="125"/>
      <c r="C176" s="125"/>
      <c r="D176" s="125"/>
      <c r="E176" s="125"/>
      <c r="F176" s="125"/>
      <c r="G176" s="125"/>
      <c r="H176" s="125"/>
      <c r="I176" s="125"/>
      <c r="J176" s="125"/>
      <c r="K176" s="125"/>
      <c r="L176" s="125"/>
      <c r="O176" s="126"/>
    </row>
    <row r="177" spans="2:15" s="101" customFormat="1" x14ac:dyDescent="0.2">
      <c r="B177" s="125"/>
      <c r="C177" s="125"/>
      <c r="D177" s="125"/>
      <c r="E177" s="125"/>
      <c r="F177" s="125"/>
      <c r="G177" s="125"/>
      <c r="H177" s="125"/>
      <c r="I177" s="125"/>
      <c r="J177" s="125"/>
      <c r="K177" s="125"/>
      <c r="L177" s="125"/>
      <c r="O177" s="126"/>
    </row>
    <row r="178" spans="2:15" s="101" customFormat="1" x14ac:dyDescent="0.2">
      <c r="B178" s="125"/>
      <c r="C178" s="125"/>
      <c r="D178" s="125"/>
      <c r="E178" s="125"/>
      <c r="F178" s="125"/>
      <c r="G178" s="125"/>
      <c r="H178" s="125"/>
      <c r="I178" s="125"/>
      <c r="J178" s="125"/>
      <c r="K178" s="125"/>
      <c r="L178" s="125"/>
      <c r="O178" s="126"/>
    </row>
    <row r="179" spans="2:15" s="101" customFormat="1" x14ac:dyDescent="0.2">
      <c r="B179" s="125"/>
      <c r="C179" s="125"/>
      <c r="D179" s="125"/>
      <c r="E179" s="125"/>
      <c r="F179" s="125"/>
      <c r="G179" s="125"/>
      <c r="H179" s="125"/>
      <c r="I179" s="125"/>
      <c r="J179" s="125"/>
      <c r="K179" s="125"/>
      <c r="L179" s="125"/>
      <c r="O179" s="126"/>
    </row>
    <row r="180" spans="2:15" s="101" customFormat="1" x14ac:dyDescent="0.2">
      <c r="B180" s="125"/>
      <c r="C180" s="125"/>
      <c r="D180" s="125"/>
      <c r="E180" s="125"/>
      <c r="F180" s="125"/>
      <c r="G180" s="125"/>
      <c r="H180" s="125"/>
      <c r="I180" s="125"/>
      <c r="J180" s="125"/>
      <c r="K180" s="125"/>
      <c r="L180" s="125"/>
      <c r="O180" s="126"/>
    </row>
  </sheetData>
  <autoFilter ref="A2:O128" xr:uid="{F9976FA7-4D4F-48EE-A7BD-4E9E5B149848}"/>
  <phoneticPr fontId="8" type="noConversion"/>
  <conditionalFormatting sqref="C3:F19 C20:D22 C41:D51 G26:H127 G4:H22 G3:M3 C53:D62 C52 C65:D78 C63:C64 C80:D88 C79 C90:D105 C107:D112 C106 C114:D127 C113 I3:M128">
    <cfRule type="expression" dxfId="454" priority="34">
      <formula>AND(OR($F3="No",$F3=""), $E3= "Yes",$G3&lt;&gt;"",$H3&lt;&gt;"")</formula>
    </cfRule>
  </conditionalFormatting>
  <conditionalFormatting sqref="C26:D26 C35:D40 E21:F21">
    <cfRule type="expression" dxfId="453" priority="138">
      <formula>AND(OR($F22="No",$F22=""), $E21= "Yes",$G21&lt;&gt;"",$H21&lt;&gt;"")</formula>
    </cfRule>
  </conditionalFormatting>
  <conditionalFormatting sqref="C27:D34">
    <cfRule type="expression" dxfId="452" priority="31">
      <formula>AND(OR($F28="No",$F28=""), $E27= "Yes",$G27&lt;&gt;"",$H27&lt;&gt;"")</formula>
    </cfRule>
  </conditionalFormatting>
  <conditionalFormatting sqref="E26:F127">
    <cfRule type="expression" dxfId="451" priority="22">
      <formula>AND(OR($F26="No",$F26=""), $E26= "Yes",$G26&lt;&gt;"",$H26&lt;&gt;"")</formula>
    </cfRule>
    <cfRule type="expression" dxfId="450" priority="23">
      <formula>AND(OR($E26="No",$E26=""), $F26= "Yes",$G26&lt;&gt;"",$H26&lt;&gt;"")</formula>
    </cfRule>
  </conditionalFormatting>
  <conditionalFormatting sqref="E20:F20">
    <cfRule type="expression" dxfId="449" priority="20">
      <formula>AND(OR($F21="No",$F21=""), $E20= "Yes",$G20&lt;&gt;"",$H20&lt;&gt;"")</formula>
    </cfRule>
  </conditionalFormatting>
  <conditionalFormatting sqref="A2">
    <cfRule type="expression" dxfId="448" priority="18">
      <formula>AND(OR(#REF!="No",#REF!=""), #REF!= "Yes",#REF!&lt;&gt;"",#REF!&lt;&gt;"")</formula>
    </cfRule>
    <cfRule type="expression" dxfId="447" priority="19">
      <formula>AND(OR(#REF!="No",#REF!=""), #REF!= "Yes",#REF!&lt;&gt;"",#REF!&lt;&gt;"")</formula>
    </cfRule>
  </conditionalFormatting>
  <conditionalFormatting sqref="N41:O41 N127:O127 O125:O126 N43:O46 N48:O124">
    <cfRule type="expression" dxfId="446" priority="16">
      <formula>AND(OR($E41="No",$E41=""), $D41= "Yes",$F41&lt;&gt;"",$G41&lt;&gt;"")</formula>
    </cfRule>
  </conditionalFormatting>
  <conditionalFormatting sqref="N3:O19 N21:O22 N20">
    <cfRule type="expression" dxfId="445" priority="14">
      <formula>AND(OR($E3="No",$E3=""), $D3= "Yes",$F3&lt;&gt;"",$G3&lt;&gt;"")</formula>
    </cfRule>
  </conditionalFormatting>
  <conditionalFormatting sqref="N26:O40">
    <cfRule type="expression" dxfId="444" priority="15">
      <formula>AND(OR($E27="No",$E27=""), $D26= "Yes",$F26&lt;&gt;"",$G26&lt;&gt;"")</formula>
    </cfRule>
  </conditionalFormatting>
  <conditionalFormatting sqref="N126">
    <cfRule type="expression" dxfId="443" priority="17">
      <formula>AND(OR($E125="No",$E125=""), $D125= "Yes",$F125&lt;&gt;"",$G125&lt;&gt;"")</formula>
    </cfRule>
  </conditionalFormatting>
  <conditionalFormatting sqref="O20">
    <cfRule type="expression" dxfId="442" priority="13">
      <formula>AND(OR($E20="No",$E20=""), $D20= "Yes",$F20&lt;&gt;"",$G20&lt;&gt;"")</formula>
    </cfRule>
  </conditionalFormatting>
  <conditionalFormatting sqref="N125">
    <cfRule type="expression" dxfId="441" priority="12">
      <formula>AND(OR($E125="No",$E125=""), $D125= "Yes",$F125&lt;&gt;"",$G125&lt;&gt;"")</formula>
    </cfRule>
  </conditionalFormatting>
  <conditionalFormatting sqref="N42:O42">
    <cfRule type="expression" dxfId="440" priority="11">
      <formula>AND(OR($F42="No",$F42=""), $E42= "Yes",$G42&lt;&gt;"",$H42&lt;&gt;"")</formula>
    </cfRule>
  </conditionalFormatting>
  <conditionalFormatting sqref="N23:O25 C23:H24">
    <cfRule type="expression" dxfId="439" priority="8">
      <formula>AND(OR($E23="No",$E23=""), $D23= "Yes",$F23&lt;&gt;"",$G23&lt;&gt;"")</formula>
    </cfRule>
  </conditionalFormatting>
  <conditionalFormatting sqref="C25:D25">
    <cfRule type="expression" dxfId="438" priority="7">
      <formula>AND(OR($E25="No",$E25=""), $D25= "Yes",$F25&lt;&gt;"",$G25&lt;&gt;"")</formula>
    </cfRule>
  </conditionalFormatting>
  <conditionalFormatting sqref="E22:F22">
    <cfRule type="expression" dxfId="437" priority="288">
      <formula>AND(OR($F112="No",$F112=""), $E22= "Yes",$G22&lt;&gt;"",$H22&lt;&gt;"")</formula>
    </cfRule>
  </conditionalFormatting>
  <conditionalFormatting sqref="D52">
    <cfRule type="expression" dxfId="436" priority="6">
      <formula>AND(OR($E52="No",$E52=""), $D52= "Yes",$F52&lt;&gt;"",$G52&lt;&gt;"")</formula>
    </cfRule>
  </conditionalFormatting>
  <conditionalFormatting sqref="D64">
    <cfRule type="expression" dxfId="435" priority="5">
      <formula>AND(OR($E64="No",$E64=""), $D64= "Yes",$F64&lt;&gt;"",$G64&lt;&gt;"")</formula>
    </cfRule>
  </conditionalFormatting>
  <conditionalFormatting sqref="D79">
    <cfRule type="expression" dxfId="434" priority="4">
      <formula>AND(OR($E79="No",$E79=""), $D79= "Yes",$F79&lt;&gt;"",$G79&lt;&gt;"")</formula>
    </cfRule>
  </conditionalFormatting>
  <conditionalFormatting sqref="C89:D89">
    <cfRule type="expression" dxfId="433" priority="3">
      <formula>AND(OR($E89="No",$E89=""), $D89= "Yes",$F89&lt;&gt;"",$G89&lt;&gt;"")</formula>
    </cfRule>
  </conditionalFormatting>
  <conditionalFormatting sqref="D106">
    <cfRule type="expression" dxfId="432" priority="2">
      <formula>AND(OR($F106="No",$F106=""), $E106= "Yes",$G106&lt;&gt;"",$H106&lt;&gt;"")</formula>
    </cfRule>
  </conditionalFormatting>
  <conditionalFormatting sqref="D113">
    <cfRule type="expression" dxfId="431" priority="1">
      <formula>AND(OR($E113="No",$E113=""), $D113= "Yes",$F113&lt;&gt;"",$G113&lt;&gt;"")</formula>
    </cfRule>
  </conditionalFormatting>
  <dataValidations count="1">
    <dataValidation type="list" allowBlank="1" showInputMessage="1" showErrorMessage="1" sqref="E1:F24 E26:F127" xr:uid="{459544E2-9136-4FFF-AD79-5FB115C5BAB9}">
      <formula1>"Yes, No"</formula1>
    </dataValidation>
  </dataValidations>
  <pageMargins left="0.25" right="0.25" top="0.75" bottom="0.75" header="0.3" footer="0.3"/>
  <pageSetup paperSize="8" orientation="landscape"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dimension ref="A1:O180"/>
  <sheetViews>
    <sheetView zoomScale="60" zoomScaleNormal="60" workbookViewId="0">
      <pane ySplit="2" topLeftCell="A40" activePane="bottomLeft" state="frozen"/>
      <selection pane="bottomLeft" activeCell="G61" sqref="G61"/>
    </sheetView>
  </sheetViews>
  <sheetFormatPr defaultColWidth="8.88671875" defaultRowHeight="15" x14ac:dyDescent="0.2"/>
  <cols>
    <col min="1" max="1" width="8.88671875" style="3" customWidth="1"/>
    <col min="2" max="2" width="7.77734375" style="22" customWidth="1"/>
    <col min="3" max="3" width="60.77734375" style="22" customWidth="1"/>
    <col min="4" max="4" width="38.77734375" style="22" customWidth="1"/>
    <col min="5" max="6" width="7.6640625" style="22" customWidth="1"/>
    <col min="7" max="7" width="38.77734375" style="22" customWidth="1"/>
    <col min="8" max="8" width="14.77734375" style="22" customWidth="1"/>
    <col min="9" max="10" width="10.33203125" style="22" customWidth="1"/>
    <col min="11" max="11" width="8.88671875" style="3" customWidth="1"/>
    <col min="12" max="12" width="14.5546875" style="22" customWidth="1"/>
    <col min="13" max="13" width="8.88671875" style="3" customWidth="1"/>
    <col min="14" max="14" width="10.21875" style="3" customWidth="1"/>
    <col min="15" max="17" width="8.88671875" style="3" customWidth="1"/>
    <col min="18" max="16384" width="8.88671875" style="3"/>
  </cols>
  <sheetData>
    <row r="1" spans="1:15" ht="21" customHeight="1" thickBot="1" x14ac:dyDescent="0.25">
      <c r="B1" s="88" t="s">
        <v>44</v>
      </c>
      <c r="C1" s="62" t="s">
        <v>442</v>
      </c>
      <c r="D1" s="23"/>
      <c r="E1" s="23"/>
      <c r="F1" s="23"/>
      <c r="G1" s="23"/>
      <c r="H1" s="23"/>
      <c r="I1" s="23"/>
      <c r="J1" s="23"/>
      <c r="K1" s="22"/>
      <c r="L1" s="23"/>
    </row>
    <row r="2" spans="1:15" s="10" customFormat="1" ht="87.95" customHeight="1" thickBot="1" x14ac:dyDescent="0.25">
      <c r="A2" s="50" t="s">
        <v>38</v>
      </c>
      <c r="B2" s="64" t="s">
        <v>39</v>
      </c>
      <c r="C2" s="65" t="s">
        <v>40</v>
      </c>
      <c r="D2" s="66" t="s">
        <v>41</v>
      </c>
      <c r="E2" s="67" t="s">
        <v>24</v>
      </c>
      <c r="F2" s="67" t="s">
        <v>20</v>
      </c>
      <c r="G2" s="68" t="s">
        <v>42</v>
      </c>
      <c r="H2" s="68" t="s">
        <v>43</v>
      </c>
      <c r="I2" s="63" t="s">
        <v>46</v>
      </c>
      <c r="J2" s="63" t="s">
        <v>47</v>
      </c>
      <c r="K2" s="63" t="s">
        <v>48</v>
      </c>
      <c r="L2" s="63" t="s">
        <v>49</v>
      </c>
      <c r="M2" s="63" t="s">
        <v>50</v>
      </c>
      <c r="N2" s="63" t="s">
        <v>51</v>
      </c>
      <c r="O2" s="63" t="s">
        <v>52</v>
      </c>
    </row>
    <row r="3" spans="1:15" s="101" customFormat="1" ht="54" customHeight="1" thickTop="1" thickBot="1" x14ac:dyDescent="0.25">
      <c r="A3" s="72"/>
      <c r="B3" s="92" t="s">
        <v>11</v>
      </c>
      <c r="C3" s="93" t="s">
        <v>443</v>
      </c>
      <c r="D3" s="93" t="s">
        <v>444</v>
      </c>
      <c r="E3" s="93" t="s">
        <v>12</v>
      </c>
      <c r="F3" s="93" t="s">
        <v>22</v>
      </c>
      <c r="G3" s="93" t="s">
        <v>55</v>
      </c>
      <c r="H3" s="95" t="s">
        <v>55</v>
      </c>
      <c r="I3" s="94" t="s">
        <v>56</v>
      </c>
      <c r="J3" s="94" t="s">
        <v>57</v>
      </c>
      <c r="K3" s="94">
        <v>0</v>
      </c>
      <c r="L3" s="94" t="s">
        <v>445</v>
      </c>
      <c r="M3" s="94" t="s">
        <v>59</v>
      </c>
      <c r="N3" s="93">
        <v>2</v>
      </c>
      <c r="O3" s="96">
        <v>5.2083333333333333E-4</v>
      </c>
    </row>
    <row r="4" spans="1:15" s="101" customFormat="1" ht="54" customHeight="1" thickTop="1" thickBot="1" x14ac:dyDescent="0.25">
      <c r="A4" s="72"/>
      <c r="B4" s="73" t="s">
        <v>11</v>
      </c>
      <c r="C4" s="74" t="s">
        <v>446</v>
      </c>
      <c r="D4" s="74" t="s">
        <v>447</v>
      </c>
      <c r="E4" s="74" t="s">
        <v>12</v>
      </c>
      <c r="F4" s="74" t="s">
        <v>22</v>
      </c>
      <c r="G4" s="74" t="s">
        <v>55</v>
      </c>
      <c r="H4" s="85" t="s">
        <v>55</v>
      </c>
      <c r="I4" s="94" t="s">
        <v>56</v>
      </c>
      <c r="J4" s="94" t="s">
        <v>57</v>
      </c>
      <c r="K4" s="94">
        <v>0</v>
      </c>
      <c r="L4" s="94" t="s">
        <v>62</v>
      </c>
      <c r="M4" s="94" t="s">
        <v>63</v>
      </c>
      <c r="N4" s="74">
        <v>1</v>
      </c>
      <c r="O4" s="77">
        <v>1.3888888888888889E-3</v>
      </c>
    </row>
    <row r="5" spans="1:15" s="101" customFormat="1" ht="54" customHeight="1" thickTop="1" thickBot="1" x14ac:dyDescent="0.25">
      <c r="A5" s="72"/>
      <c r="B5" s="73" t="s">
        <v>11</v>
      </c>
      <c r="C5" s="74" t="s">
        <v>448</v>
      </c>
      <c r="D5" s="74" t="s">
        <v>449</v>
      </c>
      <c r="E5" s="74" t="s">
        <v>12</v>
      </c>
      <c r="F5" s="74" t="s">
        <v>22</v>
      </c>
      <c r="G5" s="74" t="s">
        <v>55</v>
      </c>
      <c r="H5" s="85" t="s">
        <v>55</v>
      </c>
      <c r="I5" s="94" t="s">
        <v>56</v>
      </c>
      <c r="J5" s="94" t="s">
        <v>57</v>
      </c>
      <c r="K5" s="94">
        <v>0</v>
      </c>
      <c r="L5" s="94" t="s">
        <v>88</v>
      </c>
      <c r="M5" s="94" t="s">
        <v>59</v>
      </c>
      <c r="N5" s="74">
        <v>1</v>
      </c>
      <c r="O5" s="77">
        <v>2.0833333333333333E-3</v>
      </c>
    </row>
    <row r="6" spans="1:15" s="101" customFormat="1" ht="54" customHeight="1" thickTop="1" thickBot="1" x14ac:dyDescent="0.25">
      <c r="A6" s="72"/>
      <c r="B6" s="78" t="s">
        <v>11</v>
      </c>
      <c r="C6" s="79" t="s">
        <v>450</v>
      </c>
      <c r="D6" s="79" t="s">
        <v>451</v>
      </c>
      <c r="E6" s="79" t="s">
        <v>12</v>
      </c>
      <c r="F6" s="79" t="s">
        <v>22</v>
      </c>
      <c r="G6" s="79" t="s">
        <v>55</v>
      </c>
      <c r="H6" s="86" t="s">
        <v>55</v>
      </c>
      <c r="I6" s="94" t="s">
        <v>56</v>
      </c>
      <c r="J6" s="94" t="s">
        <v>57</v>
      </c>
      <c r="K6" s="94">
        <v>0</v>
      </c>
      <c r="L6" s="94" t="s">
        <v>93</v>
      </c>
      <c r="M6" s="94" t="s">
        <v>59</v>
      </c>
      <c r="N6" s="79">
        <v>1</v>
      </c>
      <c r="O6" s="83">
        <v>1.0416666666666667E-3</v>
      </c>
    </row>
    <row r="7" spans="1:15" s="101" customFormat="1" ht="54" customHeight="1" thickTop="1" thickBot="1" x14ac:dyDescent="0.25">
      <c r="A7" s="72"/>
      <c r="B7" s="92" t="s">
        <v>14</v>
      </c>
      <c r="C7" s="93" t="s">
        <v>452</v>
      </c>
      <c r="D7" s="93" t="s">
        <v>453</v>
      </c>
      <c r="E7" s="94" t="s">
        <v>12</v>
      </c>
      <c r="F7" s="94" t="s">
        <v>22</v>
      </c>
      <c r="G7" s="93" t="s">
        <v>126</v>
      </c>
      <c r="H7" s="95">
        <v>45671</v>
      </c>
      <c r="I7" s="94" t="s">
        <v>127</v>
      </c>
      <c r="J7" s="94" t="s">
        <v>128</v>
      </c>
      <c r="K7" s="94">
        <v>0</v>
      </c>
      <c r="L7" s="94" t="s">
        <v>129</v>
      </c>
      <c r="M7" s="94" t="s">
        <v>101</v>
      </c>
      <c r="N7" s="93">
        <v>4</v>
      </c>
      <c r="O7" s="96">
        <v>1.736111111111111E-3</v>
      </c>
    </row>
    <row r="8" spans="1:15" s="101" customFormat="1" ht="54" customHeight="1" thickTop="1" thickBot="1" x14ac:dyDescent="0.25">
      <c r="A8" s="72"/>
      <c r="B8" s="73" t="s">
        <v>14</v>
      </c>
      <c r="C8" s="74" t="s">
        <v>454</v>
      </c>
      <c r="D8" s="74" t="s">
        <v>455</v>
      </c>
      <c r="E8" s="75" t="s">
        <v>12</v>
      </c>
      <c r="F8" s="75" t="s">
        <v>22</v>
      </c>
      <c r="G8" s="75" t="s">
        <v>233</v>
      </c>
      <c r="H8" s="76">
        <v>45709</v>
      </c>
      <c r="I8" s="94" t="s">
        <v>127</v>
      </c>
      <c r="J8" s="94" t="s">
        <v>128</v>
      </c>
      <c r="K8" s="94">
        <v>0</v>
      </c>
      <c r="L8" s="94" t="s">
        <v>129</v>
      </c>
      <c r="M8" s="94" t="s">
        <v>101</v>
      </c>
      <c r="N8" s="74">
        <v>4</v>
      </c>
      <c r="O8" s="77">
        <v>1.736111111111111E-3</v>
      </c>
    </row>
    <row r="9" spans="1:15" s="101" customFormat="1" ht="54" customHeight="1" thickTop="1" thickBot="1" x14ac:dyDescent="0.25">
      <c r="A9" s="72"/>
      <c r="B9" s="73" t="s">
        <v>14</v>
      </c>
      <c r="C9" s="74" t="s">
        <v>456</v>
      </c>
      <c r="D9" s="74" t="s">
        <v>457</v>
      </c>
      <c r="E9" s="75" t="s">
        <v>12</v>
      </c>
      <c r="F9" s="75" t="s">
        <v>22</v>
      </c>
      <c r="G9" s="74" t="s">
        <v>126</v>
      </c>
      <c r="H9" s="85">
        <v>45671</v>
      </c>
      <c r="I9" s="94" t="s">
        <v>127</v>
      </c>
      <c r="J9" s="94" t="s">
        <v>128</v>
      </c>
      <c r="K9" s="94">
        <v>0</v>
      </c>
      <c r="L9" s="94" t="s">
        <v>129</v>
      </c>
      <c r="M9" s="94" t="s">
        <v>101</v>
      </c>
      <c r="N9" s="74">
        <v>4</v>
      </c>
      <c r="O9" s="77">
        <v>1.736111111111111E-3</v>
      </c>
    </row>
    <row r="10" spans="1:15" s="101" customFormat="1" ht="54" customHeight="1" thickTop="1" thickBot="1" x14ac:dyDescent="0.25">
      <c r="A10" s="72"/>
      <c r="B10" s="73" t="s">
        <v>14</v>
      </c>
      <c r="C10" s="74" t="s">
        <v>458</v>
      </c>
      <c r="D10" s="74" t="s">
        <v>459</v>
      </c>
      <c r="E10" s="75" t="s">
        <v>12</v>
      </c>
      <c r="F10" s="75" t="s">
        <v>22</v>
      </c>
      <c r="G10" s="75" t="s">
        <v>233</v>
      </c>
      <c r="H10" s="76">
        <v>45709</v>
      </c>
      <c r="I10" s="94" t="s">
        <v>127</v>
      </c>
      <c r="J10" s="94" t="s">
        <v>128</v>
      </c>
      <c r="K10" s="94">
        <v>0</v>
      </c>
      <c r="L10" s="94" t="s">
        <v>129</v>
      </c>
      <c r="M10" s="94" t="s">
        <v>101</v>
      </c>
      <c r="N10" s="74">
        <v>4</v>
      </c>
      <c r="O10" s="77">
        <v>1.736111111111111E-3</v>
      </c>
    </row>
    <row r="11" spans="1:15" s="101" customFormat="1" ht="54" customHeight="1" thickTop="1" thickBot="1" x14ac:dyDescent="0.25">
      <c r="A11" s="72"/>
      <c r="B11" s="73" t="s">
        <v>14</v>
      </c>
      <c r="C11" s="74" t="s">
        <v>460</v>
      </c>
      <c r="D11" s="74" t="s">
        <v>461</v>
      </c>
      <c r="E11" s="75" t="s">
        <v>12</v>
      </c>
      <c r="F11" s="75" t="s">
        <v>22</v>
      </c>
      <c r="G11" s="75" t="s">
        <v>139</v>
      </c>
      <c r="H11" s="76">
        <v>45674</v>
      </c>
      <c r="I11" s="94" t="s">
        <v>127</v>
      </c>
      <c r="J11" s="94" t="s">
        <v>57</v>
      </c>
      <c r="K11" s="94">
        <v>0</v>
      </c>
      <c r="L11" s="94" t="s">
        <v>462</v>
      </c>
      <c r="M11" s="94" t="s">
        <v>117</v>
      </c>
      <c r="N11" s="74">
        <v>1</v>
      </c>
      <c r="O11" s="77">
        <v>6.9444444444444447E-4</v>
      </c>
    </row>
    <row r="12" spans="1:15" s="101" customFormat="1" ht="54" customHeight="1" thickTop="1" thickBot="1" x14ac:dyDescent="0.25">
      <c r="A12" s="72"/>
      <c r="B12" s="73" t="s">
        <v>14</v>
      </c>
      <c r="C12" s="74" t="s">
        <v>463</v>
      </c>
      <c r="D12" s="74" t="s">
        <v>464</v>
      </c>
      <c r="E12" s="75" t="s">
        <v>12</v>
      </c>
      <c r="F12" s="75" t="s">
        <v>22</v>
      </c>
      <c r="G12" s="75" t="s">
        <v>233</v>
      </c>
      <c r="H12" s="76">
        <v>45709</v>
      </c>
      <c r="I12" s="94" t="s">
        <v>56</v>
      </c>
      <c r="J12" s="94" t="s">
        <v>128</v>
      </c>
      <c r="K12" s="94">
        <v>0</v>
      </c>
      <c r="L12" s="94" t="s">
        <v>153</v>
      </c>
      <c r="M12" s="94" t="s">
        <v>154</v>
      </c>
      <c r="N12" s="74">
        <v>2</v>
      </c>
      <c r="O12" s="77">
        <v>4.6296296296296293E-4</v>
      </c>
    </row>
    <row r="13" spans="1:15" s="101" customFormat="1" ht="54" customHeight="1" thickTop="1" thickBot="1" x14ac:dyDescent="0.25">
      <c r="A13" s="72"/>
      <c r="B13" s="73" t="s">
        <v>14</v>
      </c>
      <c r="C13" s="74" t="s">
        <v>465</v>
      </c>
      <c r="D13" s="74" t="s">
        <v>466</v>
      </c>
      <c r="E13" s="75" t="s">
        <v>12</v>
      </c>
      <c r="F13" s="75" t="s">
        <v>22</v>
      </c>
      <c r="G13" s="75" t="s">
        <v>233</v>
      </c>
      <c r="H13" s="76">
        <v>45709</v>
      </c>
      <c r="I13" s="94" t="s">
        <v>56</v>
      </c>
      <c r="J13" s="94" t="s">
        <v>128</v>
      </c>
      <c r="K13" s="94">
        <v>0</v>
      </c>
      <c r="L13" s="94" t="s">
        <v>153</v>
      </c>
      <c r="M13" s="94" t="s">
        <v>154</v>
      </c>
      <c r="N13" s="74">
        <v>2</v>
      </c>
      <c r="O13" s="77">
        <v>4.6296296296296293E-4</v>
      </c>
    </row>
    <row r="14" spans="1:15" s="101" customFormat="1" ht="54" customHeight="1" thickTop="1" thickBot="1" x14ac:dyDescent="0.25">
      <c r="A14" s="72"/>
      <c r="B14" s="78" t="s">
        <v>14</v>
      </c>
      <c r="C14" s="79" t="s">
        <v>467</v>
      </c>
      <c r="D14" s="79" t="s">
        <v>468</v>
      </c>
      <c r="E14" s="82" t="s">
        <v>12</v>
      </c>
      <c r="F14" s="82" t="s">
        <v>22</v>
      </c>
      <c r="G14" s="79" t="s">
        <v>469</v>
      </c>
      <c r="H14" s="86">
        <v>45675</v>
      </c>
      <c r="I14" s="94" t="s">
        <v>84</v>
      </c>
      <c r="J14" s="94" t="s">
        <v>57</v>
      </c>
      <c r="K14" s="94">
        <v>0</v>
      </c>
      <c r="L14" s="94" t="s">
        <v>470</v>
      </c>
      <c r="M14" s="94" t="s">
        <v>101</v>
      </c>
      <c r="N14" s="79">
        <v>1</v>
      </c>
      <c r="O14" s="83">
        <v>6.9444444444444447E-4</v>
      </c>
    </row>
    <row r="15" spans="1:15" s="101" customFormat="1" ht="54" customHeight="1" thickTop="1" thickBot="1" x14ac:dyDescent="0.25">
      <c r="A15" s="72"/>
      <c r="B15" s="92" t="s">
        <v>17</v>
      </c>
      <c r="C15" s="93" t="s">
        <v>471</v>
      </c>
      <c r="D15" s="93" t="s">
        <v>197</v>
      </c>
      <c r="E15" s="94" t="s">
        <v>12</v>
      </c>
      <c r="F15" s="94" t="s">
        <v>22</v>
      </c>
      <c r="G15" s="94" t="s">
        <v>198</v>
      </c>
      <c r="H15" s="98">
        <v>45673</v>
      </c>
      <c r="I15" s="94" t="s">
        <v>127</v>
      </c>
      <c r="J15" s="94" t="s">
        <v>128</v>
      </c>
      <c r="K15" s="94">
        <v>0</v>
      </c>
      <c r="L15" s="94" t="s">
        <v>199</v>
      </c>
      <c r="M15" s="94" t="s">
        <v>195</v>
      </c>
      <c r="N15" s="93">
        <v>1</v>
      </c>
      <c r="O15" s="96">
        <v>3.4722222222222224E-4</v>
      </c>
    </row>
    <row r="16" spans="1:15" s="101" customFormat="1" ht="54" customHeight="1" thickTop="1" thickBot="1" x14ac:dyDescent="0.25">
      <c r="A16" s="72"/>
      <c r="B16" s="73" t="s">
        <v>17</v>
      </c>
      <c r="C16" s="74" t="s">
        <v>472</v>
      </c>
      <c r="D16" s="74" t="s">
        <v>197</v>
      </c>
      <c r="E16" s="75" t="s">
        <v>12</v>
      </c>
      <c r="F16" s="75" t="s">
        <v>22</v>
      </c>
      <c r="G16" s="75" t="s">
        <v>198</v>
      </c>
      <c r="H16" s="76">
        <v>45673</v>
      </c>
      <c r="I16" s="94" t="s">
        <v>127</v>
      </c>
      <c r="J16" s="94" t="s">
        <v>128</v>
      </c>
      <c r="K16" s="94">
        <v>0</v>
      </c>
      <c r="L16" s="94" t="s">
        <v>199</v>
      </c>
      <c r="M16" s="94" t="s">
        <v>195</v>
      </c>
      <c r="N16" s="74">
        <v>1</v>
      </c>
      <c r="O16" s="77">
        <v>3.4722222222222224E-4</v>
      </c>
    </row>
    <row r="17" spans="1:15" s="101" customFormat="1" ht="54" customHeight="1" thickTop="1" thickBot="1" x14ac:dyDescent="0.25">
      <c r="A17" s="72"/>
      <c r="B17" s="73" t="s">
        <v>17</v>
      </c>
      <c r="C17" s="74" t="s">
        <v>473</v>
      </c>
      <c r="D17" s="74" t="s">
        <v>812</v>
      </c>
      <c r="E17" s="75" t="s">
        <v>12</v>
      </c>
      <c r="F17" s="75" t="s">
        <v>22</v>
      </c>
      <c r="G17" s="74" t="s">
        <v>202</v>
      </c>
      <c r="H17" s="85">
        <v>45672</v>
      </c>
      <c r="I17" s="94" t="s">
        <v>84</v>
      </c>
      <c r="J17" s="94" t="s">
        <v>128</v>
      </c>
      <c r="K17" s="94">
        <v>0</v>
      </c>
      <c r="L17" s="94" t="s">
        <v>203</v>
      </c>
      <c r="M17" s="94" t="s">
        <v>806</v>
      </c>
      <c r="N17" s="74">
        <v>1</v>
      </c>
      <c r="O17" s="77">
        <v>3.4722222222222224E-4</v>
      </c>
    </row>
    <row r="18" spans="1:15" s="101" customFormat="1" ht="54" customHeight="1" thickTop="1" thickBot="1" x14ac:dyDescent="0.25">
      <c r="A18" s="72"/>
      <c r="B18" s="73" t="s">
        <v>17</v>
      </c>
      <c r="C18" s="74" t="s">
        <v>474</v>
      </c>
      <c r="D18" s="74" t="s">
        <v>205</v>
      </c>
      <c r="E18" s="75" t="s">
        <v>12</v>
      </c>
      <c r="F18" s="75" t="s">
        <v>22</v>
      </c>
      <c r="G18" s="74" t="s">
        <v>206</v>
      </c>
      <c r="H18" s="85">
        <v>45673</v>
      </c>
      <c r="I18" s="94" t="s">
        <v>127</v>
      </c>
      <c r="J18" s="94" t="s">
        <v>128</v>
      </c>
      <c r="K18" s="94">
        <v>0</v>
      </c>
      <c r="L18" s="94" t="s">
        <v>207</v>
      </c>
      <c r="M18" s="94" t="s">
        <v>195</v>
      </c>
      <c r="N18" s="74">
        <v>1</v>
      </c>
      <c r="O18" s="77">
        <v>5.7870370370370378E-4</v>
      </c>
    </row>
    <row r="19" spans="1:15" s="101" customFormat="1" ht="54" customHeight="1" thickTop="1" thickBot="1" x14ac:dyDescent="0.25">
      <c r="A19" s="72"/>
      <c r="B19" s="73" t="s">
        <v>17</v>
      </c>
      <c r="C19" s="74" t="s">
        <v>475</v>
      </c>
      <c r="D19" s="74" t="s">
        <v>209</v>
      </c>
      <c r="E19" s="75" t="s">
        <v>12</v>
      </c>
      <c r="F19" s="75" t="s">
        <v>22</v>
      </c>
      <c r="G19" s="75" t="s">
        <v>210</v>
      </c>
      <c r="H19" s="76">
        <v>45673</v>
      </c>
      <c r="I19" s="94" t="s">
        <v>127</v>
      </c>
      <c r="J19" s="94" t="s">
        <v>128</v>
      </c>
      <c r="K19" s="94">
        <v>0</v>
      </c>
      <c r="L19" s="94" t="s">
        <v>211</v>
      </c>
      <c r="M19" s="94" t="s">
        <v>195</v>
      </c>
      <c r="N19" s="74">
        <v>2</v>
      </c>
      <c r="O19" s="77">
        <v>6.9444444444444447E-4</v>
      </c>
    </row>
    <row r="20" spans="1:15" s="101" customFormat="1" ht="54" customHeight="1" thickTop="1" thickBot="1" x14ac:dyDescent="0.25">
      <c r="A20" s="72"/>
      <c r="B20" s="73" t="s">
        <v>17</v>
      </c>
      <c r="C20" s="74" t="s">
        <v>476</v>
      </c>
      <c r="D20" s="74" t="s">
        <v>213</v>
      </c>
      <c r="E20" s="75" t="s">
        <v>12</v>
      </c>
      <c r="F20" s="75" t="s">
        <v>22</v>
      </c>
      <c r="G20" s="74" t="s">
        <v>257</v>
      </c>
      <c r="H20" s="85">
        <v>45672</v>
      </c>
      <c r="I20" s="94" t="s">
        <v>56</v>
      </c>
      <c r="J20" s="94" t="s">
        <v>128</v>
      </c>
      <c r="K20" s="94">
        <v>0</v>
      </c>
      <c r="L20" s="94" t="s">
        <v>215</v>
      </c>
      <c r="M20" s="94" t="s">
        <v>195</v>
      </c>
      <c r="N20" s="74">
        <v>1</v>
      </c>
      <c r="O20" s="77">
        <v>3.4722222222222224E-4</v>
      </c>
    </row>
    <row r="21" spans="1:15" s="101" customFormat="1" ht="54" customHeight="1" thickTop="1" thickBot="1" x14ac:dyDescent="0.25">
      <c r="A21" s="72"/>
      <c r="B21" s="73" t="s">
        <v>17</v>
      </c>
      <c r="C21" s="74" t="s">
        <v>477</v>
      </c>
      <c r="D21" s="74" t="s">
        <v>217</v>
      </c>
      <c r="E21" s="75" t="s">
        <v>12</v>
      </c>
      <c r="F21" s="75" t="s">
        <v>22</v>
      </c>
      <c r="G21" s="75" t="s">
        <v>210</v>
      </c>
      <c r="H21" s="76">
        <v>45673</v>
      </c>
      <c r="I21" s="94" t="s">
        <v>127</v>
      </c>
      <c r="J21" s="94" t="s">
        <v>57</v>
      </c>
      <c r="K21" s="94">
        <v>0</v>
      </c>
      <c r="L21" s="94" t="s">
        <v>207</v>
      </c>
      <c r="M21" s="94" t="s">
        <v>195</v>
      </c>
      <c r="N21" s="74">
        <v>1</v>
      </c>
      <c r="O21" s="77">
        <v>1.0416666666666667E-3</v>
      </c>
    </row>
    <row r="22" spans="1:15" s="101" customFormat="1" ht="54" customHeight="1" thickTop="1" thickBot="1" x14ac:dyDescent="0.25">
      <c r="A22" s="72"/>
      <c r="B22" s="73" t="s">
        <v>17</v>
      </c>
      <c r="C22" s="74" t="s">
        <v>478</v>
      </c>
      <c r="D22" s="74" t="s">
        <v>219</v>
      </c>
      <c r="E22" s="75" t="s">
        <v>12</v>
      </c>
      <c r="F22" s="75" t="s">
        <v>22</v>
      </c>
      <c r="G22" s="75" t="s">
        <v>220</v>
      </c>
      <c r="H22" s="76">
        <v>45673</v>
      </c>
      <c r="I22" s="94" t="s">
        <v>127</v>
      </c>
      <c r="J22" s="94" t="s">
        <v>128</v>
      </c>
      <c r="K22" s="94">
        <v>0</v>
      </c>
      <c r="L22" s="94" t="s">
        <v>221</v>
      </c>
      <c r="M22" s="94" t="s">
        <v>195</v>
      </c>
      <c r="N22" s="74">
        <v>1</v>
      </c>
      <c r="O22" s="77">
        <v>1.1574074074074073E-4</v>
      </c>
    </row>
    <row r="23" spans="1:15" s="101" customFormat="1" ht="54" customHeight="1" thickTop="1" thickBot="1" x14ac:dyDescent="0.25">
      <c r="A23" s="72"/>
      <c r="B23" s="73" t="s">
        <v>17</v>
      </c>
      <c r="C23" s="74" t="s">
        <v>479</v>
      </c>
      <c r="D23" s="74" t="s">
        <v>811</v>
      </c>
      <c r="E23" s="75" t="s">
        <v>12</v>
      </c>
      <c r="F23" s="75" t="s">
        <v>22</v>
      </c>
      <c r="G23" s="74" t="s">
        <v>202</v>
      </c>
      <c r="H23" s="85">
        <v>45672</v>
      </c>
      <c r="I23" s="94" t="s">
        <v>84</v>
      </c>
      <c r="J23" s="94" t="s">
        <v>128</v>
      </c>
      <c r="K23" s="94">
        <v>0</v>
      </c>
      <c r="L23" s="94" t="s">
        <v>480</v>
      </c>
      <c r="M23" s="94" t="s">
        <v>806</v>
      </c>
      <c r="N23" s="74">
        <v>1</v>
      </c>
      <c r="O23" s="77">
        <v>3.4722222222222224E-4</v>
      </c>
    </row>
    <row r="24" spans="1:15" s="101" customFormat="1" ht="54" customHeight="1" thickTop="1" thickBot="1" x14ac:dyDescent="0.25">
      <c r="A24" s="72"/>
      <c r="B24" s="73" t="s">
        <v>17</v>
      </c>
      <c r="C24" s="74" t="s">
        <v>481</v>
      </c>
      <c r="D24" s="74" t="s">
        <v>232</v>
      </c>
      <c r="E24" s="75" t="s">
        <v>12</v>
      </c>
      <c r="F24" s="75" t="s">
        <v>22</v>
      </c>
      <c r="G24" s="75" t="s">
        <v>233</v>
      </c>
      <c r="H24" s="76">
        <v>45672</v>
      </c>
      <c r="I24" s="94" t="s">
        <v>127</v>
      </c>
      <c r="J24" s="94" t="s">
        <v>128</v>
      </c>
      <c r="K24" s="94">
        <v>0</v>
      </c>
      <c r="L24" s="94" t="s">
        <v>234</v>
      </c>
      <c r="M24" s="94" t="s">
        <v>195</v>
      </c>
      <c r="N24" s="74">
        <v>1</v>
      </c>
      <c r="O24" s="77">
        <v>6.9444444444444447E-4</v>
      </c>
    </row>
    <row r="25" spans="1:15" s="101" customFormat="1" ht="54" customHeight="1" thickTop="1" thickBot="1" x14ac:dyDescent="0.25">
      <c r="A25" s="72"/>
      <c r="B25" s="73" t="s">
        <v>17</v>
      </c>
      <c r="C25" s="74" t="s">
        <v>482</v>
      </c>
      <c r="D25" s="74" t="s">
        <v>256</v>
      </c>
      <c r="E25" s="75" t="s">
        <v>12</v>
      </c>
      <c r="F25" s="75" t="s">
        <v>22</v>
      </c>
      <c r="G25" s="74" t="s">
        <v>257</v>
      </c>
      <c r="H25" s="85">
        <v>45672</v>
      </c>
      <c r="I25" s="94" t="s">
        <v>56</v>
      </c>
      <c r="J25" s="94" t="s">
        <v>128</v>
      </c>
      <c r="K25" s="94">
        <v>0</v>
      </c>
      <c r="L25" s="94" t="s">
        <v>258</v>
      </c>
      <c r="M25" s="94" t="s">
        <v>195</v>
      </c>
      <c r="N25" s="74">
        <v>1</v>
      </c>
      <c r="O25" s="77">
        <v>3.4722222222222224E-4</v>
      </c>
    </row>
    <row r="26" spans="1:15" s="101" customFormat="1" ht="54" customHeight="1" thickTop="1" thickBot="1" x14ac:dyDescent="0.25">
      <c r="A26" s="72"/>
      <c r="B26" s="73" t="s">
        <v>17</v>
      </c>
      <c r="C26" s="74" t="s">
        <v>483</v>
      </c>
      <c r="D26" s="74" t="s">
        <v>484</v>
      </c>
      <c r="E26" s="75" t="s">
        <v>12</v>
      </c>
      <c r="F26" s="75" t="s">
        <v>22</v>
      </c>
      <c r="G26" s="74" t="s">
        <v>485</v>
      </c>
      <c r="H26" s="85">
        <v>45672</v>
      </c>
      <c r="I26" s="94" t="s">
        <v>56</v>
      </c>
      <c r="J26" s="94" t="s">
        <v>128</v>
      </c>
      <c r="K26" s="94">
        <v>0</v>
      </c>
      <c r="L26" s="94" t="s">
        <v>486</v>
      </c>
      <c r="M26" s="94" t="s">
        <v>195</v>
      </c>
      <c r="N26" s="74">
        <v>2</v>
      </c>
      <c r="O26" s="77">
        <v>2.3148148148148146E-4</v>
      </c>
    </row>
    <row r="27" spans="1:15" s="101" customFormat="1" ht="54" customHeight="1" thickTop="1" thickBot="1" x14ac:dyDescent="0.25">
      <c r="A27" s="72"/>
      <c r="B27" s="73" t="s">
        <v>17</v>
      </c>
      <c r="C27" s="74" t="s">
        <v>487</v>
      </c>
      <c r="D27" s="74" t="s">
        <v>810</v>
      </c>
      <c r="E27" s="75" t="s">
        <v>12</v>
      </c>
      <c r="F27" s="75" t="s">
        <v>22</v>
      </c>
      <c r="G27" s="74" t="s">
        <v>202</v>
      </c>
      <c r="H27" s="85">
        <v>45672</v>
      </c>
      <c r="I27" s="94" t="s">
        <v>84</v>
      </c>
      <c r="J27" s="94" t="s">
        <v>128</v>
      </c>
      <c r="K27" s="94">
        <v>0</v>
      </c>
      <c r="L27" s="94" t="s">
        <v>488</v>
      </c>
      <c r="M27" s="94" t="s">
        <v>806</v>
      </c>
      <c r="N27" s="74">
        <v>1</v>
      </c>
      <c r="O27" s="77">
        <v>3.4722222222222224E-4</v>
      </c>
    </row>
    <row r="28" spans="1:15" s="101" customFormat="1" ht="54" customHeight="1" thickTop="1" thickBot="1" x14ac:dyDescent="0.25">
      <c r="A28" s="72"/>
      <c r="B28" s="73" t="s">
        <v>17</v>
      </c>
      <c r="C28" s="74" t="s">
        <v>489</v>
      </c>
      <c r="D28" s="74" t="s">
        <v>490</v>
      </c>
      <c r="E28" s="75" t="s">
        <v>12</v>
      </c>
      <c r="F28" s="75" t="s">
        <v>22</v>
      </c>
      <c r="G28" s="74" t="s">
        <v>485</v>
      </c>
      <c r="H28" s="85">
        <v>45672</v>
      </c>
      <c r="I28" s="94" t="s">
        <v>56</v>
      </c>
      <c r="J28" s="94" t="s">
        <v>128</v>
      </c>
      <c r="K28" s="94">
        <v>0</v>
      </c>
      <c r="L28" s="94" t="s">
        <v>491</v>
      </c>
      <c r="M28" s="94" t="s">
        <v>195</v>
      </c>
      <c r="N28" s="74">
        <v>1</v>
      </c>
      <c r="O28" s="77">
        <v>4.6296296296296293E-4</v>
      </c>
    </row>
    <row r="29" spans="1:15" s="101" customFormat="1" ht="54" customHeight="1" thickTop="1" thickBot="1" x14ac:dyDescent="0.25">
      <c r="B29" s="107" t="s">
        <v>17</v>
      </c>
      <c r="C29" s="100" t="s">
        <v>492</v>
      </c>
      <c r="D29" s="100" t="s">
        <v>493</v>
      </c>
      <c r="E29" s="108" t="s">
        <v>22</v>
      </c>
      <c r="F29" s="108" t="s">
        <v>22</v>
      </c>
      <c r="G29" s="100"/>
      <c r="H29" s="109"/>
      <c r="I29" s="94" t="s">
        <v>56</v>
      </c>
      <c r="J29" s="94" t="s">
        <v>57</v>
      </c>
      <c r="K29" s="94">
        <v>0</v>
      </c>
      <c r="L29" s="94" t="s">
        <v>494</v>
      </c>
      <c r="M29" s="94" t="s">
        <v>195</v>
      </c>
      <c r="N29" s="100">
        <v>1</v>
      </c>
      <c r="O29" s="110">
        <v>6.9444444444444447E-4</v>
      </c>
    </row>
    <row r="30" spans="1:15" s="101" customFormat="1" ht="54" customHeight="1" thickTop="1" thickBot="1" x14ac:dyDescent="0.25">
      <c r="A30" s="72"/>
      <c r="B30" s="73" t="s">
        <v>17</v>
      </c>
      <c r="C30" s="74" t="s">
        <v>495</v>
      </c>
      <c r="D30" s="74" t="s">
        <v>496</v>
      </c>
      <c r="E30" s="75" t="s">
        <v>12</v>
      </c>
      <c r="F30" s="75" t="s">
        <v>22</v>
      </c>
      <c r="G30" s="74" t="s">
        <v>202</v>
      </c>
      <c r="H30" s="85">
        <v>45672</v>
      </c>
      <c r="I30" s="94" t="s">
        <v>84</v>
      </c>
      <c r="J30" s="94" t="s">
        <v>128</v>
      </c>
      <c r="K30" s="94">
        <v>0</v>
      </c>
      <c r="L30" s="94" t="s">
        <v>269</v>
      </c>
      <c r="M30" s="94" t="s">
        <v>806</v>
      </c>
      <c r="N30" s="74">
        <v>1</v>
      </c>
      <c r="O30" s="77">
        <v>3.4722222222222224E-4</v>
      </c>
    </row>
    <row r="31" spans="1:15" s="101" customFormat="1" ht="54" customHeight="1" thickTop="1" thickBot="1" x14ac:dyDescent="0.25">
      <c r="A31" s="72"/>
      <c r="B31" s="73" t="s">
        <v>17</v>
      </c>
      <c r="C31" s="74" t="s">
        <v>497</v>
      </c>
      <c r="D31" s="74" t="s">
        <v>498</v>
      </c>
      <c r="E31" s="75" t="s">
        <v>12</v>
      </c>
      <c r="F31" s="75" t="s">
        <v>22</v>
      </c>
      <c r="G31" s="74" t="s">
        <v>202</v>
      </c>
      <c r="H31" s="85">
        <v>45672</v>
      </c>
      <c r="I31" s="94" t="s">
        <v>84</v>
      </c>
      <c r="J31" s="94" t="s">
        <v>128</v>
      </c>
      <c r="K31" s="94">
        <v>0</v>
      </c>
      <c r="L31" s="94" t="s">
        <v>275</v>
      </c>
      <c r="M31" s="94" t="s">
        <v>806</v>
      </c>
      <c r="N31" s="74">
        <v>1</v>
      </c>
      <c r="O31" s="77">
        <v>6.9444444444444447E-4</v>
      </c>
    </row>
    <row r="32" spans="1:15" s="101" customFormat="1" ht="54" customHeight="1" thickTop="1" thickBot="1" x14ac:dyDescent="0.25">
      <c r="A32" s="72"/>
      <c r="B32" s="73" t="s">
        <v>17</v>
      </c>
      <c r="C32" s="74" t="s">
        <v>499</v>
      </c>
      <c r="D32" s="74" t="s">
        <v>277</v>
      </c>
      <c r="E32" s="75" t="s">
        <v>12</v>
      </c>
      <c r="F32" s="75" t="s">
        <v>22</v>
      </c>
      <c r="G32" s="74" t="s">
        <v>261</v>
      </c>
      <c r="H32" s="85">
        <v>45672</v>
      </c>
      <c r="I32" s="94" t="s">
        <v>56</v>
      </c>
      <c r="J32" s="94" t="s">
        <v>128</v>
      </c>
      <c r="K32" s="94">
        <v>0</v>
      </c>
      <c r="L32" s="94" t="s">
        <v>278</v>
      </c>
      <c r="M32" s="94" t="s">
        <v>195</v>
      </c>
      <c r="N32" s="74">
        <v>1</v>
      </c>
      <c r="O32" s="77">
        <v>3.4722222222222224E-4</v>
      </c>
    </row>
    <row r="33" spans="1:15" s="101" customFormat="1" ht="54" customHeight="1" thickTop="1" thickBot="1" x14ac:dyDescent="0.25">
      <c r="B33" s="107" t="s">
        <v>17</v>
      </c>
      <c r="C33" s="100" t="s">
        <v>500</v>
      </c>
      <c r="D33" s="100" t="s">
        <v>501</v>
      </c>
      <c r="E33" s="108" t="s">
        <v>22</v>
      </c>
      <c r="F33" s="108" t="s">
        <v>22</v>
      </c>
      <c r="G33" s="100"/>
      <c r="H33" s="109"/>
      <c r="I33" s="94" t="s">
        <v>56</v>
      </c>
      <c r="J33" s="94" t="s">
        <v>128</v>
      </c>
      <c r="K33" s="94">
        <v>0</v>
      </c>
      <c r="L33" s="94" t="s">
        <v>502</v>
      </c>
      <c r="M33" s="94" t="s">
        <v>195</v>
      </c>
      <c r="N33" s="100">
        <v>1</v>
      </c>
      <c r="O33" s="110">
        <v>5.7870370370370378E-4</v>
      </c>
    </row>
    <row r="34" spans="1:15" s="101" customFormat="1" ht="54" customHeight="1" thickTop="1" thickBot="1" x14ac:dyDescent="0.25">
      <c r="A34" s="72"/>
      <c r="B34" s="73" t="s">
        <v>17</v>
      </c>
      <c r="C34" s="74" t="s">
        <v>503</v>
      </c>
      <c r="D34" s="74" t="s">
        <v>504</v>
      </c>
      <c r="E34" s="75" t="s">
        <v>12</v>
      </c>
      <c r="F34" s="75" t="s">
        <v>22</v>
      </c>
      <c r="G34" s="74" t="s">
        <v>485</v>
      </c>
      <c r="H34" s="85">
        <v>45672</v>
      </c>
      <c r="I34" s="94" t="s">
        <v>56</v>
      </c>
      <c r="J34" s="94" t="s">
        <v>128</v>
      </c>
      <c r="K34" s="94">
        <v>0</v>
      </c>
      <c r="L34" s="94" t="s">
        <v>505</v>
      </c>
      <c r="M34" s="94" t="s">
        <v>195</v>
      </c>
      <c r="N34" s="74">
        <v>1</v>
      </c>
      <c r="O34" s="77">
        <v>2.3148148148148146E-4</v>
      </c>
    </row>
    <row r="35" spans="1:15" s="101" customFormat="1" ht="54" customHeight="1" thickTop="1" thickBot="1" x14ac:dyDescent="0.25">
      <c r="A35" s="72"/>
      <c r="B35" s="73" t="s">
        <v>17</v>
      </c>
      <c r="C35" s="74" t="s">
        <v>506</v>
      </c>
      <c r="D35" s="74" t="s">
        <v>280</v>
      </c>
      <c r="E35" s="75" t="s">
        <v>12</v>
      </c>
      <c r="F35" s="75" t="s">
        <v>22</v>
      </c>
      <c r="G35" s="75" t="s">
        <v>281</v>
      </c>
      <c r="H35" s="76">
        <v>45673</v>
      </c>
      <c r="I35" s="94" t="s">
        <v>127</v>
      </c>
      <c r="J35" s="94" t="s">
        <v>128</v>
      </c>
      <c r="K35" s="94">
        <v>0</v>
      </c>
      <c r="L35" s="94" t="s">
        <v>282</v>
      </c>
      <c r="M35" s="94" t="s">
        <v>195</v>
      </c>
      <c r="N35" s="74">
        <v>1</v>
      </c>
      <c r="O35" s="77">
        <v>6.9444444444444447E-4</v>
      </c>
    </row>
    <row r="36" spans="1:15" s="101" customFormat="1" ht="54" customHeight="1" thickTop="1" thickBot="1" x14ac:dyDescent="0.25">
      <c r="A36" s="72"/>
      <c r="B36" s="73" t="s">
        <v>17</v>
      </c>
      <c r="C36" s="74" t="s">
        <v>507</v>
      </c>
      <c r="D36" s="74" t="s">
        <v>508</v>
      </c>
      <c r="E36" s="75" t="s">
        <v>12</v>
      </c>
      <c r="F36" s="75" t="s">
        <v>22</v>
      </c>
      <c r="G36" s="74" t="s">
        <v>296</v>
      </c>
      <c r="H36" s="85">
        <v>45672</v>
      </c>
      <c r="I36" s="94" t="s">
        <v>56</v>
      </c>
      <c r="J36" s="94" t="s">
        <v>128</v>
      </c>
      <c r="K36" s="94">
        <v>0</v>
      </c>
      <c r="L36" s="94" t="s">
        <v>297</v>
      </c>
      <c r="M36" s="94" t="s">
        <v>195</v>
      </c>
      <c r="N36" s="74">
        <v>1</v>
      </c>
      <c r="O36" s="77">
        <v>8.6805555555555551E-4</v>
      </c>
    </row>
    <row r="37" spans="1:15" s="101" customFormat="1" ht="54" customHeight="1" thickTop="1" thickBot="1" x14ac:dyDescent="0.25">
      <c r="A37" s="72"/>
      <c r="B37" s="73" t="s">
        <v>17</v>
      </c>
      <c r="C37" s="74" t="s">
        <v>509</v>
      </c>
      <c r="D37" s="74" t="s">
        <v>510</v>
      </c>
      <c r="E37" s="75" t="s">
        <v>12</v>
      </c>
      <c r="F37" s="75" t="s">
        <v>22</v>
      </c>
      <c r="G37" s="75" t="s">
        <v>233</v>
      </c>
      <c r="H37" s="76">
        <v>45672</v>
      </c>
      <c r="I37" s="94" t="s">
        <v>127</v>
      </c>
      <c r="J37" s="94" t="s">
        <v>128</v>
      </c>
      <c r="K37" s="94">
        <v>0</v>
      </c>
      <c r="L37" s="94" t="s">
        <v>300</v>
      </c>
      <c r="M37" s="94" t="s">
        <v>195</v>
      </c>
      <c r="N37" s="74">
        <v>1</v>
      </c>
      <c r="O37" s="77">
        <v>6.9444444444444447E-4</v>
      </c>
    </row>
    <row r="38" spans="1:15" s="101" customFormat="1" ht="54" customHeight="1" thickTop="1" thickBot="1" x14ac:dyDescent="0.25">
      <c r="A38" s="72"/>
      <c r="B38" s="73" t="s">
        <v>17</v>
      </c>
      <c r="C38" s="74" t="s">
        <v>511</v>
      </c>
      <c r="D38" s="74" t="s">
        <v>512</v>
      </c>
      <c r="E38" s="75" t="s">
        <v>12</v>
      </c>
      <c r="F38" s="75" t="s">
        <v>22</v>
      </c>
      <c r="G38" s="75" t="s">
        <v>233</v>
      </c>
      <c r="H38" s="76">
        <v>45672</v>
      </c>
      <c r="I38" s="94" t="s">
        <v>127</v>
      </c>
      <c r="J38" s="94" t="s">
        <v>128</v>
      </c>
      <c r="K38" s="94">
        <v>0</v>
      </c>
      <c r="L38" s="94" t="s">
        <v>300</v>
      </c>
      <c r="M38" s="94" t="s">
        <v>195</v>
      </c>
      <c r="N38" s="74">
        <v>1</v>
      </c>
      <c r="O38" s="77">
        <v>6.9444444444444447E-4</v>
      </c>
    </row>
    <row r="39" spans="1:15" s="101" customFormat="1" ht="54" customHeight="1" thickTop="1" thickBot="1" x14ac:dyDescent="0.25">
      <c r="A39" s="72"/>
      <c r="B39" s="78" t="s">
        <v>17</v>
      </c>
      <c r="C39" s="79" t="s">
        <v>513</v>
      </c>
      <c r="D39" s="79" t="s">
        <v>514</v>
      </c>
      <c r="E39" s="82" t="s">
        <v>12</v>
      </c>
      <c r="F39" s="82" t="s">
        <v>22</v>
      </c>
      <c r="G39" s="79" t="s">
        <v>374</v>
      </c>
      <c r="H39" s="86">
        <v>45673</v>
      </c>
      <c r="I39" s="94" t="s">
        <v>56</v>
      </c>
      <c r="J39" s="94" t="s">
        <v>57</v>
      </c>
      <c r="K39" s="94">
        <v>0</v>
      </c>
      <c r="L39" s="94" t="s">
        <v>515</v>
      </c>
      <c r="M39" s="94" t="s">
        <v>117</v>
      </c>
      <c r="N39" s="79">
        <v>2</v>
      </c>
      <c r="O39" s="83">
        <v>4.6296296296296293E-4</v>
      </c>
    </row>
    <row r="40" spans="1:15" s="101" customFormat="1" ht="54" customHeight="1" thickTop="1" thickBot="1" x14ac:dyDescent="0.25">
      <c r="B40" s="102" t="s">
        <v>21</v>
      </c>
      <c r="C40" s="103" t="s">
        <v>516</v>
      </c>
      <c r="D40" s="103" t="s">
        <v>517</v>
      </c>
      <c r="E40" s="104" t="s">
        <v>22</v>
      </c>
      <c r="F40" s="104"/>
      <c r="G40" s="103"/>
      <c r="H40" s="105"/>
      <c r="I40" s="94" t="s">
        <v>127</v>
      </c>
      <c r="J40" s="94" t="s">
        <v>128</v>
      </c>
      <c r="K40" s="94">
        <v>0</v>
      </c>
      <c r="L40" s="94" t="s">
        <v>331</v>
      </c>
      <c r="M40" s="94" t="s">
        <v>328</v>
      </c>
      <c r="N40" s="103">
        <v>2</v>
      </c>
      <c r="O40" s="106">
        <v>2.0833333333333333E-3</v>
      </c>
    </row>
    <row r="41" spans="1:15" s="101" customFormat="1" ht="54" customHeight="1" thickTop="1" thickBot="1" x14ac:dyDescent="0.25">
      <c r="B41" s="107" t="s">
        <v>21</v>
      </c>
      <c r="C41" s="100" t="s">
        <v>788</v>
      </c>
      <c r="D41" s="100" t="s">
        <v>518</v>
      </c>
      <c r="E41" s="108" t="str">
        <f>'De-Icer DM'!E89</f>
        <v>No</v>
      </c>
      <c r="F41" s="108" t="str">
        <f>'De-Icer DM'!F89</f>
        <v>No</v>
      </c>
      <c r="G41" s="108">
        <f>'De-Icer DM'!G89</f>
        <v>0</v>
      </c>
      <c r="H41" s="108">
        <f>'De-Icer DM'!H89</f>
        <v>0</v>
      </c>
      <c r="I41" s="94" t="s">
        <v>127</v>
      </c>
      <c r="J41" s="94" t="s">
        <v>128</v>
      </c>
      <c r="K41" s="94">
        <v>0</v>
      </c>
      <c r="L41" s="94" t="s">
        <v>324</v>
      </c>
      <c r="M41" s="94" t="s">
        <v>322</v>
      </c>
      <c r="N41" s="100">
        <v>4</v>
      </c>
      <c r="O41" s="110">
        <v>5.208333333333333E-3</v>
      </c>
    </row>
    <row r="42" spans="1:15" s="101" customFormat="1" ht="54" customHeight="1" thickTop="1" thickBot="1" x14ac:dyDescent="0.25">
      <c r="B42" s="107" t="s">
        <v>21</v>
      </c>
      <c r="C42" s="100" t="s">
        <v>519</v>
      </c>
      <c r="D42" s="100" t="s">
        <v>520</v>
      </c>
      <c r="E42" s="108" t="s">
        <v>22</v>
      </c>
      <c r="F42" s="108"/>
      <c r="G42" s="100"/>
      <c r="H42" s="109"/>
      <c r="I42" s="94" t="s">
        <v>127</v>
      </c>
      <c r="J42" s="94" t="s">
        <v>128</v>
      </c>
      <c r="K42" s="94">
        <v>0</v>
      </c>
      <c r="L42" s="94" t="s">
        <v>331</v>
      </c>
      <c r="M42" s="94" t="s">
        <v>328</v>
      </c>
      <c r="N42" s="100">
        <v>2</v>
      </c>
      <c r="O42" s="110">
        <v>2.0833333333333333E-3</v>
      </c>
    </row>
    <row r="43" spans="1:15" s="101" customFormat="1" ht="54" customHeight="1" thickTop="1" thickBot="1" x14ac:dyDescent="0.25">
      <c r="B43" s="107" t="s">
        <v>21</v>
      </c>
      <c r="C43" s="100" t="s">
        <v>789</v>
      </c>
      <c r="D43" s="100" t="s">
        <v>522</v>
      </c>
      <c r="E43" s="108" t="str">
        <f>'DE-Icer UNDM'!E66</f>
        <v>No</v>
      </c>
      <c r="F43" s="108" t="str">
        <f>'DE-Icer UNDM'!F66</f>
        <v>No</v>
      </c>
      <c r="G43" s="108">
        <f>'DE-Icer UNDM'!G66</f>
        <v>0</v>
      </c>
      <c r="H43" s="108">
        <f>'DE-Icer UNDM'!H66</f>
        <v>0</v>
      </c>
      <c r="I43" s="94" t="s">
        <v>127</v>
      </c>
      <c r="J43" s="94" t="s">
        <v>128</v>
      </c>
      <c r="K43" s="94">
        <v>0</v>
      </c>
      <c r="L43" s="94" t="s">
        <v>324</v>
      </c>
      <c r="M43" s="94" t="s">
        <v>322</v>
      </c>
      <c r="N43" s="100">
        <v>4</v>
      </c>
      <c r="O43" s="110">
        <v>5.208333333333333E-3</v>
      </c>
    </row>
    <row r="44" spans="1:15" s="101" customFormat="1" ht="54" customHeight="1" thickTop="1" thickBot="1" x14ac:dyDescent="0.25">
      <c r="B44" s="107" t="s">
        <v>21</v>
      </c>
      <c r="C44" s="100" t="s">
        <v>523</v>
      </c>
      <c r="D44" s="100" t="s">
        <v>524</v>
      </c>
      <c r="E44" s="108" t="s">
        <v>22</v>
      </c>
      <c r="F44" s="108"/>
      <c r="G44" s="100"/>
      <c r="H44" s="109"/>
      <c r="I44" s="94" t="s">
        <v>127</v>
      </c>
      <c r="J44" s="94" t="s">
        <v>128</v>
      </c>
      <c r="K44" s="94">
        <v>0</v>
      </c>
      <c r="L44" s="94" t="s">
        <v>525</v>
      </c>
      <c r="M44" s="94" t="s">
        <v>195</v>
      </c>
      <c r="N44" s="100">
        <v>2</v>
      </c>
      <c r="O44" s="110">
        <v>2.0833333333333333E-3</v>
      </c>
    </row>
    <row r="45" spans="1:15" s="101" customFormat="1" ht="54" customHeight="1" thickTop="1" thickBot="1" x14ac:dyDescent="0.25">
      <c r="B45" s="107" t="s">
        <v>21</v>
      </c>
      <c r="C45" s="100" t="s">
        <v>526</v>
      </c>
      <c r="D45" s="100" t="s">
        <v>346</v>
      </c>
      <c r="E45" s="108" t="s">
        <v>22</v>
      </c>
      <c r="F45" s="108"/>
      <c r="G45" s="100"/>
      <c r="H45" s="109"/>
      <c r="I45" s="94" t="s">
        <v>127</v>
      </c>
      <c r="J45" s="94" t="s">
        <v>128</v>
      </c>
      <c r="K45" s="94">
        <v>0</v>
      </c>
      <c r="L45" s="94" t="s">
        <v>347</v>
      </c>
      <c r="M45" s="94" t="s">
        <v>195</v>
      </c>
      <c r="N45" s="100">
        <v>2</v>
      </c>
      <c r="O45" s="110">
        <v>3.4722222222222224E-4</v>
      </c>
    </row>
    <row r="46" spans="1:15" s="101" customFormat="1" ht="54" customHeight="1" thickTop="1" thickBot="1" x14ac:dyDescent="0.25">
      <c r="B46" s="107" t="s">
        <v>21</v>
      </c>
      <c r="C46" s="100" t="s">
        <v>527</v>
      </c>
      <c r="D46" s="100" t="s">
        <v>528</v>
      </c>
      <c r="E46" s="108" t="s">
        <v>22</v>
      </c>
      <c r="F46" s="108"/>
      <c r="G46" s="100"/>
      <c r="H46" s="109"/>
      <c r="I46" s="94" t="s">
        <v>56</v>
      </c>
      <c r="J46" s="94" t="s">
        <v>128</v>
      </c>
      <c r="K46" s="94">
        <v>0</v>
      </c>
      <c r="L46" s="94" t="s">
        <v>350</v>
      </c>
      <c r="M46" s="94" t="s">
        <v>154</v>
      </c>
      <c r="N46" s="100">
        <v>2</v>
      </c>
      <c r="O46" s="110">
        <v>4.6296296296296293E-4</v>
      </c>
    </row>
    <row r="47" spans="1:15" s="101" customFormat="1" ht="54" customHeight="1" thickTop="1" thickBot="1" x14ac:dyDescent="0.25">
      <c r="B47" s="107" t="s">
        <v>21</v>
      </c>
      <c r="C47" s="100" t="s">
        <v>529</v>
      </c>
      <c r="D47" s="100" t="s">
        <v>530</v>
      </c>
      <c r="E47" s="108" t="s">
        <v>22</v>
      </c>
      <c r="F47" s="108"/>
      <c r="G47" s="100"/>
      <c r="H47" s="109"/>
      <c r="I47" s="94" t="s">
        <v>127</v>
      </c>
      <c r="J47" s="94" t="s">
        <v>128</v>
      </c>
      <c r="K47" s="94">
        <v>0</v>
      </c>
      <c r="L47" s="94" t="s">
        <v>531</v>
      </c>
      <c r="M47" s="94" t="s">
        <v>195</v>
      </c>
      <c r="N47" s="100">
        <v>1</v>
      </c>
      <c r="O47" s="110">
        <v>6.9444444444444447E-4</v>
      </c>
    </row>
    <row r="48" spans="1:15" s="101" customFormat="1" ht="54" customHeight="1" thickTop="1" thickBot="1" x14ac:dyDescent="0.25">
      <c r="A48" s="72"/>
      <c r="B48" s="73" t="s">
        <v>21</v>
      </c>
      <c r="C48" s="74" t="s">
        <v>532</v>
      </c>
      <c r="D48" s="74" t="s">
        <v>533</v>
      </c>
      <c r="E48" s="75" t="s">
        <v>12</v>
      </c>
      <c r="F48" s="75" t="s">
        <v>22</v>
      </c>
      <c r="G48" s="74" t="s">
        <v>534</v>
      </c>
      <c r="H48" s="85">
        <v>45672</v>
      </c>
      <c r="I48" s="94" t="s">
        <v>127</v>
      </c>
      <c r="J48" s="94" t="s">
        <v>128</v>
      </c>
      <c r="K48" s="94">
        <v>0</v>
      </c>
      <c r="L48" s="94" t="s">
        <v>535</v>
      </c>
      <c r="M48" s="94" t="s">
        <v>226</v>
      </c>
      <c r="N48" s="74">
        <v>1</v>
      </c>
      <c r="O48" s="77">
        <v>3.4722222222222224E-4</v>
      </c>
    </row>
    <row r="49" spans="1:15" s="101" customFormat="1" ht="54" customHeight="1" thickTop="1" thickBot="1" x14ac:dyDescent="0.25">
      <c r="A49" s="72"/>
      <c r="B49" s="73" t="s">
        <v>21</v>
      </c>
      <c r="C49" s="74" t="s">
        <v>536</v>
      </c>
      <c r="D49" s="74" t="s">
        <v>809</v>
      </c>
      <c r="E49" s="75" t="s">
        <v>12</v>
      </c>
      <c r="F49" s="75" t="s">
        <v>22</v>
      </c>
      <c r="G49" s="74" t="s">
        <v>202</v>
      </c>
      <c r="H49" s="85">
        <v>45672</v>
      </c>
      <c r="I49" s="94" t="s">
        <v>84</v>
      </c>
      <c r="J49" s="94" t="s">
        <v>128</v>
      </c>
      <c r="K49" s="94">
        <v>0</v>
      </c>
      <c r="L49" s="94" t="s">
        <v>203</v>
      </c>
      <c r="M49" s="94" t="s">
        <v>806</v>
      </c>
      <c r="N49" s="74">
        <v>1</v>
      </c>
      <c r="O49" s="77">
        <v>6.9444444444444447E-4</v>
      </c>
    </row>
    <row r="50" spans="1:15" s="101" customFormat="1" ht="54" customHeight="1" thickTop="1" thickBot="1" x14ac:dyDescent="0.25">
      <c r="A50" s="72"/>
      <c r="B50" s="73" t="s">
        <v>21</v>
      </c>
      <c r="C50" s="74" t="s">
        <v>538</v>
      </c>
      <c r="D50" s="74" t="s">
        <v>539</v>
      </c>
      <c r="E50" s="75" t="s">
        <v>12</v>
      </c>
      <c r="F50" s="75" t="s">
        <v>22</v>
      </c>
      <c r="G50" s="74" t="s">
        <v>540</v>
      </c>
      <c r="H50" s="85">
        <v>45673</v>
      </c>
      <c r="I50" s="94" t="s">
        <v>56</v>
      </c>
      <c r="J50" s="94" t="s">
        <v>57</v>
      </c>
      <c r="K50" s="94">
        <v>0</v>
      </c>
      <c r="L50" s="94" t="s">
        <v>541</v>
      </c>
      <c r="M50" s="94" t="s">
        <v>117</v>
      </c>
      <c r="N50" s="74">
        <v>2</v>
      </c>
      <c r="O50" s="77">
        <v>2.0833333333333333E-3</v>
      </c>
    </row>
    <row r="51" spans="1:15" s="101" customFormat="1" ht="54" customHeight="1" thickTop="1" thickBot="1" x14ac:dyDescent="0.25">
      <c r="A51" s="72"/>
      <c r="B51" s="73" t="s">
        <v>21</v>
      </c>
      <c r="C51" s="74" t="s">
        <v>542</v>
      </c>
      <c r="D51" s="74" t="s">
        <v>543</v>
      </c>
      <c r="E51" s="75" t="s">
        <v>12</v>
      </c>
      <c r="F51" s="75" t="s">
        <v>22</v>
      </c>
      <c r="G51" s="74" t="s">
        <v>374</v>
      </c>
      <c r="H51" s="85">
        <v>45673</v>
      </c>
      <c r="I51" s="94" t="s">
        <v>56</v>
      </c>
      <c r="J51" s="94" t="s">
        <v>57</v>
      </c>
      <c r="K51" s="94">
        <v>0</v>
      </c>
      <c r="L51" s="94" t="s">
        <v>544</v>
      </c>
      <c r="M51" s="94" t="s">
        <v>117</v>
      </c>
      <c r="N51" s="74">
        <v>2</v>
      </c>
      <c r="O51" s="77">
        <v>6.9444444444444447E-4</v>
      </c>
    </row>
    <row r="52" spans="1:15" s="101" customFormat="1" ht="54" customHeight="1" thickTop="1" thickBot="1" x14ac:dyDescent="0.25">
      <c r="B52" s="107" t="s">
        <v>21</v>
      </c>
      <c r="C52" s="100" t="s">
        <v>545</v>
      </c>
      <c r="D52" s="100" t="s">
        <v>546</v>
      </c>
      <c r="E52" s="108" t="s">
        <v>22</v>
      </c>
      <c r="F52" s="108"/>
      <c r="G52" s="100"/>
      <c r="H52" s="109"/>
      <c r="I52" s="94" t="s">
        <v>56</v>
      </c>
      <c r="J52" s="94" t="s">
        <v>57</v>
      </c>
      <c r="K52" s="94">
        <v>0</v>
      </c>
      <c r="L52" s="94" t="s">
        <v>547</v>
      </c>
      <c r="M52" s="94" t="s">
        <v>59</v>
      </c>
      <c r="N52" s="100">
        <v>2</v>
      </c>
      <c r="O52" s="110">
        <v>6.9444444444444447E-4</v>
      </c>
    </row>
    <row r="53" spans="1:15" s="101" customFormat="1" ht="54" customHeight="1" thickTop="1" thickBot="1" x14ac:dyDescent="0.25">
      <c r="A53" s="72"/>
      <c r="B53" s="73" t="s">
        <v>21</v>
      </c>
      <c r="C53" s="74" t="s">
        <v>548</v>
      </c>
      <c r="D53" s="74" t="s">
        <v>549</v>
      </c>
      <c r="E53" s="75" t="s">
        <v>12</v>
      </c>
      <c r="F53" s="75" t="s">
        <v>22</v>
      </c>
      <c r="G53" s="74" t="s">
        <v>374</v>
      </c>
      <c r="H53" s="85">
        <v>45673</v>
      </c>
      <c r="I53" s="94" t="s">
        <v>56</v>
      </c>
      <c r="J53" s="94" t="s">
        <v>57</v>
      </c>
      <c r="K53" s="94">
        <v>0</v>
      </c>
      <c r="L53" s="94" t="s">
        <v>550</v>
      </c>
      <c r="M53" s="94" t="s">
        <v>117</v>
      </c>
      <c r="N53" s="74">
        <v>2</v>
      </c>
      <c r="O53" s="77">
        <v>6.9444444444444447E-4</v>
      </c>
    </row>
    <row r="54" spans="1:15" s="101" customFormat="1" ht="54" customHeight="1" thickTop="1" thickBot="1" x14ac:dyDescent="0.25">
      <c r="B54" s="107" t="s">
        <v>21</v>
      </c>
      <c r="C54" s="100" t="s">
        <v>551</v>
      </c>
      <c r="D54" s="100" t="s">
        <v>385</v>
      </c>
      <c r="E54" s="108" t="s">
        <v>22</v>
      </c>
      <c r="F54" s="108"/>
      <c r="G54" s="100"/>
      <c r="H54" s="109"/>
      <c r="I54" s="94" t="s">
        <v>84</v>
      </c>
      <c r="J54" s="94" t="s">
        <v>57</v>
      </c>
      <c r="K54" s="94">
        <v>0</v>
      </c>
      <c r="L54" s="94" t="s">
        <v>386</v>
      </c>
      <c r="M54" s="94" t="s">
        <v>101</v>
      </c>
      <c r="N54" s="100">
        <v>4</v>
      </c>
      <c r="O54" s="110">
        <v>2.0833333333333333E-3</v>
      </c>
    </row>
    <row r="55" spans="1:15" s="101" customFormat="1" ht="54" customHeight="1" thickTop="1" thickBot="1" x14ac:dyDescent="0.25">
      <c r="B55" s="107" t="s">
        <v>21</v>
      </c>
      <c r="C55" s="100" t="s">
        <v>552</v>
      </c>
      <c r="D55" s="100" t="s">
        <v>553</v>
      </c>
      <c r="E55" s="108" t="s">
        <v>22</v>
      </c>
      <c r="F55" s="108"/>
      <c r="G55" s="100"/>
      <c r="H55" s="109"/>
      <c r="I55" s="94" t="s">
        <v>56</v>
      </c>
      <c r="J55" s="94">
        <v>0</v>
      </c>
      <c r="K55" s="94">
        <v>0</v>
      </c>
      <c r="L55" s="94">
        <v>0</v>
      </c>
      <c r="M55" s="94" t="s">
        <v>101</v>
      </c>
      <c r="N55" s="100">
        <v>2</v>
      </c>
      <c r="O55" s="110">
        <v>1.0006944444444446</v>
      </c>
    </row>
    <row r="56" spans="1:15" s="101" customFormat="1" ht="54" customHeight="1" thickTop="1" thickBot="1" x14ac:dyDescent="0.25">
      <c r="B56" s="107" t="s">
        <v>21</v>
      </c>
      <c r="C56" s="100" t="s">
        <v>554</v>
      </c>
      <c r="D56" s="100" t="s">
        <v>555</v>
      </c>
      <c r="E56" s="108" t="s">
        <v>22</v>
      </c>
      <c r="F56" s="108"/>
      <c r="G56" s="100"/>
      <c r="H56" s="109"/>
      <c r="I56" s="94" t="s">
        <v>56</v>
      </c>
      <c r="J56" s="94">
        <v>0</v>
      </c>
      <c r="K56" s="94">
        <v>0</v>
      </c>
      <c r="L56" s="94">
        <v>0</v>
      </c>
      <c r="M56" s="94" t="s">
        <v>101</v>
      </c>
      <c r="N56" s="100">
        <v>2</v>
      </c>
      <c r="O56" s="110">
        <v>1.0006944444444446</v>
      </c>
    </row>
    <row r="57" spans="1:15" s="101" customFormat="1" ht="54" customHeight="1" thickTop="1" thickBot="1" x14ac:dyDescent="0.25">
      <c r="B57" s="107" t="s">
        <v>21</v>
      </c>
      <c r="C57" s="100" t="s">
        <v>556</v>
      </c>
      <c r="D57" s="100" t="s">
        <v>557</v>
      </c>
      <c r="E57" s="108" t="s">
        <v>22</v>
      </c>
      <c r="F57" s="108"/>
      <c r="G57" s="100"/>
      <c r="H57" s="109"/>
      <c r="I57" s="94" t="s">
        <v>56</v>
      </c>
      <c r="J57" s="94">
        <v>0</v>
      </c>
      <c r="K57" s="94">
        <v>0</v>
      </c>
      <c r="L57" s="94">
        <v>0</v>
      </c>
      <c r="M57" s="94" t="s">
        <v>101</v>
      </c>
      <c r="N57" s="100">
        <v>2</v>
      </c>
      <c r="O57" s="110">
        <v>1.0006944444444446</v>
      </c>
    </row>
    <row r="58" spans="1:15" s="101" customFormat="1" ht="54" customHeight="1" thickTop="1" thickBot="1" x14ac:dyDescent="0.25">
      <c r="B58" s="107" t="s">
        <v>21</v>
      </c>
      <c r="C58" s="100" t="s">
        <v>558</v>
      </c>
      <c r="D58" s="100" t="s">
        <v>559</v>
      </c>
      <c r="E58" s="108" t="s">
        <v>22</v>
      </c>
      <c r="F58" s="108"/>
      <c r="G58" s="100"/>
      <c r="H58" s="109"/>
      <c r="I58" s="94" t="s">
        <v>56</v>
      </c>
      <c r="J58" s="94">
        <v>0</v>
      </c>
      <c r="K58" s="94">
        <v>0</v>
      </c>
      <c r="L58" s="94">
        <v>0</v>
      </c>
      <c r="M58" s="94" t="s">
        <v>101</v>
      </c>
      <c r="N58" s="100">
        <v>2</v>
      </c>
      <c r="O58" s="110">
        <v>1.0006944444444446</v>
      </c>
    </row>
    <row r="59" spans="1:15" s="101" customFormat="1" ht="54" customHeight="1" thickTop="1" thickBot="1" x14ac:dyDescent="0.25">
      <c r="B59" s="107" t="s">
        <v>21</v>
      </c>
      <c r="C59" s="100" t="s">
        <v>560</v>
      </c>
      <c r="D59" s="100" t="s">
        <v>561</v>
      </c>
      <c r="E59" s="108" t="s">
        <v>22</v>
      </c>
      <c r="F59" s="108"/>
      <c r="G59" s="100"/>
      <c r="H59" s="109"/>
      <c r="I59" s="94" t="s">
        <v>56</v>
      </c>
      <c r="J59" s="94">
        <v>0</v>
      </c>
      <c r="K59" s="94">
        <v>0</v>
      </c>
      <c r="L59" s="94">
        <v>0</v>
      </c>
      <c r="M59" s="94" t="s">
        <v>101</v>
      </c>
      <c r="N59" s="100">
        <v>2</v>
      </c>
      <c r="O59" s="110">
        <v>1.0006944444444446</v>
      </c>
    </row>
    <row r="60" spans="1:15" s="101" customFormat="1" ht="54" customHeight="1" thickTop="1" thickBot="1" x14ac:dyDescent="0.25">
      <c r="B60" s="107" t="s">
        <v>21</v>
      </c>
      <c r="C60" s="100" t="s">
        <v>562</v>
      </c>
      <c r="D60" s="100" t="s">
        <v>563</v>
      </c>
      <c r="E60" s="108" t="s">
        <v>22</v>
      </c>
      <c r="F60" s="108"/>
      <c r="G60" s="100"/>
      <c r="H60" s="109"/>
      <c r="I60" s="94" t="s">
        <v>56</v>
      </c>
      <c r="J60" s="94">
        <v>0</v>
      </c>
      <c r="K60" s="94">
        <v>0</v>
      </c>
      <c r="L60" s="94">
        <v>0</v>
      </c>
      <c r="M60" s="94" t="s">
        <v>101</v>
      </c>
      <c r="N60" s="100">
        <v>2</v>
      </c>
      <c r="O60" s="110">
        <v>20.000231481481482</v>
      </c>
    </row>
    <row r="61" spans="1:15" s="101" customFormat="1" ht="54" customHeight="1" thickTop="1" thickBot="1" x14ac:dyDescent="0.25">
      <c r="B61" s="107" t="s">
        <v>21</v>
      </c>
      <c r="C61" s="100" t="s">
        <v>564</v>
      </c>
      <c r="D61" s="100" t="s">
        <v>565</v>
      </c>
      <c r="E61" s="108" t="s">
        <v>22</v>
      </c>
      <c r="F61" s="108"/>
      <c r="G61" s="100"/>
      <c r="H61" s="109"/>
      <c r="I61" s="94" t="s">
        <v>127</v>
      </c>
      <c r="J61" s="94">
        <v>0</v>
      </c>
      <c r="K61" s="94">
        <v>0</v>
      </c>
      <c r="L61" s="94">
        <v>0</v>
      </c>
      <c r="M61" s="94" t="s">
        <v>802</v>
      </c>
      <c r="N61" s="100">
        <v>2</v>
      </c>
      <c r="O61" s="110">
        <v>2.0020833333333332</v>
      </c>
    </row>
    <row r="62" spans="1:15" s="101" customFormat="1" ht="54" customHeight="1" thickTop="1" thickBot="1" x14ac:dyDescent="0.25">
      <c r="B62" s="112" t="s">
        <v>21</v>
      </c>
      <c r="C62" s="113" t="s">
        <v>566</v>
      </c>
      <c r="D62" s="135" t="s">
        <v>385</v>
      </c>
      <c r="E62" s="114" t="s">
        <v>22</v>
      </c>
      <c r="F62" s="114"/>
      <c r="G62" s="113"/>
      <c r="H62" s="119"/>
      <c r="I62" s="94" t="s">
        <v>84</v>
      </c>
      <c r="J62" s="94" t="s">
        <v>57</v>
      </c>
      <c r="K62" s="94">
        <v>0</v>
      </c>
      <c r="L62" s="94" t="s">
        <v>386</v>
      </c>
      <c r="M62" s="94" t="s">
        <v>101</v>
      </c>
      <c r="N62" s="113">
        <v>2</v>
      </c>
      <c r="O62" s="115">
        <v>6.9444444444444447E-4</v>
      </c>
    </row>
    <row r="63" spans="1:15" s="101" customFormat="1" ht="54" customHeight="1" thickTop="1" thickBot="1" x14ac:dyDescent="0.25">
      <c r="B63" s="102" t="s">
        <v>25</v>
      </c>
      <c r="C63" s="103" t="s">
        <v>567</v>
      </c>
      <c r="D63" s="103" t="s">
        <v>405</v>
      </c>
      <c r="E63" s="104" t="s">
        <v>22</v>
      </c>
      <c r="F63" s="104"/>
      <c r="G63" s="103"/>
      <c r="H63" s="105"/>
      <c r="I63" s="94" t="s">
        <v>127</v>
      </c>
      <c r="J63" s="94" t="s">
        <v>57</v>
      </c>
      <c r="K63" s="94">
        <v>0</v>
      </c>
      <c r="L63" s="94" t="s">
        <v>406</v>
      </c>
      <c r="M63" s="94" t="s">
        <v>226</v>
      </c>
      <c r="N63" s="103">
        <v>1</v>
      </c>
      <c r="O63" s="106">
        <v>6.9444444444444447E-4</v>
      </c>
    </row>
    <row r="64" spans="1:15" s="101" customFormat="1" ht="54" customHeight="1" thickTop="1" thickBot="1" x14ac:dyDescent="0.25">
      <c r="B64" s="107" t="s">
        <v>25</v>
      </c>
      <c r="C64" s="100" t="s">
        <v>568</v>
      </c>
      <c r="D64" s="100" t="s">
        <v>569</v>
      </c>
      <c r="E64" s="108" t="s">
        <v>22</v>
      </c>
      <c r="F64" s="108"/>
      <c r="G64" s="100"/>
      <c r="H64" s="100"/>
      <c r="I64" s="94" t="s">
        <v>127</v>
      </c>
      <c r="J64" s="94" t="s">
        <v>57</v>
      </c>
      <c r="K64" s="94">
        <v>0</v>
      </c>
      <c r="L64" s="94">
        <v>0</v>
      </c>
      <c r="M64" s="94" t="s">
        <v>802</v>
      </c>
      <c r="N64" s="100">
        <v>1</v>
      </c>
      <c r="O64" s="110">
        <v>3.4722222222222224E-4</v>
      </c>
    </row>
    <row r="65" spans="2:15" s="101" customFormat="1" ht="54" customHeight="1" thickTop="1" thickBot="1" x14ac:dyDescent="0.25">
      <c r="B65" s="112" t="s">
        <v>25</v>
      </c>
      <c r="C65" s="113" t="s">
        <v>570</v>
      </c>
      <c r="D65" s="113" t="s">
        <v>571</v>
      </c>
      <c r="E65" s="114" t="s">
        <v>22</v>
      </c>
      <c r="F65" s="114"/>
      <c r="G65" s="113"/>
      <c r="H65" s="119"/>
      <c r="I65" s="94" t="s">
        <v>56</v>
      </c>
      <c r="J65" s="94" t="s">
        <v>57</v>
      </c>
      <c r="K65" s="94">
        <v>0</v>
      </c>
      <c r="L65" s="94" t="s">
        <v>803</v>
      </c>
      <c r="M65" s="94" t="s">
        <v>101</v>
      </c>
      <c r="N65" s="113">
        <v>1</v>
      </c>
      <c r="O65" s="115">
        <v>1.0416666666666667E-3</v>
      </c>
    </row>
    <row r="66" spans="2:15" s="101" customFormat="1" ht="15.75" thickTop="1" x14ac:dyDescent="0.2">
      <c r="B66" s="127"/>
      <c r="C66" s="127"/>
      <c r="D66" s="127"/>
      <c r="E66" s="127"/>
      <c r="F66" s="127"/>
      <c r="G66" s="127"/>
      <c r="H66" s="127"/>
      <c r="I66" s="127"/>
      <c r="J66" s="127"/>
      <c r="K66" s="128"/>
      <c r="L66" s="127"/>
      <c r="M66" s="128"/>
      <c r="N66" s="128"/>
      <c r="O66" s="128"/>
    </row>
    <row r="67" spans="2:15" s="101" customFormat="1" x14ac:dyDescent="0.2">
      <c r="B67" s="127"/>
      <c r="C67" s="127"/>
      <c r="D67" s="127"/>
      <c r="E67" s="127"/>
      <c r="F67" s="127"/>
      <c r="G67" s="127"/>
      <c r="H67" s="127"/>
      <c r="I67" s="127"/>
      <c r="J67" s="127"/>
      <c r="K67" s="128"/>
      <c r="L67" s="127"/>
      <c r="M67" s="128"/>
      <c r="N67" s="128"/>
      <c r="O67" s="128"/>
    </row>
    <row r="68" spans="2:15" s="101" customFormat="1" x14ac:dyDescent="0.2">
      <c r="B68" s="127"/>
      <c r="C68" s="127"/>
      <c r="D68" s="127"/>
      <c r="E68" s="127"/>
      <c r="F68" s="127"/>
      <c r="G68" s="127"/>
      <c r="H68" s="127"/>
      <c r="I68" s="127"/>
      <c r="J68" s="127"/>
      <c r="K68" s="128"/>
      <c r="L68" s="127"/>
      <c r="M68" s="128"/>
      <c r="N68" s="128"/>
      <c r="O68" s="128"/>
    </row>
    <row r="69" spans="2:15" s="101" customFormat="1" x14ac:dyDescent="0.2">
      <c r="B69" s="127"/>
      <c r="C69" s="127"/>
      <c r="D69" s="127"/>
      <c r="E69" s="127"/>
      <c r="F69" s="127"/>
      <c r="G69" s="127"/>
      <c r="H69" s="127"/>
      <c r="I69" s="127"/>
      <c r="J69" s="127"/>
      <c r="K69" s="128"/>
      <c r="L69" s="127"/>
      <c r="M69" s="128"/>
      <c r="N69" s="128"/>
      <c r="O69" s="128"/>
    </row>
    <row r="70" spans="2:15" s="101" customFormat="1" x14ac:dyDescent="0.2">
      <c r="B70" s="127"/>
      <c r="C70" s="127"/>
      <c r="D70" s="127"/>
      <c r="E70" s="127"/>
      <c r="F70" s="127"/>
      <c r="G70" s="127"/>
      <c r="H70" s="127"/>
      <c r="I70" s="127"/>
      <c r="J70" s="127"/>
      <c r="K70" s="128"/>
      <c r="L70" s="127"/>
      <c r="M70" s="128"/>
      <c r="N70" s="128"/>
      <c r="O70" s="128"/>
    </row>
    <row r="71" spans="2:15" s="101" customFormat="1" x14ac:dyDescent="0.2">
      <c r="B71" s="127"/>
      <c r="C71" s="127"/>
      <c r="D71" s="127"/>
      <c r="E71" s="127"/>
      <c r="F71" s="127"/>
      <c r="G71" s="127"/>
      <c r="H71" s="127"/>
      <c r="I71" s="127"/>
      <c r="J71" s="127"/>
      <c r="K71" s="128"/>
      <c r="L71" s="127"/>
      <c r="M71" s="128"/>
      <c r="N71" s="128"/>
      <c r="O71" s="128"/>
    </row>
    <row r="72" spans="2:15" s="101" customFormat="1" x14ac:dyDescent="0.2">
      <c r="B72" s="127"/>
      <c r="C72" s="127"/>
      <c r="D72" s="127"/>
      <c r="E72" s="127"/>
      <c r="F72" s="127"/>
      <c r="G72" s="127"/>
      <c r="H72" s="127"/>
      <c r="I72" s="127"/>
      <c r="J72" s="127"/>
      <c r="K72" s="128"/>
      <c r="L72" s="127"/>
      <c r="M72" s="128"/>
      <c r="N72" s="128"/>
      <c r="O72" s="128"/>
    </row>
    <row r="73" spans="2:15" s="101" customFormat="1" x14ac:dyDescent="0.2">
      <c r="B73" s="127"/>
      <c r="C73" s="127"/>
      <c r="D73" s="127"/>
      <c r="E73" s="127"/>
      <c r="F73" s="127"/>
      <c r="G73" s="127"/>
      <c r="H73" s="127"/>
      <c r="I73" s="127"/>
      <c r="J73" s="127"/>
      <c r="K73" s="128"/>
      <c r="L73" s="127"/>
      <c r="M73" s="128"/>
      <c r="N73" s="128"/>
      <c r="O73" s="128"/>
    </row>
    <row r="74" spans="2:15" s="101" customFormat="1" x14ac:dyDescent="0.2">
      <c r="B74" s="127"/>
      <c r="C74" s="127"/>
      <c r="D74" s="127"/>
      <c r="E74" s="127"/>
      <c r="F74" s="127"/>
      <c r="G74" s="127"/>
      <c r="H74" s="127"/>
      <c r="I74" s="127"/>
      <c r="J74" s="127"/>
      <c r="K74" s="128"/>
      <c r="L74" s="127"/>
      <c r="M74" s="128"/>
      <c r="N74" s="128"/>
      <c r="O74" s="128"/>
    </row>
    <row r="75" spans="2:15" s="101" customFormat="1" x14ac:dyDescent="0.2">
      <c r="B75" s="127"/>
      <c r="C75" s="127"/>
      <c r="D75" s="127"/>
      <c r="E75" s="127"/>
      <c r="F75" s="127"/>
      <c r="G75" s="127"/>
      <c r="H75" s="127"/>
      <c r="I75" s="127"/>
      <c r="J75" s="127"/>
      <c r="K75" s="128"/>
      <c r="L75" s="127"/>
      <c r="M75" s="128"/>
      <c r="N75" s="128"/>
      <c r="O75" s="128"/>
    </row>
    <row r="76" spans="2:15" s="101" customFormat="1" x14ac:dyDescent="0.2">
      <c r="B76" s="127"/>
      <c r="C76" s="127"/>
      <c r="D76" s="127"/>
      <c r="E76" s="127"/>
      <c r="F76" s="127"/>
      <c r="G76" s="127"/>
      <c r="H76" s="127"/>
      <c r="I76" s="127"/>
      <c r="J76" s="127"/>
      <c r="K76" s="128"/>
      <c r="L76" s="127"/>
      <c r="M76" s="128"/>
      <c r="N76" s="128"/>
      <c r="O76" s="128"/>
    </row>
    <row r="77" spans="2:15" s="101" customFormat="1" x14ac:dyDescent="0.2">
      <c r="B77" s="127"/>
      <c r="C77" s="127"/>
      <c r="D77" s="127"/>
      <c r="E77" s="127"/>
      <c r="F77" s="127"/>
      <c r="G77" s="127"/>
      <c r="H77" s="127"/>
      <c r="I77" s="127"/>
      <c r="J77" s="127"/>
      <c r="K77" s="128"/>
      <c r="L77" s="127"/>
      <c r="M77" s="128"/>
      <c r="N77" s="128"/>
      <c r="O77" s="128"/>
    </row>
    <row r="78" spans="2:15" s="101" customFormat="1" x14ac:dyDescent="0.2">
      <c r="B78" s="127"/>
      <c r="C78" s="127"/>
      <c r="D78" s="127"/>
      <c r="E78" s="127"/>
      <c r="F78" s="127"/>
      <c r="G78" s="127"/>
      <c r="H78" s="127"/>
      <c r="I78" s="127"/>
      <c r="J78" s="127"/>
      <c r="K78" s="128"/>
      <c r="L78" s="127"/>
      <c r="M78" s="128"/>
      <c r="N78" s="128"/>
      <c r="O78" s="128"/>
    </row>
    <row r="79" spans="2:15" s="101" customFormat="1" x14ac:dyDescent="0.2">
      <c r="B79" s="127"/>
      <c r="C79" s="127"/>
      <c r="D79" s="127"/>
      <c r="E79" s="127"/>
      <c r="F79" s="127"/>
      <c r="G79" s="127"/>
      <c r="H79" s="127"/>
      <c r="I79" s="127"/>
      <c r="J79" s="127"/>
      <c r="K79" s="128"/>
      <c r="L79" s="127"/>
      <c r="M79" s="128"/>
      <c r="N79" s="128"/>
      <c r="O79" s="128"/>
    </row>
    <row r="80" spans="2:15" s="101" customFormat="1" x14ac:dyDescent="0.2">
      <c r="B80" s="127"/>
      <c r="C80" s="127"/>
      <c r="D80" s="127"/>
      <c r="E80" s="127"/>
      <c r="F80" s="127"/>
      <c r="G80" s="127"/>
      <c r="H80" s="127"/>
      <c r="I80" s="127"/>
      <c r="J80" s="127"/>
      <c r="K80" s="128"/>
      <c r="L80" s="127"/>
      <c r="M80" s="128"/>
      <c r="N80" s="128"/>
      <c r="O80" s="128"/>
    </row>
    <row r="81" spans="2:15" s="101" customFormat="1" x14ac:dyDescent="0.2">
      <c r="B81" s="127"/>
      <c r="C81" s="127"/>
      <c r="D81" s="127"/>
      <c r="E81" s="127"/>
      <c r="F81" s="127"/>
      <c r="G81" s="127"/>
      <c r="H81" s="127"/>
      <c r="I81" s="127"/>
      <c r="J81" s="127"/>
      <c r="K81" s="128"/>
      <c r="L81" s="127"/>
      <c r="M81" s="128"/>
      <c r="N81" s="128"/>
      <c r="O81" s="128"/>
    </row>
    <row r="82" spans="2:15" s="101" customFormat="1" x14ac:dyDescent="0.2">
      <c r="B82" s="127"/>
      <c r="C82" s="127"/>
      <c r="D82" s="127"/>
      <c r="E82" s="127"/>
      <c r="F82" s="127"/>
      <c r="G82" s="127"/>
      <c r="H82" s="127"/>
      <c r="I82" s="127"/>
      <c r="J82" s="127"/>
      <c r="K82" s="128"/>
      <c r="L82" s="127"/>
      <c r="M82" s="128"/>
      <c r="N82" s="128"/>
      <c r="O82" s="128"/>
    </row>
    <row r="83" spans="2:15" s="101" customFormat="1" x14ac:dyDescent="0.2">
      <c r="B83" s="127"/>
      <c r="C83" s="127"/>
      <c r="D83" s="127"/>
      <c r="E83" s="127"/>
      <c r="F83" s="127"/>
      <c r="G83" s="127"/>
      <c r="H83" s="127"/>
      <c r="I83" s="127"/>
      <c r="J83" s="127"/>
      <c r="K83" s="128"/>
      <c r="L83" s="127"/>
      <c r="M83" s="128"/>
      <c r="N83" s="128"/>
      <c r="O83" s="128"/>
    </row>
    <row r="84" spans="2:15" s="101" customFormat="1" x14ac:dyDescent="0.2">
      <c r="B84" s="127"/>
      <c r="C84" s="127"/>
      <c r="D84" s="127"/>
      <c r="E84" s="127"/>
      <c r="F84" s="127"/>
      <c r="G84" s="127"/>
      <c r="H84" s="127"/>
      <c r="I84" s="127"/>
      <c r="J84" s="127"/>
      <c r="K84" s="128"/>
      <c r="L84" s="127"/>
      <c r="M84" s="128"/>
      <c r="N84" s="128"/>
      <c r="O84" s="128"/>
    </row>
    <row r="85" spans="2:15" s="101" customFormat="1" x14ac:dyDescent="0.2">
      <c r="B85" s="127"/>
      <c r="C85" s="127"/>
      <c r="D85" s="127"/>
      <c r="E85" s="127"/>
      <c r="F85" s="127"/>
      <c r="G85" s="127"/>
      <c r="H85" s="127"/>
      <c r="I85" s="127"/>
      <c r="J85" s="127"/>
      <c r="K85" s="128"/>
      <c r="L85" s="127"/>
      <c r="M85" s="128"/>
      <c r="N85" s="128"/>
      <c r="O85" s="128"/>
    </row>
    <row r="86" spans="2:15" s="101" customFormat="1" x14ac:dyDescent="0.2">
      <c r="B86" s="127"/>
      <c r="C86" s="127"/>
      <c r="D86" s="127"/>
      <c r="E86" s="127"/>
      <c r="F86" s="127"/>
      <c r="G86" s="127"/>
      <c r="H86" s="127"/>
      <c r="I86" s="127"/>
      <c r="J86" s="127"/>
      <c r="K86" s="128"/>
      <c r="L86" s="127"/>
      <c r="M86" s="128"/>
      <c r="N86" s="128"/>
      <c r="O86" s="128"/>
    </row>
    <row r="87" spans="2:15" s="101" customFormat="1" x14ac:dyDescent="0.2">
      <c r="B87" s="127"/>
      <c r="C87" s="127"/>
      <c r="D87" s="127"/>
      <c r="E87" s="127"/>
      <c r="F87" s="127"/>
      <c r="G87" s="127"/>
      <c r="H87" s="127"/>
      <c r="I87" s="127"/>
      <c r="J87" s="127"/>
      <c r="K87" s="128"/>
      <c r="L87" s="127"/>
      <c r="M87" s="128"/>
      <c r="N87" s="128"/>
      <c r="O87" s="128"/>
    </row>
    <row r="88" spans="2:15" s="101" customFormat="1" ht="66" customHeight="1" x14ac:dyDescent="0.2">
      <c r="B88" s="127"/>
      <c r="C88" s="127"/>
      <c r="D88" s="127"/>
      <c r="E88" s="127"/>
      <c r="F88" s="127"/>
      <c r="G88" s="127"/>
      <c r="H88" s="127"/>
      <c r="I88" s="127"/>
      <c r="J88" s="127"/>
      <c r="K88" s="128"/>
      <c r="L88" s="127"/>
      <c r="M88" s="128"/>
      <c r="N88" s="128"/>
      <c r="O88" s="128"/>
    </row>
    <row r="89" spans="2:15" s="101" customFormat="1" x14ac:dyDescent="0.2">
      <c r="B89" s="127"/>
      <c r="C89" s="127"/>
      <c r="D89" s="127"/>
      <c r="E89" s="127"/>
      <c r="F89" s="127"/>
      <c r="G89" s="127"/>
      <c r="H89" s="127"/>
      <c r="I89" s="127"/>
      <c r="J89" s="127"/>
      <c r="K89" s="128"/>
      <c r="L89" s="127"/>
      <c r="M89" s="128"/>
      <c r="N89" s="128"/>
      <c r="O89" s="128"/>
    </row>
    <row r="90" spans="2:15" s="101" customFormat="1" x14ac:dyDescent="0.2">
      <c r="B90" s="127"/>
      <c r="C90" s="127"/>
      <c r="D90" s="127"/>
      <c r="E90" s="127"/>
      <c r="F90" s="127"/>
      <c r="G90" s="127"/>
      <c r="H90" s="127"/>
      <c r="I90" s="127"/>
      <c r="J90" s="127"/>
      <c r="K90" s="128"/>
      <c r="L90" s="127"/>
      <c r="M90" s="128"/>
      <c r="N90" s="128"/>
      <c r="O90" s="128"/>
    </row>
    <row r="91" spans="2:15" s="101" customFormat="1" x14ac:dyDescent="0.2">
      <c r="B91" s="127"/>
      <c r="C91" s="127"/>
      <c r="D91" s="127"/>
      <c r="E91" s="127"/>
      <c r="F91" s="127"/>
      <c r="G91" s="127"/>
      <c r="H91" s="127"/>
      <c r="I91" s="127"/>
      <c r="J91" s="127"/>
      <c r="K91" s="128"/>
      <c r="L91" s="127"/>
      <c r="M91" s="128"/>
      <c r="N91" s="128"/>
      <c r="O91" s="128"/>
    </row>
    <row r="92" spans="2:15" s="101" customFormat="1" x14ac:dyDescent="0.2">
      <c r="B92" s="127"/>
      <c r="C92" s="127"/>
      <c r="D92" s="127"/>
      <c r="E92" s="127"/>
      <c r="F92" s="127"/>
      <c r="G92" s="127"/>
      <c r="H92" s="127"/>
      <c r="I92" s="127"/>
      <c r="J92" s="127"/>
      <c r="K92" s="128"/>
      <c r="L92" s="127"/>
      <c r="M92" s="128"/>
      <c r="N92" s="128"/>
      <c r="O92" s="128"/>
    </row>
    <row r="93" spans="2:15" s="101" customFormat="1" x14ac:dyDescent="0.2">
      <c r="B93" s="127"/>
      <c r="C93" s="127"/>
      <c r="D93" s="127"/>
      <c r="E93" s="127"/>
      <c r="F93" s="127"/>
      <c r="G93" s="127"/>
      <c r="H93" s="127"/>
      <c r="I93" s="127"/>
      <c r="J93" s="127"/>
      <c r="K93" s="128"/>
      <c r="L93" s="127"/>
      <c r="M93" s="128"/>
      <c r="N93" s="128"/>
      <c r="O93" s="128"/>
    </row>
    <row r="94" spans="2:15" s="101" customFormat="1" x14ac:dyDescent="0.2">
      <c r="B94" s="127"/>
      <c r="C94" s="127"/>
      <c r="D94" s="127"/>
      <c r="E94" s="127"/>
      <c r="F94" s="127"/>
      <c r="G94" s="127"/>
      <c r="H94" s="127"/>
      <c r="I94" s="127"/>
      <c r="J94" s="127"/>
      <c r="K94" s="128"/>
      <c r="L94" s="127"/>
      <c r="M94" s="128"/>
      <c r="N94" s="128"/>
      <c r="O94" s="128"/>
    </row>
    <row r="95" spans="2:15" s="101" customFormat="1" x14ac:dyDescent="0.2">
      <c r="B95" s="127"/>
      <c r="C95" s="127"/>
      <c r="D95" s="127"/>
      <c r="E95" s="127"/>
      <c r="F95" s="127"/>
      <c r="G95" s="127"/>
      <c r="H95" s="127"/>
      <c r="I95" s="127"/>
      <c r="J95" s="127"/>
      <c r="K95" s="128"/>
      <c r="L95" s="127"/>
      <c r="M95" s="128"/>
      <c r="N95" s="128"/>
      <c r="O95" s="128"/>
    </row>
    <row r="96" spans="2:15" s="101" customFormat="1" x14ac:dyDescent="0.2">
      <c r="B96" s="127"/>
      <c r="C96" s="127"/>
      <c r="D96" s="127"/>
      <c r="E96" s="127"/>
      <c r="F96" s="127"/>
      <c r="G96" s="127"/>
      <c r="H96" s="127"/>
      <c r="I96" s="127"/>
      <c r="J96" s="127"/>
      <c r="K96" s="128"/>
      <c r="L96" s="127"/>
      <c r="M96" s="128"/>
      <c r="N96" s="128"/>
      <c r="O96" s="128"/>
    </row>
    <row r="97" spans="2:15" s="101" customFormat="1" x14ac:dyDescent="0.2">
      <c r="B97" s="127"/>
      <c r="C97" s="127"/>
      <c r="D97" s="127"/>
      <c r="E97" s="127"/>
      <c r="F97" s="127"/>
      <c r="G97" s="127"/>
      <c r="H97" s="127"/>
      <c r="I97" s="127"/>
      <c r="J97" s="127"/>
      <c r="K97" s="128"/>
      <c r="L97" s="127"/>
      <c r="M97" s="128"/>
      <c r="N97" s="128"/>
      <c r="O97" s="128"/>
    </row>
    <row r="98" spans="2:15" s="101" customFormat="1" x14ac:dyDescent="0.2">
      <c r="B98" s="127"/>
      <c r="C98" s="127"/>
      <c r="D98" s="127"/>
      <c r="E98" s="127"/>
      <c r="F98" s="127"/>
      <c r="G98" s="127"/>
      <c r="H98" s="127"/>
      <c r="I98" s="127"/>
      <c r="J98" s="127"/>
      <c r="K98" s="128"/>
      <c r="L98" s="127"/>
      <c r="M98" s="128"/>
      <c r="N98" s="128"/>
      <c r="O98" s="128"/>
    </row>
    <row r="99" spans="2:15" s="101" customFormat="1" x14ac:dyDescent="0.2">
      <c r="B99" s="127"/>
      <c r="C99" s="127"/>
      <c r="D99" s="127"/>
      <c r="E99" s="127"/>
      <c r="F99" s="127"/>
      <c r="G99" s="127"/>
      <c r="H99" s="127"/>
      <c r="I99" s="127"/>
      <c r="J99" s="127"/>
      <c r="K99" s="128"/>
      <c r="L99" s="127"/>
      <c r="M99" s="128"/>
      <c r="N99" s="128"/>
      <c r="O99" s="128"/>
    </row>
    <row r="100" spans="2:15" s="101" customFormat="1" x14ac:dyDescent="0.2">
      <c r="B100" s="127"/>
      <c r="C100" s="127"/>
      <c r="D100" s="127"/>
      <c r="E100" s="127"/>
      <c r="F100" s="127"/>
      <c r="G100" s="127"/>
      <c r="H100" s="127"/>
      <c r="I100" s="127"/>
      <c r="J100" s="127"/>
      <c r="K100" s="128"/>
      <c r="L100" s="127"/>
      <c r="M100" s="128"/>
      <c r="N100" s="128"/>
      <c r="O100" s="128"/>
    </row>
    <row r="101" spans="2:15" s="101" customFormat="1" x14ac:dyDescent="0.2">
      <c r="B101" s="127"/>
      <c r="C101" s="127"/>
      <c r="D101" s="127"/>
      <c r="E101" s="127"/>
      <c r="F101" s="127"/>
      <c r="G101" s="127"/>
      <c r="H101" s="127"/>
      <c r="I101" s="127"/>
      <c r="J101" s="127"/>
      <c r="K101" s="128"/>
      <c r="L101" s="127"/>
      <c r="M101" s="128"/>
      <c r="N101" s="128"/>
      <c r="O101" s="128"/>
    </row>
    <row r="102" spans="2:15" s="101" customFormat="1" x14ac:dyDescent="0.2">
      <c r="B102" s="127"/>
      <c r="C102" s="127"/>
      <c r="D102" s="127"/>
      <c r="E102" s="127"/>
      <c r="F102" s="127"/>
      <c r="G102" s="127"/>
      <c r="H102" s="127"/>
      <c r="I102" s="127"/>
      <c r="J102" s="127"/>
      <c r="K102" s="128"/>
      <c r="L102" s="127"/>
      <c r="M102" s="128"/>
      <c r="N102" s="128"/>
      <c r="O102" s="128"/>
    </row>
    <row r="103" spans="2:15" s="101" customFormat="1" x14ac:dyDescent="0.2">
      <c r="B103" s="127"/>
      <c r="C103" s="127"/>
      <c r="D103" s="127"/>
      <c r="E103" s="127"/>
      <c r="F103" s="127"/>
      <c r="G103" s="127"/>
      <c r="H103" s="127"/>
      <c r="I103" s="127"/>
      <c r="J103" s="127"/>
      <c r="K103" s="128"/>
      <c r="L103" s="127"/>
      <c r="M103" s="128"/>
      <c r="N103" s="128"/>
      <c r="O103" s="128"/>
    </row>
    <row r="104" spans="2:15" s="101" customFormat="1" x14ac:dyDescent="0.2">
      <c r="B104" s="127"/>
      <c r="C104" s="127"/>
      <c r="D104" s="127"/>
      <c r="E104" s="127"/>
      <c r="F104" s="127"/>
      <c r="G104" s="127"/>
      <c r="H104" s="127"/>
      <c r="I104" s="127"/>
      <c r="J104" s="127"/>
      <c r="K104" s="128"/>
      <c r="L104" s="127"/>
      <c r="M104" s="128"/>
      <c r="N104" s="128"/>
      <c r="O104" s="128"/>
    </row>
    <row r="105" spans="2:15" s="101" customFormat="1" x14ac:dyDescent="0.2">
      <c r="B105" s="127"/>
      <c r="C105" s="127"/>
      <c r="D105" s="127"/>
      <c r="E105" s="127"/>
      <c r="F105" s="127"/>
      <c r="G105" s="127"/>
      <c r="H105" s="127"/>
      <c r="I105" s="127"/>
      <c r="J105" s="127"/>
      <c r="K105" s="128"/>
      <c r="L105" s="127"/>
      <c r="M105" s="128"/>
      <c r="N105" s="128"/>
      <c r="O105" s="128"/>
    </row>
    <row r="106" spans="2:15" s="101" customFormat="1" x14ac:dyDescent="0.2">
      <c r="B106" s="127"/>
      <c r="C106" s="127"/>
      <c r="D106" s="127"/>
      <c r="E106" s="127"/>
      <c r="F106" s="127"/>
      <c r="G106" s="127"/>
      <c r="H106" s="127"/>
      <c r="I106" s="127"/>
      <c r="J106" s="127"/>
      <c r="K106" s="128"/>
      <c r="L106" s="127"/>
      <c r="M106" s="128"/>
      <c r="N106" s="128"/>
      <c r="O106" s="128"/>
    </row>
    <row r="107" spans="2:15" s="101" customFormat="1" x14ac:dyDescent="0.2">
      <c r="B107" s="127"/>
      <c r="C107" s="127"/>
      <c r="D107" s="127"/>
      <c r="E107" s="127"/>
      <c r="F107" s="127"/>
      <c r="G107" s="127"/>
      <c r="H107" s="127"/>
      <c r="I107" s="127"/>
      <c r="J107" s="127"/>
      <c r="K107" s="128"/>
      <c r="L107" s="127"/>
      <c r="M107" s="128"/>
      <c r="N107" s="128"/>
      <c r="O107" s="128"/>
    </row>
    <row r="108" spans="2:15" s="101" customFormat="1" x14ac:dyDescent="0.2">
      <c r="B108" s="127"/>
      <c r="C108" s="127"/>
      <c r="D108" s="127"/>
      <c r="E108" s="127"/>
      <c r="F108" s="127"/>
      <c r="G108" s="127"/>
      <c r="H108" s="127"/>
      <c r="I108" s="127"/>
      <c r="J108" s="127"/>
      <c r="K108" s="128"/>
      <c r="L108" s="127"/>
      <c r="M108" s="128"/>
      <c r="N108" s="128"/>
      <c r="O108" s="128"/>
    </row>
    <row r="109" spans="2:15" s="101" customFormat="1" x14ac:dyDescent="0.2">
      <c r="B109" s="127"/>
      <c r="C109" s="127"/>
      <c r="D109" s="127"/>
      <c r="E109" s="127"/>
      <c r="F109" s="127"/>
      <c r="G109" s="127"/>
      <c r="H109" s="127"/>
      <c r="I109" s="127"/>
      <c r="J109" s="127"/>
      <c r="K109" s="128"/>
      <c r="L109" s="127"/>
      <c r="M109" s="128"/>
      <c r="N109" s="128"/>
      <c r="O109" s="128"/>
    </row>
    <row r="110" spans="2:15" s="101" customFormat="1" x14ac:dyDescent="0.2">
      <c r="B110" s="127"/>
      <c r="C110" s="127"/>
      <c r="D110" s="127"/>
      <c r="E110" s="127"/>
      <c r="F110" s="127"/>
      <c r="G110" s="127"/>
      <c r="H110" s="127"/>
      <c r="I110" s="127"/>
      <c r="J110" s="127"/>
      <c r="K110" s="128"/>
      <c r="L110" s="127"/>
      <c r="M110" s="128"/>
      <c r="N110" s="128"/>
      <c r="O110" s="128"/>
    </row>
    <row r="111" spans="2:15" s="101" customFormat="1" x14ac:dyDescent="0.2">
      <c r="B111" s="127"/>
      <c r="C111" s="127"/>
      <c r="D111" s="127"/>
      <c r="E111" s="127"/>
      <c r="F111" s="127"/>
      <c r="G111" s="127"/>
      <c r="H111" s="127"/>
      <c r="I111" s="127"/>
      <c r="J111" s="127"/>
      <c r="K111" s="128"/>
      <c r="L111" s="127"/>
      <c r="M111" s="128"/>
      <c r="N111" s="128"/>
      <c r="O111" s="128"/>
    </row>
    <row r="112" spans="2:15" s="101" customFormat="1" x14ac:dyDescent="0.2">
      <c r="B112" s="127"/>
      <c r="C112" s="127"/>
      <c r="D112" s="127"/>
      <c r="E112" s="127"/>
      <c r="F112" s="127"/>
      <c r="G112" s="127"/>
      <c r="H112" s="127"/>
      <c r="I112" s="127"/>
      <c r="J112" s="127"/>
      <c r="K112" s="128"/>
      <c r="L112" s="127"/>
      <c r="M112" s="128"/>
      <c r="N112" s="128"/>
      <c r="O112" s="128"/>
    </row>
    <row r="113" spans="2:15" s="101" customFormat="1" x14ac:dyDescent="0.2">
      <c r="B113" s="127"/>
      <c r="C113" s="127"/>
      <c r="D113" s="127"/>
      <c r="E113" s="127"/>
      <c r="F113" s="127"/>
      <c r="G113" s="127"/>
      <c r="H113" s="127"/>
      <c r="I113" s="127"/>
      <c r="J113" s="127"/>
      <c r="K113" s="128"/>
      <c r="L113" s="127"/>
      <c r="M113" s="128"/>
      <c r="N113" s="128"/>
      <c r="O113" s="128"/>
    </row>
    <row r="114" spans="2:15" s="101" customFormat="1" x14ac:dyDescent="0.2">
      <c r="B114" s="127"/>
      <c r="C114" s="127"/>
      <c r="D114" s="127"/>
      <c r="E114" s="127"/>
      <c r="F114" s="127"/>
      <c r="G114" s="127"/>
      <c r="H114" s="127"/>
      <c r="I114" s="127"/>
      <c r="J114" s="127"/>
      <c r="K114" s="128"/>
      <c r="L114" s="127"/>
      <c r="M114" s="128"/>
      <c r="N114" s="128"/>
      <c r="O114" s="128"/>
    </row>
    <row r="115" spans="2:15" s="101" customFormat="1" x14ac:dyDescent="0.2">
      <c r="B115" s="127"/>
      <c r="C115" s="127"/>
      <c r="D115" s="127"/>
      <c r="E115" s="127"/>
      <c r="F115" s="127"/>
      <c r="G115" s="127"/>
      <c r="H115" s="127"/>
      <c r="I115" s="127"/>
      <c r="J115" s="127"/>
      <c r="K115" s="128"/>
      <c r="L115" s="127"/>
      <c r="M115" s="128"/>
      <c r="N115" s="128"/>
      <c r="O115" s="128"/>
    </row>
    <row r="116" spans="2:15" s="101" customFormat="1" x14ac:dyDescent="0.2">
      <c r="B116" s="127"/>
      <c r="C116" s="127"/>
      <c r="D116" s="127"/>
      <c r="E116" s="127"/>
      <c r="F116" s="127"/>
      <c r="G116" s="127"/>
      <c r="H116" s="127"/>
      <c r="I116" s="127"/>
      <c r="J116" s="127"/>
      <c r="K116" s="128"/>
      <c r="L116" s="127"/>
      <c r="M116" s="128"/>
      <c r="N116" s="128"/>
      <c r="O116" s="128"/>
    </row>
    <row r="117" spans="2:15" s="101" customFormat="1" x14ac:dyDescent="0.2">
      <c r="B117" s="127"/>
      <c r="C117" s="127"/>
      <c r="D117" s="127"/>
      <c r="E117" s="127"/>
      <c r="F117" s="127"/>
      <c r="G117" s="127"/>
      <c r="H117" s="127"/>
      <c r="I117" s="127"/>
      <c r="J117" s="127"/>
      <c r="K117" s="128"/>
      <c r="L117" s="127"/>
      <c r="M117" s="128"/>
      <c r="N117" s="128"/>
      <c r="O117" s="128"/>
    </row>
    <row r="118" spans="2:15" s="101" customFormat="1" x14ac:dyDescent="0.2">
      <c r="B118" s="127"/>
      <c r="C118" s="127"/>
      <c r="D118" s="127"/>
      <c r="E118" s="127"/>
      <c r="F118" s="127"/>
      <c r="G118" s="127"/>
      <c r="H118" s="127"/>
      <c r="I118" s="127"/>
      <c r="J118" s="127"/>
      <c r="K118" s="128"/>
      <c r="L118" s="127"/>
      <c r="M118" s="128"/>
      <c r="N118" s="128"/>
      <c r="O118" s="128"/>
    </row>
    <row r="119" spans="2:15" s="101" customFormat="1" x14ac:dyDescent="0.2">
      <c r="B119" s="127"/>
      <c r="C119" s="127"/>
      <c r="D119" s="127"/>
      <c r="E119" s="127"/>
      <c r="F119" s="127"/>
      <c r="G119" s="127"/>
      <c r="H119" s="127"/>
      <c r="I119" s="127"/>
      <c r="J119" s="127"/>
      <c r="K119" s="128"/>
      <c r="L119" s="127"/>
      <c r="M119" s="128"/>
      <c r="N119" s="128"/>
      <c r="O119" s="128"/>
    </row>
    <row r="120" spans="2:15" s="101" customFormat="1" x14ac:dyDescent="0.2">
      <c r="B120" s="127"/>
      <c r="C120" s="127"/>
      <c r="D120" s="127"/>
      <c r="E120" s="127"/>
      <c r="F120" s="127"/>
      <c r="G120" s="127"/>
      <c r="H120" s="127"/>
      <c r="I120" s="127"/>
      <c r="J120" s="127"/>
      <c r="K120" s="128"/>
      <c r="L120" s="127"/>
      <c r="M120" s="128"/>
      <c r="N120" s="128"/>
      <c r="O120" s="128"/>
    </row>
    <row r="121" spans="2:15" s="101" customFormat="1" x14ac:dyDescent="0.2">
      <c r="B121" s="127"/>
      <c r="C121" s="127"/>
      <c r="D121" s="127"/>
      <c r="E121" s="127"/>
      <c r="F121" s="127"/>
      <c r="G121" s="127"/>
      <c r="H121" s="127"/>
      <c r="I121" s="127"/>
      <c r="J121" s="127"/>
      <c r="K121" s="128"/>
      <c r="L121" s="127"/>
      <c r="M121" s="128"/>
      <c r="N121" s="128"/>
      <c r="O121" s="128"/>
    </row>
    <row r="122" spans="2:15" s="101" customFormat="1" x14ac:dyDescent="0.2">
      <c r="B122" s="127"/>
      <c r="C122" s="127"/>
      <c r="D122" s="127"/>
      <c r="E122" s="127"/>
      <c r="F122" s="127"/>
      <c r="G122" s="127"/>
      <c r="H122" s="127"/>
      <c r="I122" s="127"/>
      <c r="J122" s="127"/>
      <c r="K122" s="128"/>
      <c r="L122" s="127"/>
      <c r="M122" s="128"/>
      <c r="N122" s="128"/>
      <c r="O122" s="128"/>
    </row>
    <row r="123" spans="2:15" s="101" customFormat="1" x14ac:dyDescent="0.2">
      <c r="B123" s="127"/>
      <c r="C123" s="127"/>
      <c r="D123" s="127"/>
      <c r="E123" s="127"/>
      <c r="F123" s="127"/>
      <c r="G123" s="127"/>
      <c r="H123" s="127"/>
      <c r="I123" s="127"/>
      <c r="J123" s="127"/>
      <c r="K123" s="128"/>
      <c r="L123" s="127"/>
      <c r="M123" s="128"/>
      <c r="N123" s="128"/>
      <c r="O123" s="128"/>
    </row>
    <row r="124" spans="2:15" s="101" customFormat="1" x14ac:dyDescent="0.2">
      <c r="B124" s="127"/>
      <c r="C124" s="127"/>
      <c r="D124" s="127"/>
      <c r="E124" s="127"/>
      <c r="F124" s="127"/>
      <c r="G124" s="127"/>
      <c r="H124" s="127"/>
      <c r="I124" s="127"/>
      <c r="J124" s="127"/>
      <c r="K124" s="128"/>
      <c r="L124" s="127"/>
      <c r="M124" s="128"/>
      <c r="N124" s="128"/>
      <c r="O124" s="128"/>
    </row>
    <row r="125" spans="2:15" s="101" customFormat="1" x14ac:dyDescent="0.2">
      <c r="B125" s="127"/>
      <c r="C125" s="127"/>
      <c r="D125" s="127"/>
      <c r="E125" s="127"/>
      <c r="F125" s="127"/>
      <c r="G125" s="127"/>
      <c r="H125" s="127"/>
      <c r="I125" s="127"/>
      <c r="J125" s="127"/>
      <c r="K125" s="128"/>
      <c r="L125" s="127"/>
      <c r="M125" s="128"/>
      <c r="N125" s="128"/>
      <c r="O125" s="128"/>
    </row>
    <row r="126" spans="2:15" s="101" customFormat="1" x14ac:dyDescent="0.2">
      <c r="B126" s="127"/>
      <c r="C126" s="127"/>
      <c r="D126" s="127"/>
      <c r="E126" s="127"/>
      <c r="F126" s="127"/>
      <c r="G126" s="127"/>
      <c r="H126" s="127"/>
      <c r="I126" s="127"/>
      <c r="J126" s="127"/>
      <c r="K126" s="128"/>
      <c r="L126" s="127"/>
      <c r="M126" s="128"/>
      <c r="N126" s="128"/>
      <c r="O126" s="128"/>
    </row>
    <row r="127" spans="2:15" s="101" customFormat="1" x14ac:dyDescent="0.2">
      <c r="B127" s="127"/>
      <c r="C127" s="127"/>
      <c r="D127" s="127"/>
      <c r="E127" s="127"/>
      <c r="F127" s="127"/>
      <c r="G127" s="127"/>
      <c r="H127" s="127"/>
      <c r="I127" s="127"/>
      <c r="J127" s="127"/>
      <c r="K127" s="128"/>
      <c r="L127" s="127"/>
      <c r="M127" s="128"/>
      <c r="N127" s="128"/>
      <c r="O127" s="128"/>
    </row>
    <row r="128" spans="2:15" s="101" customFormat="1" ht="66" customHeight="1" x14ac:dyDescent="0.2">
      <c r="B128" s="127"/>
      <c r="C128" s="127"/>
      <c r="D128" s="127"/>
      <c r="E128" s="127"/>
      <c r="F128" s="127"/>
      <c r="G128" s="127"/>
      <c r="H128" s="127"/>
      <c r="I128" s="127"/>
      <c r="J128" s="127"/>
      <c r="K128" s="128"/>
      <c r="L128" s="127"/>
      <c r="M128" s="128"/>
      <c r="N128" s="128"/>
      <c r="O128" s="128"/>
    </row>
    <row r="129" spans="2:12" s="101" customFormat="1" x14ac:dyDescent="0.2">
      <c r="B129" s="125"/>
      <c r="C129" s="125"/>
      <c r="D129" s="125"/>
      <c r="E129" s="125"/>
      <c r="F129" s="125"/>
      <c r="G129" s="125"/>
      <c r="H129" s="125"/>
      <c r="I129" s="125"/>
      <c r="J129" s="125"/>
      <c r="L129" s="125"/>
    </row>
    <row r="130" spans="2:12" s="101" customFormat="1" x14ac:dyDescent="0.2">
      <c r="B130" s="125"/>
      <c r="C130" s="125"/>
      <c r="D130" s="125"/>
      <c r="E130" s="125"/>
      <c r="F130" s="125"/>
      <c r="G130" s="125"/>
      <c r="H130" s="125"/>
      <c r="I130" s="125"/>
      <c r="J130" s="125"/>
      <c r="L130" s="125"/>
    </row>
    <row r="131" spans="2:12" s="101" customFormat="1" x14ac:dyDescent="0.2">
      <c r="B131" s="125"/>
      <c r="C131" s="125"/>
      <c r="D131" s="125"/>
      <c r="E131" s="125"/>
      <c r="F131" s="125"/>
      <c r="G131" s="125"/>
      <c r="H131" s="125"/>
      <c r="I131" s="125"/>
      <c r="J131" s="125"/>
      <c r="L131" s="125"/>
    </row>
    <row r="132" spans="2:12" s="101" customFormat="1" x14ac:dyDescent="0.2">
      <c r="B132" s="125"/>
      <c r="C132" s="125"/>
      <c r="D132" s="125"/>
      <c r="E132" s="125"/>
      <c r="F132" s="125"/>
      <c r="G132" s="125"/>
      <c r="H132" s="125"/>
      <c r="I132" s="125"/>
      <c r="J132" s="125"/>
      <c r="L132" s="125"/>
    </row>
    <row r="133" spans="2:12" s="101" customFormat="1" x14ac:dyDescent="0.2">
      <c r="B133" s="125"/>
      <c r="C133" s="125"/>
      <c r="D133" s="125"/>
      <c r="E133" s="125"/>
      <c r="F133" s="125"/>
      <c r="G133" s="125"/>
      <c r="H133" s="125"/>
      <c r="I133" s="125"/>
      <c r="J133" s="125"/>
      <c r="L133" s="125"/>
    </row>
    <row r="134" spans="2:12" s="101" customFormat="1" x14ac:dyDescent="0.2">
      <c r="B134" s="125"/>
      <c r="C134" s="125"/>
      <c r="D134" s="125"/>
      <c r="E134" s="125"/>
      <c r="F134" s="125"/>
      <c r="G134" s="125"/>
      <c r="H134" s="125"/>
      <c r="I134" s="125"/>
      <c r="J134" s="125"/>
      <c r="L134" s="125"/>
    </row>
    <row r="135" spans="2:12" s="101" customFormat="1" x14ac:dyDescent="0.2">
      <c r="B135" s="125"/>
      <c r="C135" s="125"/>
      <c r="D135" s="125"/>
      <c r="E135" s="125"/>
      <c r="F135" s="125"/>
      <c r="G135" s="125"/>
      <c r="H135" s="125"/>
      <c r="I135" s="125"/>
      <c r="J135" s="125"/>
      <c r="L135" s="125"/>
    </row>
    <row r="136" spans="2:12" s="101" customFormat="1" x14ac:dyDescent="0.2">
      <c r="B136" s="125"/>
      <c r="C136" s="125"/>
      <c r="D136" s="125"/>
      <c r="E136" s="125"/>
      <c r="F136" s="125"/>
      <c r="G136" s="125"/>
      <c r="H136" s="125"/>
      <c r="I136" s="125"/>
      <c r="J136" s="125"/>
      <c r="L136" s="125"/>
    </row>
    <row r="137" spans="2:12" s="101" customFormat="1" x14ac:dyDescent="0.2">
      <c r="B137" s="125"/>
      <c r="C137" s="125"/>
      <c r="D137" s="125"/>
      <c r="E137" s="125"/>
      <c r="F137" s="125"/>
      <c r="G137" s="125"/>
      <c r="H137" s="125"/>
      <c r="I137" s="125"/>
      <c r="J137" s="125"/>
      <c r="L137" s="125"/>
    </row>
    <row r="138" spans="2:12" s="101" customFormat="1" x14ac:dyDescent="0.2">
      <c r="B138" s="125"/>
      <c r="C138" s="125"/>
      <c r="D138" s="125"/>
      <c r="E138" s="125"/>
      <c r="F138" s="125"/>
      <c r="G138" s="125"/>
      <c r="H138" s="125"/>
      <c r="I138" s="125"/>
      <c r="J138" s="125"/>
      <c r="L138" s="125"/>
    </row>
    <row r="139" spans="2:12" s="101" customFormat="1" x14ac:dyDescent="0.2">
      <c r="B139" s="125"/>
      <c r="C139" s="125"/>
      <c r="D139" s="125"/>
      <c r="E139" s="125"/>
      <c r="F139" s="125"/>
      <c r="G139" s="125"/>
      <c r="H139" s="125"/>
      <c r="I139" s="125"/>
      <c r="J139" s="125"/>
      <c r="L139" s="125"/>
    </row>
    <row r="140" spans="2:12" s="101" customFormat="1" x14ac:dyDescent="0.2">
      <c r="B140" s="125"/>
      <c r="C140" s="125"/>
      <c r="D140" s="125"/>
      <c r="E140" s="125"/>
      <c r="F140" s="125"/>
      <c r="G140" s="125"/>
      <c r="H140" s="125"/>
      <c r="I140" s="125"/>
      <c r="J140" s="125"/>
      <c r="L140" s="125"/>
    </row>
    <row r="141" spans="2:12" s="101" customFormat="1" x14ac:dyDescent="0.2">
      <c r="B141" s="125"/>
      <c r="C141" s="125"/>
      <c r="D141" s="125"/>
      <c r="E141" s="125"/>
      <c r="F141" s="125"/>
      <c r="G141" s="125"/>
      <c r="H141" s="125"/>
      <c r="I141" s="125"/>
      <c r="J141" s="125"/>
      <c r="L141" s="125"/>
    </row>
    <row r="142" spans="2:12" s="101" customFormat="1" x14ac:dyDescent="0.2">
      <c r="B142" s="125"/>
      <c r="C142" s="125"/>
      <c r="D142" s="125"/>
      <c r="E142" s="125"/>
      <c r="F142" s="125"/>
      <c r="G142" s="125"/>
      <c r="H142" s="125"/>
      <c r="I142" s="125"/>
      <c r="J142" s="125"/>
      <c r="L142" s="125"/>
    </row>
    <row r="143" spans="2:12" s="101" customFormat="1" x14ac:dyDescent="0.2">
      <c r="B143" s="125"/>
      <c r="C143" s="125"/>
      <c r="D143" s="125"/>
      <c r="E143" s="125"/>
      <c r="F143" s="125"/>
      <c r="G143" s="125"/>
      <c r="H143" s="125"/>
      <c r="I143" s="125"/>
      <c r="J143" s="125"/>
      <c r="L143" s="125"/>
    </row>
    <row r="144" spans="2:12" s="101" customFormat="1" x14ac:dyDescent="0.2">
      <c r="B144" s="125"/>
      <c r="C144" s="125"/>
      <c r="D144" s="125"/>
      <c r="E144" s="125"/>
      <c r="F144" s="125"/>
      <c r="G144" s="125"/>
      <c r="H144" s="125"/>
      <c r="I144" s="125"/>
      <c r="J144" s="125"/>
      <c r="L144" s="125"/>
    </row>
    <row r="145" spans="2:12" s="101" customFormat="1" x14ac:dyDescent="0.2">
      <c r="B145" s="125"/>
      <c r="C145" s="125"/>
      <c r="D145" s="125"/>
      <c r="E145" s="125"/>
      <c r="F145" s="125"/>
      <c r="G145" s="125"/>
      <c r="H145" s="125"/>
      <c r="I145" s="125"/>
      <c r="J145" s="125"/>
      <c r="L145" s="125"/>
    </row>
    <row r="146" spans="2:12" s="101" customFormat="1" x14ac:dyDescent="0.2">
      <c r="B146" s="125"/>
      <c r="C146" s="125"/>
      <c r="D146" s="125"/>
      <c r="E146" s="125"/>
      <c r="F146" s="125"/>
      <c r="G146" s="125"/>
      <c r="H146" s="125"/>
      <c r="I146" s="125"/>
      <c r="J146" s="125"/>
      <c r="L146" s="125"/>
    </row>
    <row r="147" spans="2:12" s="101" customFormat="1" x14ac:dyDescent="0.2">
      <c r="B147" s="125"/>
      <c r="C147" s="125"/>
      <c r="D147" s="125"/>
      <c r="E147" s="125"/>
      <c r="F147" s="125"/>
      <c r="G147" s="125"/>
      <c r="H147" s="125"/>
      <c r="I147" s="125"/>
      <c r="J147" s="125"/>
      <c r="L147" s="125"/>
    </row>
    <row r="148" spans="2:12" s="101" customFormat="1" x14ac:dyDescent="0.2">
      <c r="B148" s="125"/>
      <c r="C148" s="125"/>
      <c r="D148" s="125"/>
      <c r="E148" s="125"/>
      <c r="F148" s="125"/>
      <c r="G148" s="125"/>
      <c r="H148" s="125"/>
      <c r="I148" s="125"/>
      <c r="J148" s="125"/>
      <c r="L148" s="125"/>
    </row>
    <row r="149" spans="2:12" s="101" customFormat="1" x14ac:dyDescent="0.2">
      <c r="B149" s="125"/>
      <c r="C149" s="125"/>
      <c r="D149" s="125"/>
      <c r="E149" s="125"/>
      <c r="F149" s="125"/>
      <c r="G149" s="125"/>
      <c r="H149" s="125"/>
      <c r="I149" s="125"/>
      <c r="J149" s="125"/>
      <c r="L149" s="125"/>
    </row>
    <row r="150" spans="2:12" s="101" customFormat="1" x14ac:dyDescent="0.2">
      <c r="B150" s="125"/>
      <c r="C150" s="125"/>
      <c r="D150" s="125"/>
      <c r="E150" s="125"/>
      <c r="F150" s="125"/>
      <c r="G150" s="125"/>
      <c r="H150" s="125"/>
      <c r="I150" s="125"/>
      <c r="J150" s="125"/>
      <c r="L150" s="125"/>
    </row>
    <row r="151" spans="2:12" s="101" customFormat="1" x14ac:dyDescent="0.2">
      <c r="B151" s="125"/>
      <c r="C151" s="125"/>
      <c r="D151" s="125"/>
      <c r="E151" s="125"/>
      <c r="F151" s="125"/>
      <c r="G151" s="125"/>
      <c r="H151" s="125"/>
      <c r="I151" s="125"/>
      <c r="J151" s="125"/>
      <c r="L151" s="125"/>
    </row>
    <row r="152" spans="2:12" s="101" customFormat="1" x14ac:dyDescent="0.2">
      <c r="B152" s="125"/>
      <c r="C152" s="125"/>
      <c r="D152" s="125"/>
      <c r="E152" s="125"/>
      <c r="F152" s="125"/>
      <c r="G152" s="125"/>
      <c r="H152" s="125"/>
      <c r="I152" s="125"/>
      <c r="J152" s="125"/>
      <c r="L152" s="125"/>
    </row>
    <row r="153" spans="2:12" s="101" customFormat="1" x14ac:dyDescent="0.2">
      <c r="B153" s="125"/>
      <c r="C153" s="125"/>
      <c r="D153" s="125"/>
      <c r="E153" s="125"/>
      <c r="F153" s="125"/>
      <c r="G153" s="125"/>
      <c r="H153" s="125"/>
      <c r="I153" s="125"/>
      <c r="J153" s="125"/>
      <c r="L153" s="125"/>
    </row>
    <row r="154" spans="2:12" s="101" customFormat="1" x14ac:dyDescent="0.2">
      <c r="B154" s="125"/>
      <c r="C154" s="125"/>
      <c r="D154" s="125"/>
      <c r="E154" s="125"/>
      <c r="F154" s="125"/>
      <c r="G154" s="125"/>
      <c r="H154" s="125"/>
      <c r="I154" s="125"/>
      <c r="J154" s="125"/>
      <c r="L154" s="125"/>
    </row>
    <row r="155" spans="2:12" s="101" customFormat="1" x14ac:dyDescent="0.2">
      <c r="B155" s="125"/>
      <c r="C155" s="125"/>
      <c r="D155" s="125"/>
      <c r="E155" s="125"/>
      <c r="F155" s="125"/>
      <c r="G155" s="125"/>
      <c r="H155" s="125"/>
      <c r="I155" s="125"/>
      <c r="J155" s="125"/>
      <c r="L155" s="125"/>
    </row>
    <row r="156" spans="2:12" s="101" customFormat="1" x14ac:dyDescent="0.2">
      <c r="B156" s="125"/>
      <c r="C156" s="125"/>
      <c r="D156" s="125"/>
      <c r="E156" s="125"/>
      <c r="F156" s="125"/>
      <c r="G156" s="125"/>
      <c r="H156" s="125"/>
      <c r="I156" s="125"/>
      <c r="J156" s="125"/>
      <c r="L156" s="125"/>
    </row>
    <row r="157" spans="2:12" s="101" customFormat="1" x14ac:dyDescent="0.2">
      <c r="B157" s="125"/>
      <c r="C157" s="125"/>
      <c r="D157" s="125"/>
      <c r="E157" s="125"/>
      <c r="F157" s="125"/>
      <c r="G157" s="125"/>
      <c r="H157" s="125"/>
      <c r="I157" s="125"/>
      <c r="J157" s="125"/>
      <c r="L157" s="125"/>
    </row>
    <row r="158" spans="2:12" s="101" customFormat="1" x14ac:dyDescent="0.2">
      <c r="B158" s="125"/>
      <c r="C158" s="125"/>
      <c r="D158" s="125"/>
      <c r="E158" s="125"/>
      <c r="F158" s="125"/>
      <c r="G158" s="125"/>
      <c r="H158" s="125"/>
      <c r="I158" s="125"/>
      <c r="J158" s="125"/>
      <c r="L158" s="125"/>
    </row>
    <row r="159" spans="2:12" s="101" customFormat="1" x14ac:dyDescent="0.2">
      <c r="B159" s="125"/>
      <c r="C159" s="125"/>
      <c r="D159" s="125"/>
      <c r="E159" s="125"/>
      <c r="F159" s="125"/>
      <c r="G159" s="125"/>
      <c r="H159" s="125"/>
      <c r="I159" s="125"/>
      <c r="J159" s="125"/>
      <c r="L159" s="125"/>
    </row>
    <row r="160" spans="2:12" s="101" customFormat="1" x14ac:dyDescent="0.2">
      <c r="B160" s="125"/>
      <c r="C160" s="125"/>
      <c r="D160" s="125"/>
      <c r="E160" s="125"/>
      <c r="F160" s="125"/>
      <c r="G160" s="125"/>
      <c r="H160" s="125"/>
      <c r="I160" s="125"/>
      <c r="J160" s="125"/>
      <c r="L160" s="125"/>
    </row>
    <row r="161" spans="2:12" s="101" customFormat="1" x14ac:dyDescent="0.2">
      <c r="B161" s="125"/>
      <c r="C161" s="125"/>
      <c r="D161" s="125"/>
      <c r="E161" s="125"/>
      <c r="F161" s="125"/>
      <c r="G161" s="125"/>
      <c r="H161" s="125"/>
      <c r="I161" s="125"/>
      <c r="J161" s="125"/>
      <c r="L161" s="125"/>
    </row>
    <row r="162" spans="2:12" s="101" customFormat="1" x14ac:dyDescent="0.2">
      <c r="B162" s="125"/>
      <c r="C162" s="125"/>
      <c r="D162" s="125"/>
      <c r="E162" s="125"/>
      <c r="F162" s="125"/>
      <c r="G162" s="125"/>
      <c r="H162" s="125"/>
      <c r="I162" s="125"/>
      <c r="J162" s="125"/>
      <c r="L162" s="125"/>
    </row>
    <row r="163" spans="2:12" s="101" customFormat="1" x14ac:dyDescent="0.2">
      <c r="B163" s="125"/>
      <c r="C163" s="125"/>
      <c r="D163" s="125"/>
      <c r="E163" s="125"/>
      <c r="F163" s="125"/>
      <c r="G163" s="125"/>
      <c r="H163" s="125"/>
      <c r="I163" s="125"/>
      <c r="J163" s="125"/>
      <c r="L163" s="125"/>
    </row>
    <row r="164" spans="2:12" s="101" customFormat="1" x14ac:dyDescent="0.2">
      <c r="B164" s="125"/>
      <c r="C164" s="125"/>
      <c r="D164" s="125"/>
      <c r="E164" s="125"/>
      <c r="F164" s="125"/>
      <c r="G164" s="125"/>
      <c r="H164" s="125"/>
      <c r="I164" s="125"/>
      <c r="J164" s="125"/>
      <c r="L164" s="125"/>
    </row>
    <row r="165" spans="2:12" s="101" customFormat="1" x14ac:dyDescent="0.2">
      <c r="B165" s="125"/>
      <c r="C165" s="125"/>
      <c r="D165" s="125"/>
      <c r="E165" s="125"/>
      <c r="F165" s="125"/>
      <c r="G165" s="125"/>
      <c r="H165" s="125"/>
      <c r="I165" s="125"/>
      <c r="J165" s="125"/>
      <c r="L165" s="125"/>
    </row>
    <row r="166" spans="2:12" s="101" customFormat="1" x14ac:dyDescent="0.2">
      <c r="B166" s="125"/>
      <c r="C166" s="125"/>
      <c r="D166" s="125"/>
      <c r="E166" s="125"/>
      <c r="F166" s="125"/>
      <c r="G166" s="125"/>
      <c r="H166" s="125"/>
      <c r="I166" s="125"/>
      <c r="J166" s="125"/>
      <c r="L166" s="125"/>
    </row>
    <row r="167" spans="2:12" s="101" customFormat="1" x14ac:dyDescent="0.2">
      <c r="B167" s="125"/>
      <c r="C167" s="125"/>
      <c r="D167" s="125"/>
      <c r="E167" s="125"/>
      <c r="F167" s="125"/>
      <c r="G167" s="125"/>
      <c r="H167" s="125"/>
      <c r="I167" s="125"/>
      <c r="J167" s="125"/>
      <c r="L167" s="125"/>
    </row>
    <row r="168" spans="2:12" s="101" customFormat="1" x14ac:dyDescent="0.2">
      <c r="B168" s="125"/>
      <c r="C168" s="125"/>
      <c r="D168" s="125"/>
      <c r="E168" s="125"/>
      <c r="F168" s="125"/>
      <c r="G168" s="125"/>
      <c r="H168" s="125"/>
      <c r="I168" s="125"/>
      <c r="J168" s="125"/>
      <c r="L168" s="125"/>
    </row>
    <row r="169" spans="2:12" s="101" customFormat="1" x14ac:dyDescent="0.2">
      <c r="B169" s="125"/>
      <c r="C169" s="125"/>
      <c r="D169" s="125"/>
      <c r="E169" s="125"/>
      <c r="F169" s="125"/>
      <c r="G169" s="125"/>
      <c r="H169" s="125"/>
      <c r="I169" s="125"/>
      <c r="J169" s="125"/>
      <c r="L169" s="125"/>
    </row>
    <row r="170" spans="2:12" s="101" customFormat="1" x14ac:dyDescent="0.2">
      <c r="B170" s="125"/>
      <c r="C170" s="125"/>
      <c r="D170" s="125"/>
      <c r="E170" s="125"/>
      <c r="F170" s="125"/>
      <c r="G170" s="125"/>
      <c r="H170" s="125"/>
      <c r="I170" s="125"/>
      <c r="J170" s="125"/>
      <c r="L170" s="125"/>
    </row>
    <row r="171" spans="2:12" s="101" customFormat="1" x14ac:dyDescent="0.2">
      <c r="B171" s="125"/>
      <c r="C171" s="125"/>
      <c r="D171" s="125"/>
      <c r="E171" s="125"/>
      <c r="F171" s="125"/>
      <c r="G171" s="125"/>
      <c r="H171" s="125"/>
      <c r="I171" s="125"/>
      <c r="J171" s="125"/>
      <c r="L171" s="125"/>
    </row>
    <row r="172" spans="2:12" s="101" customFormat="1" x14ac:dyDescent="0.2">
      <c r="B172" s="125"/>
      <c r="C172" s="125"/>
      <c r="D172" s="125"/>
      <c r="E172" s="125"/>
      <c r="F172" s="125"/>
      <c r="G172" s="125"/>
      <c r="H172" s="125"/>
      <c r="I172" s="125"/>
      <c r="J172" s="125"/>
      <c r="L172" s="125"/>
    </row>
    <row r="173" spans="2:12" s="101" customFormat="1" x14ac:dyDescent="0.2">
      <c r="B173" s="125"/>
      <c r="C173" s="125"/>
      <c r="D173" s="125"/>
      <c r="E173" s="125"/>
      <c r="F173" s="125"/>
      <c r="G173" s="125"/>
      <c r="H173" s="125"/>
      <c r="I173" s="125"/>
      <c r="J173" s="125"/>
      <c r="L173" s="125"/>
    </row>
    <row r="174" spans="2:12" s="101" customFormat="1" x14ac:dyDescent="0.2">
      <c r="B174" s="125"/>
      <c r="C174" s="125"/>
      <c r="D174" s="125"/>
      <c r="E174" s="125"/>
      <c r="F174" s="125"/>
      <c r="G174" s="125"/>
      <c r="H174" s="125"/>
      <c r="I174" s="125"/>
      <c r="J174" s="125"/>
      <c r="L174" s="125"/>
    </row>
    <row r="175" spans="2:12" s="101" customFormat="1" x14ac:dyDescent="0.2">
      <c r="B175" s="125"/>
      <c r="C175" s="125"/>
      <c r="D175" s="125"/>
      <c r="E175" s="125"/>
      <c r="F175" s="125"/>
      <c r="G175" s="125"/>
      <c r="H175" s="125"/>
      <c r="I175" s="125"/>
      <c r="J175" s="125"/>
      <c r="L175" s="125"/>
    </row>
    <row r="176" spans="2:12" s="101" customFormat="1" x14ac:dyDescent="0.2">
      <c r="B176" s="125"/>
      <c r="C176" s="125"/>
      <c r="D176" s="125"/>
      <c r="E176" s="125"/>
      <c r="F176" s="125"/>
      <c r="G176" s="125"/>
      <c r="H176" s="125"/>
      <c r="I176" s="125"/>
      <c r="J176" s="125"/>
      <c r="L176" s="125"/>
    </row>
    <row r="177" spans="2:12" s="101" customFormat="1" x14ac:dyDescent="0.2">
      <c r="B177" s="125"/>
      <c r="C177" s="125"/>
      <c r="D177" s="125"/>
      <c r="E177" s="125"/>
      <c r="F177" s="125"/>
      <c r="G177" s="125"/>
      <c r="H177" s="125"/>
      <c r="I177" s="125"/>
      <c r="J177" s="125"/>
      <c r="L177" s="125"/>
    </row>
    <row r="178" spans="2:12" s="101" customFormat="1" x14ac:dyDescent="0.2">
      <c r="B178" s="125"/>
      <c r="C178" s="125"/>
      <c r="D178" s="125"/>
      <c r="E178" s="125"/>
      <c r="F178" s="125"/>
      <c r="G178" s="125"/>
      <c r="H178" s="125"/>
      <c r="I178" s="125"/>
      <c r="J178" s="125"/>
      <c r="L178" s="125"/>
    </row>
    <row r="179" spans="2:12" s="101" customFormat="1" x14ac:dyDescent="0.2">
      <c r="B179" s="125"/>
      <c r="C179" s="125"/>
      <c r="D179" s="125"/>
      <c r="E179" s="125"/>
      <c r="F179" s="125"/>
      <c r="G179" s="125"/>
      <c r="H179" s="125"/>
      <c r="I179" s="125"/>
      <c r="J179" s="125"/>
      <c r="L179" s="125"/>
    </row>
    <row r="180" spans="2:12" s="101" customFormat="1" x14ac:dyDescent="0.2">
      <c r="B180" s="125"/>
      <c r="C180" s="125"/>
      <c r="D180" s="125"/>
      <c r="E180" s="125"/>
      <c r="F180" s="125"/>
      <c r="G180" s="125"/>
      <c r="H180" s="125"/>
      <c r="I180" s="125"/>
      <c r="J180" s="125"/>
      <c r="L180" s="125"/>
    </row>
  </sheetData>
  <autoFilter ref="A2:O65" xr:uid="{2BDE6E76-94FA-42DA-9D7A-8C55E4DD00DF}"/>
  <conditionalFormatting sqref="C3:F6 C7:D16 G7:H7 G65:H65 C65:D65 B64:D64 G14:H14 G17:H18 G23:H23 G36:H36 G25:H34 G20:H20 G9:H9 G39:H40 C63:D63 C42:D42 D41 C44:D48 D43 G42:H42 G44:H63 C62 C50:D54 C49 C28:D40 C27 C24:D26 C23 C18:D22 C17">
    <cfRule type="expression" dxfId="430" priority="107">
      <formula>AND(OR($F3="No",$F3=""), $E3= "Yes",$G3&lt;&gt;"",$H3&lt;&gt;"")</formula>
    </cfRule>
  </conditionalFormatting>
  <conditionalFormatting sqref="G3:H6">
    <cfRule type="expression" dxfId="429" priority="100">
      <formula>AND(OR($F3="No",$F3=""), $E3= "Yes",$G3&lt;&gt;"",$H3&lt;&gt;"")</formula>
    </cfRule>
  </conditionalFormatting>
  <conditionalFormatting sqref="I3:M65">
    <cfRule type="expression" dxfId="428" priority="99">
      <formula>AND(OR($F4="No",$F4=""), $E3= "Yes",$G3&lt;&gt;"",$H3&lt;&gt;"")</formula>
    </cfRule>
  </conditionalFormatting>
  <conditionalFormatting sqref="E7:F7 E65:F65 E14:F14 E17:F18 E23:F23 E36:F36 E25:F34 E20:F20 E39:F40 E42:F42 E41:H41 E44:F63 E43:H43">
    <cfRule type="expression" dxfId="427" priority="84">
      <formula>AND(OR($F7="No",$F7=""), $E7= "Yes",$G7&lt;&gt;"",$H7&lt;&gt;"")</formula>
    </cfRule>
    <cfRule type="expression" dxfId="426" priority="85">
      <formula>AND(OR($E7="No",$E7=""), $F7= "Yes",$G7&lt;&gt;"",$H7&lt;&gt;"")</formula>
    </cfRule>
  </conditionalFormatting>
  <conditionalFormatting sqref="E9:F9">
    <cfRule type="expression" dxfId="425" priority="82">
      <formula>AND(OR($F9="No",$F9=""), $E9= "Yes",$G9&lt;&gt;"",$H9&lt;&gt;"")</formula>
    </cfRule>
    <cfRule type="expression" dxfId="424" priority="83">
      <formula>AND(OR($E9="No",$E9=""), $F9= "Yes",$G9&lt;&gt;"",$H9&lt;&gt;"")</formula>
    </cfRule>
  </conditionalFormatting>
  <conditionalFormatting sqref="G64:H64">
    <cfRule type="expression" dxfId="423" priority="80">
      <formula>AND(OR($F64="No",$F64=""), $E64= "Yes",$G64&lt;&gt;"",$H64&lt;&gt;"")</formula>
    </cfRule>
  </conditionalFormatting>
  <conditionalFormatting sqref="E64:F64">
    <cfRule type="expression" dxfId="422" priority="78">
      <formula>AND(OR($F64="No",$F64=""), $E64= "Yes",$G64&lt;&gt;"",$H64&lt;&gt;"")</formula>
    </cfRule>
    <cfRule type="expression" dxfId="421" priority="79">
      <formula>AND(OR($E64="No",$E64=""), $F64= "Yes",$G64&lt;&gt;"",$H64&lt;&gt;"")</formula>
    </cfRule>
  </conditionalFormatting>
  <conditionalFormatting sqref="G15:H15">
    <cfRule type="expression" dxfId="420" priority="71">
      <formula>AND(OR($F15="No",$F15=""), $E15= "Yes",$G15&lt;&gt;"",$H15&lt;&gt;"")</formula>
    </cfRule>
  </conditionalFormatting>
  <conditionalFormatting sqref="E15:F15">
    <cfRule type="expression" dxfId="419" priority="69">
      <formula>AND(OR($F15="No",$F15=""), $E15= "Yes",$G15&lt;&gt;"",$H15&lt;&gt;"")</formula>
    </cfRule>
    <cfRule type="expression" dxfId="418" priority="70">
      <formula>AND(OR($E15="No",$E15=""), $F15= "Yes",$G15&lt;&gt;"",$H15&lt;&gt;"")</formula>
    </cfRule>
  </conditionalFormatting>
  <conditionalFormatting sqref="G16:H16">
    <cfRule type="expression" dxfId="417" priority="68">
      <formula>AND(OR($F16="No",$F16=""), $E16= "Yes",$G16&lt;&gt;"",$H16&lt;&gt;"")</formula>
    </cfRule>
  </conditionalFormatting>
  <conditionalFormatting sqref="E16:F16">
    <cfRule type="expression" dxfId="416" priority="66">
      <formula>AND(OR($F16="No",$F16=""), $E16= "Yes",$G16&lt;&gt;"",$H16&lt;&gt;"")</formula>
    </cfRule>
    <cfRule type="expression" dxfId="415" priority="67">
      <formula>AND(OR($E16="No",$E16=""), $F16= "Yes",$G16&lt;&gt;"",$H16&lt;&gt;"")</formula>
    </cfRule>
  </conditionalFormatting>
  <conditionalFormatting sqref="G22:H22">
    <cfRule type="expression" dxfId="414" priority="65">
      <formula>AND(OR($F22="No",$F22=""), $E22= "Yes",$G22&lt;&gt;"",$H22&lt;&gt;"")</formula>
    </cfRule>
  </conditionalFormatting>
  <conditionalFormatting sqref="E22:F22">
    <cfRule type="expression" dxfId="413" priority="63">
      <formula>AND(OR($F22="No",$F22=""), $E22= "Yes",$G22&lt;&gt;"",$H22&lt;&gt;"")</formula>
    </cfRule>
    <cfRule type="expression" dxfId="412" priority="64">
      <formula>AND(OR($E22="No",$E22=""), $F22= "Yes",$G22&lt;&gt;"",$H22&lt;&gt;"")</formula>
    </cfRule>
  </conditionalFormatting>
  <conditionalFormatting sqref="G35:H35">
    <cfRule type="expression" dxfId="411" priority="56">
      <formula>AND(OR($F35="No",$F35=""), $E35= "Yes",$G35&lt;&gt;"",$H35&lt;&gt;"")</formula>
    </cfRule>
  </conditionalFormatting>
  <conditionalFormatting sqref="E35:F35">
    <cfRule type="expression" dxfId="410" priority="54">
      <formula>AND(OR($F35="No",$F35=""), $E35= "Yes",$G35&lt;&gt;"",$H35&lt;&gt;"")</formula>
    </cfRule>
    <cfRule type="expression" dxfId="409" priority="55">
      <formula>AND(OR($E35="No",$E35=""), $F35= "Yes",$G35&lt;&gt;"",$H35&lt;&gt;"")</formula>
    </cfRule>
  </conditionalFormatting>
  <conditionalFormatting sqref="G21:H21">
    <cfRule type="expression" dxfId="408" priority="44">
      <formula>AND(OR($F21="No",$F21=""), $E21= "Yes",$G21&lt;&gt;"",$H21&lt;&gt;"")</formula>
    </cfRule>
  </conditionalFormatting>
  <conditionalFormatting sqref="E21:F21">
    <cfRule type="expression" dxfId="407" priority="42">
      <formula>AND(OR($F21="No",$F21=""), $E21= "Yes",$G21&lt;&gt;"",$H21&lt;&gt;"")</formula>
    </cfRule>
    <cfRule type="expression" dxfId="406" priority="43">
      <formula>AND(OR($E21="No",$E21=""), $F21= "Yes",$G21&lt;&gt;"",$H21&lt;&gt;"")</formula>
    </cfRule>
  </conditionalFormatting>
  <conditionalFormatting sqref="G19:H19">
    <cfRule type="expression" dxfId="405" priority="41">
      <formula>AND(OR($F19="No",$F19=""), $E19= "Yes",$G19&lt;&gt;"",$H19&lt;&gt;"")</formula>
    </cfRule>
  </conditionalFormatting>
  <conditionalFormatting sqref="E19:F19">
    <cfRule type="expression" dxfId="404" priority="39">
      <formula>AND(OR($F19="No",$F19=""), $E19= "Yes",$G19&lt;&gt;"",$H19&lt;&gt;"")</formula>
    </cfRule>
    <cfRule type="expression" dxfId="403" priority="40">
      <formula>AND(OR($E19="No",$E19=""), $F19= "Yes",$G19&lt;&gt;"",$H19&lt;&gt;"")</formula>
    </cfRule>
  </conditionalFormatting>
  <conditionalFormatting sqref="G38:H38">
    <cfRule type="expression" dxfId="402" priority="38">
      <formula>AND(OR($F38="No",$F38=""), $E38= "Yes",$G38&lt;&gt;"",$H38&lt;&gt;"")</formula>
    </cfRule>
  </conditionalFormatting>
  <conditionalFormatting sqref="E38:F38">
    <cfRule type="expression" dxfId="401" priority="36">
      <formula>AND(OR($F38="No",$F38=""), $E38= "Yes",$G38&lt;&gt;"",$H38&lt;&gt;"")</formula>
    </cfRule>
    <cfRule type="expression" dxfId="400" priority="37">
      <formula>AND(OR($E38="No",$E38=""), $F38= "Yes",$G38&lt;&gt;"",$H38&lt;&gt;"")</formula>
    </cfRule>
  </conditionalFormatting>
  <conditionalFormatting sqref="G37:H37">
    <cfRule type="expression" dxfId="399" priority="35">
      <formula>AND(OR($F37="No",$F37=""), $E37= "Yes",$G37&lt;&gt;"",$H37&lt;&gt;"")</formula>
    </cfRule>
  </conditionalFormatting>
  <conditionalFormatting sqref="E37:F37">
    <cfRule type="expression" dxfId="398" priority="33">
      <formula>AND(OR($F37="No",$F37=""), $E37= "Yes",$G37&lt;&gt;"",$H37&lt;&gt;"")</formula>
    </cfRule>
    <cfRule type="expression" dxfId="397" priority="34">
      <formula>AND(OR($E37="No",$E37=""), $F37= "Yes",$G37&lt;&gt;"",$H37&lt;&gt;"")</formula>
    </cfRule>
  </conditionalFormatting>
  <conditionalFormatting sqref="G24:H24">
    <cfRule type="expression" dxfId="396" priority="32">
      <formula>AND(OR($F24="No",$F24=""), $E24= "Yes",$G24&lt;&gt;"",$H24&lt;&gt;"")</formula>
    </cfRule>
  </conditionalFormatting>
  <conditionalFormatting sqref="E24:F24">
    <cfRule type="expression" dxfId="395" priority="30">
      <formula>AND(OR($F24="No",$F24=""), $E24= "Yes",$G24&lt;&gt;"",$H24&lt;&gt;"")</formula>
    </cfRule>
    <cfRule type="expression" dxfId="394" priority="31">
      <formula>AND(OR($E24="No",$E24=""), $F24= "Yes",$G24&lt;&gt;"",$H24&lt;&gt;"")</formula>
    </cfRule>
  </conditionalFormatting>
  <conditionalFormatting sqref="G11:H11">
    <cfRule type="expression" dxfId="393" priority="29">
      <formula>AND(OR($F11="No",$F11=""), $E11= "Yes",$G11&lt;&gt;"",$H11&lt;&gt;"")</formula>
    </cfRule>
  </conditionalFormatting>
  <conditionalFormatting sqref="E11:F11">
    <cfRule type="expression" dxfId="392" priority="27">
      <formula>AND(OR($F11="No",$F11=""), $E11= "Yes",$G11&lt;&gt;"",$H11&lt;&gt;"")</formula>
    </cfRule>
    <cfRule type="expression" dxfId="391" priority="28">
      <formula>AND(OR($E11="No",$E11=""), $F11= "Yes",$G11&lt;&gt;"",$H11&lt;&gt;"")</formula>
    </cfRule>
  </conditionalFormatting>
  <conditionalFormatting sqref="G8:H8">
    <cfRule type="expression" dxfId="390" priority="26">
      <formula>AND(OR($F8="No",$F8=""), $E8= "Yes",$G8&lt;&gt;"",$H8&lt;&gt;"")</formula>
    </cfRule>
  </conditionalFormatting>
  <conditionalFormatting sqref="E8:F8">
    <cfRule type="expression" dxfId="389" priority="24">
      <formula>AND(OR($F8="No",$F8=""), $E8= "Yes",$G8&lt;&gt;"",$H8&lt;&gt;"")</formula>
    </cfRule>
    <cfRule type="expression" dxfId="388" priority="25">
      <formula>AND(OR($E8="No",$E8=""), $F8= "Yes",$G8&lt;&gt;"",$H8&lt;&gt;"")</formula>
    </cfRule>
  </conditionalFormatting>
  <conditionalFormatting sqref="G10:H10">
    <cfRule type="expression" dxfId="387" priority="23">
      <formula>AND(OR($F10="No",$F10=""), $E10= "Yes",$G10&lt;&gt;"",$H10&lt;&gt;"")</formula>
    </cfRule>
  </conditionalFormatting>
  <conditionalFormatting sqref="E10:F10">
    <cfRule type="expression" dxfId="386" priority="21">
      <formula>AND(OR($F10="No",$F10=""), $E10= "Yes",$G10&lt;&gt;"",$H10&lt;&gt;"")</formula>
    </cfRule>
    <cfRule type="expression" dxfId="385" priority="22">
      <formula>AND(OR($E10="No",$E10=""), $F10= "Yes",$G10&lt;&gt;"",$H10&lt;&gt;"")</formula>
    </cfRule>
  </conditionalFormatting>
  <conditionalFormatting sqref="G12:H12">
    <cfRule type="expression" dxfId="384" priority="20">
      <formula>AND(OR($F12="No",$F12=""), $E12= "Yes",$G12&lt;&gt;"",$H12&lt;&gt;"")</formula>
    </cfRule>
  </conditionalFormatting>
  <conditionalFormatting sqref="E12:F12">
    <cfRule type="expression" dxfId="383" priority="18">
      <formula>AND(OR($F12="No",$F12=""), $E12= "Yes",$G12&lt;&gt;"",$H12&lt;&gt;"")</formula>
    </cfRule>
    <cfRule type="expression" dxfId="382" priority="19">
      <formula>AND(OR($E12="No",$E12=""), $F12= "Yes",$G12&lt;&gt;"",$H12&lt;&gt;"")</formula>
    </cfRule>
  </conditionalFormatting>
  <conditionalFormatting sqref="G13:H13">
    <cfRule type="expression" dxfId="381" priority="17">
      <formula>AND(OR($F13="No",$F13=""), $E13= "Yes",$G13&lt;&gt;"",$H13&lt;&gt;"")</formula>
    </cfRule>
  </conditionalFormatting>
  <conditionalFormatting sqref="E13:F13">
    <cfRule type="expression" dxfId="380" priority="15">
      <formula>AND(OR($F13="No",$F13=""), $E13= "Yes",$G13&lt;&gt;"",$H13&lt;&gt;"")</formula>
    </cfRule>
    <cfRule type="expression" dxfId="379" priority="16">
      <formula>AND(OR($E13="No",$E13=""), $F13= "Yes",$G13&lt;&gt;"",$H13&lt;&gt;"")</formula>
    </cfRule>
  </conditionalFormatting>
  <conditionalFormatting sqref="A2">
    <cfRule type="expression" dxfId="378" priority="13">
      <formula>AND(OR(#REF!="No",#REF!=""), #REF!= "Yes",#REF!&lt;&gt;"",#REF!&lt;&gt;"")</formula>
    </cfRule>
    <cfRule type="expression" dxfId="377" priority="14">
      <formula>AND(OR(#REF!="No",#REF!=""), #REF!= "Yes",#REF!&lt;&gt;"",#REF!&lt;&gt;"")</formula>
    </cfRule>
  </conditionalFormatting>
  <conditionalFormatting sqref="C55:D61">
    <cfRule type="expression" dxfId="376" priority="12">
      <formula>AND(OR($F55="No",$F55=""), $E55= "Yes",$G55&lt;&gt;"",$H55&lt;&gt;"")</formula>
    </cfRule>
  </conditionalFormatting>
  <conditionalFormatting sqref="N15:O63 N64:N65">
    <cfRule type="expression" dxfId="375" priority="11">
      <formula>AND(OR($F15="No",$F15=""), $E15= "Yes",$G15&lt;&gt;"",$H15&lt;&gt;"")</formula>
    </cfRule>
  </conditionalFormatting>
  <conditionalFormatting sqref="N3:O13">
    <cfRule type="expression" dxfId="374" priority="10">
      <formula>AND(OR($F3="No",$F3=""), $E3= "Yes",$G3&lt;&gt;"",$H3&lt;&gt;"")</formula>
    </cfRule>
  </conditionalFormatting>
  <conditionalFormatting sqref="O64:O65">
    <cfRule type="expression" dxfId="373" priority="9">
      <formula>AND(OR($F64="No",$F64=""), $E64= "Yes",$G64&lt;&gt;"",$H64&lt;&gt;"")</formula>
    </cfRule>
  </conditionalFormatting>
  <conditionalFormatting sqref="N14:O14">
    <cfRule type="expression" dxfId="372" priority="8">
      <formula>AND(OR($F14="No",$F14=""), $E14= "Yes",$G14&lt;&gt;"",$H14&lt;&gt;"")</formula>
    </cfRule>
  </conditionalFormatting>
  <conditionalFormatting sqref="C41">
    <cfRule type="expression" dxfId="371" priority="7">
      <formula>AND(OR($F41="No",$F41=""), $E41= "Yes",$G41&lt;&gt;"",$H41&lt;&gt;"")</formula>
    </cfRule>
  </conditionalFormatting>
  <conditionalFormatting sqref="C43">
    <cfRule type="expression" dxfId="370" priority="6">
      <formula>AND(OR($F43="No",$F43=""), $E43= "Yes",$G43&lt;&gt;"",$H43&lt;&gt;"")</formula>
    </cfRule>
  </conditionalFormatting>
  <conditionalFormatting sqref="D62">
    <cfRule type="expression" dxfId="369" priority="5">
      <formula>AND(OR($F62="No",$F62=""), $E62= "Yes",$G62&lt;&gt;"",$H62&lt;&gt;"")</formula>
    </cfRule>
  </conditionalFormatting>
  <conditionalFormatting sqref="D49">
    <cfRule type="expression" dxfId="368" priority="4">
      <formula>AND(OR($F49="No",$F49=""), $E49= "Yes",$G49&lt;&gt;"",$H49&lt;&gt;"")</formula>
    </cfRule>
  </conditionalFormatting>
  <conditionalFormatting sqref="D27">
    <cfRule type="expression" dxfId="367" priority="3">
      <formula>AND(OR($F27="No",$F27=""), $E27= "Yes",$G27&lt;&gt;"",$H27&lt;&gt;"")</formula>
    </cfRule>
  </conditionalFormatting>
  <conditionalFormatting sqref="D23">
    <cfRule type="expression" dxfId="366" priority="2">
      <formula>AND(OR($F23="No",$F23=""), $E23= "Yes",$G23&lt;&gt;"",$H23&lt;&gt;"")</formula>
    </cfRule>
  </conditionalFormatting>
  <conditionalFormatting sqref="D17">
    <cfRule type="expression" dxfId="365" priority="1">
      <formula>AND(OR($F17="No",$F17=""), $E17= "Yes",$G17&lt;&gt;"",$H17&lt;&gt;"")</formula>
    </cfRule>
  </conditionalFormatting>
  <dataValidations count="1">
    <dataValidation type="list" allowBlank="1" showInputMessage="1" showErrorMessage="1" sqref="E3:F40 E44:F65" xr:uid="{6361FEAB-AAE8-4802-B012-814A505453F1}">
      <formula1>"Yes, No"</formula1>
    </dataValidation>
  </dataValidations>
  <pageMargins left="0.25" right="0.25" top="0.75" bottom="0.75" header="0.3" footer="0.3"/>
  <pageSetup paperSize="8" orientation="landscape"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DFE498-5EA2-456C-8899-FC871C9EF0A8}">
  <sheetPr codeName="Sheet9"/>
  <dimension ref="A1:O180"/>
  <sheetViews>
    <sheetView zoomScale="60" zoomScaleNormal="60" workbookViewId="0">
      <pane ySplit="2" topLeftCell="A53" activePane="bottomLeft" state="frozen"/>
      <selection pane="bottomLeft" activeCell="F100" sqref="F100"/>
    </sheetView>
  </sheetViews>
  <sheetFormatPr defaultColWidth="8.88671875" defaultRowHeight="15" x14ac:dyDescent="0.2"/>
  <cols>
    <col min="1" max="1" width="8.88671875" style="3" customWidth="1"/>
    <col min="2" max="2" width="7.77734375" style="22" customWidth="1"/>
    <col min="3" max="3" width="60.77734375" style="22" customWidth="1"/>
    <col min="4" max="4" width="38.77734375" style="22" customWidth="1"/>
    <col min="5" max="5" width="11.6640625" style="22" customWidth="1"/>
    <col min="6" max="6" width="11.21875" style="22" customWidth="1"/>
    <col min="7" max="7" width="38.77734375" style="22" customWidth="1"/>
    <col min="8" max="8" width="14.77734375" style="22" customWidth="1"/>
    <col min="9" max="10" width="10.33203125" style="22" customWidth="1"/>
    <col min="11" max="11" width="8.88671875" style="3" customWidth="1"/>
    <col min="12" max="12" width="15.5546875" style="22" customWidth="1"/>
    <col min="13" max="13" width="8.88671875" style="3" customWidth="1"/>
    <col min="14" max="14" width="9.77734375" style="3" customWidth="1"/>
    <col min="15" max="17" width="8.88671875" style="3" customWidth="1"/>
    <col min="18" max="16384" width="8.88671875" style="3"/>
  </cols>
  <sheetData>
    <row r="1" spans="1:15" ht="21" customHeight="1" thickBot="1" x14ac:dyDescent="0.25">
      <c r="B1" s="88" t="s">
        <v>44</v>
      </c>
      <c r="C1" s="62" t="s">
        <v>572</v>
      </c>
      <c r="D1" s="23"/>
      <c r="E1" s="23"/>
      <c r="F1" s="23"/>
      <c r="G1" s="23"/>
      <c r="H1" s="23"/>
      <c r="I1" s="23"/>
      <c r="J1" s="23"/>
      <c r="K1" s="22"/>
      <c r="L1" s="23"/>
    </row>
    <row r="2" spans="1:15" s="10" customFormat="1" ht="87.95" customHeight="1" thickBot="1" x14ac:dyDescent="0.25">
      <c r="A2" s="50" t="s">
        <v>38</v>
      </c>
      <c r="B2" s="50" t="s">
        <v>39</v>
      </c>
      <c r="C2" s="51" t="s">
        <v>40</v>
      </c>
      <c r="D2" s="52" t="s">
        <v>41</v>
      </c>
      <c r="E2" s="53" t="s">
        <v>24</v>
      </c>
      <c r="F2" s="53" t="s">
        <v>20</v>
      </c>
      <c r="G2" s="54" t="s">
        <v>42</v>
      </c>
      <c r="H2" s="54" t="s">
        <v>43</v>
      </c>
      <c r="I2" s="55" t="s">
        <v>46</v>
      </c>
      <c r="J2" s="55" t="s">
        <v>47</v>
      </c>
      <c r="K2" s="63" t="s">
        <v>48</v>
      </c>
      <c r="L2" s="55" t="s">
        <v>49</v>
      </c>
      <c r="M2" s="63" t="s">
        <v>50</v>
      </c>
      <c r="N2" s="63" t="s">
        <v>51</v>
      </c>
      <c r="O2" s="63" t="s">
        <v>52</v>
      </c>
    </row>
    <row r="3" spans="1:15" s="101" customFormat="1" ht="54" customHeight="1" thickTop="1" thickBot="1" x14ac:dyDescent="0.25">
      <c r="A3" s="72"/>
      <c r="B3" s="92" t="s">
        <v>11</v>
      </c>
      <c r="C3" s="93" t="s">
        <v>573</v>
      </c>
      <c r="D3" s="93" t="s">
        <v>574</v>
      </c>
      <c r="E3" s="93" t="s">
        <v>12</v>
      </c>
      <c r="F3" s="93" t="s">
        <v>22</v>
      </c>
      <c r="G3" s="93" t="s">
        <v>55</v>
      </c>
      <c r="H3" s="95" t="s">
        <v>55</v>
      </c>
      <c r="I3" s="94" t="s">
        <v>56</v>
      </c>
      <c r="J3" s="94" t="s">
        <v>57</v>
      </c>
      <c r="K3" s="94">
        <v>0</v>
      </c>
      <c r="L3" s="94" t="s">
        <v>445</v>
      </c>
      <c r="M3" s="94" t="s">
        <v>59</v>
      </c>
      <c r="N3" s="93">
        <v>2</v>
      </c>
      <c r="O3" s="96">
        <v>5.2083333333333333E-4</v>
      </c>
    </row>
    <row r="4" spans="1:15" s="101" customFormat="1" ht="54" customHeight="1" thickTop="1" thickBot="1" x14ac:dyDescent="0.25">
      <c r="A4" s="72"/>
      <c r="B4" s="73" t="s">
        <v>11</v>
      </c>
      <c r="C4" s="74" t="s">
        <v>575</v>
      </c>
      <c r="D4" s="74" t="s">
        <v>576</v>
      </c>
      <c r="E4" s="74" t="s">
        <v>12</v>
      </c>
      <c r="F4" s="74" t="s">
        <v>22</v>
      </c>
      <c r="G4" s="74" t="s">
        <v>55</v>
      </c>
      <c r="H4" s="85" t="s">
        <v>55</v>
      </c>
      <c r="I4" s="94" t="s">
        <v>56</v>
      </c>
      <c r="J4" s="94" t="s">
        <v>57</v>
      </c>
      <c r="K4" s="94">
        <v>0</v>
      </c>
      <c r="L4" s="94" t="s">
        <v>58</v>
      </c>
      <c r="M4" s="94" t="s">
        <v>59</v>
      </c>
      <c r="N4" s="74">
        <v>1</v>
      </c>
      <c r="O4" s="77">
        <v>2.4305555555555556E-3</v>
      </c>
    </row>
    <row r="5" spans="1:15" s="101" customFormat="1" ht="54" customHeight="1" thickTop="1" thickBot="1" x14ac:dyDescent="0.25">
      <c r="A5" s="72"/>
      <c r="B5" s="73" t="s">
        <v>11</v>
      </c>
      <c r="C5" s="74" t="s">
        <v>577</v>
      </c>
      <c r="D5" s="74" t="s">
        <v>447</v>
      </c>
      <c r="E5" s="74" t="s">
        <v>12</v>
      </c>
      <c r="F5" s="74" t="s">
        <v>22</v>
      </c>
      <c r="G5" s="74" t="s">
        <v>55</v>
      </c>
      <c r="H5" s="85" t="s">
        <v>55</v>
      </c>
      <c r="I5" s="94" t="s">
        <v>56</v>
      </c>
      <c r="J5" s="94" t="s">
        <v>57</v>
      </c>
      <c r="K5" s="94">
        <v>0</v>
      </c>
      <c r="L5" s="94" t="s">
        <v>62</v>
      </c>
      <c r="M5" s="94" t="s">
        <v>63</v>
      </c>
      <c r="N5" s="74">
        <v>1</v>
      </c>
      <c r="O5" s="77">
        <v>1.3888888888888889E-3</v>
      </c>
    </row>
    <row r="6" spans="1:15" s="101" customFormat="1" ht="54" customHeight="1" thickTop="1" thickBot="1" x14ac:dyDescent="0.25">
      <c r="A6" s="72"/>
      <c r="B6" s="73" t="s">
        <v>11</v>
      </c>
      <c r="C6" s="74" t="s">
        <v>578</v>
      </c>
      <c r="D6" s="74" t="s">
        <v>97</v>
      </c>
      <c r="E6" s="74" t="s">
        <v>12</v>
      </c>
      <c r="F6" s="74" t="s">
        <v>22</v>
      </c>
      <c r="G6" s="74" t="s">
        <v>55</v>
      </c>
      <c r="H6" s="85" t="s">
        <v>55</v>
      </c>
      <c r="I6" s="94" t="s">
        <v>56</v>
      </c>
      <c r="J6" s="94" t="s">
        <v>57</v>
      </c>
      <c r="K6" s="94">
        <v>0</v>
      </c>
      <c r="L6" s="94" t="s">
        <v>69</v>
      </c>
      <c r="M6" s="94" t="s">
        <v>70</v>
      </c>
      <c r="N6" s="74">
        <v>1</v>
      </c>
      <c r="O6" s="77">
        <v>3.4722222222222224E-4</v>
      </c>
    </row>
    <row r="7" spans="1:15" s="101" customFormat="1" ht="54" customHeight="1" thickTop="1" thickBot="1" x14ac:dyDescent="0.25">
      <c r="A7" s="72"/>
      <c r="B7" s="73" t="s">
        <v>11</v>
      </c>
      <c r="C7" s="74" t="s">
        <v>579</v>
      </c>
      <c r="D7" s="74" t="s">
        <v>580</v>
      </c>
      <c r="E7" s="74" t="s">
        <v>12</v>
      </c>
      <c r="F7" s="74" t="s">
        <v>22</v>
      </c>
      <c r="G7" s="74" t="s">
        <v>55</v>
      </c>
      <c r="H7" s="85" t="s">
        <v>55</v>
      </c>
      <c r="I7" s="94" t="s">
        <v>56</v>
      </c>
      <c r="J7" s="94" t="s">
        <v>57</v>
      </c>
      <c r="K7" s="94">
        <v>0</v>
      </c>
      <c r="L7" s="94" t="s">
        <v>88</v>
      </c>
      <c r="M7" s="94" t="s">
        <v>59</v>
      </c>
      <c r="N7" s="74">
        <v>1</v>
      </c>
      <c r="O7" s="77">
        <v>3.1249999999999997E-3</v>
      </c>
    </row>
    <row r="8" spans="1:15" s="101" customFormat="1" ht="54" customHeight="1" thickTop="1" thickBot="1" x14ac:dyDescent="0.25">
      <c r="A8" s="72"/>
      <c r="B8" s="73" t="s">
        <v>11</v>
      </c>
      <c r="C8" s="74" t="s">
        <v>581</v>
      </c>
      <c r="D8" s="74" t="s">
        <v>582</v>
      </c>
      <c r="E8" s="74" t="s">
        <v>12</v>
      </c>
      <c r="F8" s="74" t="s">
        <v>22</v>
      </c>
      <c r="G8" s="74" t="s">
        <v>55</v>
      </c>
      <c r="H8" s="85" t="s">
        <v>55</v>
      </c>
      <c r="I8" s="94" t="s">
        <v>56</v>
      </c>
      <c r="J8" s="94" t="s">
        <v>57</v>
      </c>
      <c r="K8" s="94">
        <v>0</v>
      </c>
      <c r="L8" s="94" t="s">
        <v>93</v>
      </c>
      <c r="M8" s="94" t="s">
        <v>59</v>
      </c>
      <c r="N8" s="74">
        <v>1</v>
      </c>
      <c r="O8" s="77">
        <v>8.1018518518518516E-4</v>
      </c>
    </row>
    <row r="9" spans="1:15" s="101" customFormat="1" ht="54" customHeight="1" thickTop="1" thickBot="1" x14ac:dyDescent="0.25">
      <c r="A9" s="72"/>
      <c r="B9" s="73" t="s">
        <v>11</v>
      </c>
      <c r="C9" s="74" t="s">
        <v>583</v>
      </c>
      <c r="D9" s="74" t="s">
        <v>99</v>
      </c>
      <c r="E9" s="74" t="s">
        <v>12</v>
      </c>
      <c r="F9" s="74" t="s">
        <v>22</v>
      </c>
      <c r="G9" s="74" t="s">
        <v>55</v>
      </c>
      <c r="H9" s="85" t="s">
        <v>55</v>
      </c>
      <c r="I9" s="94" t="s">
        <v>84</v>
      </c>
      <c r="J9" s="94" t="s">
        <v>57</v>
      </c>
      <c r="K9" s="94">
        <v>0</v>
      </c>
      <c r="L9" s="94" t="s">
        <v>104</v>
      </c>
      <c r="M9" s="94" t="s">
        <v>101</v>
      </c>
      <c r="N9" s="74">
        <v>1</v>
      </c>
      <c r="O9" s="77">
        <v>6.9444444444444447E-4</v>
      </c>
    </row>
    <row r="10" spans="1:15" s="101" customFormat="1" ht="54" customHeight="1" thickTop="1" thickBot="1" x14ac:dyDescent="0.25">
      <c r="A10" s="72"/>
      <c r="B10" s="73" t="s">
        <v>11</v>
      </c>
      <c r="C10" s="74" t="s">
        <v>584</v>
      </c>
      <c r="D10" s="74" t="s">
        <v>103</v>
      </c>
      <c r="E10" s="74" t="s">
        <v>12</v>
      </c>
      <c r="F10" s="74" t="s">
        <v>22</v>
      </c>
      <c r="G10" s="74" t="s">
        <v>55</v>
      </c>
      <c r="H10" s="85" t="s">
        <v>55</v>
      </c>
      <c r="I10" s="94" t="s">
        <v>84</v>
      </c>
      <c r="J10" s="94" t="s">
        <v>57</v>
      </c>
      <c r="K10" s="94">
        <v>0</v>
      </c>
      <c r="L10" s="94" t="s">
        <v>100</v>
      </c>
      <c r="M10" s="94" t="s">
        <v>101</v>
      </c>
      <c r="N10" s="74">
        <v>1</v>
      </c>
      <c r="O10" s="77">
        <v>6.9444444444444447E-4</v>
      </c>
    </row>
    <row r="11" spans="1:15" s="101" customFormat="1" ht="54" customHeight="1" thickTop="1" thickBot="1" x14ac:dyDescent="0.25">
      <c r="A11" s="72"/>
      <c r="B11" s="73" t="s">
        <v>11</v>
      </c>
      <c r="C11" s="74" t="s">
        <v>585</v>
      </c>
      <c r="D11" s="74" t="s">
        <v>111</v>
      </c>
      <c r="E11" s="75" t="s">
        <v>12</v>
      </c>
      <c r="F11" s="75" t="s">
        <v>22</v>
      </c>
      <c r="G11" s="74" t="s">
        <v>55</v>
      </c>
      <c r="H11" s="85" t="s">
        <v>55</v>
      </c>
      <c r="I11" s="94" t="s">
        <v>84</v>
      </c>
      <c r="J11" s="94" t="s">
        <v>57</v>
      </c>
      <c r="K11" s="94">
        <v>0</v>
      </c>
      <c r="L11" s="94" t="s">
        <v>129</v>
      </c>
      <c r="M11" s="94" t="s">
        <v>101</v>
      </c>
      <c r="N11" s="74">
        <v>2</v>
      </c>
      <c r="O11" s="77">
        <v>45.042187499999997</v>
      </c>
    </row>
    <row r="12" spans="1:15" s="101" customFormat="1" ht="54" customHeight="1" thickTop="1" thickBot="1" x14ac:dyDescent="0.25">
      <c r="A12" s="72"/>
      <c r="B12" s="73" t="s">
        <v>11</v>
      </c>
      <c r="C12" s="74" t="s">
        <v>586</v>
      </c>
      <c r="D12" s="74" t="s">
        <v>108</v>
      </c>
      <c r="E12" s="75" t="s">
        <v>12</v>
      </c>
      <c r="F12" s="75" t="s">
        <v>22</v>
      </c>
      <c r="G12" s="74" t="s">
        <v>55</v>
      </c>
      <c r="H12" s="85" t="s">
        <v>55</v>
      </c>
      <c r="I12" s="94" t="s">
        <v>84</v>
      </c>
      <c r="J12" s="94" t="s">
        <v>57</v>
      </c>
      <c r="K12" s="94">
        <v>0</v>
      </c>
      <c r="L12" s="94" t="s">
        <v>129</v>
      </c>
      <c r="M12" s="94" t="s">
        <v>101</v>
      </c>
      <c r="N12" s="74">
        <v>2</v>
      </c>
      <c r="O12" s="77">
        <v>45.000520833333333</v>
      </c>
    </row>
    <row r="13" spans="1:15" s="101" customFormat="1" ht="54" customHeight="1" thickTop="1" thickBot="1" x14ac:dyDescent="0.25">
      <c r="A13" s="84"/>
      <c r="B13" s="73" t="s">
        <v>11</v>
      </c>
      <c r="C13" s="74" t="s">
        <v>587</v>
      </c>
      <c r="D13" s="74" t="s">
        <v>114</v>
      </c>
      <c r="E13" s="74" t="s">
        <v>12</v>
      </c>
      <c r="F13" s="74" t="s">
        <v>22</v>
      </c>
      <c r="G13" s="74" t="s">
        <v>123</v>
      </c>
      <c r="H13" s="85" t="s">
        <v>55</v>
      </c>
      <c r="I13" s="94" t="s">
        <v>84</v>
      </c>
      <c r="J13" s="94" t="s">
        <v>57</v>
      </c>
      <c r="K13" s="94">
        <v>0</v>
      </c>
      <c r="L13" s="94" t="s">
        <v>116</v>
      </c>
      <c r="M13" s="94" t="s">
        <v>804</v>
      </c>
      <c r="N13" s="74">
        <v>1</v>
      </c>
      <c r="O13" s="77">
        <v>5.2083333333333333E-4</v>
      </c>
    </row>
    <row r="14" spans="1:15" s="101" customFormat="1" ht="54" customHeight="1" thickTop="1" thickBot="1" x14ac:dyDescent="0.25">
      <c r="A14" s="84"/>
      <c r="B14" s="78" t="s">
        <v>11</v>
      </c>
      <c r="C14" s="79" t="s">
        <v>588</v>
      </c>
      <c r="D14" s="79" t="s">
        <v>119</v>
      </c>
      <c r="E14" s="79" t="s">
        <v>12</v>
      </c>
      <c r="F14" s="79" t="s">
        <v>22</v>
      </c>
      <c r="G14" s="79" t="s">
        <v>123</v>
      </c>
      <c r="H14" s="86" t="s">
        <v>55</v>
      </c>
      <c r="I14" s="94" t="s">
        <v>84</v>
      </c>
      <c r="J14" s="94" t="s">
        <v>57</v>
      </c>
      <c r="K14" s="94">
        <v>0</v>
      </c>
      <c r="L14" s="94" t="s">
        <v>120</v>
      </c>
      <c r="M14" s="94" t="s">
        <v>804</v>
      </c>
      <c r="N14" s="79">
        <v>2</v>
      </c>
      <c r="O14" s="83">
        <v>6.9444444444444447E-4</v>
      </c>
    </row>
    <row r="15" spans="1:15" s="101" customFormat="1" ht="54" customHeight="1" thickTop="1" thickBot="1" x14ac:dyDescent="0.25">
      <c r="A15" s="72"/>
      <c r="B15" s="92" t="s">
        <v>14</v>
      </c>
      <c r="C15" s="93" t="s">
        <v>589</v>
      </c>
      <c r="D15" s="93" t="s">
        <v>590</v>
      </c>
      <c r="E15" s="94" t="s">
        <v>12</v>
      </c>
      <c r="F15" s="94" t="s">
        <v>22</v>
      </c>
      <c r="G15" s="94" t="s">
        <v>126</v>
      </c>
      <c r="H15" s="95">
        <v>45671</v>
      </c>
      <c r="I15" s="94" t="s">
        <v>127</v>
      </c>
      <c r="J15" s="94" t="s">
        <v>128</v>
      </c>
      <c r="K15" s="94">
        <v>0</v>
      </c>
      <c r="L15" s="94" t="s">
        <v>129</v>
      </c>
      <c r="M15" s="94" t="s">
        <v>101</v>
      </c>
      <c r="N15" s="93">
        <v>4</v>
      </c>
      <c r="O15" s="96">
        <v>1.736111111111111E-3</v>
      </c>
    </row>
    <row r="16" spans="1:15" s="101" customFormat="1" ht="54" customHeight="1" thickTop="1" thickBot="1" x14ac:dyDescent="0.25">
      <c r="A16" s="72"/>
      <c r="B16" s="73" t="s">
        <v>14</v>
      </c>
      <c r="C16" s="74" t="s">
        <v>591</v>
      </c>
      <c r="D16" s="74" t="s">
        <v>592</v>
      </c>
      <c r="E16" s="75" t="s">
        <v>12</v>
      </c>
      <c r="F16" s="75" t="s">
        <v>22</v>
      </c>
      <c r="G16" s="75" t="s">
        <v>593</v>
      </c>
      <c r="H16" s="85">
        <v>45680</v>
      </c>
      <c r="I16" s="94" t="s">
        <v>127</v>
      </c>
      <c r="J16" s="94" t="s">
        <v>128</v>
      </c>
      <c r="K16" s="94">
        <v>0</v>
      </c>
      <c r="L16" s="94" t="s">
        <v>129</v>
      </c>
      <c r="M16" s="94" t="s">
        <v>101</v>
      </c>
      <c r="N16" s="74">
        <v>4</v>
      </c>
      <c r="O16" s="77">
        <v>1.736111111111111E-3</v>
      </c>
    </row>
    <row r="17" spans="1:15" s="101" customFormat="1" ht="54" customHeight="1" thickTop="1" thickBot="1" x14ac:dyDescent="0.25">
      <c r="A17" s="72"/>
      <c r="B17" s="73" t="s">
        <v>14</v>
      </c>
      <c r="C17" s="74" t="s">
        <v>594</v>
      </c>
      <c r="D17" s="74" t="s">
        <v>595</v>
      </c>
      <c r="E17" s="75" t="s">
        <v>12</v>
      </c>
      <c r="F17" s="75" t="s">
        <v>22</v>
      </c>
      <c r="G17" s="75" t="s">
        <v>126</v>
      </c>
      <c r="H17" s="85">
        <v>45671</v>
      </c>
      <c r="I17" s="94" t="s">
        <v>127</v>
      </c>
      <c r="J17" s="94" t="s">
        <v>128</v>
      </c>
      <c r="K17" s="94">
        <v>0</v>
      </c>
      <c r="L17" s="94" t="s">
        <v>140</v>
      </c>
      <c r="M17" s="94" t="s">
        <v>101</v>
      </c>
      <c r="N17" s="74">
        <v>4</v>
      </c>
      <c r="O17" s="77">
        <v>1.736111111111111E-3</v>
      </c>
    </row>
    <row r="18" spans="1:15" s="101" customFormat="1" ht="54" customHeight="1" thickTop="1" thickBot="1" x14ac:dyDescent="0.25">
      <c r="A18" s="72"/>
      <c r="B18" s="73" t="s">
        <v>14</v>
      </c>
      <c r="C18" s="74" t="s">
        <v>596</v>
      </c>
      <c r="D18" s="74" t="s">
        <v>597</v>
      </c>
      <c r="E18" s="75" t="s">
        <v>12</v>
      </c>
      <c r="F18" s="75" t="s">
        <v>22</v>
      </c>
      <c r="G18" s="75" t="s">
        <v>598</v>
      </c>
      <c r="H18" s="85">
        <v>45681</v>
      </c>
      <c r="I18" s="94" t="s">
        <v>127</v>
      </c>
      <c r="J18" s="94" t="s">
        <v>128</v>
      </c>
      <c r="K18" s="94">
        <v>0</v>
      </c>
      <c r="L18" s="94" t="s">
        <v>140</v>
      </c>
      <c r="M18" s="94" t="s">
        <v>101</v>
      </c>
      <c r="N18" s="74">
        <v>4</v>
      </c>
      <c r="O18" s="77">
        <v>1.736111111111111E-3</v>
      </c>
    </row>
    <row r="19" spans="1:15" s="101" customFormat="1" ht="54" customHeight="1" thickTop="1" thickBot="1" x14ac:dyDescent="0.25">
      <c r="A19" s="72"/>
      <c r="B19" s="73" t="s">
        <v>14</v>
      </c>
      <c r="C19" s="74" t="s">
        <v>599</v>
      </c>
      <c r="D19" s="74" t="s">
        <v>138</v>
      </c>
      <c r="E19" s="75" t="s">
        <v>12</v>
      </c>
      <c r="F19" s="75" t="s">
        <v>22</v>
      </c>
      <c r="G19" s="75" t="s">
        <v>139</v>
      </c>
      <c r="H19" s="76">
        <v>45674</v>
      </c>
      <c r="I19" s="94" t="s">
        <v>127</v>
      </c>
      <c r="J19" s="94" t="s">
        <v>57</v>
      </c>
      <c r="K19" s="94">
        <v>0</v>
      </c>
      <c r="L19" s="94" t="s">
        <v>144</v>
      </c>
      <c r="M19" s="94" t="s">
        <v>117</v>
      </c>
      <c r="N19" s="74">
        <v>2</v>
      </c>
      <c r="O19" s="77">
        <v>5.2083333333333333E-4</v>
      </c>
    </row>
    <row r="20" spans="1:15" s="101" customFormat="1" ht="54" customHeight="1" thickTop="1" thickBot="1" x14ac:dyDescent="0.25">
      <c r="A20" s="72"/>
      <c r="B20" s="73" t="s">
        <v>14</v>
      </c>
      <c r="C20" s="74" t="s">
        <v>600</v>
      </c>
      <c r="D20" s="74" t="s">
        <v>138</v>
      </c>
      <c r="E20" s="75" t="s">
        <v>12</v>
      </c>
      <c r="F20" s="75" t="s">
        <v>22</v>
      </c>
      <c r="G20" s="75" t="s">
        <v>139</v>
      </c>
      <c r="H20" s="76">
        <v>45674</v>
      </c>
      <c r="I20" s="94" t="s">
        <v>127</v>
      </c>
      <c r="J20" s="94" t="s">
        <v>57</v>
      </c>
      <c r="K20" s="94">
        <v>0</v>
      </c>
      <c r="L20" s="94" t="s">
        <v>144</v>
      </c>
      <c r="M20" s="94" t="s">
        <v>117</v>
      </c>
      <c r="N20" s="74">
        <v>2</v>
      </c>
      <c r="O20" s="77">
        <v>5.2083333333333333E-4</v>
      </c>
    </row>
    <row r="21" spans="1:15" s="101" customFormat="1" ht="54" customHeight="1" thickTop="1" thickBot="1" x14ac:dyDescent="0.25">
      <c r="A21" s="72"/>
      <c r="B21" s="73" t="s">
        <v>14</v>
      </c>
      <c r="C21" s="74" t="s">
        <v>601</v>
      </c>
      <c r="D21" s="74" t="s">
        <v>143</v>
      </c>
      <c r="E21" s="75" t="s">
        <v>12</v>
      </c>
      <c r="F21" s="75" t="s">
        <v>22</v>
      </c>
      <c r="G21" s="75" t="s">
        <v>139</v>
      </c>
      <c r="H21" s="76">
        <v>45674</v>
      </c>
      <c r="I21" s="94" t="s">
        <v>127</v>
      </c>
      <c r="J21" s="94" t="s">
        <v>57</v>
      </c>
      <c r="K21" s="94">
        <v>0</v>
      </c>
      <c r="L21" s="94" t="s">
        <v>153</v>
      </c>
      <c r="M21" s="94" t="s">
        <v>117</v>
      </c>
      <c r="N21" s="74">
        <v>1</v>
      </c>
      <c r="O21" s="77">
        <v>2.3148148148148146E-4</v>
      </c>
    </row>
    <row r="22" spans="1:15" s="101" customFormat="1" ht="54" customHeight="1" thickTop="1" thickBot="1" x14ac:dyDescent="0.25">
      <c r="A22" s="72"/>
      <c r="B22" s="73" t="s">
        <v>14</v>
      </c>
      <c r="C22" s="74" t="s">
        <v>602</v>
      </c>
      <c r="D22" s="74" t="s">
        <v>146</v>
      </c>
      <c r="E22" s="75" t="s">
        <v>12</v>
      </c>
      <c r="F22" s="75" t="s">
        <v>22</v>
      </c>
      <c r="G22" s="75" t="s">
        <v>139</v>
      </c>
      <c r="H22" s="76">
        <v>45674</v>
      </c>
      <c r="I22" s="94" t="s">
        <v>127</v>
      </c>
      <c r="J22" s="94" t="s">
        <v>57</v>
      </c>
      <c r="K22" s="94">
        <v>0</v>
      </c>
      <c r="L22" s="94" t="s">
        <v>153</v>
      </c>
      <c r="M22" s="94" t="s">
        <v>117</v>
      </c>
      <c r="N22" s="74">
        <v>2</v>
      </c>
      <c r="O22" s="77">
        <v>2.3148148148148146E-4</v>
      </c>
    </row>
    <row r="23" spans="1:15" s="101" customFormat="1" ht="54" customHeight="1" thickTop="1" thickBot="1" x14ac:dyDescent="0.25">
      <c r="A23" s="72"/>
      <c r="B23" s="73" t="s">
        <v>14</v>
      </c>
      <c r="C23" s="74" t="s">
        <v>603</v>
      </c>
      <c r="D23" s="74" t="s">
        <v>464</v>
      </c>
      <c r="E23" s="75" t="s">
        <v>12</v>
      </c>
      <c r="F23" s="75" t="s">
        <v>22</v>
      </c>
      <c r="G23" s="74" t="s">
        <v>593</v>
      </c>
      <c r="H23" s="85">
        <v>45680</v>
      </c>
      <c r="I23" s="94" t="s">
        <v>56</v>
      </c>
      <c r="J23" s="94" t="s">
        <v>128</v>
      </c>
      <c r="K23" s="94">
        <v>0</v>
      </c>
      <c r="L23" s="94" t="s">
        <v>153</v>
      </c>
      <c r="M23" s="94" t="s">
        <v>154</v>
      </c>
      <c r="N23" s="74">
        <v>2</v>
      </c>
      <c r="O23" s="77">
        <v>4.6296296296296293E-4</v>
      </c>
    </row>
    <row r="24" spans="1:15" s="101" customFormat="1" ht="54" customHeight="1" thickTop="1" thickBot="1" x14ac:dyDescent="0.25">
      <c r="A24" s="72"/>
      <c r="B24" s="73" t="s">
        <v>14</v>
      </c>
      <c r="C24" s="74" t="s">
        <v>604</v>
      </c>
      <c r="D24" s="74" t="s">
        <v>605</v>
      </c>
      <c r="E24" s="75" t="s">
        <v>12</v>
      </c>
      <c r="F24" s="75" t="s">
        <v>22</v>
      </c>
      <c r="G24" s="74" t="s">
        <v>593</v>
      </c>
      <c r="H24" s="85">
        <v>45680</v>
      </c>
      <c r="I24" s="94" t="s">
        <v>56</v>
      </c>
      <c r="J24" s="94" t="s">
        <v>128</v>
      </c>
      <c r="K24" s="94">
        <v>0</v>
      </c>
      <c r="L24" s="94" t="s">
        <v>153</v>
      </c>
      <c r="M24" s="94" t="s">
        <v>154</v>
      </c>
      <c r="N24" s="74">
        <v>2</v>
      </c>
      <c r="O24" s="77">
        <v>4.6296296296296293E-4</v>
      </c>
    </row>
    <row r="25" spans="1:15" s="101" customFormat="1" ht="54" customHeight="1" thickTop="1" thickBot="1" x14ac:dyDescent="0.25">
      <c r="A25" s="72"/>
      <c r="B25" s="73" t="s">
        <v>14</v>
      </c>
      <c r="C25" s="74" t="s">
        <v>606</v>
      </c>
      <c r="D25" s="74" t="s">
        <v>466</v>
      </c>
      <c r="E25" s="75" t="s">
        <v>12</v>
      </c>
      <c r="F25" s="75" t="s">
        <v>22</v>
      </c>
      <c r="G25" s="74" t="s">
        <v>126</v>
      </c>
      <c r="H25" s="85">
        <v>45681</v>
      </c>
      <c r="I25" s="94" t="s">
        <v>56</v>
      </c>
      <c r="J25" s="94" t="s">
        <v>128</v>
      </c>
      <c r="K25" s="94">
        <v>0</v>
      </c>
      <c r="L25" s="94" t="s">
        <v>172</v>
      </c>
      <c r="M25" s="94" t="s">
        <v>154</v>
      </c>
      <c r="N25" s="74">
        <v>2</v>
      </c>
      <c r="O25" s="77">
        <v>4.6296296296296293E-4</v>
      </c>
    </row>
    <row r="26" spans="1:15" s="101" customFormat="1" ht="54" customHeight="1" thickTop="1" thickBot="1" x14ac:dyDescent="0.25">
      <c r="A26" s="72"/>
      <c r="B26" s="73" t="s">
        <v>14</v>
      </c>
      <c r="C26" s="74" t="s">
        <v>607</v>
      </c>
      <c r="D26" s="74" t="s">
        <v>608</v>
      </c>
      <c r="E26" s="75" t="s">
        <v>12</v>
      </c>
      <c r="F26" s="75" t="s">
        <v>22</v>
      </c>
      <c r="G26" s="74" t="s">
        <v>126</v>
      </c>
      <c r="H26" s="85">
        <v>45681</v>
      </c>
      <c r="I26" s="94" t="s">
        <v>56</v>
      </c>
      <c r="J26" s="94" t="s">
        <v>128</v>
      </c>
      <c r="K26" s="94">
        <v>0</v>
      </c>
      <c r="L26" s="94" t="s">
        <v>169</v>
      </c>
      <c r="M26" s="94" t="s">
        <v>154</v>
      </c>
      <c r="N26" s="74">
        <v>2</v>
      </c>
      <c r="O26" s="77">
        <v>4.6296296296296293E-4</v>
      </c>
    </row>
    <row r="27" spans="1:15" s="101" customFormat="1" ht="54" customHeight="1" thickTop="1" thickBot="1" x14ac:dyDescent="0.25">
      <c r="B27" s="107" t="s">
        <v>14</v>
      </c>
      <c r="C27" s="100" t="s">
        <v>609</v>
      </c>
      <c r="D27" s="100" t="s">
        <v>171</v>
      </c>
      <c r="E27" s="108" t="s">
        <v>22</v>
      </c>
      <c r="F27" s="108" t="s">
        <v>22</v>
      </c>
      <c r="G27" s="108"/>
      <c r="H27" s="100"/>
      <c r="I27" s="94" t="s">
        <v>56</v>
      </c>
      <c r="J27" s="94" t="s">
        <v>57</v>
      </c>
      <c r="K27" s="94">
        <v>0</v>
      </c>
      <c r="L27" s="94" t="s">
        <v>612</v>
      </c>
      <c r="M27" s="94" t="s">
        <v>117</v>
      </c>
      <c r="N27" s="100">
        <v>2</v>
      </c>
      <c r="O27" s="110">
        <v>6.9444444444444447E-4</v>
      </c>
    </row>
    <row r="28" spans="1:15" s="101" customFormat="1" ht="54" customHeight="1" thickTop="1" thickBot="1" x14ac:dyDescent="0.25">
      <c r="A28" s="72"/>
      <c r="B28" s="78" t="s">
        <v>14</v>
      </c>
      <c r="C28" s="79" t="s">
        <v>610</v>
      </c>
      <c r="D28" s="79" t="s">
        <v>167</v>
      </c>
      <c r="E28" s="82" t="s">
        <v>12</v>
      </c>
      <c r="F28" s="82" t="s">
        <v>22</v>
      </c>
      <c r="G28" s="79" t="s">
        <v>168</v>
      </c>
      <c r="H28" s="86">
        <v>45675</v>
      </c>
      <c r="I28" s="94" t="s">
        <v>84</v>
      </c>
      <c r="J28" s="94" t="s">
        <v>57</v>
      </c>
      <c r="K28" s="94">
        <v>0</v>
      </c>
      <c r="L28" s="94" t="s">
        <v>180</v>
      </c>
      <c r="M28" s="94" t="s">
        <v>101</v>
      </c>
      <c r="N28" s="79">
        <v>1</v>
      </c>
      <c r="O28" s="83">
        <v>6.9444444444444447E-4</v>
      </c>
    </row>
    <row r="29" spans="1:15" s="101" customFormat="1" ht="54" customHeight="1" thickTop="1" thickBot="1" x14ac:dyDescent="0.25">
      <c r="B29" s="102" t="s">
        <v>17</v>
      </c>
      <c r="C29" s="103" t="s">
        <v>611</v>
      </c>
      <c r="D29" s="103" t="s">
        <v>174</v>
      </c>
      <c r="E29" s="104" t="s">
        <v>22</v>
      </c>
      <c r="F29" s="104" t="s">
        <v>22</v>
      </c>
      <c r="G29" s="103"/>
      <c r="H29" s="103"/>
      <c r="I29" s="94" t="s">
        <v>127</v>
      </c>
      <c r="J29" s="94" t="s">
        <v>57</v>
      </c>
      <c r="K29" s="94">
        <v>0</v>
      </c>
      <c r="L29" s="94" t="s">
        <v>617</v>
      </c>
      <c r="M29" s="94" t="s">
        <v>176</v>
      </c>
      <c r="N29" s="103">
        <v>2</v>
      </c>
      <c r="O29" s="106">
        <v>1.0416666666666667E-3</v>
      </c>
    </row>
    <row r="30" spans="1:15" s="101" customFormat="1" ht="54" customHeight="1" thickTop="1" thickBot="1" x14ac:dyDescent="0.25">
      <c r="A30" s="72"/>
      <c r="B30" s="73" t="s">
        <v>17</v>
      </c>
      <c r="C30" s="74" t="s">
        <v>613</v>
      </c>
      <c r="D30" s="74" t="s">
        <v>178</v>
      </c>
      <c r="E30" s="75" t="s">
        <v>12</v>
      </c>
      <c r="F30" s="75" t="s">
        <v>22</v>
      </c>
      <c r="G30" s="74" t="s">
        <v>614</v>
      </c>
      <c r="H30" s="76">
        <v>45671</v>
      </c>
      <c r="I30" s="94" t="s">
        <v>127</v>
      </c>
      <c r="J30" s="94" t="s">
        <v>57</v>
      </c>
      <c r="K30" s="94">
        <v>0</v>
      </c>
      <c r="L30" s="94" t="s">
        <v>620</v>
      </c>
      <c r="M30" s="94" t="s">
        <v>117</v>
      </c>
      <c r="N30" s="74">
        <v>2</v>
      </c>
      <c r="O30" s="77">
        <v>1.5624999999999999E-3</v>
      </c>
    </row>
    <row r="31" spans="1:15" s="101" customFormat="1" ht="54" customHeight="1" thickTop="1" thickBot="1" x14ac:dyDescent="0.25">
      <c r="A31" s="72"/>
      <c r="B31" s="73" t="s">
        <v>17</v>
      </c>
      <c r="C31" s="74" t="s">
        <v>615</v>
      </c>
      <c r="D31" s="74" t="s">
        <v>616</v>
      </c>
      <c r="E31" s="75" t="s">
        <v>12</v>
      </c>
      <c r="F31" s="75" t="s">
        <v>22</v>
      </c>
      <c r="G31" s="74" t="s">
        <v>614</v>
      </c>
      <c r="H31" s="76">
        <v>45671</v>
      </c>
      <c r="I31" s="94" t="s">
        <v>127</v>
      </c>
      <c r="J31" s="94" t="s">
        <v>128</v>
      </c>
      <c r="K31" s="94">
        <v>0</v>
      </c>
      <c r="L31" s="94" t="s">
        <v>184</v>
      </c>
      <c r="M31" s="94" t="s">
        <v>117</v>
      </c>
      <c r="N31" s="74">
        <v>2</v>
      </c>
      <c r="O31" s="77">
        <v>5.2083333333333333E-4</v>
      </c>
    </row>
    <row r="32" spans="1:15" s="101" customFormat="1" ht="54" customHeight="1" thickTop="1" thickBot="1" x14ac:dyDescent="0.25">
      <c r="A32" s="72"/>
      <c r="B32" s="73" t="s">
        <v>17</v>
      </c>
      <c r="C32" s="74" t="s">
        <v>618</v>
      </c>
      <c r="D32" s="74" t="s">
        <v>619</v>
      </c>
      <c r="E32" s="75" t="s">
        <v>12</v>
      </c>
      <c r="F32" s="75" t="s">
        <v>22</v>
      </c>
      <c r="G32" s="75" t="s">
        <v>183</v>
      </c>
      <c r="H32" s="76">
        <v>45671</v>
      </c>
      <c r="I32" s="94" t="s">
        <v>127</v>
      </c>
      <c r="J32" s="94" t="s">
        <v>57</v>
      </c>
      <c r="K32" s="94">
        <v>0</v>
      </c>
      <c r="L32" s="94" t="s">
        <v>199</v>
      </c>
      <c r="M32" s="94" t="s">
        <v>117</v>
      </c>
      <c r="N32" s="74">
        <v>2</v>
      </c>
      <c r="O32" s="77">
        <v>6.9444444444444447E-4</v>
      </c>
    </row>
    <row r="33" spans="1:15" s="101" customFormat="1" ht="54" customHeight="1" thickTop="1" thickBot="1" x14ac:dyDescent="0.25">
      <c r="A33" s="72"/>
      <c r="B33" s="73" t="s">
        <v>17</v>
      </c>
      <c r="C33" s="74" t="s">
        <v>621</v>
      </c>
      <c r="D33" s="74" t="s">
        <v>622</v>
      </c>
      <c r="E33" s="75" t="s">
        <v>12</v>
      </c>
      <c r="F33" s="75" t="s">
        <v>22</v>
      </c>
      <c r="G33" s="75" t="s">
        <v>183</v>
      </c>
      <c r="H33" s="76">
        <v>45671</v>
      </c>
      <c r="I33" s="94" t="s">
        <v>127</v>
      </c>
      <c r="J33" s="94" t="s">
        <v>57</v>
      </c>
      <c r="K33" s="94">
        <v>0</v>
      </c>
      <c r="L33" s="94" t="s">
        <v>199</v>
      </c>
      <c r="M33" s="94" t="s">
        <v>117</v>
      </c>
      <c r="N33" s="74">
        <v>2</v>
      </c>
      <c r="O33" s="77">
        <v>6.9444444444444447E-4</v>
      </c>
    </row>
    <row r="34" spans="1:15" s="101" customFormat="1" ht="54" customHeight="1" thickTop="1" thickBot="1" x14ac:dyDescent="0.25">
      <c r="A34" s="72"/>
      <c r="B34" s="73" t="s">
        <v>17</v>
      </c>
      <c r="C34" s="74" t="s">
        <v>623</v>
      </c>
      <c r="D34" s="74" t="s">
        <v>197</v>
      </c>
      <c r="E34" s="75" t="s">
        <v>12</v>
      </c>
      <c r="F34" s="75" t="s">
        <v>22</v>
      </c>
      <c r="G34" s="75" t="s">
        <v>198</v>
      </c>
      <c r="H34" s="76">
        <v>45673</v>
      </c>
      <c r="I34" s="94" t="s">
        <v>127</v>
      </c>
      <c r="J34" s="94" t="s">
        <v>128</v>
      </c>
      <c r="K34" s="94">
        <v>0</v>
      </c>
      <c r="L34" s="94" t="s">
        <v>203</v>
      </c>
      <c r="M34" s="94" t="s">
        <v>195</v>
      </c>
      <c r="N34" s="74">
        <v>1</v>
      </c>
      <c r="O34" s="77">
        <v>3.4722222222222224E-4</v>
      </c>
    </row>
    <row r="35" spans="1:15" s="101" customFormat="1" ht="54" customHeight="1" thickTop="1" thickBot="1" x14ac:dyDescent="0.25">
      <c r="A35" s="72"/>
      <c r="B35" s="73" t="s">
        <v>17</v>
      </c>
      <c r="C35" s="74" t="s">
        <v>624</v>
      </c>
      <c r="D35" s="74" t="s">
        <v>197</v>
      </c>
      <c r="E35" s="75" t="s">
        <v>12</v>
      </c>
      <c r="F35" s="75" t="s">
        <v>22</v>
      </c>
      <c r="G35" s="75" t="s">
        <v>198</v>
      </c>
      <c r="H35" s="76">
        <v>45673</v>
      </c>
      <c r="I35" s="94" t="s">
        <v>127</v>
      </c>
      <c r="J35" s="94" t="s">
        <v>128</v>
      </c>
      <c r="K35" s="94">
        <v>0</v>
      </c>
      <c r="L35" s="94" t="s">
        <v>203</v>
      </c>
      <c r="M35" s="94" t="s">
        <v>195</v>
      </c>
      <c r="N35" s="74">
        <v>1</v>
      </c>
      <c r="O35" s="77">
        <v>3.4722222222222224E-4</v>
      </c>
    </row>
    <row r="36" spans="1:15" s="101" customFormat="1" ht="54" customHeight="1" thickTop="1" thickBot="1" x14ac:dyDescent="0.25">
      <c r="A36" s="72"/>
      <c r="B36" s="73" t="s">
        <v>17</v>
      </c>
      <c r="C36" s="74" t="s">
        <v>625</v>
      </c>
      <c r="D36" s="74" t="s">
        <v>700</v>
      </c>
      <c r="E36" s="75" t="s">
        <v>12</v>
      </c>
      <c r="F36" s="75" t="s">
        <v>22</v>
      </c>
      <c r="G36" s="74" t="s">
        <v>202</v>
      </c>
      <c r="H36" s="85">
        <v>45672</v>
      </c>
      <c r="I36" s="94" t="s">
        <v>84</v>
      </c>
      <c r="J36" s="94" t="s">
        <v>128</v>
      </c>
      <c r="K36" s="94">
        <v>0</v>
      </c>
      <c r="L36" s="94">
        <v>0</v>
      </c>
      <c r="M36" s="94" t="s">
        <v>806</v>
      </c>
      <c r="N36" s="74">
        <v>1</v>
      </c>
      <c r="O36" s="77">
        <v>3.4722222222222224E-4</v>
      </c>
    </row>
    <row r="37" spans="1:15" s="101" customFormat="1" ht="54" customHeight="1" thickTop="1" thickBot="1" x14ac:dyDescent="0.25">
      <c r="A37" s="72"/>
      <c r="B37" s="73" t="s">
        <v>17</v>
      </c>
      <c r="C37" s="74" t="s">
        <v>626</v>
      </c>
      <c r="D37" s="74" t="s">
        <v>205</v>
      </c>
      <c r="E37" s="75" t="s">
        <v>12</v>
      </c>
      <c r="F37" s="75" t="s">
        <v>22</v>
      </c>
      <c r="G37" s="74" t="s">
        <v>206</v>
      </c>
      <c r="H37" s="85">
        <v>45673</v>
      </c>
      <c r="I37" s="94" t="s">
        <v>127</v>
      </c>
      <c r="J37" s="94" t="s">
        <v>128</v>
      </c>
      <c r="K37" s="94">
        <v>0</v>
      </c>
      <c r="L37" s="94" t="s">
        <v>215</v>
      </c>
      <c r="M37" s="94" t="s">
        <v>195</v>
      </c>
      <c r="N37" s="74">
        <v>1</v>
      </c>
      <c r="O37" s="77">
        <v>5.7870370370370378E-4</v>
      </c>
    </row>
    <row r="38" spans="1:15" s="101" customFormat="1" ht="54" customHeight="1" thickTop="1" thickBot="1" x14ac:dyDescent="0.25">
      <c r="A38" s="72"/>
      <c r="B38" s="73" t="s">
        <v>17</v>
      </c>
      <c r="C38" s="74" t="s">
        <v>627</v>
      </c>
      <c r="D38" s="74" t="s">
        <v>209</v>
      </c>
      <c r="E38" s="75" t="s">
        <v>12</v>
      </c>
      <c r="F38" s="75" t="s">
        <v>22</v>
      </c>
      <c r="G38" s="75" t="s">
        <v>210</v>
      </c>
      <c r="H38" s="76">
        <v>45672</v>
      </c>
      <c r="I38" s="94" t="s">
        <v>127</v>
      </c>
      <c r="J38" s="94" t="s">
        <v>128</v>
      </c>
      <c r="K38" s="94">
        <v>0</v>
      </c>
      <c r="L38" s="94" t="s">
        <v>207</v>
      </c>
      <c r="M38" s="94" t="s">
        <v>195</v>
      </c>
      <c r="N38" s="74">
        <v>2</v>
      </c>
      <c r="O38" s="77">
        <v>6.9444444444444447E-4</v>
      </c>
    </row>
    <row r="39" spans="1:15" s="101" customFormat="1" ht="54" customHeight="1" thickTop="1" thickBot="1" x14ac:dyDescent="0.25">
      <c r="A39" s="72"/>
      <c r="B39" s="73" t="s">
        <v>17</v>
      </c>
      <c r="C39" s="74" t="s">
        <v>628</v>
      </c>
      <c r="D39" s="74" t="s">
        <v>213</v>
      </c>
      <c r="E39" s="75" t="s">
        <v>12</v>
      </c>
      <c r="F39" s="75" t="s">
        <v>22</v>
      </c>
      <c r="G39" s="74" t="s">
        <v>214</v>
      </c>
      <c r="H39" s="85">
        <v>45306</v>
      </c>
      <c r="I39" s="94" t="s">
        <v>56</v>
      </c>
      <c r="J39" s="94" t="s">
        <v>128</v>
      </c>
      <c r="K39" s="94">
        <v>0</v>
      </c>
      <c r="L39" s="94" t="s">
        <v>221</v>
      </c>
      <c r="M39" s="94" t="s">
        <v>195</v>
      </c>
      <c r="N39" s="74">
        <v>1</v>
      </c>
      <c r="O39" s="77">
        <v>3.4722222222222224E-4</v>
      </c>
    </row>
    <row r="40" spans="1:15" s="101" customFormat="1" ht="54" customHeight="1" thickTop="1" thickBot="1" x14ac:dyDescent="0.25">
      <c r="A40" s="72"/>
      <c r="B40" s="73" t="s">
        <v>17</v>
      </c>
      <c r="C40" s="74" t="s">
        <v>629</v>
      </c>
      <c r="D40" s="74" t="s">
        <v>217</v>
      </c>
      <c r="E40" s="75" t="s">
        <v>12</v>
      </c>
      <c r="F40" s="75" t="s">
        <v>22</v>
      </c>
      <c r="G40" s="75" t="s">
        <v>210</v>
      </c>
      <c r="H40" s="76">
        <v>45672</v>
      </c>
      <c r="I40" s="94" t="s">
        <v>127</v>
      </c>
      <c r="J40" s="94" t="s">
        <v>57</v>
      </c>
      <c r="K40" s="94">
        <v>0</v>
      </c>
      <c r="L40" s="94" t="s">
        <v>225</v>
      </c>
      <c r="M40" s="94" t="s">
        <v>195</v>
      </c>
      <c r="N40" s="74">
        <v>1</v>
      </c>
      <c r="O40" s="77">
        <v>1.0416666666666667E-3</v>
      </c>
    </row>
    <row r="41" spans="1:15" s="101" customFormat="1" ht="54" customHeight="1" thickTop="1" thickBot="1" x14ac:dyDescent="0.25">
      <c r="A41" s="72"/>
      <c r="B41" s="73" t="s">
        <v>17</v>
      </c>
      <c r="C41" s="74" t="s">
        <v>630</v>
      </c>
      <c r="D41" s="74" t="s">
        <v>219</v>
      </c>
      <c r="E41" s="75" t="s">
        <v>12</v>
      </c>
      <c r="F41" s="75" t="s">
        <v>22</v>
      </c>
      <c r="G41" s="75" t="s">
        <v>220</v>
      </c>
      <c r="H41" s="76">
        <v>45673</v>
      </c>
      <c r="I41" s="94" t="s">
        <v>127</v>
      </c>
      <c r="J41" s="94" t="s">
        <v>128</v>
      </c>
      <c r="K41" s="94">
        <v>0</v>
      </c>
      <c r="L41" s="94" t="s">
        <v>234</v>
      </c>
      <c r="M41" s="94" t="s">
        <v>195</v>
      </c>
      <c r="N41" s="74">
        <v>1</v>
      </c>
      <c r="O41" s="77">
        <v>1.1574074074074073E-4</v>
      </c>
    </row>
    <row r="42" spans="1:15" s="101" customFormat="1" ht="54" customHeight="1" thickTop="1" thickBot="1" x14ac:dyDescent="0.25">
      <c r="A42" s="72"/>
      <c r="B42" s="73" t="s">
        <v>17</v>
      </c>
      <c r="C42" s="74" t="s">
        <v>631</v>
      </c>
      <c r="D42" s="74" t="s">
        <v>223</v>
      </c>
      <c r="E42" s="75" t="s">
        <v>12</v>
      </c>
      <c r="F42" s="75" t="s">
        <v>22</v>
      </c>
      <c r="G42" s="74" t="s">
        <v>224</v>
      </c>
      <c r="H42" s="85">
        <v>45672</v>
      </c>
      <c r="I42" s="94" t="s">
        <v>127</v>
      </c>
      <c r="J42" s="94" t="s">
        <v>128</v>
      </c>
      <c r="K42" s="94">
        <v>0</v>
      </c>
      <c r="L42" s="94" t="s">
        <v>237</v>
      </c>
      <c r="M42" s="94" t="s">
        <v>226</v>
      </c>
      <c r="N42" s="74">
        <v>2</v>
      </c>
      <c r="O42" s="77">
        <v>3.4722222222222224E-4</v>
      </c>
    </row>
    <row r="43" spans="1:15" s="101" customFormat="1" ht="54" customHeight="1" thickTop="1" thickBot="1" x14ac:dyDescent="0.25">
      <c r="A43" s="72"/>
      <c r="B43" s="73" t="s">
        <v>17</v>
      </c>
      <c r="C43" s="74" t="s">
        <v>632</v>
      </c>
      <c r="D43" s="74" t="s">
        <v>232</v>
      </c>
      <c r="E43" s="75" t="s">
        <v>12</v>
      </c>
      <c r="F43" s="75" t="s">
        <v>22</v>
      </c>
      <c r="G43" s="75" t="s">
        <v>233</v>
      </c>
      <c r="H43" s="76">
        <v>45672</v>
      </c>
      <c r="I43" s="94" t="s">
        <v>127</v>
      </c>
      <c r="J43" s="94" t="s">
        <v>128</v>
      </c>
      <c r="K43" s="94">
        <v>0</v>
      </c>
      <c r="L43" s="94" t="s">
        <v>638</v>
      </c>
      <c r="M43" s="94" t="s">
        <v>195</v>
      </c>
      <c r="N43" s="74">
        <v>1</v>
      </c>
      <c r="O43" s="77">
        <v>6.9444444444444447E-4</v>
      </c>
    </row>
    <row r="44" spans="1:15" s="101" customFormat="1" ht="54" customHeight="1" thickTop="1" thickBot="1" x14ac:dyDescent="0.25">
      <c r="A44" s="72"/>
      <c r="B44" s="73" t="s">
        <v>17</v>
      </c>
      <c r="C44" s="74" t="s">
        <v>633</v>
      </c>
      <c r="D44" s="74" t="s">
        <v>634</v>
      </c>
      <c r="E44" s="75" t="s">
        <v>12</v>
      </c>
      <c r="F44" s="75" t="s">
        <v>22</v>
      </c>
      <c r="G44" s="74" t="s">
        <v>224</v>
      </c>
      <c r="H44" s="85">
        <v>45672</v>
      </c>
      <c r="I44" s="94" t="s">
        <v>127</v>
      </c>
      <c r="J44" s="94" t="s">
        <v>128</v>
      </c>
      <c r="K44" s="94">
        <v>0</v>
      </c>
      <c r="L44" s="94" t="s">
        <v>254</v>
      </c>
      <c r="M44" s="94" t="s">
        <v>226</v>
      </c>
      <c r="N44" s="74">
        <v>1</v>
      </c>
      <c r="O44" s="77">
        <v>6.9444444444444447E-4</v>
      </c>
    </row>
    <row r="45" spans="1:15" s="101" customFormat="1" ht="54" customHeight="1" thickTop="1" thickBot="1" x14ac:dyDescent="0.25">
      <c r="A45" s="72"/>
      <c r="B45" s="73" t="s">
        <v>17</v>
      </c>
      <c r="C45" s="74" t="s">
        <v>636</v>
      </c>
      <c r="D45" s="74" t="s">
        <v>246</v>
      </c>
      <c r="E45" s="75" t="s">
        <v>12</v>
      </c>
      <c r="F45" s="75" t="s">
        <v>22</v>
      </c>
      <c r="G45" s="75" t="s">
        <v>637</v>
      </c>
      <c r="H45" s="76">
        <v>45673</v>
      </c>
      <c r="I45" s="94" t="s">
        <v>56</v>
      </c>
      <c r="J45" s="94" t="s">
        <v>128</v>
      </c>
      <c r="K45" s="94">
        <v>0</v>
      </c>
      <c r="L45" s="94" t="s">
        <v>258</v>
      </c>
      <c r="M45" s="94" t="s">
        <v>195</v>
      </c>
      <c r="N45" s="74">
        <v>2</v>
      </c>
      <c r="O45" s="77">
        <v>3.4722222222222224E-4</v>
      </c>
    </row>
    <row r="46" spans="1:15" s="101" customFormat="1" ht="54" customHeight="1" thickTop="1" thickBot="1" x14ac:dyDescent="0.25">
      <c r="A46" s="72"/>
      <c r="B46" s="73" t="s">
        <v>17</v>
      </c>
      <c r="C46" s="74" t="s">
        <v>639</v>
      </c>
      <c r="D46" s="74" t="s">
        <v>252</v>
      </c>
      <c r="E46" s="75" t="s">
        <v>12</v>
      </c>
      <c r="F46" s="75" t="s">
        <v>22</v>
      </c>
      <c r="G46" s="74" t="s">
        <v>253</v>
      </c>
      <c r="H46" s="85">
        <v>45672</v>
      </c>
      <c r="I46" s="94" t="s">
        <v>56</v>
      </c>
      <c r="J46" s="94" t="s">
        <v>128</v>
      </c>
      <c r="K46" s="94">
        <v>0</v>
      </c>
      <c r="L46" s="94" t="s">
        <v>262</v>
      </c>
      <c r="M46" s="94" t="s">
        <v>195</v>
      </c>
      <c r="N46" s="74">
        <v>1</v>
      </c>
      <c r="O46" s="77">
        <v>3.4722222222222224E-4</v>
      </c>
    </row>
    <row r="47" spans="1:15" s="101" customFormat="1" ht="54" customHeight="1" thickTop="1" thickBot="1" x14ac:dyDescent="0.25">
      <c r="A47" s="72"/>
      <c r="B47" s="73" t="s">
        <v>17</v>
      </c>
      <c r="C47" s="74" t="s">
        <v>640</v>
      </c>
      <c r="D47" s="74" t="s">
        <v>256</v>
      </c>
      <c r="E47" s="75" t="s">
        <v>12</v>
      </c>
      <c r="F47" s="75" t="s">
        <v>22</v>
      </c>
      <c r="G47" s="74" t="s">
        <v>257</v>
      </c>
      <c r="H47" s="85">
        <v>45672</v>
      </c>
      <c r="I47" s="94" t="s">
        <v>56</v>
      </c>
      <c r="J47" s="94" t="s">
        <v>128</v>
      </c>
      <c r="K47" s="94">
        <v>0</v>
      </c>
      <c r="L47" s="94" t="s">
        <v>269</v>
      </c>
      <c r="M47" s="94" t="s">
        <v>195</v>
      </c>
      <c r="N47" s="74">
        <v>1</v>
      </c>
      <c r="O47" s="77">
        <v>3.4722222222222224E-4</v>
      </c>
    </row>
    <row r="48" spans="1:15" s="101" customFormat="1" ht="54" customHeight="1" thickTop="1" thickBot="1" x14ac:dyDescent="0.25">
      <c r="A48" s="72"/>
      <c r="B48" s="73" t="s">
        <v>17</v>
      </c>
      <c r="C48" s="74" t="s">
        <v>641</v>
      </c>
      <c r="D48" s="74" t="s">
        <v>642</v>
      </c>
      <c r="E48" s="75" t="s">
        <v>12</v>
      </c>
      <c r="F48" s="75" t="s">
        <v>22</v>
      </c>
      <c r="G48" s="74" t="s">
        <v>261</v>
      </c>
      <c r="H48" s="85">
        <v>45672</v>
      </c>
      <c r="I48" s="94" t="s">
        <v>56</v>
      </c>
      <c r="J48" s="94" t="s">
        <v>128</v>
      </c>
      <c r="K48" s="94">
        <v>0</v>
      </c>
      <c r="L48" s="94" t="s">
        <v>272</v>
      </c>
      <c r="M48" s="94" t="s">
        <v>195</v>
      </c>
      <c r="N48" s="74">
        <v>1</v>
      </c>
      <c r="O48" s="77">
        <v>3.4722222222222224E-4</v>
      </c>
    </row>
    <row r="49" spans="1:15" s="101" customFormat="1" ht="54" customHeight="1" thickTop="1" thickBot="1" x14ac:dyDescent="0.25">
      <c r="A49" s="72"/>
      <c r="B49" s="73" t="s">
        <v>17</v>
      </c>
      <c r="C49" s="74" t="s">
        <v>643</v>
      </c>
      <c r="D49" s="74" t="s">
        <v>496</v>
      </c>
      <c r="E49" s="75" t="s">
        <v>12</v>
      </c>
      <c r="F49" s="75" t="s">
        <v>22</v>
      </c>
      <c r="G49" s="74" t="s">
        <v>202</v>
      </c>
      <c r="H49" s="85">
        <v>45672</v>
      </c>
      <c r="I49" s="94" t="s">
        <v>84</v>
      </c>
      <c r="J49" s="94" t="s">
        <v>128</v>
      </c>
      <c r="K49" s="94">
        <v>0</v>
      </c>
      <c r="L49" s="94" t="s">
        <v>275</v>
      </c>
      <c r="M49" s="94" t="s">
        <v>806</v>
      </c>
      <c r="N49" s="74">
        <v>1</v>
      </c>
      <c r="O49" s="77">
        <v>3.4722222222222224E-4</v>
      </c>
    </row>
    <row r="50" spans="1:15" s="101" customFormat="1" ht="54" customHeight="1" thickTop="1" thickBot="1" x14ac:dyDescent="0.25">
      <c r="A50" s="72"/>
      <c r="B50" s="73" t="s">
        <v>17</v>
      </c>
      <c r="C50" s="74" t="s">
        <v>644</v>
      </c>
      <c r="D50" s="74" t="s">
        <v>271</v>
      </c>
      <c r="E50" s="75" t="s">
        <v>12</v>
      </c>
      <c r="F50" s="75" t="s">
        <v>22</v>
      </c>
      <c r="G50" s="74" t="s">
        <v>202</v>
      </c>
      <c r="H50" s="85">
        <v>45672</v>
      </c>
      <c r="I50" s="94" t="s">
        <v>84</v>
      </c>
      <c r="J50" s="94" t="s">
        <v>128</v>
      </c>
      <c r="K50" s="94">
        <v>0</v>
      </c>
      <c r="L50" s="94" t="s">
        <v>278</v>
      </c>
      <c r="M50" s="94" t="s">
        <v>806</v>
      </c>
      <c r="N50" s="74">
        <v>1</v>
      </c>
      <c r="O50" s="77">
        <v>5.2083333333333333E-4</v>
      </c>
    </row>
    <row r="51" spans="1:15" s="101" customFormat="1" ht="54" customHeight="1" thickTop="1" thickBot="1" x14ac:dyDescent="0.25">
      <c r="A51" s="72"/>
      <c r="B51" s="73" t="s">
        <v>17</v>
      </c>
      <c r="C51" s="74" t="s">
        <v>645</v>
      </c>
      <c r="D51" s="74" t="s">
        <v>646</v>
      </c>
      <c r="E51" s="75" t="s">
        <v>12</v>
      </c>
      <c r="F51" s="75" t="s">
        <v>22</v>
      </c>
      <c r="G51" s="74" t="s">
        <v>202</v>
      </c>
      <c r="H51" s="85">
        <v>45672</v>
      </c>
      <c r="I51" s="94" t="s">
        <v>84</v>
      </c>
      <c r="J51" s="94" t="s">
        <v>128</v>
      </c>
      <c r="K51" s="94">
        <v>0</v>
      </c>
      <c r="L51" s="94" t="s">
        <v>282</v>
      </c>
      <c r="M51" s="94" t="s">
        <v>806</v>
      </c>
      <c r="N51" s="74">
        <v>1</v>
      </c>
      <c r="O51" s="77">
        <v>6.9444444444444447E-4</v>
      </c>
    </row>
    <row r="52" spans="1:15" s="101" customFormat="1" ht="54" customHeight="1" thickTop="1" thickBot="1" x14ac:dyDescent="0.25">
      <c r="A52" s="72"/>
      <c r="B52" s="73" t="s">
        <v>17</v>
      </c>
      <c r="C52" s="74" t="s">
        <v>647</v>
      </c>
      <c r="D52" s="74" t="s">
        <v>277</v>
      </c>
      <c r="E52" s="75" t="s">
        <v>12</v>
      </c>
      <c r="F52" s="75" t="s">
        <v>22</v>
      </c>
      <c r="G52" s="74" t="s">
        <v>261</v>
      </c>
      <c r="H52" s="85">
        <v>45672</v>
      </c>
      <c r="I52" s="94" t="s">
        <v>56</v>
      </c>
      <c r="J52" s="94" t="s">
        <v>128</v>
      </c>
      <c r="K52" s="94">
        <v>0</v>
      </c>
      <c r="L52" s="94" t="s">
        <v>285</v>
      </c>
      <c r="M52" s="94" t="s">
        <v>195</v>
      </c>
      <c r="N52" s="74">
        <v>1</v>
      </c>
      <c r="O52" s="77">
        <v>3.4722222222222224E-4</v>
      </c>
    </row>
    <row r="53" spans="1:15" s="101" customFormat="1" ht="54" customHeight="1" thickTop="1" thickBot="1" x14ac:dyDescent="0.25">
      <c r="A53" s="72"/>
      <c r="B53" s="73" t="s">
        <v>17</v>
      </c>
      <c r="C53" s="74" t="s">
        <v>648</v>
      </c>
      <c r="D53" s="74" t="s">
        <v>280</v>
      </c>
      <c r="E53" s="75" t="s">
        <v>12</v>
      </c>
      <c r="F53" s="75" t="s">
        <v>22</v>
      </c>
      <c r="G53" s="74" t="s">
        <v>281</v>
      </c>
      <c r="H53" s="85">
        <v>45673</v>
      </c>
      <c r="I53" s="94" t="s">
        <v>127</v>
      </c>
      <c r="J53" s="94" t="s">
        <v>128</v>
      </c>
      <c r="K53" s="94">
        <v>0</v>
      </c>
      <c r="L53" s="94" t="s">
        <v>285</v>
      </c>
      <c r="M53" s="94" t="s">
        <v>195</v>
      </c>
      <c r="N53" s="74">
        <v>1</v>
      </c>
      <c r="O53" s="77">
        <v>6.9444444444444447E-4</v>
      </c>
    </row>
    <row r="54" spans="1:15" s="101" customFormat="1" ht="54" customHeight="1" thickTop="1" thickBot="1" x14ac:dyDescent="0.25">
      <c r="A54" s="72"/>
      <c r="B54" s="73" t="s">
        <v>17</v>
      </c>
      <c r="C54" s="74" t="s">
        <v>649</v>
      </c>
      <c r="D54" s="74" t="s">
        <v>284</v>
      </c>
      <c r="E54" s="75" t="s">
        <v>12</v>
      </c>
      <c r="F54" s="75" t="s">
        <v>22</v>
      </c>
      <c r="G54" s="74" t="s">
        <v>281</v>
      </c>
      <c r="H54" s="85">
        <v>45673</v>
      </c>
      <c r="I54" s="94" t="s">
        <v>127</v>
      </c>
      <c r="J54" s="94" t="s">
        <v>128</v>
      </c>
      <c r="K54" s="94">
        <v>0</v>
      </c>
      <c r="L54" s="94" t="s">
        <v>297</v>
      </c>
      <c r="M54" s="94" t="s">
        <v>195</v>
      </c>
      <c r="N54" s="74">
        <v>1</v>
      </c>
      <c r="O54" s="77">
        <v>3.4722222222222224E-4</v>
      </c>
    </row>
    <row r="55" spans="1:15" s="101" customFormat="1" ht="54" customHeight="1" thickTop="1" thickBot="1" x14ac:dyDescent="0.25">
      <c r="A55" s="72"/>
      <c r="B55" s="73" t="s">
        <v>17</v>
      </c>
      <c r="C55" s="74" t="s">
        <v>650</v>
      </c>
      <c r="D55" s="74" t="s">
        <v>287</v>
      </c>
      <c r="E55" s="75" t="s">
        <v>12</v>
      </c>
      <c r="F55" s="75" t="s">
        <v>22</v>
      </c>
      <c r="G55" s="74" t="s">
        <v>281</v>
      </c>
      <c r="H55" s="85">
        <v>45673</v>
      </c>
      <c r="I55" s="94" t="s">
        <v>127</v>
      </c>
      <c r="J55" s="94" t="s">
        <v>128</v>
      </c>
      <c r="K55" s="94">
        <v>0</v>
      </c>
      <c r="L55" s="94" t="s">
        <v>300</v>
      </c>
      <c r="M55" s="94" t="s">
        <v>195</v>
      </c>
      <c r="N55" s="74">
        <v>1</v>
      </c>
      <c r="O55" s="77">
        <v>3.4722222222222224E-4</v>
      </c>
    </row>
    <row r="56" spans="1:15" s="101" customFormat="1" ht="54" customHeight="1" thickTop="1" thickBot="1" x14ac:dyDescent="0.25">
      <c r="A56" s="72"/>
      <c r="B56" s="73" t="s">
        <v>17</v>
      </c>
      <c r="C56" s="74" t="s">
        <v>625</v>
      </c>
      <c r="D56" s="74" t="s">
        <v>706</v>
      </c>
      <c r="E56" s="75" t="s">
        <v>12</v>
      </c>
      <c r="F56" s="75" t="s">
        <v>22</v>
      </c>
      <c r="G56" s="74" t="s">
        <v>202</v>
      </c>
      <c r="H56" s="85">
        <v>45672</v>
      </c>
      <c r="I56" s="94" t="s">
        <v>84</v>
      </c>
      <c r="J56" s="94" t="s">
        <v>128</v>
      </c>
      <c r="K56" s="94">
        <v>0</v>
      </c>
      <c r="L56" s="94">
        <v>0</v>
      </c>
      <c r="M56" s="94" t="s">
        <v>806</v>
      </c>
      <c r="N56" s="74">
        <v>1</v>
      </c>
      <c r="O56" s="77">
        <v>3.4722222222222224E-4</v>
      </c>
    </row>
    <row r="57" spans="1:15" s="101" customFormat="1" ht="54" customHeight="1" thickTop="1" thickBot="1" x14ac:dyDescent="0.25">
      <c r="A57" s="72"/>
      <c r="B57" s="73" t="s">
        <v>17</v>
      </c>
      <c r="C57" s="74" t="s">
        <v>651</v>
      </c>
      <c r="D57" s="74" t="s">
        <v>652</v>
      </c>
      <c r="E57" s="75" t="s">
        <v>12</v>
      </c>
      <c r="F57" s="75" t="s">
        <v>22</v>
      </c>
      <c r="G57" s="74" t="s">
        <v>296</v>
      </c>
      <c r="H57" s="85">
        <v>45672</v>
      </c>
      <c r="I57" s="94" t="s">
        <v>56</v>
      </c>
      <c r="J57" s="94" t="s">
        <v>128</v>
      </c>
      <c r="K57" s="94">
        <v>0</v>
      </c>
      <c r="L57" s="94" t="s">
        <v>657</v>
      </c>
      <c r="M57" s="94" t="s">
        <v>195</v>
      </c>
      <c r="N57" s="74">
        <v>1</v>
      </c>
      <c r="O57" s="77">
        <v>8.6805555555555551E-4</v>
      </c>
    </row>
    <row r="58" spans="1:15" s="101" customFormat="1" ht="54" customHeight="1" thickTop="1" thickBot="1" x14ac:dyDescent="0.25">
      <c r="A58" s="72"/>
      <c r="B58" s="73" t="s">
        <v>17</v>
      </c>
      <c r="C58" s="74" t="s">
        <v>653</v>
      </c>
      <c r="D58" s="74" t="s">
        <v>299</v>
      </c>
      <c r="E58" s="75" t="s">
        <v>12</v>
      </c>
      <c r="F58" s="75" t="s">
        <v>22</v>
      </c>
      <c r="G58" s="75" t="s">
        <v>233</v>
      </c>
      <c r="H58" s="76">
        <v>45672</v>
      </c>
      <c r="I58" s="94" t="s">
        <v>127</v>
      </c>
      <c r="J58" s="94" t="s">
        <v>128</v>
      </c>
      <c r="K58" s="94">
        <v>0</v>
      </c>
      <c r="L58" s="94" t="s">
        <v>310</v>
      </c>
      <c r="M58" s="94" t="s">
        <v>195</v>
      </c>
      <c r="N58" s="74">
        <v>1</v>
      </c>
      <c r="O58" s="77">
        <v>6.9444444444444447E-4</v>
      </c>
    </row>
    <row r="59" spans="1:15" s="101" customFormat="1" ht="54" customHeight="1" thickTop="1" thickBot="1" x14ac:dyDescent="0.25">
      <c r="A59" s="72"/>
      <c r="B59" s="73" t="s">
        <v>17</v>
      </c>
      <c r="C59" s="74" t="s">
        <v>654</v>
      </c>
      <c r="D59" s="74" t="s">
        <v>306</v>
      </c>
      <c r="E59" s="75" t="s">
        <v>12</v>
      </c>
      <c r="F59" s="75" t="s">
        <v>22</v>
      </c>
      <c r="G59" s="75" t="s">
        <v>233</v>
      </c>
      <c r="H59" s="76">
        <v>45672</v>
      </c>
      <c r="I59" s="94" t="s">
        <v>127</v>
      </c>
      <c r="J59" s="94" t="s">
        <v>128</v>
      </c>
      <c r="K59" s="94">
        <v>0</v>
      </c>
      <c r="L59" s="94" t="s">
        <v>435</v>
      </c>
      <c r="M59" s="94" t="s">
        <v>195</v>
      </c>
      <c r="N59" s="74">
        <v>1</v>
      </c>
      <c r="O59" s="77">
        <v>6.9444444444444447E-4</v>
      </c>
    </row>
    <row r="60" spans="1:15" s="101" customFormat="1" ht="54" customHeight="1" thickTop="1" thickBot="1" x14ac:dyDescent="0.25">
      <c r="B60" s="107" t="s">
        <v>17</v>
      </c>
      <c r="C60" s="100" t="s">
        <v>655</v>
      </c>
      <c r="D60" s="100" t="s">
        <v>656</v>
      </c>
      <c r="E60" s="108" t="s">
        <v>22</v>
      </c>
      <c r="F60" s="108" t="s">
        <v>22</v>
      </c>
      <c r="G60" s="100"/>
      <c r="H60" s="100"/>
      <c r="I60" s="94" t="s">
        <v>84</v>
      </c>
      <c r="J60" s="94" t="s">
        <v>57</v>
      </c>
      <c r="K60" s="94">
        <v>0</v>
      </c>
      <c r="L60" s="94">
        <v>0</v>
      </c>
      <c r="M60" s="94" t="s">
        <v>804</v>
      </c>
      <c r="N60" s="100">
        <v>1</v>
      </c>
      <c r="O60" s="110">
        <v>6.9444444444444447E-4</v>
      </c>
    </row>
    <row r="61" spans="1:15" s="101" customFormat="1" ht="54" customHeight="1" thickTop="1" thickBot="1" x14ac:dyDescent="0.25">
      <c r="A61" s="72"/>
      <c r="B61" s="73" t="s">
        <v>17</v>
      </c>
      <c r="C61" s="74" t="s">
        <v>658</v>
      </c>
      <c r="D61" s="74" t="s">
        <v>308</v>
      </c>
      <c r="E61" s="75" t="s">
        <v>12</v>
      </c>
      <c r="F61" s="75" t="s">
        <v>22</v>
      </c>
      <c r="G61" s="75" t="s">
        <v>309</v>
      </c>
      <c r="H61" s="76">
        <v>45673</v>
      </c>
      <c r="I61" s="94" t="s">
        <v>56</v>
      </c>
      <c r="J61" s="94" t="s">
        <v>57</v>
      </c>
      <c r="K61" s="94">
        <v>0</v>
      </c>
      <c r="L61" s="94">
        <v>0</v>
      </c>
      <c r="M61" s="94" t="s">
        <v>117</v>
      </c>
      <c r="N61" s="74">
        <v>1</v>
      </c>
      <c r="O61" s="77">
        <v>1.7361111111111112E-4</v>
      </c>
    </row>
    <row r="62" spans="1:15" s="101" customFormat="1" ht="54" customHeight="1" thickTop="1" thickBot="1" x14ac:dyDescent="0.25">
      <c r="B62" s="107" t="s">
        <v>17</v>
      </c>
      <c r="C62" s="100" t="s">
        <v>659</v>
      </c>
      <c r="D62" s="100" t="s">
        <v>312</v>
      </c>
      <c r="E62" s="108" t="s">
        <v>22</v>
      </c>
      <c r="F62" s="108" t="s">
        <v>22</v>
      </c>
      <c r="G62" s="100"/>
      <c r="H62" s="100"/>
      <c r="I62" s="94" t="s">
        <v>56</v>
      </c>
      <c r="J62" s="94" t="s">
        <v>128</v>
      </c>
      <c r="K62" s="94">
        <v>0</v>
      </c>
      <c r="L62" s="94">
        <v>0</v>
      </c>
      <c r="M62" s="94" t="s">
        <v>226</v>
      </c>
      <c r="N62" s="100">
        <v>2</v>
      </c>
      <c r="O62" s="110">
        <v>5.2083333333333333E-4</v>
      </c>
    </row>
    <row r="63" spans="1:15" s="101" customFormat="1" ht="54" customHeight="1" thickTop="1" thickBot="1" x14ac:dyDescent="0.25">
      <c r="A63" s="72"/>
      <c r="B63" s="73" t="s">
        <v>17</v>
      </c>
      <c r="C63" s="74" t="s">
        <v>660</v>
      </c>
      <c r="D63" s="74" t="s">
        <v>661</v>
      </c>
      <c r="E63" s="75" t="s">
        <v>12</v>
      </c>
      <c r="F63" s="75" t="s">
        <v>22</v>
      </c>
      <c r="G63" s="75" t="s">
        <v>309</v>
      </c>
      <c r="H63" s="76">
        <v>45673</v>
      </c>
      <c r="I63" s="94" t="s">
        <v>56</v>
      </c>
      <c r="J63" s="94" t="s">
        <v>57</v>
      </c>
      <c r="K63" s="94">
        <v>0</v>
      </c>
      <c r="L63" s="94" t="s">
        <v>313</v>
      </c>
      <c r="M63" s="94" t="s">
        <v>117</v>
      </c>
      <c r="N63" s="74">
        <v>3</v>
      </c>
      <c r="O63" s="77">
        <v>5.2083333333333333E-4</v>
      </c>
    </row>
    <row r="64" spans="1:15" s="101" customFormat="1" ht="54" customHeight="1" thickTop="1" thickBot="1" x14ac:dyDescent="0.25">
      <c r="A64" s="72"/>
      <c r="B64" s="78" t="s">
        <v>17</v>
      </c>
      <c r="C64" s="79" t="s">
        <v>662</v>
      </c>
      <c r="D64" s="79" t="s">
        <v>317</v>
      </c>
      <c r="E64" s="82" t="s">
        <v>12</v>
      </c>
      <c r="F64" s="82" t="s">
        <v>22</v>
      </c>
      <c r="G64" s="82" t="s">
        <v>318</v>
      </c>
      <c r="H64" s="99">
        <v>45671</v>
      </c>
      <c r="I64" s="94" t="s">
        <v>56</v>
      </c>
      <c r="J64" s="94" t="s">
        <v>57</v>
      </c>
      <c r="K64" s="94">
        <v>0</v>
      </c>
      <c r="L64" s="94" t="s">
        <v>665</v>
      </c>
      <c r="M64" s="94" t="s">
        <v>117</v>
      </c>
      <c r="N64" s="79">
        <v>4</v>
      </c>
      <c r="O64" s="83">
        <v>5.2083333333333333E-4</v>
      </c>
    </row>
    <row r="65" spans="1:15" s="101" customFormat="1" ht="54" customHeight="1" thickTop="1" thickBot="1" x14ac:dyDescent="0.25">
      <c r="B65" s="102" t="s">
        <v>21</v>
      </c>
      <c r="C65" s="103" t="s">
        <v>663</v>
      </c>
      <c r="D65" s="103" t="s">
        <v>664</v>
      </c>
      <c r="E65" s="104" t="s">
        <v>22</v>
      </c>
      <c r="F65" s="104" t="s">
        <v>22</v>
      </c>
      <c r="G65" s="103"/>
      <c r="H65" s="103"/>
      <c r="I65" s="94" t="s">
        <v>127</v>
      </c>
      <c r="J65" s="94" t="s">
        <v>128</v>
      </c>
      <c r="K65" s="94">
        <v>0</v>
      </c>
      <c r="L65" s="94" t="s">
        <v>324</v>
      </c>
      <c r="M65" s="94" t="s">
        <v>322</v>
      </c>
      <c r="N65" s="103">
        <v>4</v>
      </c>
      <c r="O65" s="106">
        <v>4.1666666666666666E-3</v>
      </c>
    </row>
    <row r="66" spans="1:15" s="101" customFormat="1" ht="54" customHeight="1" thickTop="1" thickBot="1" x14ac:dyDescent="0.25">
      <c r="B66" s="107" t="s">
        <v>21</v>
      </c>
      <c r="C66" s="100" t="s">
        <v>666</v>
      </c>
      <c r="D66" s="100" t="s">
        <v>667</v>
      </c>
      <c r="E66" s="108" t="s">
        <v>22</v>
      </c>
      <c r="F66" s="108" t="s">
        <v>22</v>
      </c>
      <c r="G66" s="100"/>
      <c r="H66" s="100"/>
      <c r="I66" s="94" t="s">
        <v>127</v>
      </c>
      <c r="J66" s="94" t="s">
        <v>128</v>
      </c>
      <c r="K66" s="94">
        <v>0</v>
      </c>
      <c r="L66" s="94" t="s">
        <v>669</v>
      </c>
      <c r="M66" s="94" t="s">
        <v>322</v>
      </c>
      <c r="N66" s="100">
        <v>4</v>
      </c>
      <c r="O66" s="110">
        <v>1.3888888888888889E-3</v>
      </c>
    </row>
    <row r="67" spans="1:15" s="101" customFormat="1" ht="54" customHeight="1" thickTop="1" thickBot="1" x14ac:dyDescent="0.25">
      <c r="B67" s="107" t="s">
        <v>21</v>
      </c>
      <c r="C67" s="100" t="s">
        <v>668</v>
      </c>
      <c r="D67" s="100" t="s">
        <v>326</v>
      </c>
      <c r="E67" s="108" t="s">
        <v>22</v>
      </c>
      <c r="F67" s="108" t="s">
        <v>22</v>
      </c>
      <c r="G67" s="100"/>
      <c r="H67" s="100"/>
      <c r="I67" s="94" t="s">
        <v>127</v>
      </c>
      <c r="J67" s="94" t="s">
        <v>128</v>
      </c>
      <c r="K67" s="94">
        <v>0</v>
      </c>
      <c r="L67" s="94" t="s">
        <v>331</v>
      </c>
      <c r="M67" s="94" t="s">
        <v>328</v>
      </c>
      <c r="N67" s="100">
        <v>2</v>
      </c>
      <c r="O67" s="110">
        <v>2.0833333333333333E-3</v>
      </c>
    </row>
    <row r="68" spans="1:15" s="101" customFormat="1" ht="54" customHeight="1" thickTop="1" thickBot="1" x14ac:dyDescent="0.25">
      <c r="B68" s="107" t="s">
        <v>21</v>
      </c>
      <c r="C68" s="100" t="s">
        <v>670</v>
      </c>
      <c r="D68" s="100" t="s">
        <v>330</v>
      </c>
      <c r="E68" s="108" t="s">
        <v>22</v>
      </c>
      <c r="F68" s="108" t="s">
        <v>22</v>
      </c>
      <c r="G68" s="100"/>
      <c r="H68" s="100"/>
      <c r="I68" s="94" t="s">
        <v>127</v>
      </c>
      <c r="J68" s="94" t="s">
        <v>128</v>
      </c>
      <c r="K68" s="94">
        <v>0</v>
      </c>
      <c r="L68" s="94" t="s">
        <v>334</v>
      </c>
      <c r="M68" s="94" t="s">
        <v>328</v>
      </c>
      <c r="N68" s="100">
        <v>2</v>
      </c>
      <c r="O68" s="110">
        <v>2.0833333333333333E-3</v>
      </c>
    </row>
    <row r="69" spans="1:15" s="101" customFormat="1" ht="54" customHeight="1" thickTop="1" thickBot="1" x14ac:dyDescent="0.25">
      <c r="A69" s="72"/>
      <c r="B69" s="73" t="s">
        <v>21</v>
      </c>
      <c r="C69" s="74" t="s">
        <v>671</v>
      </c>
      <c r="D69" s="74" t="s">
        <v>333</v>
      </c>
      <c r="E69" s="75" t="s">
        <v>12</v>
      </c>
      <c r="F69" s="75" t="s">
        <v>22</v>
      </c>
      <c r="G69" s="75" t="s">
        <v>309</v>
      </c>
      <c r="H69" s="76">
        <v>45673</v>
      </c>
      <c r="I69" s="94" t="s">
        <v>56</v>
      </c>
      <c r="J69" s="94" t="s">
        <v>57</v>
      </c>
      <c r="K69" s="94">
        <v>0</v>
      </c>
      <c r="L69" s="94" t="s">
        <v>347</v>
      </c>
      <c r="M69" s="94" t="s">
        <v>117</v>
      </c>
      <c r="N69" s="74">
        <v>2</v>
      </c>
      <c r="O69" s="77">
        <v>6.9444444444444447E-4</v>
      </c>
    </row>
    <row r="70" spans="1:15" s="101" customFormat="1" ht="54" customHeight="1" thickTop="1" thickBot="1" x14ac:dyDescent="0.25">
      <c r="B70" s="107" t="s">
        <v>21</v>
      </c>
      <c r="C70" s="100" t="s">
        <v>672</v>
      </c>
      <c r="D70" s="100" t="s">
        <v>346</v>
      </c>
      <c r="E70" s="108" t="s">
        <v>22</v>
      </c>
      <c r="F70" s="108" t="s">
        <v>22</v>
      </c>
      <c r="G70" s="100"/>
      <c r="H70" s="100"/>
      <c r="I70" s="94" t="s">
        <v>127</v>
      </c>
      <c r="J70" s="94" t="s">
        <v>128</v>
      </c>
      <c r="K70" s="94">
        <v>0</v>
      </c>
      <c r="L70" s="94" t="s">
        <v>353</v>
      </c>
      <c r="M70" s="94" t="s">
        <v>195</v>
      </c>
      <c r="N70" s="100">
        <v>2</v>
      </c>
      <c r="O70" s="110">
        <v>1.736111111111111E-3</v>
      </c>
    </row>
    <row r="71" spans="1:15" s="101" customFormat="1" ht="54" customHeight="1" thickTop="1" thickBot="1" x14ac:dyDescent="0.25">
      <c r="B71" s="107" t="s">
        <v>21</v>
      </c>
      <c r="C71" s="100" t="s">
        <v>673</v>
      </c>
      <c r="D71" s="100" t="s">
        <v>674</v>
      </c>
      <c r="E71" s="108" t="s">
        <v>22</v>
      </c>
      <c r="F71" s="108" t="s">
        <v>22</v>
      </c>
      <c r="G71" s="100"/>
      <c r="H71" s="100"/>
      <c r="I71" s="94" t="s">
        <v>56</v>
      </c>
      <c r="J71" s="94" t="s">
        <v>128</v>
      </c>
      <c r="K71" s="94">
        <v>0</v>
      </c>
      <c r="L71" s="94" t="s">
        <v>350</v>
      </c>
      <c r="M71" s="94" t="s">
        <v>154</v>
      </c>
      <c r="N71" s="100">
        <v>1</v>
      </c>
      <c r="O71" s="110">
        <v>9.2592592592592585E-4</v>
      </c>
    </row>
    <row r="72" spans="1:15" s="101" customFormat="1" ht="54" customHeight="1" thickTop="1" thickBot="1" x14ac:dyDescent="0.25">
      <c r="B72" s="107" t="s">
        <v>21</v>
      </c>
      <c r="C72" s="100" t="s">
        <v>675</v>
      </c>
      <c r="D72" s="100" t="s">
        <v>676</v>
      </c>
      <c r="E72" s="108" t="s">
        <v>22</v>
      </c>
      <c r="F72" s="108" t="s">
        <v>22</v>
      </c>
      <c r="G72" s="100"/>
      <c r="H72" s="100"/>
      <c r="I72" s="94" t="s">
        <v>56</v>
      </c>
      <c r="J72" s="94" t="s">
        <v>128</v>
      </c>
      <c r="K72" s="94">
        <v>0</v>
      </c>
      <c r="L72" s="94" t="s">
        <v>356</v>
      </c>
      <c r="M72" s="94" t="s">
        <v>154</v>
      </c>
      <c r="N72" s="100">
        <v>2</v>
      </c>
      <c r="O72" s="110">
        <v>9.2592592592592585E-4</v>
      </c>
    </row>
    <row r="73" spans="1:15" s="101" customFormat="1" ht="54" customHeight="1" thickTop="1" thickBot="1" x14ac:dyDescent="0.25">
      <c r="B73" s="107" t="s">
        <v>21</v>
      </c>
      <c r="C73" s="100" t="s">
        <v>677</v>
      </c>
      <c r="D73" s="100" t="s">
        <v>355</v>
      </c>
      <c r="E73" s="108" t="s">
        <v>22</v>
      </c>
      <c r="F73" s="108" t="s">
        <v>22</v>
      </c>
      <c r="G73" s="108"/>
      <c r="H73" s="111"/>
      <c r="I73" s="94" t="s">
        <v>56</v>
      </c>
      <c r="J73" s="94" t="s">
        <v>57</v>
      </c>
      <c r="K73" s="94">
        <v>0</v>
      </c>
      <c r="L73" s="94" t="s">
        <v>359</v>
      </c>
      <c r="M73" s="94" t="s">
        <v>338</v>
      </c>
      <c r="N73" s="100">
        <v>1</v>
      </c>
      <c r="O73" s="110">
        <v>1.1574074074074073E-4</v>
      </c>
    </row>
    <row r="74" spans="1:15" s="101" customFormat="1" ht="54" customHeight="1" thickTop="1" thickBot="1" x14ac:dyDescent="0.25">
      <c r="B74" s="107" t="s">
        <v>21</v>
      </c>
      <c r="C74" s="100" t="s">
        <v>678</v>
      </c>
      <c r="D74" s="100" t="s">
        <v>358</v>
      </c>
      <c r="E74" s="108" t="s">
        <v>22</v>
      </c>
      <c r="F74" s="108" t="s">
        <v>22</v>
      </c>
      <c r="G74" s="100"/>
      <c r="H74" s="100"/>
      <c r="I74" s="94" t="s">
        <v>84</v>
      </c>
      <c r="J74" s="94" t="s">
        <v>57</v>
      </c>
      <c r="K74" s="94">
        <v>0</v>
      </c>
      <c r="L74" s="94" t="s">
        <v>116</v>
      </c>
      <c r="M74" s="94" t="s">
        <v>804</v>
      </c>
      <c r="N74" s="100">
        <v>1</v>
      </c>
      <c r="O74" s="110">
        <v>6.9444444444444447E-4</v>
      </c>
    </row>
    <row r="75" spans="1:15" s="101" customFormat="1" ht="54" customHeight="1" thickTop="1" thickBot="1" x14ac:dyDescent="0.25">
      <c r="B75" s="107" t="s">
        <v>21</v>
      </c>
      <c r="C75" s="100" t="s">
        <v>679</v>
      </c>
      <c r="D75" s="134" t="s">
        <v>797</v>
      </c>
      <c r="E75" s="108" t="s">
        <v>22</v>
      </c>
      <c r="F75" s="108" t="s">
        <v>22</v>
      </c>
      <c r="G75" s="100"/>
      <c r="H75" s="100"/>
      <c r="I75" s="94" t="s">
        <v>56</v>
      </c>
      <c r="J75" s="94" t="s">
        <v>57</v>
      </c>
      <c r="K75" s="94">
        <v>0</v>
      </c>
      <c r="L75" s="94" t="s">
        <v>109</v>
      </c>
      <c r="M75" s="94" t="s">
        <v>117</v>
      </c>
      <c r="N75" s="100">
        <v>2</v>
      </c>
      <c r="O75" s="110">
        <v>3.4722222222222224E-4</v>
      </c>
    </row>
    <row r="76" spans="1:15" s="101" customFormat="1" ht="54" customHeight="1" thickTop="1" thickBot="1" x14ac:dyDescent="0.25">
      <c r="B76" s="107" t="s">
        <v>21</v>
      </c>
      <c r="C76" s="100" t="s">
        <v>680</v>
      </c>
      <c r="D76" s="100" t="s">
        <v>681</v>
      </c>
      <c r="E76" s="108" t="s">
        <v>22</v>
      </c>
      <c r="F76" s="108" t="s">
        <v>22</v>
      </c>
      <c r="G76" s="100"/>
      <c r="H76" s="100"/>
      <c r="I76" s="94" t="s">
        <v>56</v>
      </c>
      <c r="J76" s="94" t="s">
        <v>57</v>
      </c>
      <c r="K76" s="94">
        <v>0</v>
      </c>
      <c r="L76" s="94" t="s">
        <v>112</v>
      </c>
      <c r="M76" s="94" t="s">
        <v>117</v>
      </c>
      <c r="N76" s="100">
        <v>2</v>
      </c>
      <c r="O76" s="110">
        <v>6.9444444444444447E-4</v>
      </c>
    </row>
    <row r="77" spans="1:15" s="101" customFormat="1" ht="54" customHeight="1" thickTop="1" thickBot="1" x14ac:dyDescent="0.25">
      <c r="B77" s="107" t="s">
        <v>21</v>
      </c>
      <c r="C77" s="100" t="s">
        <v>682</v>
      </c>
      <c r="D77" s="100" t="s">
        <v>394</v>
      </c>
      <c r="E77" s="108" t="s">
        <v>22</v>
      </c>
      <c r="F77" s="108" t="s">
        <v>22</v>
      </c>
      <c r="G77" s="100"/>
      <c r="H77" s="100"/>
      <c r="I77" s="94" t="s">
        <v>84</v>
      </c>
      <c r="J77" s="94" t="s">
        <v>128</v>
      </c>
      <c r="K77" s="94">
        <v>0</v>
      </c>
      <c r="L77" s="94" t="s">
        <v>386</v>
      </c>
      <c r="M77" s="94" t="s">
        <v>101</v>
      </c>
      <c r="N77" s="100">
        <v>2</v>
      </c>
      <c r="O77" s="110">
        <v>1.3888888888888889E-3</v>
      </c>
    </row>
    <row r="78" spans="1:15" s="101" customFormat="1" ht="54" customHeight="1" thickTop="1" thickBot="1" x14ac:dyDescent="0.25">
      <c r="A78" s="72"/>
      <c r="B78" s="73" t="s">
        <v>21</v>
      </c>
      <c r="C78" s="74" t="s">
        <v>684</v>
      </c>
      <c r="D78" s="74" t="s">
        <v>685</v>
      </c>
      <c r="E78" s="75" t="s">
        <v>12</v>
      </c>
      <c r="F78" s="75" t="s">
        <v>22</v>
      </c>
      <c r="G78" s="75" t="s">
        <v>374</v>
      </c>
      <c r="H78" s="76">
        <v>45674</v>
      </c>
      <c r="I78" s="94" t="s">
        <v>56</v>
      </c>
      <c r="J78" s="94" t="s">
        <v>57</v>
      </c>
      <c r="K78" s="94">
        <v>0</v>
      </c>
      <c r="L78" s="94" t="s">
        <v>683</v>
      </c>
      <c r="M78" s="94" t="s">
        <v>117</v>
      </c>
      <c r="N78" s="74">
        <v>1</v>
      </c>
      <c r="O78" s="77">
        <v>6.9444444444444447E-4</v>
      </c>
    </row>
    <row r="79" spans="1:15" s="101" customFormat="1" ht="54" customHeight="1" thickTop="1" thickBot="1" x14ac:dyDescent="0.25">
      <c r="B79" s="107" t="s">
        <v>21</v>
      </c>
      <c r="C79" s="100" t="s">
        <v>686</v>
      </c>
      <c r="D79" s="100" t="s">
        <v>385</v>
      </c>
      <c r="E79" s="108" t="s">
        <v>22</v>
      </c>
      <c r="F79" s="108" t="s">
        <v>22</v>
      </c>
      <c r="G79" s="100"/>
      <c r="H79" s="100"/>
      <c r="I79" s="94" t="s">
        <v>84</v>
      </c>
      <c r="J79" s="94" t="s">
        <v>57</v>
      </c>
      <c r="K79" s="94">
        <v>0</v>
      </c>
      <c r="L79" s="94" t="s">
        <v>120</v>
      </c>
      <c r="M79" s="94" t="s">
        <v>101</v>
      </c>
      <c r="N79" s="100">
        <v>4</v>
      </c>
      <c r="O79" s="110">
        <v>2.0833333333333333E-3</v>
      </c>
    </row>
    <row r="80" spans="1:15" s="101" customFormat="1" ht="54" customHeight="1" thickTop="1" thickBot="1" x14ac:dyDescent="0.25">
      <c r="B80" s="112" t="s">
        <v>21</v>
      </c>
      <c r="C80" s="113" t="s">
        <v>687</v>
      </c>
      <c r="D80" s="113" t="s">
        <v>396</v>
      </c>
      <c r="E80" s="114" t="s">
        <v>22</v>
      </c>
      <c r="F80" s="114" t="s">
        <v>22</v>
      </c>
      <c r="G80" s="113"/>
      <c r="H80" s="113"/>
      <c r="I80" s="94" t="s">
        <v>84</v>
      </c>
      <c r="J80" s="94" t="s">
        <v>57</v>
      </c>
      <c r="K80" s="94">
        <v>0</v>
      </c>
      <c r="L80" s="94" t="s">
        <v>397</v>
      </c>
      <c r="M80" s="94" t="s">
        <v>101</v>
      </c>
      <c r="N80" s="113">
        <v>2</v>
      </c>
      <c r="O80" s="115">
        <v>6.9444444444444447E-4</v>
      </c>
    </row>
    <row r="81" spans="2:15" s="101" customFormat="1" ht="54" customHeight="1" thickTop="1" thickBot="1" x14ac:dyDescent="0.25">
      <c r="B81" s="102" t="s">
        <v>25</v>
      </c>
      <c r="C81" s="103" t="s">
        <v>688</v>
      </c>
      <c r="D81" s="103" t="s">
        <v>414</v>
      </c>
      <c r="E81" s="104" t="s">
        <v>22</v>
      </c>
      <c r="F81" s="104" t="s">
        <v>22</v>
      </c>
      <c r="G81" s="103"/>
      <c r="H81" s="103"/>
      <c r="I81" s="94" t="s">
        <v>127</v>
      </c>
      <c r="J81" s="94" t="s">
        <v>57</v>
      </c>
      <c r="K81" s="94">
        <v>0</v>
      </c>
      <c r="L81" s="94" t="s">
        <v>409</v>
      </c>
      <c r="M81" s="94" t="s">
        <v>101</v>
      </c>
      <c r="N81" s="103">
        <v>1</v>
      </c>
      <c r="O81" s="106">
        <v>3.4722222222222224E-4</v>
      </c>
    </row>
    <row r="82" spans="2:15" s="101" customFormat="1" ht="54" customHeight="1" thickTop="1" thickBot="1" x14ac:dyDescent="0.25">
      <c r="B82" s="107" t="s">
        <v>25</v>
      </c>
      <c r="C82" s="100" t="s">
        <v>689</v>
      </c>
      <c r="D82" s="100" t="s">
        <v>408</v>
      </c>
      <c r="E82" s="108" t="s">
        <v>22</v>
      </c>
      <c r="F82" s="108" t="s">
        <v>22</v>
      </c>
      <c r="G82" s="100"/>
      <c r="H82" s="100"/>
      <c r="I82" s="94" t="s">
        <v>127</v>
      </c>
      <c r="J82" s="94" t="s">
        <v>57</v>
      </c>
      <c r="K82" s="94">
        <v>0</v>
      </c>
      <c r="L82" s="94" t="s">
        <v>406</v>
      </c>
      <c r="M82" s="94" t="s">
        <v>101</v>
      </c>
      <c r="N82" s="100">
        <v>1</v>
      </c>
      <c r="O82" s="110">
        <v>6.9444444444444447E-4</v>
      </c>
    </row>
    <row r="83" spans="2:15" s="101" customFormat="1" ht="54" customHeight="1" thickTop="1" thickBot="1" x14ac:dyDescent="0.25">
      <c r="B83" s="107" t="s">
        <v>25</v>
      </c>
      <c r="C83" s="100" t="s">
        <v>690</v>
      </c>
      <c r="D83" s="100" t="s">
        <v>405</v>
      </c>
      <c r="E83" s="108" t="s">
        <v>22</v>
      </c>
      <c r="F83" s="108" t="s">
        <v>22</v>
      </c>
      <c r="G83" s="100"/>
      <c r="H83" s="100"/>
      <c r="I83" s="94" t="s">
        <v>127</v>
      </c>
      <c r="J83" s="94" t="s">
        <v>57</v>
      </c>
      <c r="K83" s="94">
        <v>0</v>
      </c>
      <c r="L83" s="94" t="s">
        <v>418</v>
      </c>
      <c r="M83" s="94" t="s">
        <v>226</v>
      </c>
      <c r="N83" s="100">
        <v>1</v>
      </c>
      <c r="O83" s="110">
        <v>6.9444444444444447E-4</v>
      </c>
    </row>
    <row r="84" spans="2:15" s="101" customFormat="1" ht="54" customHeight="1" thickTop="1" thickBot="1" x14ac:dyDescent="0.25">
      <c r="B84" s="107" t="s">
        <v>25</v>
      </c>
      <c r="C84" s="100" t="s">
        <v>691</v>
      </c>
      <c r="D84" s="100" t="s">
        <v>692</v>
      </c>
      <c r="E84" s="108" t="s">
        <v>22</v>
      </c>
      <c r="F84" s="108" t="s">
        <v>22</v>
      </c>
      <c r="G84" s="100"/>
      <c r="H84" s="100"/>
      <c r="I84" s="94" t="s">
        <v>127</v>
      </c>
      <c r="J84" s="94" t="s">
        <v>57</v>
      </c>
      <c r="K84" s="94">
        <v>0</v>
      </c>
      <c r="L84" s="94" t="s">
        <v>421</v>
      </c>
      <c r="M84" s="94" t="s">
        <v>226</v>
      </c>
      <c r="N84" s="100">
        <v>1</v>
      </c>
      <c r="O84" s="110">
        <v>0</v>
      </c>
    </row>
    <row r="85" spans="2:15" s="101" customFormat="1" ht="54" customHeight="1" thickTop="1" thickBot="1" x14ac:dyDescent="0.25">
      <c r="B85" s="107" t="s">
        <v>25</v>
      </c>
      <c r="C85" s="100" t="s">
        <v>693</v>
      </c>
      <c r="D85" s="100" t="s">
        <v>420</v>
      </c>
      <c r="E85" s="108" t="s">
        <v>22</v>
      </c>
      <c r="F85" s="108" t="s">
        <v>22</v>
      </c>
      <c r="G85" s="100"/>
      <c r="H85" s="100"/>
      <c r="I85" s="94" t="s">
        <v>127</v>
      </c>
      <c r="J85" s="94" t="s">
        <v>57</v>
      </c>
      <c r="K85" s="94">
        <v>0</v>
      </c>
      <c r="L85" s="94" t="s">
        <v>368</v>
      </c>
      <c r="M85" s="94" t="s">
        <v>226</v>
      </c>
      <c r="N85" s="100">
        <v>2</v>
      </c>
      <c r="O85" s="110">
        <v>1.0416666666666667E-3</v>
      </c>
    </row>
    <row r="86" spans="2:15" s="101" customFormat="1" ht="54" customHeight="1" thickTop="1" thickBot="1" x14ac:dyDescent="0.25">
      <c r="B86" s="107" t="s">
        <v>25</v>
      </c>
      <c r="C86" s="100" t="s">
        <v>694</v>
      </c>
      <c r="D86" s="100" t="s">
        <v>695</v>
      </c>
      <c r="E86" s="108" t="s">
        <v>22</v>
      </c>
      <c r="F86" s="108" t="s">
        <v>22</v>
      </c>
      <c r="G86" s="100"/>
      <c r="H86" s="100"/>
      <c r="I86" s="94" t="s">
        <v>56</v>
      </c>
      <c r="J86" s="94" t="s">
        <v>57</v>
      </c>
      <c r="K86" s="94">
        <v>0</v>
      </c>
      <c r="L86" s="94" t="s">
        <v>415</v>
      </c>
      <c r="M86" s="94" t="s">
        <v>800</v>
      </c>
      <c r="N86" s="100">
        <v>2</v>
      </c>
      <c r="O86" s="110">
        <v>5.2083333333333333E-4</v>
      </c>
    </row>
    <row r="87" spans="2:15" s="101" customFormat="1" ht="54" customHeight="1" thickTop="1" thickBot="1" x14ac:dyDescent="0.25">
      <c r="B87" s="112" t="s">
        <v>25</v>
      </c>
      <c r="C87" s="113" t="s">
        <v>696</v>
      </c>
      <c r="D87" s="113" t="s">
        <v>429</v>
      </c>
      <c r="E87" s="114" t="s">
        <v>22</v>
      </c>
      <c r="F87" s="114" t="s">
        <v>22</v>
      </c>
      <c r="G87" s="113"/>
      <c r="H87" s="113"/>
      <c r="I87" s="94" t="s">
        <v>84</v>
      </c>
      <c r="J87" s="94" t="s">
        <v>57</v>
      </c>
      <c r="K87" s="94">
        <v>0</v>
      </c>
      <c r="L87" s="94" t="s">
        <v>430</v>
      </c>
      <c r="M87" s="94" t="s">
        <v>801</v>
      </c>
      <c r="N87" s="113">
        <v>2</v>
      </c>
      <c r="O87" s="115">
        <v>6.9444444444444447E-4</v>
      </c>
    </row>
    <row r="88" spans="2:15" s="101" customFormat="1" ht="66" customHeight="1" thickTop="1" thickBot="1" x14ac:dyDescent="0.25">
      <c r="B88" s="120" t="s">
        <v>697</v>
      </c>
      <c r="C88" s="121" t="s">
        <v>698</v>
      </c>
      <c r="D88" s="121" t="s">
        <v>441</v>
      </c>
      <c r="E88" s="122" t="s">
        <v>22</v>
      </c>
      <c r="F88" s="122"/>
      <c r="G88" s="122"/>
      <c r="H88" s="122"/>
      <c r="I88" s="94" t="s">
        <v>84</v>
      </c>
      <c r="J88" s="94" t="s">
        <v>128</v>
      </c>
      <c r="K88" s="94">
        <v>0</v>
      </c>
      <c r="L88" s="94" t="s">
        <v>710</v>
      </c>
      <c r="M88" s="94" t="s">
        <v>798</v>
      </c>
      <c r="N88" s="122">
        <v>2</v>
      </c>
      <c r="O88" s="129">
        <v>2.0013888888888891</v>
      </c>
    </row>
    <row r="89" spans="2:15" s="101" customFormat="1" ht="15.75" thickTop="1" x14ac:dyDescent="0.2">
      <c r="B89" s="127"/>
      <c r="C89" s="127"/>
      <c r="D89" s="127"/>
      <c r="E89" s="127"/>
      <c r="F89" s="127"/>
      <c r="G89" s="127"/>
      <c r="H89" s="127"/>
      <c r="I89" s="127"/>
      <c r="J89" s="127"/>
      <c r="K89" s="128"/>
      <c r="L89" s="127"/>
      <c r="M89" s="128"/>
      <c r="N89" s="128"/>
      <c r="O89" s="128"/>
    </row>
    <row r="90" spans="2:15" s="101" customFormat="1" x14ac:dyDescent="0.2">
      <c r="B90" s="127"/>
      <c r="C90" s="127"/>
      <c r="D90" s="127"/>
      <c r="E90" s="127"/>
      <c r="F90" s="127"/>
      <c r="G90" s="127"/>
      <c r="H90" s="127"/>
      <c r="I90" s="127"/>
      <c r="J90" s="127"/>
      <c r="K90" s="128"/>
      <c r="L90" s="127"/>
      <c r="M90" s="128"/>
      <c r="N90" s="128"/>
      <c r="O90" s="128"/>
    </row>
    <row r="91" spans="2:15" s="101" customFormat="1" x14ac:dyDescent="0.2">
      <c r="B91" s="127"/>
      <c r="C91" s="127"/>
      <c r="D91" s="127"/>
      <c r="E91" s="127"/>
      <c r="F91" s="127"/>
      <c r="G91" s="127"/>
      <c r="H91" s="127"/>
      <c r="I91" s="127"/>
      <c r="J91" s="127"/>
      <c r="K91" s="128"/>
      <c r="L91" s="127"/>
      <c r="M91" s="128"/>
      <c r="N91" s="128"/>
      <c r="O91" s="128"/>
    </row>
    <row r="92" spans="2:15" s="101" customFormat="1" x14ac:dyDescent="0.2">
      <c r="B92" s="127"/>
      <c r="C92" s="127"/>
      <c r="D92" s="127"/>
      <c r="E92" s="127"/>
      <c r="F92" s="127"/>
      <c r="G92" s="127"/>
      <c r="H92" s="127"/>
      <c r="I92" s="127"/>
      <c r="J92" s="127"/>
      <c r="K92" s="128"/>
      <c r="L92" s="127"/>
      <c r="M92" s="128"/>
      <c r="N92" s="128"/>
      <c r="O92" s="128"/>
    </row>
    <row r="93" spans="2:15" s="101" customFormat="1" x14ac:dyDescent="0.2">
      <c r="B93" s="127"/>
      <c r="C93" s="127"/>
      <c r="D93" s="127"/>
      <c r="E93" s="127"/>
      <c r="F93" s="127"/>
      <c r="G93" s="127"/>
      <c r="H93" s="127"/>
      <c r="I93" s="127"/>
      <c r="J93" s="127"/>
      <c r="K93" s="128"/>
      <c r="L93" s="127"/>
      <c r="M93" s="128"/>
      <c r="N93" s="128"/>
      <c r="O93" s="128"/>
    </row>
    <row r="94" spans="2:15" s="101" customFormat="1" x14ac:dyDescent="0.2">
      <c r="B94" s="127"/>
      <c r="C94" s="127"/>
      <c r="D94" s="127"/>
      <c r="E94" s="127"/>
      <c r="F94" s="127"/>
      <c r="G94" s="127"/>
      <c r="H94" s="127"/>
      <c r="I94" s="127"/>
      <c r="J94" s="127"/>
      <c r="K94" s="128"/>
      <c r="L94" s="127"/>
      <c r="M94" s="128"/>
      <c r="N94" s="128"/>
      <c r="O94" s="128"/>
    </row>
    <row r="95" spans="2:15" s="101" customFormat="1" x14ac:dyDescent="0.2">
      <c r="B95" s="127"/>
      <c r="C95" s="127"/>
      <c r="D95" s="127"/>
      <c r="E95" s="127"/>
      <c r="F95" s="127"/>
      <c r="G95" s="127"/>
      <c r="H95" s="127"/>
      <c r="I95" s="127"/>
      <c r="J95" s="127"/>
      <c r="K95" s="128"/>
      <c r="L95" s="127"/>
      <c r="M95" s="128"/>
      <c r="N95" s="128"/>
      <c r="O95" s="128"/>
    </row>
    <row r="96" spans="2:15" s="101" customFormat="1" x14ac:dyDescent="0.2">
      <c r="B96" s="127"/>
      <c r="C96" s="127"/>
      <c r="D96" s="127"/>
      <c r="E96" s="127"/>
      <c r="F96" s="127"/>
      <c r="G96" s="127"/>
      <c r="H96" s="127"/>
      <c r="I96" s="127"/>
      <c r="J96" s="127"/>
      <c r="K96" s="128"/>
      <c r="L96" s="127"/>
      <c r="M96" s="128"/>
      <c r="N96" s="128"/>
      <c r="O96" s="128"/>
    </row>
    <row r="97" spans="2:15" s="101" customFormat="1" x14ac:dyDescent="0.2">
      <c r="B97" s="127"/>
      <c r="C97" s="127"/>
      <c r="D97" s="127"/>
      <c r="E97" s="127"/>
      <c r="F97" s="127"/>
      <c r="G97" s="127"/>
      <c r="H97" s="127"/>
      <c r="I97" s="127"/>
      <c r="J97" s="127"/>
      <c r="K97" s="128"/>
      <c r="L97" s="127"/>
      <c r="M97" s="128"/>
      <c r="N97" s="128"/>
      <c r="O97" s="128"/>
    </row>
    <row r="98" spans="2:15" s="101" customFormat="1" x14ac:dyDescent="0.2">
      <c r="B98" s="127"/>
      <c r="C98" s="127"/>
      <c r="D98" s="127"/>
      <c r="E98" s="127"/>
      <c r="F98" s="127"/>
      <c r="G98" s="127"/>
      <c r="H98" s="127"/>
      <c r="I98" s="127"/>
      <c r="J98" s="127"/>
      <c r="K98" s="128"/>
      <c r="L98" s="127"/>
      <c r="M98" s="128"/>
      <c r="N98" s="128"/>
      <c r="O98" s="128"/>
    </row>
    <row r="99" spans="2:15" s="101" customFormat="1" x14ac:dyDescent="0.2">
      <c r="B99" s="127"/>
      <c r="C99" s="127"/>
      <c r="D99" s="127"/>
      <c r="E99" s="127"/>
      <c r="F99" s="127"/>
      <c r="G99" s="127"/>
      <c r="H99" s="127"/>
      <c r="I99" s="127"/>
      <c r="J99" s="127"/>
      <c r="K99" s="128"/>
      <c r="L99" s="127"/>
      <c r="M99" s="128"/>
      <c r="N99" s="128"/>
      <c r="O99" s="128"/>
    </row>
    <row r="100" spans="2:15" s="101" customFormat="1" x14ac:dyDescent="0.2">
      <c r="B100" s="127"/>
      <c r="C100" s="127"/>
      <c r="D100" s="127"/>
      <c r="E100" s="127"/>
      <c r="F100" s="127"/>
      <c r="G100" s="127"/>
      <c r="H100" s="127"/>
      <c r="I100" s="127"/>
      <c r="J100" s="127"/>
      <c r="K100" s="128"/>
      <c r="L100" s="127"/>
      <c r="M100" s="128"/>
      <c r="N100" s="128"/>
      <c r="O100" s="128"/>
    </row>
    <row r="101" spans="2:15" s="101" customFormat="1" x14ac:dyDescent="0.2">
      <c r="B101" s="127"/>
      <c r="C101" s="127"/>
      <c r="D101" s="127"/>
      <c r="E101" s="127"/>
      <c r="F101" s="127"/>
      <c r="G101" s="127"/>
      <c r="H101" s="127"/>
      <c r="I101" s="127"/>
      <c r="J101" s="127"/>
      <c r="K101" s="128"/>
      <c r="L101" s="127"/>
      <c r="M101" s="128"/>
      <c r="N101" s="128"/>
      <c r="O101" s="128"/>
    </row>
    <row r="102" spans="2:15" s="101" customFormat="1" x14ac:dyDescent="0.2">
      <c r="B102" s="127"/>
      <c r="C102" s="127"/>
      <c r="D102" s="127"/>
      <c r="E102" s="127"/>
      <c r="F102" s="127"/>
      <c r="G102" s="127"/>
      <c r="H102" s="127"/>
      <c r="I102" s="127"/>
      <c r="J102" s="127"/>
      <c r="K102" s="128"/>
      <c r="L102" s="127"/>
      <c r="M102" s="128"/>
      <c r="N102" s="128"/>
      <c r="O102" s="128"/>
    </row>
    <row r="103" spans="2:15" s="101" customFormat="1" x14ac:dyDescent="0.2">
      <c r="B103" s="127"/>
      <c r="C103" s="127"/>
      <c r="D103" s="127"/>
      <c r="E103" s="127"/>
      <c r="F103" s="127"/>
      <c r="G103" s="127"/>
      <c r="H103" s="127"/>
      <c r="I103" s="127"/>
      <c r="J103" s="127"/>
      <c r="K103" s="128"/>
      <c r="L103" s="127"/>
      <c r="M103" s="128"/>
      <c r="N103" s="128"/>
      <c r="O103" s="128"/>
    </row>
    <row r="104" spans="2:15" s="101" customFormat="1" x14ac:dyDescent="0.2">
      <c r="B104" s="127"/>
      <c r="C104" s="127"/>
      <c r="D104" s="127"/>
      <c r="E104" s="127"/>
      <c r="F104" s="127"/>
      <c r="G104" s="127"/>
      <c r="H104" s="127"/>
      <c r="I104" s="127"/>
      <c r="J104" s="127"/>
      <c r="K104" s="128"/>
      <c r="L104" s="127"/>
      <c r="M104" s="128"/>
      <c r="N104" s="128"/>
      <c r="O104" s="128"/>
    </row>
    <row r="105" spans="2:15" s="101" customFormat="1" x14ac:dyDescent="0.2">
      <c r="B105" s="127"/>
      <c r="C105" s="127"/>
      <c r="D105" s="127"/>
      <c r="E105" s="127"/>
      <c r="F105" s="127"/>
      <c r="G105" s="127"/>
      <c r="H105" s="127"/>
      <c r="I105" s="127"/>
      <c r="J105" s="127"/>
      <c r="K105" s="128"/>
      <c r="L105" s="127"/>
      <c r="M105" s="128"/>
      <c r="N105" s="128"/>
      <c r="O105" s="128"/>
    </row>
    <row r="106" spans="2:15" s="101" customFormat="1" x14ac:dyDescent="0.2">
      <c r="B106" s="127"/>
      <c r="C106" s="127"/>
      <c r="D106" s="127"/>
      <c r="E106" s="127"/>
      <c r="F106" s="127"/>
      <c r="G106" s="127"/>
      <c r="H106" s="127"/>
      <c r="I106" s="127"/>
      <c r="J106" s="127"/>
      <c r="K106" s="128"/>
      <c r="L106" s="127"/>
      <c r="M106" s="128"/>
      <c r="N106" s="128"/>
      <c r="O106" s="128"/>
    </row>
    <row r="107" spans="2:15" s="101" customFormat="1" x14ac:dyDescent="0.2">
      <c r="B107" s="127"/>
      <c r="C107" s="127"/>
      <c r="D107" s="127"/>
      <c r="E107" s="127"/>
      <c r="F107" s="127"/>
      <c r="G107" s="127"/>
      <c r="H107" s="127"/>
      <c r="I107" s="127"/>
      <c r="J107" s="127"/>
      <c r="K107" s="128"/>
      <c r="L107" s="127"/>
      <c r="M107" s="128"/>
      <c r="N107" s="128"/>
      <c r="O107" s="128"/>
    </row>
    <row r="108" spans="2:15" s="101" customFormat="1" x14ac:dyDescent="0.2">
      <c r="B108" s="127"/>
      <c r="C108" s="127"/>
      <c r="D108" s="127"/>
      <c r="E108" s="127"/>
      <c r="F108" s="127"/>
      <c r="G108" s="127"/>
      <c r="H108" s="127"/>
      <c r="I108" s="127"/>
      <c r="J108" s="127"/>
      <c r="K108" s="128"/>
      <c r="L108" s="127"/>
      <c r="M108" s="128"/>
      <c r="N108" s="128"/>
      <c r="O108" s="128"/>
    </row>
    <row r="109" spans="2:15" s="101" customFormat="1" x14ac:dyDescent="0.2">
      <c r="B109" s="127"/>
      <c r="C109" s="127"/>
      <c r="D109" s="127"/>
      <c r="E109" s="127"/>
      <c r="F109" s="127"/>
      <c r="G109" s="127"/>
      <c r="H109" s="127"/>
      <c r="I109" s="127"/>
      <c r="J109" s="127"/>
      <c r="K109" s="128"/>
      <c r="L109" s="127"/>
      <c r="M109" s="128"/>
      <c r="N109" s="128"/>
      <c r="O109" s="128"/>
    </row>
    <row r="110" spans="2:15" s="101" customFormat="1" x14ac:dyDescent="0.2">
      <c r="B110" s="127"/>
      <c r="C110" s="127"/>
      <c r="D110" s="127"/>
      <c r="E110" s="127"/>
      <c r="F110" s="127"/>
      <c r="G110" s="127"/>
      <c r="H110" s="127"/>
      <c r="I110" s="127"/>
      <c r="J110" s="127"/>
      <c r="K110" s="128"/>
      <c r="L110" s="127"/>
      <c r="M110" s="128"/>
      <c r="N110" s="128"/>
      <c r="O110" s="128"/>
    </row>
    <row r="111" spans="2:15" s="101" customFormat="1" x14ac:dyDescent="0.2">
      <c r="B111" s="127"/>
      <c r="C111" s="127"/>
      <c r="D111" s="127"/>
      <c r="E111" s="127"/>
      <c r="F111" s="127"/>
      <c r="G111" s="127"/>
      <c r="H111" s="127"/>
      <c r="I111" s="127"/>
      <c r="J111" s="127"/>
      <c r="K111" s="128"/>
      <c r="L111" s="127"/>
      <c r="M111" s="128"/>
      <c r="N111" s="128"/>
      <c r="O111" s="128"/>
    </row>
    <row r="112" spans="2:15" s="101" customFormat="1" x14ac:dyDescent="0.2">
      <c r="B112" s="127"/>
      <c r="C112" s="127"/>
      <c r="D112" s="127"/>
      <c r="E112" s="127"/>
      <c r="F112" s="127"/>
      <c r="G112" s="127"/>
      <c r="H112" s="127"/>
      <c r="I112" s="127"/>
      <c r="J112" s="127"/>
      <c r="K112" s="128"/>
      <c r="L112" s="127"/>
      <c r="M112" s="128"/>
      <c r="N112" s="128"/>
      <c r="O112" s="128"/>
    </row>
    <row r="113" spans="2:15" s="101" customFormat="1" x14ac:dyDescent="0.2">
      <c r="B113" s="127"/>
      <c r="C113" s="127"/>
      <c r="D113" s="127"/>
      <c r="E113" s="127"/>
      <c r="F113" s="127"/>
      <c r="G113" s="127"/>
      <c r="H113" s="127"/>
      <c r="I113" s="127"/>
      <c r="J113" s="127"/>
      <c r="K113" s="128"/>
      <c r="L113" s="127"/>
      <c r="M113" s="128"/>
      <c r="N113" s="128"/>
      <c r="O113" s="128"/>
    </row>
    <row r="114" spans="2:15" s="101" customFormat="1" x14ac:dyDescent="0.2">
      <c r="B114" s="127"/>
      <c r="C114" s="127"/>
      <c r="D114" s="127"/>
      <c r="E114" s="127"/>
      <c r="F114" s="127"/>
      <c r="G114" s="127"/>
      <c r="H114" s="127"/>
      <c r="I114" s="127"/>
      <c r="J114" s="127"/>
      <c r="K114" s="128"/>
      <c r="L114" s="127"/>
      <c r="M114" s="128"/>
      <c r="N114" s="128"/>
      <c r="O114" s="128"/>
    </row>
    <row r="115" spans="2:15" s="101" customFormat="1" x14ac:dyDescent="0.2">
      <c r="B115" s="127"/>
      <c r="C115" s="127"/>
      <c r="D115" s="127"/>
      <c r="E115" s="127"/>
      <c r="F115" s="127"/>
      <c r="G115" s="127"/>
      <c r="H115" s="127"/>
      <c r="I115" s="127"/>
      <c r="J115" s="127"/>
      <c r="K115" s="128"/>
      <c r="L115" s="127"/>
      <c r="M115" s="128"/>
      <c r="N115" s="128"/>
      <c r="O115" s="128"/>
    </row>
    <row r="116" spans="2:15" s="101" customFormat="1" x14ac:dyDescent="0.2">
      <c r="B116" s="127"/>
      <c r="C116" s="127"/>
      <c r="D116" s="127"/>
      <c r="E116" s="127"/>
      <c r="F116" s="127"/>
      <c r="G116" s="127"/>
      <c r="H116" s="127"/>
      <c r="I116" s="127"/>
      <c r="J116" s="127"/>
      <c r="K116" s="128"/>
      <c r="L116" s="127"/>
      <c r="M116" s="128"/>
      <c r="N116" s="128"/>
      <c r="O116" s="128"/>
    </row>
    <row r="117" spans="2:15" s="101" customFormat="1" x14ac:dyDescent="0.2">
      <c r="B117" s="127"/>
      <c r="C117" s="127"/>
      <c r="D117" s="127"/>
      <c r="E117" s="127"/>
      <c r="F117" s="127"/>
      <c r="G117" s="127"/>
      <c r="H117" s="127"/>
      <c r="I117" s="127"/>
      <c r="J117" s="127"/>
      <c r="K117" s="128"/>
      <c r="L117" s="127"/>
      <c r="M117" s="128"/>
      <c r="N117" s="128"/>
      <c r="O117" s="128"/>
    </row>
    <row r="118" spans="2:15" s="101" customFormat="1" x14ac:dyDescent="0.2">
      <c r="B118" s="127"/>
      <c r="C118" s="127"/>
      <c r="D118" s="127"/>
      <c r="E118" s="127"/>
      <c r="F118" s="127"/>
      <c r="G118" s="127"/>
      <c r="H118" s="127"/>
      <c r="I118" s="127"/>
      <c r="J118" s="127"/>
      <c r="K118" s="128"/>
      <c r="L118" s="127"/>
      <c r="M118" s="128"/>
      <c r="N118" s="128"/>
      <c r="O118" s="128"/>
    </row>
    <row r="119" spans="2:15" s="101" customFormat="1" x14ac:dyDescent="0.2">
      <c r="B119" s="127"/>
      <c r="C119" s="127"/>
      <c r="D119" s="127"/>
      <c r="E119" s="127"/>
      <c r="F119" s="127"/>
      <c r="G119" s="127"/>
      <c r="H119" s="127"/>
      <c r="I119" s="127"/>
      <c r="J119" s="127"/>
      <c r="K119" s="128"/>
      <c r="L119" s="127"/>
      <c r="M119" s="128"/>
      <c r="N119" s="128"/>
      <c r="O119" s="128"/>
    </row>
    <row r="120" spans="2:15" s="101" customFormat="1" x14ac:dyDescent="0.2">
      <c r="B120" s="127"/>
      <c r="C120" s="127"/>
      <c r="D120" s="127"/>
      <c r="E120" s="127"/>
      <c r="F120" s="127"/>
      <c r="G120" s="127"/>
      <c r="H120" s="127"/>
      <c r="I120" s="127"/>
      <c r="J120" s="127"/>
      <c r="K120" s="128"/>
      <c r="L120" s="127"/>
      <c r="M120" s="128"/>
      <c r="N120" s="128"/>
      <c r="O120" s="128"/>
    </row>
    <row r="121" spans="2:15" s="101" customFormat="1" x14ac:dyDescent="0.2">
      <c r="B121" s="127"/>
      <c r="C121" s="127"/>
      <c r="D121" s="127"/>
      <c r="E121" s="127"/>
      <c r="F121" s="127"/>
      <c r="G121" s="127"/>
      <c r="H121" s="127"/>
      <c r="I121" s="127"/>
      <c r="J121" s="127"/>
      <c r="K121" s="128"/>
      <c r="L121" s="127"/>
      <c r="M121" s="128"/>
      <c r="N121" s="128"/>
      <c r="O121" s="128"/>
    </row>
    <row r="122" spans="2:15" s="101" customFormat="1" x14ac:dyDescent="0.2">
      <c r="B122" s="127"/>
      <c r="C122" s="127"/>
      <c r="D122" s="127"/>
      <c r="E122" s="127"/>
      <c r="F122" s="127"/>
      <c r="G122" s="127"/>
      <c r="H122" s="127"/>
      <c r="I122" s="127"/>
      <c r="J122" s="127"/>
      <c r="K122" s="128"/>
      <c r="L122" s="127"/>
      <c r="M122" s="128"/>
      <c r="N122" s="128"/>
      <c r="O122" s="128"/>
    </row>
    <row r="123" spans="2:15" s="101" customFormat="1" x14ac:dyDescent="0.2">
      <c r="B123" s="127"/>
      <c r="C123" s="127"/>
      <c r="D123" s="127"/>
      <c r="E123" s="127"/>
      <c r="F123" s="127"/>
      <c r="G123" s="127"/>
      <c r="H123" s="127"/>
      <c r="I123" s="127"/>
      <c r="J123" s="127"/>
      <c r="K123" s="128"/>
      <c r="L123" s="127"/>
      <c r="M123" s="128"/>
      <c r="N123" s="128"/>
      <c r="O123" s="128"/>
    </row>
    <row r="124" spans="2:15" s="101" customFormat="1" x14ac:dyDescent="0.2">
      <c r="B124" s="127"/>
      <c r="C124" s="127"/>
      <c r="D124" s="127"/>
      <c r="E124" s="127"/>
      <c r="F124" s="127"/>
      <c r="G124" s="127"/>
      <c r="H124" s="127"/>
      <c r="I124" s="127"/>
      <c r="J124" s="127"/>
      <c r="K124" s="128"/>
      <c r="L124" s="127"/>
      <c r="M124" s="128"/>
      <c r="N124" s="128"/>
      <c r="O124" s="128"/>
    </row>
    <row r="125" spans="2:15" s="101" customFormat="1" x14ac:dyDescent="0.2">
      <c r="B125" s="127"/>
      <c r="C125" s="127"/>
      <c r="D125" s="127"/>
      <c r="E125" s="127"/>
      <c r="F125" s="127"/>
      <c r="G125" s="127"/>
      <c r="H125" s="127"/>
      <c r="I125" s="127"/>
      <c r="J125" s="127"/>
      <c r="K125" s="128"/>
      <c r="L125" s="127"/>
      <c r="M125" s="128"/>
      <c r="N125" s="128"/>
      <c r="O125" s="128"/>
    </row>
    <row r="126" spans="2:15" s="101" customFormat="1" x14ac:dyDescent="0.2">
      <c r="B126" s="127"/>
      <c r="C126" s="127"/>
      <c r="D126" s="127"/>
      <c r="E126" s="127"/>
      <c r="F126" s="127"/>
      <c r="G126" s="127"/>
      <c r="H126" s="127"/>
      <c r="I126" s="127"/>
      <c r="J126" s="127"/>
      <c r="K126" s="128"/>
      <c r="L126" s="127"/>
      <c r="M126" s="128"/>
      <c r="N126" s="128"/>
      <c r="O126" s="128"/>
    </row>
    <row r="127" spans="2:15" s="101" customFormat="1" x14ac:dyDescent="0.2">
      <c r="B127" s="127"/>
      <c r="C127" s="127"/>
      <c r="D127" s="127"/>
      <c r="E127" s="127"/>
      <c r="F127" s="127"/>
      <c r="G127" s="127"/>
      <c r="H127" s="127"/>
      <c r="I127" s="127"/>
      <c r="J127" s="127"/>
      <c r="K127" s="128"/>
      <c r="L127" s="127"/>
      <c r="M127" s="128"/>
      <c r="N127" s="128"/>
      <c r="O127" s="128"/>
    </row>
    <row r="128" spans="2:15" s="101" customFormat="1" ht="66" customHeight="1" x14ac:dyDescent="0.2">
      <c r="B128" s="127"/>
      <c r="C128" s="127"/>
      <c r="D128" s="127"/>
      <c r="E128" s="127"/>
      <c r="F128" s="127"/>
      <c r="G128" s="127"/>
      <c r="H128" s="127"/>
      <c r="I128" s="127"/>
      <c r="J128" s="127"/>
      <c r="K128" s="128"/>
      <c r="L128" s="127"/>
      <c r="M128" s="128"/>
      <c r="N128" s="128"/>
      <c r="O128" s="128"/>
    </row>
    <row r="129" spans="2:12" s="101" customFormat="1" x14ac:dyDescent="0.2">
      <c r="B129" s="125"/>
      <c r="C129" s="125"/>
      <c r="D129" s="125"/>
      <c r="E129" s="125"/>
      <c r="F129" s="125"/>
      <c r="G129" s="125"/>
      <c r="H129" s="125"/>
      <c r="I129" s="125"/>
      <c r="J129" s="125"/>
      <c r="L129" s="125"/>
    </row>
    <row r="130" spans="2:12" s="101" customFormat="1" x14ac:dyDescent="0.2">
      <c r="B130" s="125"/>
      <c r="C130" s="125"/>
      <c r="D130" s="125"/>
      <c r="E130" s="125"/>
      <c r="F130" s="125"/>
      <c r="G130" s="125"/>
      <c r="H130" s="125"/>
      <c r="I130" s="125"/>
      <c r="J130" s="125"/>
      <c r="L130" s="125"/>
    </row>
    <row r="131" spans="2:12" s="101" customFormat="1" x14ac:dyDescent="0.2">
      <c r="B131" s="125"/>
      <c r="C131" s="125"/>
      <c r="D131" s="125"/>
      <c r="E131" s="125"/>
      <c r="F131" s="125"/>
      <c r="G131" s="125"/>
      <c r="H131" s="125"/>
      <c r="I131" s="125"/>
      <c r="J131" s="125"/>
      <c r="L131" s="125"/>
    </row>
    <row r="132" spans="2:12" s="101" customFormat="1" x14ac:dyDescent="0.2">
      <c r="B132" s="125"/>
      <c r="C132" s="125"/>
      <c r="D132" s="125"/>
      <c r="E132" s="125"/>
      <c r="F132" s="125"/>
      <c r="G132" s="125"/>
      <c r="H132" s="125"/>
      <c r="I132" s="125"/>
      <c r="J132" s="125"/>
      <c r="L132" s="125"/>
    </row>
    <row r="133" spans="2:12" s="101" customFormat="1" x14ac:dyDescent="0.2">
      <c r="B133" s="125"/>
      <c r="C133" s="125"/>
      <c r="D133" s="125"/>
      <c r="E133" s="125"/>
      <c r="F133" s="125"/>
      <c r="G133" s="125"/>
      <c r="H133" s="125"/>
      <c r="I133" s="125"/>
      <c r="J133" s="125"/>
      <c r="L133" s="125"/>
    </row>
    <row r="134" spans="2:12" s="101" customFormat="1" x14ac:dyDescent="0.2">
      <c r="B134" s="125"/>
      <c r="C134" s="125"/>
      <c r="D134" s="125"/>
      <c r="E134" s="125"/>
      <c r="F134" s="125"/>
      <c r="G134" s="125"/>
      <c r="H134" s="125"/>
      <c r="I134" s="125"/>
      <c r="J134" s="125"/>
      <c r="L134" s="125"/>
    </row>
    <row r="135" spans="2:12" s="101" customFormat="1" x14ac:dyDescent="0.2">
      <c r="B135" s="125"/>
      <c r="C135" s="125"/>
      <c r="D135" s="125"/>
      <c r="E135" s="125"/>
      <c r="F135" s="125"/>
      <c r="G135" s="125"/>
      <c r="H135" s="125"/>
      <c r="I135" s="125"/>
      <c r="J135" s="125"/>
      <c r="L135" s="125"/>
    </row>
    <row r="136" spans="2:12" s="101" customFormat="1" x14ac:dyDescent="0.2">
      <c r="B136" s="125"/>
      <c r="C136" s="125"/>
      <c r="D136" s="125"/>
      <c r="E136" s="125"/>
      <c r="F136" s="125"/>
      <c r="G136" s="125"/>
      <c r="H136" s="125"/>
      <c r="I136" s="125"/>
      <c r="J136" s="125"/>
      <c r="L136" s="125"/>
    </row>
    <row r="137" spans="2:12" s="101" customFormat="1" x14ac:dyDescent="0.2">
      <c r="B137" s="125"/>
      <c r="C137" s="125"/>
      <c r="D137" s="125"/>
      <c r="E137" s="125"/>
      <c r="F137" s="125"/>
      <c r="G137" s="125"/>
      <c r="H137" s="125"/>
      <c r="I137" s="125"/>
      <c r="J137" s="125"/>
      <c r="L137" s="125"/>
    </row>
    <row r="138" spans="2:12" s="101" customFormat="1" x14ac:dyDescent="0.2">
      <c r="B138" s="125"/>
      <c r="C138" s="125"/>
      <c r="D138" s="125"/>
      <c r="E138" s="125"/>
      <c r="F138" s="125"/>
      <c r="G138" s="125"/>
      <c r="H138" s="125"/>
      <c r="I138" s="125"/>
      <c r="J138" s="125"/>
      <c r="L138" s="125"/>
    </row>
    <row r="139" spans="2:12" s="101" customFormat="1" x14ac:dyDescent="0.2">
      <c r="B139" s="125"/>
      <c r="C139" s="125"/>
      <c r="D139" s="125"/>
      <c r="E139" s="125"/>
      <c r="F139" s="125"/>
      <c r="G139" s="125"/>
      <c r="H139" s="125"/>
      <c r="I139" s="125"/>
      <c r="J139" s="125"/>
      <c r="L139" s="125"/>
    </row>
    <row r="140" spans="2:12" s="101" customFormat="1" x14ac:dyDescent="0.2">
      <c r="B140" s="125"/>
      <c r="C140" s="125"/>
      <c r="D140" s="125"/>
      <c r="E140" s="125"/>
      <c r="F140" s="125"/>
      <c r="G140" s="125"/>
      <c r="H140" s="125"/>
      <c r="I140" s="125"/>
      <c r="J140" s="125"/>
      <c r="L140" s="125"/>
    </row>
    <row r="141" spans="2:12" s="101" customFormat="1" x14ac:dyDescent="0.2">
      <c r="B141" s="125"/>
      <c r="C141" s="125"/>
      <c r="D141" s="125"/>
      <c r="E141" s="125"/>
      <c r="F141" s="125"/>
      <c r="G141" s="125"/>
      <c r="H141" s="125"/>
      <c r="I141" s="125"/>
      <c r="J141" s="125"/>
      <c r="L141" s="125"/>
    </row>
    <row r="142" spans="2:12" s="101" customFormat="1" x14ac:dyDescent="0.2">
      <c r="B142" s="125"/>
      <c r="C142" s="125"/>
      <c r="D142" s="125"/>
      <c r="E142" s="125"/>
      <c r="F142" s="125"/>
      <c r="G142" s="125"/>
      <c r="H142" s="125"/>
      <c r="I142" s="125"/>
      <c r="J142" s="125"/>
      <c r="L142" s="125"/>
    </row>
    <row r="143" spans="2:12" s="101" customFormat="1" x14ac:dyDescent="0.2">
      <c r="B143" s="125"/>
      <c r="C143" s="125"/>
      <c r="D143" s="125"/>
      <c r="E143" s="125"/>
      <c r="F143" s="125"/>
      <c r="G143" s="125"/>
      <c r="H143" s="125"/>
      <c r="I143" s="125"/>
      <c r="J143" s="125"/>
      <c r="L143" s="125"/>
    </row>
    <row r="144" spans="2:12" s="101" customFormat="1" x14ac:dyDescent="0.2">
      <c r="B144" s="125"/>
      <c r="C144" s="125"/>
      <c r="D144" s="125"/>
      <c r="E144" s="125"/>
      <c r="F144" s="125"/>
      <c r="G144" s="125"/>
      <c r="H144" s="125"/>
      <c r="I144" s="125"/>
      <c r="J144" s="125"/>
      <c r="L144" s="125"/>
    </row>
    <row r="145" spans="2:12" s="101" customFormat="1" x14ac:dyDescent="0.2">
      <c r="B145" s="125"/>
      <c r="C145" s="125"/>
      <c r="D145" s="125"/>
      <c r="E145" s="125"/>
      <c r="F145" s="125"/>
      <c r="G145" s="125"/>
      <c r="H145" s="125"/>
      <c r="I145" s="125"/>
      <c r="J145" s="125"/>
      <c r="L145" s="125"/>
    </row>
    <row r="146" spans="2:12" s="101" customFormat="1" x14ac:dyDescent="0.2">
      <c r="B146" s="125"/>
      <c r="C146" s="125"/>
      <c r="D146" s="125"/>
      <c r="E146" s="125"/>
      <c r="F146" s="125"/>
      <c r="G146" s="125"/>
      <c r="H146" s="125"/>
      <c r="I146" s="125"/>
      <c r="J146" s="125"/>
      <c r="L146" s="125"/>
    </row>
    <row r="147" spans="2:12" s="101" customFormat="1" x14ac:dyDescent="0.2">
      <c r="B147" s="125"/>
      <c r="C147" s="125"/>
      <c r="D147" s="125"/>
      <c r="E147" s="125"/>
      <c r="F147" s="125"/>
      <c r="G147" s="125"/>
      <c r="H147" s="125"/>
      <c r="I147" s="125"/>
      <c r="J147" s="125"/>
      <c r="L147" s="125"/>
    </row>
    <row r="148" spans="2:12" s="101" customFormat="1" x14ac:dyDescent="0.2">
      <c r="B148" s="125"/>
      <c r="C148" s="125"/>
      <c r="D148" s="125"/>
      <c r="E148" s="125"/>
      <c r="F148" s="125"/>
      <c r="G148" s="125"/>
      <c r="H148" s="125"/>
      <c r="I148" s="125"/>
      <c r="J148" s="125"/>
      <c r="L148" s="125"/>
    </row>
    <row r="149" spans="2:12" s="101" customFormat="1" x14ac:dyDescent="0.2">
      <c r="B149" s="125"/>
      <c r="C149" s="125"/>
      <c r="D149" s="125"/>
      <c r="E149" s="125"/>
      <c r="F149" s="125"/>
      <c r="G149" s="125"/>
      <c r="H149" s="125"/>
      <c r="I149" s="125"/>
      <c r="J149" s="125"/>
      <c r="L149" s="125"/>
    </row>
    <row r="150" spans="2:12" s="101" customFormat="1" x14ac:dyDescent="0.2">
      <c r="B150" s="125"/>
      <c r="C150" s="125"/>
      <c r="D150" s="125"/>
      <c r="E150" s="125"/>
      <c r="F150" s="125"/>
      <c r="G150" s="125"/>
      <c r="H150" s="125"/>
      <c r="I150" s="125"/>
      <c r="J150" s="125"/>
      <c r="L150" s="125"/>
    </row>
    <row r="151" spans="2:12" s="101" customFormat="1" x14ac:dyDescent="0.2">
      <c r="B151" s="125"/>
      <c r="C151" s="125"/>
      <c r="D151" s="125"/>
      <c r="E151" s="125"/>
      <c r="F151" s="125"/>
      <c r="G151" s="125"/>
      <c r="H151" s="125"/>
      <c r="I151" s="125"/>
      <c r="J151" s="125"/>
      <c r="L151" s="125"/>
    </row>
    <row r="152" spans="2:12" s="101" customFormat="1" x14ac:dyDescent="0.2">
      <c r="B152" s="125"/>
      <c r="C152" s="125"/>
      <c r="D152" s="125"/>
      <c r="E152" s="125"/>
      <c r="F152" s="125"/>
      <c r="G152" s="125"/>
      <c r="H152" s="125"/>
      <c r="I152" s="125"/>
      <c r="J152" s="125"/>
      <c r="L152" s="125"/>
    </row>
    <row r="153" spans="2:12" s="101" customFormat="1" x14ac:dyDescent="0.2">
      <c r="B153" s="125"/>
      <c r="C153" s="125"/>
      <c r="D153" s="125"/>
      <c r="E153" s="125"/>
      <c r="F153" s="125"/>
      <c r="G153" s="125"/>
      <c r="H153" s="125"/>
      <c r="I153" s="125"/>
      <c r="J153" s="125"/>
      <c r="L153" s="125"/>
    </row>
    <row r="154" spans="2:12" s="101" customFormat="1" x14ac:dyDescent="0.2">
      <c r="B154" s="125"/>
      <c r="C154" s="125"/>
      <c r="D154" s="125"/>
      <c r="E154" s="125"/>
      <c r="F154" s="125"/>
      <c r="G154" s="125"/>
      <c r="H154" s="125"/>
      <c r="I154" s="125"/>
      <c r="J154" s="125"/>
      <c r="L154" s="125"/>
    </row>
    <row r="155" spans="2:12" s="101" customFormat="1" x14ac:dyDescent="0.2">
      <c r="B155" s="125"/>
      <c r="C155" s="125"/>
      <c r="D155" s="125"/>
      <c r="E155" s="125"/>
      <c r="F155" s="125"/>
      <c r="G155" s="125"/>
      <c r="H155" s="125"/>
      <c r="I155" s="125"/>
      <c r="J155" s="125"/>
      <c r="L155" s="125"/>
    </row>
    <row r="156" spans="2:12" s="101" customFormat="1" x14ac:dyDescent="0.2">
      <c r="B156" s="125"/>
      <c r="C156" s="125"/>
      <c r="D156" s="125"/>
      <c r="E156" s="125"/>
      <c r="F156" s="125"/>
      <c r="G156" s="125"/>
      <c r="H156" s="125"/>
      <c r="I156" s="125"/>
      <c r="J156" s="125"/>
      <c r="L156" s="125"/>
    </row>
    <row r="157" spans="2:12" s="101" customFormat="1" x14ac:dyDescent="0.2">
      <c r="B157" s="125"/>
      <c r="C157" s="125"/>
      <c r="D157" s="125"/>
      <c r="E157" s="125"/>
      <c r="F157" s="125"/>
      <c r="G157" s="125"/>
      <c r="H157" s="125"/>
      <c r="I157" s="125"/>
      <c r="J157" s="125"/>
      <c r="L157" s="125"/>
    </row>
    <row r="158" spans="2:12" s="101" customFormat="1" x14ac:dyDescent="0.2">
      <c r="B158" s="125"/>
      <c r="C158" s="125"/>
      <c r="D158" s="125"/>
      <c r="E158" s="125"/>
      <c r="F158" s="125"/>
      <c r="G158" s="125"/>
      <c r="H158" s="125"/>
      <c r="I158" s="125"/>
      <c r="J158" s="125"/>
      <c r="L158" s="125"/>
    </row>
    <row r="159" spans="2:12" s="101" customFormat="1" x14ac:dyDescent="0.2">
      <c r="B159" s="125"/>
      <c r="C159" s="125"/>
      <c r="D159" s="125"/>
      <c r="E159" s="125"/>
      <c r="F159" s="125"/>
      <c r="G159" s="125"/>
      <c r="H159" s="125"/>
      <c r="I159" s="125"/>
      <c r="J159" s="125"/>
      <c r="L159" s="125"/>
    </row>
    <row r="160" spans="2:12" s="101" customFormat="1" x14ac:dyDescent="0.2">
      <c r="B160" s="125"/>
      <c r="C160" s="125"/>
      <c r="D160" s="125"/>
      <c r="E160" s="125"/>
      <c r="F160" s="125"/>
      <c r="G160" s="125"/>
      <c r="H160" s="125"/>
      <c r="I160" s="125"/>
      <c r="J160" s="125"/>
      <c r="L160" s="125"/>
    </row>
    <row r="161" spans="2:12" s="101" customFormat="1" x14ac:dyDescent="0.2">
      <c r="B161" s="125"/>
      <c r="C161" s="125"/>
      <c r="D161" s="125"/>
      <c r="E161" s="125"/>
      <c r="F161" s="125"/>
      <c r="G161" s="125"/>
      <c r="H161" s="125"/>
      <c r="I161" s="125"/>
      <c r="J161" s="125"/>
      <c r="L161" s="125"/>
    </row>
    <row r="162" spans="2:12" s="101" customFormat="1" x14ac:dyDescent="0.2">
      <c r="B162" s="125"/>
      <c r="C162" s="125"/>
      <c r="D162" s="125"/>
      <c r="E162" s="125"/>
      <c r="F162" s="125"/>
      <c r="G162" s="125"/>
      <c r="H162" s="125"/>
      <c r="I162" s="125"/>
      <c r="J162" s="125"/>
      <c r="L162" s="125"/>
    </row>
    <row r="163" spans="2:12" s="101" customFormat="1" x14ac:dyDescent="0.2">
      <c r="B163" s="125"/>
      <c r="C163" s="125"/>
      <c r="D163" s="125"/>
      <c r="E163" s="125"/>
      <c r="F163" s="125"/>
      <c r="G163" s="125"/>
      <c r="H163" s="125"/>
      <c r="I163" s="125"/>
      <c r="J163" s="125"/>
      <c r="L163" s="125"/>
    </row>
    <row r="164" spans="2:12" s="101" customFormat="1" x14ac:dyDescent="0.2">
      <c r="B164" s="125"/>
      <c r="C164" s="125"/>
      <c r="D164" s="125"/>
      <c r="E164" s="125"/>
      <c r="F164" s="125"/>
      <c r="G164" s="125"/>
      <c r="H164" s="125"/>
      <c r="I164" s="125"/>
      <c r="J164" s="125"/>
      <c r="L164" s="125"/>
    </row>
    <row r="165" spans="2:12" s="101" customFormat="1" x14ac:dyDescent="0.2">
      <c r="B165" s="125"/>
      <c r="C165" s="125"/>
      <c r="D165" s="125"/>
      <c r="E165" s="125"/>
      <c r="F165" s="125"/>
      <c r="G165" s="125"/>
      <c r="H165" s="125"/>
      <c r="I165" s="125"/>
      <c r="J165" s="125"/>
      <c r="L165" s="125"/>
    </row>
    <row r="166" spans="2:12" s="101" customFormat="1" x14ac:dyDescent="0.2">
      <c r="B166" s="125"/>
      <c r="C166" s="125"/>
      <c r="D166" s="125"/>
      <c r="E166" s="125"/>
      <c r="F166" s="125"/>
      <c r="G166" s="125"/>
      <c r="H166" s="125"/>
      <c r="I166" s="125"/>
      <c r="J166" s="125"/>
      <c r="L166" s="125"/>
    </row>
    <row r="167" spans="2:12" s="101" customFormat="1" x14ac:dyDescent="0.2">
      <c r="B167" s="125"/>
      <c r="C167" s="125"/>
      <c r="D167" s="125"/>
      <c r="E167" s="125"/>
      <c r="F167" s="125"/>
      <c r="G167" s="125"/>
      <c r="H167" s="125"/>
      <c r="I167" s="125"/>
      <c r="J167" s="125"/>
      <c r="L167" s="125"/>
    </row>
    <row r="168" spans="2:12" s="101" customFormat="1" x14ac:dyDescent="0.2">
      <c r="B168" s="125"/>
      <c r="C168" s="125"/>
      <c r="D168" s="125"/>
      <c r="E168" s="125"/>
      <c r="F168" s="125"/>
      <c r="G168" s="125"/>
      <c r="H168" s="125"/>
      <c r="I168" s="125"/>
      <c r="J168" s="125"/>
      <c r="L168" s="125"/>
    </row>
    <row r="169" spans="2:12" s="101" customFormat="1" x14ac:dyDescent="0.2">
      <c r="B169" s="125"/>
      <c r="C169" s="125"/>
      <c r="D169" s="125"/>
      <c r="E169" s="125"/>
      <c r="F169" s="125"/>
      <c r="G169" s="125"/>
      <c r="H169" s="125"/>
      <c r="I169" s="125"/>
      <c r="J169" s="125"/>
      <c r="L169" s="125"/>
    </row>
    <row r="170" spans="2:12" s="101" customFormat="1" x14ac:dyDescent="0.2">
      <c r="B170" s="125"/>
      <c r="C170" s="125"/>
      <c r="D170" s="125"/>
      <c r="E170" s="125"/>
      <c r="F170" s="125"/>
      <c r="G170" s="125"/>
      <c r="H170" s="125"/>
      <c r="I170" s="125"/>
      <c r="J170" s="125"/>
      <c r="L170" s="125"/>
    </row>
    <row r="171" spans="2:12" s="101" customFormat="1" x14ac:dyDescent="0.2">
      <c r="B171" s="125"/>
      <c r="C171" s="125"/>
      <c r="D171" s="125"/>
      <c r="E171" s="125"/>
      <c r="F171" s="125"/>
      <c r="G171" s="125"/>
      <c r="H171" s="125"/>
      <c r="I171" s="125"/>
      <c r="J171" s="125"/>
      <c r="L171" s="125"/>
    </row>
    <row r="172" spans="2:12" s="101" customFormat="1" x14ac:dyDescent="0.2">
      <c r="B172" s="125"/>
      <c r="C172" s="125"/>
      <c r="D172" s="125"/>
      <c r="E172" s="125"/>
      <c r="F172" s="125"/>
      <c r="G172" s="125"/>
      <c r="H172" s="125"/>
      <c r="I172" s="125"/>
      <c r="J172" s="125"/>
      <c r="L172" s="125"/>
    </row>
    <row r="173" spans="2:12" s="101" customFormat="1" x14ac:dyDescent="0.2">
      <c r="B173" s="125"/>
      <c r="C173" s="125"/>
      <c r="D173" s="125"/>
      <c r="E173" s="125"/>
      <c r="F173" s="125"/>
      <c r="G173" s="125"/>
      <c r="H173" s="125"/>
      <c r="I173" s="125"/>
      <c r="J173" s="125"/>
      <c r="L173" s="125"/>
    </row>
    <row r="174" spans="2:12" s="101" customFormat="1" x14ac:dyDescent="0.2">
      <c r="B174" s="125"/>
      <c r="C174" s="125"/>
      <c r="D174" s="125"/>
      <c r="E174" s="125"/>
      <c r="F174" s="125"/>
      <c r="G174" s="125"/>
      <c r="H174" s="125"/>
      <c r="I174" s="125"/>
      <c r="J174" s="125"/>
      <c r="L174" s="125"/>
    </row>
    <row r="175" spans="2:12" s="101" customFormat="1" x14ac:dyDescent="0.2">
      <c r="B175" s="125"/>
      <c r="C175" s="125"/>
      <c r="D175" s="125"/>
      <c r="E175" s="125"/>
      <c r="F175" s="125"/>
      <c r="G175" s="125"/>
      <c r="H175" s="125"/>
      <c r="I175" s="125"/>
      <c r="J175" s="125"/>
      <c r="L175" s="125"/>
    </row>
    <row r="176" spans="2:12" s="101" customFormat="1" x14ac:dyDescent="0.2">
      <c r="B176" s="125"/>
      <c r="C176" s="125"/>
      <c r="D176" s="125"/>
      <c r="E176" s="125"/>
      <c r="F176" s="125"/>
      <c r="G176" s="125"/>
      <c r="H176" s="125"/>
      <c r="I176" s="125"/>
      <c r="J176" s="125"/>
      <c r="L176" s="125"/>
    </row>
    <row r="177" spans="2:12" s="101" customFormat="1" x14ac:dyDescent="0.2">
      <c r="B177" s="125"/>
      <c r="C177" s="125"/>
      <c r="D177" s="125"/>
      <c r="E177" s="125"/>
      <c r="F177" s="125"/>
      <c r="G177" s="125"/>
      <c r="H177" s="125"/>
      <c r="I177" s="125"/>
      <c r="J177" s="125"/>
      <c r="L177" s="125"/>
    </row>
    <row r="178" spans="2:12" s="101" customFormat="1" x14ac:dyDescent="0.2">
      <c r="B178" s="125"/>
      <c r="C178" s="125"/>
      <c r="D178" s="125"/>
      <c r="E178" s="125"/>
      <c r="F178" s="125"/>
      <c r="G178" s="125"/>
      <c r="H178" s="125"/>
      <c r="I178" s="125"/>
      <c r="J178" s="125"/>
      <c r="L178" s="125"/>
    </row>
    <row r="179" spans="2:12" s="101" customFormat="1" x14ac:dyDescent="0.2">
      <c r="B179" s="125"/>
      <c r="C179" s="125"/>
      <c r="D179" s="125"/>
      <c r="E179" s="125"/>
      <c r="F179" s="125"/>
      <c r="G179" s="125"/>
      <c r="H179" s="125"/>
      <c r="I179" s="125"/>
      <c r="J179" s="125"/>
      <c r="L179" s="125"/>
    </row>
    <row r="180" spans="2:12" s="101" customFormat="1" x14ac:dyDescent="0.2">
      <c r="B180" s="125"/>
      <c r="C180" s="125"/>
      <c r="D180" s="125"/>
      <c r="E180" s="125"/>
      <c r="F180" s="125"/>
      <c r="G180" s="125"/>
      <c r="H180" s="125"/>
      <c r="I180" s="125"/>
      <c r="J180" s="125"/>
      <c r="L180" s="125"/>
    </row>
  </sheetData>
  <autoFilter ref="B2:J88" xr:uid="{1F478E64-C5A9-4A43-89AA-045599EB1EC1}"/>
  <conditionalFormatting sqref="H17:H18 G15:G18 C3:F10 G3:H12 C11:D12 C79:D87 G23:H26 G36:H37 G42:H42 G60:H60 G44:H44 G46:H57 G39:H39 G65:H68 G62:H62 G30:G31 G28:H29 H27 C15:D35 C74:D74 G70:H87 N64:O88 C37:D55 C36 C57:D72 C56 C76:D77 C75">
    <cfRule type="expression" dxfId="364" priority="104">
      <formula>AND(OR($F3="No",$F3=""), $E3= "Yes",$G3&lt;&gt;"",$H3&lt;&gt;"")</formula>
    </cfRule>
  </conditionalFormatting>
  <conditionalFormatting sqref="H15">
    <cfRule type="expression" dxfId="363" priority="101">
      <formula>AND(OR($F15="No",$F15=""), $E15= "Yes",$G15&lt;&gt;"",$H15&lt;&gt;"")</formula>
    </cfRule>
  </conditionalFormatting>
  <conditionalFormatting sqref="H16">
    <cfRule type="expression" dxfId="362" priority="100">
      <formula>AND(OR($F16="No",$F16=""), $E16= "Yes",$G16&lt;&gt;"",$H16&lt;&gt;"")</formula>
    </cfRule>
  </conditionalFormatting>
  <conditionalFormatting sqref="E11:F12 E79:F87 E36:F37 E42:F42 E60:F60 E44:F44 E39:F39 E65:F68 E46:F57 E62:F62 E70:F72 E23:F26 E28:F31 E27:G27 E15:F18 E74:F77">
    <cfRule type="expression" dxfId="361" priority="98">
      <formula>AND(OR($F11="No",$F11=""), $E11= "Yes",$G11&lt;&gt;"",$H11&lt;&gt;"")</formula>
    </cfRule>
    <cfRule type="expression" dxfId="360" priority="99">
      <formula>AND(OR($E11="No",$E11=""), $F11= "Yes",$G11&lt;&gt;"",$H11&lt;&gt;"")</formula>
    </cfRule>
  </conditionalFormatting>
  <conditionalFormatting sqref="I3:M88">
    <cfRule type="expression" dxfId="359" priority="95">
      <formula>AND(OR($F4="No",$F4=""), $E3= "Yes",$G3&lt;&gt;"",$H3&lt;&gt;"")</formula>
    </cfRule>
  </conditionalFormatting>
  <conditionalFormatting sqref="C78:D78">
    <cfRule type="expression" dxfId="358" priority="87">
      <formula>AND(OR($F78="No",$F78=""), $E78= "Yes",$G78&lt;&gt;"",$H78&lt;&gt;"")</formula>
    </cfRule>
  </conditionalFormatting>
  <conditionalFormatting sqref="E78:F78">
    <cfRule type="expression" dxfId="357" priority="85">
      <formula>AND(OR($F78="No",$F78=""), $E78= "Yes",$G78&lt;&gt;"",$H78&lt;&gt;"")</formula>
    </cfRule>
    <cfRule type="expression" dxfId="356" priority="86">
      <formula>AND(OR($E78="No",$E78=""), $F78= "Yes",$G78&lt;&gt;"",$H78&lt;&gt;"")</formula>
    </cfRule>
  </conditionalFormatting>
  <conditionalFormatting sqref="C73:D73">
    <cfRule type="expression" dxfId="355" priority="84">
      <formula>AND(OR($F73="No",$F73=""), $E73= "Yes",$G73&lt;&gt;"",$H73&lt;&gt;"")</formula>
    </cfRule>
  </conditionalFormatting>
  <conditionalFormatting sqref="E73:F73">
    <cfRule type="expression" dxfId="354" priority="82">
      <formula>AND(OR($F73="No",$F73=""), $E73= "Yes",$G73&lt;&gt;"",$H73&lt;&gt;"")</formula>
    </cfRule>
    <cfRule type="expression" dxfId="353" priority="83">
      <formula>AND(OR($E73="No",$E73=""), $F73= "Yes",$G73&lt;&gt;"",$H73&lt;&gt;"")</formula>
    </cfRule>
  </conditionalFormatting>
  <conditionalFormatting sqref="G32:H33">
    <cfRule type="expression" dxfId="352" priority="79">
      <formula>AND(OR($F32="No",$F32=""), $E32= "Yes",$G32&lt;&gt;"",$H32&lt;&gt;"")</formula>
    </cfRule>
  </conditionalFormatting>
  <conditionalFormatting sqref="H30:H31">
    <cfRule type="expression" dxfId="351" priority="73">
      <formula>AND(OR($F30="No",$F30=""), $E30= "Yes",$G30&lt;&gt;"",$H30&lt;&gt;"")</formula>
    </cfRule>
  </conditionalFormatting>
  <conditionalFormatting sqref="G35:H35">
    <cfRule type="expression" dxfId="350" priority="72">
      <formula>AND(OR($F35="No",$F35=""), $E35= "Yes",$G35&lt;&gt;"",$H35&lt;&gt;"")</formula>
    </cfRule>
  </conditionalFormatting>
  <conditionalFormatting sqref="E35:F35">
    <cfRule type="expression" dxfId="349" priority="70">
      <formula>AND(OR($F35="No",$F35=""), $E35= "Yes",$G35&lt;&gt;"",$H35&lt;&gt;"")</formula>
    </cfRule>
    <cfRule type="expression" dxfId="348" priority="71">
      <formula>AND(OR($E35="No",$E35=""), $F35= "Yes",$G35&lt;&gt;"",$H35&lt;&gt;"")</formula>
    </cfRule>
  </conditionalFormatting>
  <conditionalFormatting sqref="G34:H34">
    <cfRule type="expression" dxfId="347" priority="69">
      <formula>AND(OR($F34="No",$F34=""), $E34= "Yes",$G34&lt;&gt;"",$H34&lt;&gt;"")</formula>
    </cfRule>
  </conditionalFormatting>
  <conditionalFormatting sqref="E34:F34">
    <cfRule type="expression" dxfId="346" priority="67">
      <formula>AND(OR($F34="No",$F34=""), $E34= "Yes",$G34&lt;&gt;"",$H34&lt;&gt;"")</formula>
    </cfRule>
    <cfRule type="expression" dxfId="345" priority="68">
      <formula>AND(OR($E34="No",$E34=""), $F34= "Yes",$G34&lt;&gt;"",$H34&lt;&gt;"")</formula>
    </cfRule>
  </conditionalFormatting>
  <conditionalFormatting sqref="G41:H41">
    <cfRule type="expression" dxfId="344" priority="66">
      <formula>AND(OR($F41="No",$F41=""), $E41= "Yes",$G41&lt;&gt;"",$H41&lt;&gt;"")</formula>
    </cfRule>
  </conditionalFormatting>
  <conditionalFormatting sqref="E41:F41">
    <cfRule type="expression" dxfId="343" priority="64">
      <formula>AND(OR($F41="No",$F41=""), $E41= "Yes",$G41&lt;&gt;"",$H41&lt;&gt;"")</formula>
    </cfRule>
    <cfRule type="expression" dxfId="342" priority="65">
      <formula>AND(OR($E41="No",$E41=""), $F41= "Yes",$G41&lt;&gt;"",$H41&lt;&gt;"")</formula>
    </cfRule>
  </conditionalFormatting>
  <conditionalFormatting sqref="G45:H45">
    <cfRule type="expression" dxfId="341" priority="63">
      <formula>AND(OR($F45="No",$F45=""), $E45= "Yes",$G45&lt;&gt;"",$H45&lt;&gt;"")</formula>
    </cfRule>
  </conditionalFormatting>
  <conditionalFormatting sqref="E45:F45">
    <cfRule type="expression" dxfId="340" priority="61">
      <formula>AND(OR($F45="No",$F45=""), $E45= "Yes",$G45&lt;&gt;"",$H45&lt;&gt;"")</formula>
    </cfRule>
    <cfRule type="expression" dxfId="339" priority="62">
      <formula>AND(OR($E45="No",$E45=""), $F45= "Yes",$G45&lt;&gt;"",$H45&lt;&gt;"")</formula>
    </cfRule>
  </conditionalFormatting>
  <conditionalFormatting sqref="G40:H40">
    <cfRule type="expression" dxfId="338" priority="45">
      <formula>AND(OR($F40="No",$F40=""), $E40= "Yes",$G40&lt;&gt;"",$H40&lt;&gt;"")</formula>
    </cfRule>
  </conditionalFormatting>
  <conditionalFormatting sqref="E40:F40">
    <cfRule type="expression" dxfId="337" priority="43">
      <formula>AND(OR($F40="No",$F40=""), $E40= "Yes",$G40&lt;&gt;"",$H40&lt;&gt;"")</formula>
    </cfRule>
    <cfRule type="expression" dxfId="336" priority="44">
      <formula>AND(OR($E40="No",$E40=""), $F40= "Yes",$G40&lt;&gt;"",$H40&lt;&gt;"")</formula>
    </cfRule>
  </conditionalFormatting>
  <conditionalFormatting sqref="G38:H38">
    <cfRule type="expression" dxfId="335" priority="42">
      <formula>AND(OR($F38="No",$F38=""), $E38= "Yes",$G38&lt;&gt;"",$H38&lt;&gt;"")</formula>
    </cfRule>
  </conditionalFormatting>
  <conditionalFormatting sqref="E38:F38">
    <cfRule type="expression" dxfId="334" priority="40">
      <formula>AND(OR($F38="No",$F38=""), $E38= "Yes",$G38&lt;&gt;"",$H38&lt;&gt;"")</formula>
    </cfRule>
    <cfRule type="expression" dxfId="333" priority="41">
      <formula>AND(OR($E38="No",$E38=""), $F38= "Yes",$G38&lt;&gt;"",$H38&lt;&gt;"")</formula>
    </cfRule>
  </conditionalFormatting>
  <conditionalFormatting sqref="G64:H64">
    <cfRule type="expression" dxfId="332" priority="39">
      <formula>AND(OR($F64="No",$F64=""), $E64= "Yes",$G64&lt;&gt;"",$H64&lt;&gt;"")</formula>
    </cfRule>
  </conditionalFormatting>
  <conditionalFormatting sqref="E64:F64">
    <cfRule type="expression" dxfId="331" priority="37">
      <formula>AND(OR($F64="No",$F64=""), $E64= "Yes",$G64&lt;&gt;"",$H64&lt;&gt;"")</formula>
    </cfRule>
    <cfRule type="expression" dxfId="330" priority="38">
      <formula>AND(OR($E64="No",$E64=""), $F64= "Yes",$G64&lt;&gt;"",$H64&lt;&gt;"")</formula>
    </cfRule>
  </conditionalFormatting>
  <conditionalFormatting sqref="G61:H61">
    <cfRule type="expression" dxfId="329" priority="36">
      <formula>AND(OR($F61="No",$F61=""), $E61= "Yes",$G61&lt;&gt;"",$H61&lt;&gt;"")</formula>
    </cfRule>
  </conditionalFormatting>
  <conditionalFormatting sqref="E61:F61">
    <cfRule type="expression" dxfId="328" priority="34">
      <formula>AND(OR($F61="No",$F61=""), $E61= "Yes",$G61&lt;&gt;"",$H61&lt;&gt;"")</formula>
    </cfRule>
    <cfRule type="expression" dxfId="327" priority="35">
      <formula>AND(OR($E61="No",$E61=""), $F61= "Yes",$G61&lt;&gt;"",$H61&lt;&gt;"")</formula>
    </cfRule>
  </conditionalFormatting>
  <conditionalFormatting sqref="G63:H63">
    <cfRule type="expression" dxfId="326" priority="33">
      <formula>AND(OR($F63="No",$F63=""), $E63= "Yes",$G63&lt;&gt;"",$H63&lt;&gt;"")</formula>
    </cfRule>
  </conditionalFormatting>
  <conditionalFormatting sqref="E63:F63">
    <cfRule type="expression" dxfId="325" priority="31">
      <formula>AND(OR($F63="No",$F63=""), $E63= "Yes",$G63&lt;&gt;"",$H63&lt;&gt;"")</formula>
    </cfRule>
    <cfRule type="expression" dxfId="324" priority="32">
      <formula>AND(OR($E63="No",$E63=""), $F63= "Yes",$G63&lt;&gt;"",$H63&lt;&gt;"")</formula>
    </cfRule>
  </conditionalFormatting>
  <conditionalFormatting sqref="G59:H59">
    <cfRule type="expression" dxfId="323" priority="30">
      <formula>AND(OR($F59="No",$F59=""), $E59= "Yes",$G59&lt;&gt;"",$H59&lt;&gt;"")</formula>
    </cfRule>
  </conditionalFormatting>
  <conditionalFormatting sqref="E59:F59">
    <cfRule type="expression" dxfId="322" priority="28">
      <formula>AND(OR($F59="No",$F59=""), $E59= "Yes",$G59&lt;&gt;"",$H59&lt;&gt;"")</formula>
    </cfRule>
    <cfRule type="expression" dxfId="321" priority="29">
      <formula>AND(OR($E59="No",$E59=""), $F59= "Yes",$G59&lt;&gt;"",$H59&lt;&gt;"")</formula>
    </cfRule>
  </conditionalFormatting>
  <conditionalFormatting sqref="G58:H58">
    <cfRule type="expression" dxfId="320" priority="27">
      <formula>AND(OR($F58="No",$F58=""), $E58= "Yes",$G58&lt;&gt;"",$H58&lt;&gt;"")</formula>
    </cfRule>
  </conditionalFormatting>
  <conditionalFormatting sqref="E58:F58">
    <cfRule type="expression" dxfId="319" priority="25">
      <formula>AND(OR($F58="No",$F58=""), $E58= "Yes",$G58&lt;&gt;"",$H58&lt;&gt;"")</formula>
    </cfRule>
    <cfRule type="expression" dxfId="318" priority="26">
      <formula>AND(OR($E58="No",$E58=""), $F58= "Yes",$G58&lt;&gt;"",$H58&lt;&gt;"")</formula>
    </cfRule>
  </conditionalFormatting>
  <conditionalFormatting sqref="G43:H43">
    <cfRule type="expression" dxfId="317" priority="24">
      <formula>AND(OR($F43="No",$F43=""), $E43= "Yes",$G43&lt;&gt;"",$H43&lt;&gt;"")</formula>
    </cfRule>
  </conditionalFormatting>
  <conditionalFormatting sqref="E43:F43">
    <cfRule type="expression" dxfId="316" priority="22">
      <formula>AND(OR($F43="No",$F43=""), $E43= "Yes",$G43&lt;&gt;"",$H43&lt;&gt;"")</formula>
    </cfRule>
    <cfRule type="expression" dxfId="315" priority="23">
      <formula>AND(OR($E43="No",$E43=""), $F43= "Yes",$G43&lt;&gt;"",$H43&lt;&gt;"")</formula>
    </cfRule>
  </conditionalFormatting>
  <conditionalFormatting sqref="G69:H69">
    <cfRule type="expression" dxfId="314" priority="21">
      <formula>AND(OR($F69="No",$F69=""), $E69= "Yes",$G69&lt;&gt;"",$H69&lt;&gt;"")</formula>
    </cfRule>
  </conditionalFormatting>
  <conditionalFormatting sqref="E69:F69">
    <cfRule type="expression" dxfId="313" priority="19">
      <formula>AND(OR($F69="No",$F69=""), $E69= "Yes",$G69&lt;&gt;"",$H69&lt;&gt;"")</formula>
    </cfRule>
    <cfRule type="expression" dxfId="312" priority="20">
      <formula>AND(OR($E69="No",$E69=""), $F69= "Yes",$G69&lt;&gt;"",$H69&lt;&gt;"")</formula>
    </cfRule>
  </conditionalFormatting>
  <conditionalFormatting sqref="G19:H22">
    <cfRule type="expression" dxfId="311" priority="18">
      <formula>AND(OR($F19="No",$F19=""), $E19= "Yes",$G19&lt;&gt;"",$H19&lt;&gt;"")</formula>
    </cfRule>
  </conditionalFormatting>
  <conditionalFormatting sqref="E19:F22">
    <cfRule type="expression" dxfId="310" priority="16">
      <formula>AND(OR($F19="No",$F19=""), $E19= "Yes",$G19&lt;&gt;"",$H19&lt;&gt;"")</formula>
    </cfRule>
    <cfRule type="expression" dxfId="309" priority="17">
      <formula>AND(OR($E19="No",$E19=""), $F19= "Yes",$G19&lt;&gt;"",$H19&lt;&gt;"")</formula>
    </cfRule>
  </conditionalFormatting>
  <conditionalFormatting sqref="E32:F32">
    <cfRule type="expression" dxfId="308" priority="14">
      <formula>AND(OR($F32="No",$F32=""), $E32= "Yes",$G32&lt;&gt;"",$H32&lt;&gt;"")</formula>
    </cfRule>
    <cfRule type="expression" dxfId="307" priority="15">
      <formula>AND(OR($E32="No",$E32=""), $F32= "Yes",$G32&lt;&gt;"",$H32&lt;&gt;"")</formula>
    </cfRule>
  </conditionalFormatting>
  <conditionalFormatting sqref="E33:F33">
    <cfRule type="expression" dxfId="306" priority="12">
      <formula>AND(OR($F33="No",$F33=""), $E33= "Yes",$G33&lt;&gt;"",$H33&lt;&gt;"")</formula>
    </cfRule>
    <cfRule type="expression" dxfId="305" priority="13">
      <formula>AND(OR($E33="No",$E33=""), $F33= "Yes",$G33&lt;&gt;"",$H33&lt;&gt;"")</formula>
    </cfRule>
  </conditionalFormatting>
  <conditionalFormatting sqref="A2">
    <cfRule type="expression" dxfId="304" priority="10">
      <formula>AND(OR(#REF!="No",#REF!=""), #REF!= "Yes",#REF!&lt;&gt;"",#REF!&lt;&gt;"")</formula>
    </cfRule>
    <cfRule type="expression" dxfId="303" priority="11">
      <formula>AND(OR(#REF!="No",#REF!=""), #REF!= "Yes",#REF!&lt;&gt;"",#REF!&lt;&gt;"")</formula>
    </cfRule>
  </conditionalFormatting>
  <conditionalFormatting sqref="N3:O12 N29:O62 N15:O27">
    <cfRule type="expression" dxfId="302" priority="9">
      <formula>AND(OR($F3="No",$F3=""), $E3= "Yes",$G3&lt;&gt;"",$H3&lt;&gt;"")</formula>
    </cfRule>
  </conditionalFormatting>
  <conditionalFormatting sqref="N63:O63">
    <cfRule type="expression" dxfId="301" priority="8">
      <formula>AND(OR($E63="No",$E63=""), $D63= "Yes",$F63&lt;&gt;"",$G63&lt;&gt;"")</formula>
    </cfRule>
  </conditionalFormatting>
  <conditionalFormatting sqref="N28:O28">
    <cfRule type="expression" dxfId="300" priority="7">
      <formula>AND(OR($F28="No",$F28=""), $E28= "Yes",$G28&lt;&gt;"",$H28&lt;&gt;"")</formula>
    </cfRule>
  </conditionalFormatting>
  <conditionalFormatting sqref="C13:H14">
    <cfRule type="expression" dxfId="299" priority="5">
      <formula>AND(OR($F13="No",$F13=""), $E13= "Yes",$G13&lt;&gt;"",$H13&lt;&gt;"")</formula>
    </cfRule>
  </conditionalFormatting>
  <conditionalFormatting sqref="N13:O14">
    <cfRule type="expression" dxfId="298" priority="4">
      <formula>AND(OR($E13="No",$E13=""), $D13= "Yes",$F13&lt;&gt;"",$G13&lt;&gt;"")</formula>
    </cfRule>
  </conditionalFormatting>
  <conditionalFormatting sqref="D36">
    <cfRule type="expression" dxfId="297" priority="3">
      <formula>AND(OR($F36="No",$F36=""), $E36= "Yes",$G36&lt;&gt;"",$H36&lt;&gt;"")</formula>
    </cfRule>
  </conditionalFormatting>
  <conditionalFormatting sqref="D56">
    <cfRule type="expression" dxfId="296" priority="2">
      <formula>AND(OR($F56="No",$F56=""), $E56= "Yes",$G56&lt;&gt;"",$H56&lt;&gt;"")</formula>
    </cfRule>
  </conditionalFormatting>
  <conditionalFormatting sqref="D75">
    <cfRule type="expression" dxfId="295" priority="1">
      <formula>AND(OR($F75="No",$F75=""), $E75= "Yes",$G75&lt;&gt;"",$H75&lt;&gt;"")</formula>
    </cfRule>
  </conditionalFormatting>
  <dataValidations count="2">
    <dataValidation type="list" allowBlank="1" showInputMessage="1" showErrorMessage="1" sqref="F27:G27 F28:F31 E3:E31 F11:F12 F15:F26 E32:F87" xr:uid="{92770EA0-4C05-489F-B8A6-B04F522C0848}">
      <formula1>"Yes, No"</formula1>
    </dataValidation>
    <dataValidation type="list" allowBlank="1" showInputMessage="1" showErrorMessage="1" sqref="B3:B30" xr:uid="{6474871C-EF48-4AB4-B8DC-3BAB07D91436}">
      <formula1>"Phase 1, Phase 2, Phase 3, Phase 4, "</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dimension ref="A1:O180"/>
  <sheetViews>
    <sheetView zoomScale="60" zoomScaleNormal="60" workbookViewId="0">
      <pane ySplit="2" topLeftCell="A88" activePane="bottomLeft" state="frozen"/>
      <selection pane="bottomLeft" activeCell="G105" sqref="G105"/>
    </sheetView>
  </sheetViews>
  <sheetFormatPr defaultColWidth="8.88671875" defaultRowHeight="15" x14ac:dyDescent="0.2"/>
  <cols>
    <col min="1" max="1" width="8.88671875" style="3" customWidth="1"/>
    <col min="2" max="2" width="7.77734375" style="22" customWidth="1"/>
    <col min="3" max="3" width="60.77734375" style="22" customWidth="1"/>
    <col min="4" max="4" width="38.77734375" style="22" customWidth="1"/>
    <col min="5" max="5" width="11.6640625" style="22" customWidth="1"/>
    <col min="6" max="6" width="11.21875" style="22" customWidth="1"/>
    <col min="7" max="7" width="38.77734375" style="22" customWidth="1"/>
    <col min="8" max="8" width="14.77734375" style="22" customWidth="1"/>
    <col min="9" max="10" width="10.33203125" style="22" customWidth="1"/>
    <col min="11" max="11" width="8.88671875" style="22" customWidth="1"/>
    <col min="12" max="12" width="15.5546875" style="22" customWidth="1"/>
    <col min="13" max="13" width="8.88671875" style="3" customWidth="1"/>
    <col min="14" max="14" width="10.109375" style="3" customWidth="1"/>
    <col min="15" max="17" width="8.88671875" style="3" customWidth="1"/>
    <col min="18" max="16384" width="8.88671875" style="3"/>
  </cols>
  <sheetData>
    <row r="1" spans="1:15" ht="21" customHeight="1" thickBot="1" x14ac:dyDescent="0.25">
      <c r="B1" s="88" t="s">
        <v>44</v>
      </c>
      <c r="C1" s="62" t="s">
        <v>699</v>
      </c>
      <c r="D1" s="23"/>
      <c r="E1" s="23"/>
      <c r="F1" s="23"/>
      <c r="G1" s="23"/>
      <c r="H1" s="23"/>
      <c r="I1" s="23"/>
      <c r="J1" s="23"/>
      <c r="L1" s="23"/>
    </row>
    <row r="2" spans="1:15" s="10" customFormat="1" ht="87.95" customHeight="1" thickBot="1" x14ac:dyDescent="0.25">
      <c r="A2" s="50" t="s">
        <v>38</v>
      </c>
      <c r="B2" s="64" t="s">
        <v>39</v>
      </c>
      <c r="C2" s="65" t="s">
        <v>40</v>
      </c>
      <c r="D2" s="66" t="s">
        <v>41</v>
      </c>
      <c r="E2" s="67" t="s">
        <v>24</v>
      </c>
      <c r="F2" s="67" t="s">
        <v>20</v>
      </c>
      <c r="G2" s="68" t="s">
        <v>42</v>
      </c>
      <c r="H2" s="68" t="s">
        <v>43</v>
      </c>
      <c r="I2" s="63" t="s">
        <v>46</v>
      </c>
      <c r="J2" s="63" t="s">
        <v>47</v>
      </c>
      <c r="K2" s="63" t="s">
        <v>48</v>
      </c>
      <c r="L2" s="63" t="s">
        <v>49</v>
      </c>
      <c r="M2" s="63" t="s">
        <v>50</v>
      </c>
      <c r="N2" s="63" t="s">
        <v>51</v>
      </c>
      <c r="O2" s="63" t="s">
        <v>52</v>
      </c>
    </row>
    <row r="3" spans="1:15" s="101" customFormat="1" ht="54" customHeight="1" thickTop="1" thickBot="1" x14ac:dyDescent="0.25">
      <c r="A3" s="72"/>
      <c r="B3" s="92" t="s">
        <v>11</v>
      </c>
      <c r="C3" s="93" t="s">
        <v>573</v>
      </c>
      <c r="D3" s="93" t="s">
        <v>574</v>
      </c>
      <c r="E3" s="93" t="s">
        <v>12</v>
      </c>
      <c r="F3" s="93" t="s">
        <v>22</v>
      </c>
      <c r="G3" s="93" t="s">
        <v>55</v>
      </c>
      <c r="H3" s="95" t="s">
        <v>55</v>
      </c>
      <c r="I3" s="94" t="s">
        <v>56</v>
      </c>
      <c r="J3" s="94" t="s">
        <v>57</v>
      </c>
      <c r="K3" s="94">
        <v>0</v>
      </c>
      <c r="L3" s="94" t="s">
        <v>445</v>
      </c>
      <c r="M3" s="94" t="s">
        <v>59</v>
      </c>
      <c r="N3" s="93">
        <v>2</v>
      </c>
      <c r="O3" s="96">
        <v>5.2083333333333333E-4</v>
      </c>
    </row>
    <row r="4" spans="1:15" s="101" customFormat="1" ht="54" customHeight="1" thickTop="1" thickBot="1" x14ac:dyDescent="0.25">
      <c r="A4" s="72"/>
      <c r="B4" s="73" t="s">
        <v>11</v>
      </c>
      <c r="C4" s="74" t="s">
        <v>575</v>
      </c>
      <c r="D4" s="74" t="s">
        <v>576</v>
      </c>
      <c r="E4" s="74" t="s">
        <v>12</v>
      </c>
      <c r="F4" s="74" t="s">
        <v>22</v>
      </c>
      <c r="G4" s="74" t="s">
        <v>55</v>
      </c>
      <c r="H4" s="85" t="s">
        <v>55</v>
      </c>
      <c r="I4" s="94" t="s">
        <v>56</v>
      </c>
      <c r="J4" s="94" t="s">
        <v>57</v>
      </c>
      <c r="K4" s="94">
        <v>0</v>
      </c>
      <c r="L4" s="94" t="s">
        <v>58</v>
      </c>
      <c r="M4" s="94" t="s">
        <v>59</v>
      </c>
      <c r="N4" s="74">
        <v>1</v>
      </c>
      <c r="O4" s="77">
        <v>2.4305555555555556E-3</v>
      </c>
    </row>
    <row r="5" spans="1:15" s="101" customFormat="1" ht="54" customHeight="1" thickTop="1" thickBot="1" x14ac:dyDescent="0.25">
      <c r="A5" s="72"/>
      <c r="B5" s="73" t="s">
        <v>11</v>
      </c>
      <c r="C5" s="74" t="s">
        <v>577</v>
      </c>
      <c r="D5" s="74" t="s">
        <v>447</v>
      </c>
      <c r="E5" s="74" t="s">
        <v>12</v>
      </c>
      <c r="F5" s="74" t="s">
        <v>22</v>
      </c>
      <c r="G5" s="74" t="s">
        <v>55</v>
      </c>
      <c r="H5" s="85" t="s">
        <v>55</v>
      </c>
      <c r="I5" s="94" t="s">
        <v>56</v>
      </c>
      <c r="J5" s="94" t="s">
        <v>57</v>
      </c>
      <c r="K5" s="94">
        <v>0</v>
      </c>
      <c r="L5" s="94" t="s">
        <v>62</v>
      </c>
      <c r="M5" s="94" t="s">
        <v>63</v>
      </c>
      <c r="N5" s="74">
        <v>1</v>
      </c>
      <c r="O5" s="77">
        <v>1.3888888888888889E-3</v>
      </c>
    </row>
    <row r="6" spans="1:15" s="101" customFormat="1" ht="54" customHeight="1" thickTop="1" thickBot="1" x14ac:dyDescent="0.25">
      <c r="A6" s="72"/>
      <c r="B6" s="73" t="s">
        <v>11</v>
      </c>
      <c r="C6" s="74" t="s">
        <v>578</v>
      </c>
      <c r="D6" s="74" t="s">
        <v>97</v>
      </c>
      <c r="E6" s="74" t="s">
        <v>12</v>
      </c>
      <c r="F6" s="74" t="s">
        <v>22</v>
      </c>
      <c r="G6" s="74" t="s">
        <v>55</v>
      </c>
      <c r="H6" s="85" t="s">
        <v>55</v>
      </c>
      <c r="I6" s="94" t="s">
        <v>56</v>
      </c>
      <c r="J6" s="94" t="s">
        <v>57</v>
      </c>
      <c r="K6" s="94">
        <v>0</v>
      </c>
      <c r="L6" s="94" t="s">
        <v>69</v>
      </c>
      <c r="M6" s="94" t="s">
        <v>70</v>
      </c>
      <c r="N6" s="74">
        <v>1</v>
      </c>
      <c r="O6" s="77">
        <v>3.4722222222222224E-4</v>
      </c>
    </row>
    <row r="7" spans="1:15" s="101" customFormat="1" ht="54" customHeight="1" thickTop="1" thickBot="1" x14ac:dyDescent="0.25">
      <c r="A7" s="72"/>
      <c r="B7" s="73" t="s">
        <v>11</v>
      </c>
      <c r="C7" s="74" t="s">
        <v>579</v>
      </c>
      <c r="D7" s="74" t="s">
        <v>580</v>
      </c>
      <c r="E7" s="74" t="s">
        <v>12</v>
      </c>
      <c r="F7" s="74" t="s">
        <v>22</v>
      </c>
      <c r="G7" s="74" t="s">
        <v>55</v>
      </c>
      <c r="H7" s="85" t="s">
        <v>55</v>
      </c>
      <c r="I7" s="94" t="s">
        <v>56</v>
      </c>
      <c r="J7" s="94" t="s">
        <v>57</v>
      </c>
      <c r="K7" s="94">
        <v>0</v>
      </c>
      <c r="L7" s="94" t="s">
        <v>88</v>
      </c>
      <c r="M7" s="94" t="s">
        <v>59</v>
      </c>
      <c r="N7" s="74">
        <v>1</v>
      </c>
      <c r="O7" s="77">
        <v>3.1249999999999997E-3</v>
      </c>
    </row>
    <row r="8" spans="1:15" s="101" customFormat="1" ht="54" customHeight="1" thickTop="1" thickBot="1" x14ac:dyDescent="0.25">
      <c r="A8" s="72"/>
      <c r="B8" s="73" t="s">
        <v>11</v>
      </c>
      <c r="C8" s="74" t="s">
        <v>581</v>
      </c>
      <c r="D8" s="74" t="s">
        <v>582</v>
      </c>
      <c r="E8" s="74" t="s">
        <v>12</v>
      </c>
      <c r="F8" s="74" t="s">
        <v>22</v>
      </c>
      <c r="G8" s="74" t="s">
        <v>55</v>
      </c>
      <c r="H8" s="85" t="s">
        <v>55</v>
      </c>
      <c r="I8" s="94" t="s">
        <v>56</v>
      </c>
      <c r="J8" s="94" t="s">
        <v>57</v>
      </c>
      <c r="K8" s="94">
        <v>0</v>
      </c>
      <c r="L8" s="94" t="s">
        <v>93</v>
      </c>
      <c r="M8" s="94" t="s">
        <v>59</v>
      </c>
      <c r="N8" s="74">
        <v>1</v>
      </c>
      <c r="O8" s="77">
        <v>8.1018518518518516E-4</v>
      </c>
    </row>
    <row r="9" spans="1:15" s="101" customFormat="1" ht="54" customHeight="1" thickTop="1" thickBot="1" x14ac:dyDescent="0.25">
      <c r="A9" s="72"/>
      <c r="B9" s="73" t="s">
        <v>11</v>
      </c>
      <c r="C9" s="74" t="s">
        <v>583</v>
      </c>
      <c r="D9" s="74" t="s">
        <v>99</v>
      </c>
      <c r="E9" s="74" t="s">
        <v>12</v>
      </c>
      <c r="F9" s="74" t="s">
        <v>22</v>
      </c>
      <c r="G9" s="74" t="s">
        <v>55</v>
      </c>
      <c r="H9" s="85" t="s">
        <v>55</v>
      </c>
      <c r="I9" s="94" t="s">
        <v>84</v>
      </c>
      <c r="J9" s="94" t="s">
        <v>57</v>
      </c>
      <c r="K9" s="94">
        <v>0</v>
      </c>
      <c r="L9" s="94" t="s">
        <v>100</v>
      </c>
      <c r="M9" s="94" t="s">
        <v>101</v>
      </c>
      <c r="N9" s="74">
        <v>1</v>
      </c>
      <c r="O9" s="77">
        <v>6.9444444444444447E-4</v>
      </c>
    </row>
    <row r="10" spans="1:15" s="101" customFormat="1" ht="54" customHeight="1" thickTop="1" thickBot="1" x14ac:dyDescent="0.25">
      <c r="A10" s="72"/>
      <c r="B10" s="73" t="s">
        <v>11</v>
      </c>
      <c r="C10" s="74" t="s">
        <v>584</v>
      </c>
      <c r="D10" s="74" t="s">
        <v>103</v>
      </c>
      <c r="E10" s="74" t="s">
        <v>12</v>
      </c>
      <c r="F10" s="74" t="s">
        <v>22</v>
      </c>
      <c r="G10" s="74" t="s">
        <v>55</v>
      </c>
      <c r="H10" s="85" t="s">
        <v>55</v>
      </c>
      <c r="I10" s="94" t="s">
        <v>84</v>
      </c>
      <c r="J10" s="94" t="s">
        <v>57</v>
      </c>
      <c r="K10" s="94">
        <v>0</v>
      </c>
      <c r="L10" s="94" t="s">
        <v>104</v>
      </c>
      <c r="M10" s="94" t="s">
        <v>101</v>
      </c>
      <c r="N10" s="74">
        <v>1</v>
      </c>
      <c r="O10" s="77">
        <v>6.9444444444444447E-4</v>
      </c>
    </row>
    <row r="11" spans="1:15" s="101" customFormat="1" ht="54" customHeight="1" thickTop="1" thickBot="1" x14ac:dyDescent="0.25">
      <c r="A11" s="72"/>
      <c r="B11" s="73" t="s">
        <v>11</v>
      </c>
      <c r="C11" s="74" t="s">
        <v>585</v>
      </c>
      <c r="D11" s="74" t="s">
        <v>111</v>
      </c>
      <c r="E11" s="75" t="s">
        <v>12</v>
      </c>
      <c r="F11" s="75" t="s">
        <v>22</v>
      </c>
      <c r="G11" s="74" t="s">
        <v>55</v>
      </c>
      <c r="H11" s="85" t="s">
        <v>55</v>
      </c>
      <c r="I11" s="94" t="s">
        <v>84</v>
      </c>
      <c r="J11" s="94" t="s">
        <v>57</v>
      </c>
      <c r="K11" s="94">
        <v>0</v>
      </c>
      <c r="L11" s="94" t="s">
        <v>112</v>
      </c>
      <c r="M11" s="94" t="s">
        <v>101</v>
      </c>
      <c r="N11" s="74">
        <v>2</v>
      </c>
      <c r="O11" s="77">
        <v>45.042187499999997</v>
      </c>
    </row>
    <row r="12" spans="1:15" s="101" customFormat="1" ht="54" customHeight="1" thickTop="1" thickBot="1" x14ac:dyDescent="0.25">
      <c r="A12" s="72"/>
      <c r="B12" s="73" t="s">
        <v>11</v>
      </c>
      <c r="C12" s="74" t="s">
        <v>586</v>
      </c>
      <c r="D12" s="74" t="s">
        <v>108</v>
      </c>
      <c r="E12" s="75" t="s">
        <v>12</v>
      </c>
      <c r="F12" s="75" t="s">
        <v>22</v>
      </c>
      <c r="G12" s="74" t="s">
        <v>55</v>
      </c>
      <c r="H12" s="85" t="s">
        <v>55</v>
      </c>
      <c r="I12" s="94" t="s">
        <v>84</v>
      </c>
      <c r="J12" s="94" t="s">
        <v>57</v>
      </c>
      <c r="K12" s="94">
        <v>0</v>
      </c>
      <c r="L12" s="94" t="s">
        <v>109</v>
      </c>
      <c r="M12" s="94" t="s">
        <v>101</v>
      </c>
      <c r="N12" s="74">
        <v>2</v>
      </c>
      <c r="O12" s="77">
        <v>45.000520833333333</v>
      </c>
    </row>
    <row r="13" spans="1:15" s="101" customFormat="1" ht="54" customHeight="1" thickTop="1" thickBot="1" x14ac:dyDescent="0.25">
      <c r="A13" s="84"/>
      <c r="B13" s="73" t="s">
        <v>11</v>
      </c>
      <c r="C13" s="74" t="s">
        <v>587</v>
      </c>
      <c r="D13" s="74" t="s">
        <v>114</v>
      </c>
      <c r="E13" s="74" t="s">
        <v>12</v>
      </c>
      <c r="F13" s="74" t="s">
        <v>22</v>
      </c>
      <c r="G13" s="74" t="s">
        <v>123</v>
      </c>
      <c r="H13" s="85" t="s">
        <v>55</v>
      </c>
      <c r="I13" s="94" t="s">
        <v>84</v>
      </c>
      <c r="J13" s="94" t="s">
        <v>57</v>
      </c>
      <c r="K13" s="94">
        <v>0</v>
      </c>
      <c r="L13" s="94" t="s">
        <v>116</v>
      </c>
      <c r="M13" s="94" t="s">
        <v>804</v>
      </c>
      <c r="N13" s="74">
        <v>1</v>
      </c>
      <c r="O13" s="77">
        <v>5.2083333333333333E-4</v>
      </c>
    </row>
    <row r="14" spans="1:15" s="101" customFormat="1" ht="54" customHeight="1" thickTop="1" thickBot="1" x14ac:dyDescent="0.25">
      <c r="A14" s="84"/>
      <c r="B14" s="78" t="s">
        <v>11</v>
      </c>
      <c r="C14" s="79" t="s">
        <v>588</v>
      </c>
      <c r="D14" s="79" t="s">
        <v>119</v>
      </c>
      <c r="E14" s="79" t="s">
        <v>12</v>
      </c>
      <c r="F14" s="79" t="s">
        <v>22</v>
      </c>
      <c r="G14" s="79" t="s">
        <v>123</v>
      </c>
      <c r="H14" s="86" t="s">
        <v>55</v>
      </c>
      <c r="I14" s="94" t="s">
        <v>84</v>
      </c>
      <c r="J14" s="94" t="s">
        <v>57</v>
      </c>
      <c r="K14" s="94">
        <v>0</v>
      </c>
      <c r="L14" s="94" t="s">
        <v>120</v>
      </c>
      <c r="M14" s="94" t="s">
        <v>804</v>
      </c>
      <c r="N14" s="79">
        <v>2</v>
      </c>
      <c r="O14" s="83">
        <v>6.9444444444444447E-4</v>
      </c>
    </row>
    <row r="15" spans="1:15" s="101" customFormat="1" ht="54" customHeight="1" thickTop="1" thickBot="1" x14ac:dyDescent="0.25">
      <c r="A15" s="72"/>
      <c r="B15" s="92" t="s">
        <v>14</v>
      </c>
      <c r="C15" s="93" t="s">
        <v>589</v>
      </c>
      <c r="D15" s="93" t="s">
        <v>590</v>
      </c>
      <c r="E15" s="94" t="s">
        <v>12</v>
      </c>
      <c r="F15" s="94" t="s">
        <v>22</v>
      </c>
      <c r="G15" s="94" t="s">
        <v>126</v>
      </c>
      <c r="H15" s="95">
        <v>45671</v>
      </c>
      <c r="I15" s="94" t="s">
        <v>127</v>
      </c>
      <c r="J15" s="94" t="s">
        <v>128</v>
      </c>
      <c r="K15" s="94">
        <v>0</v>
      </c>
      <c r="L15" s="94" t="s">
        <v>129</v>
      </c>
      <c r="M15" s="94" t="s">
        <v>101</v>
      </c>
      <c r="N15" s="93">
        <v>4</v>
      </c>
      <c r="O15" s="96">
        <v>1.736111111111111E-3</v>
      </c>
    </row>
    <row r="16" spans="1:15" s="101" customFormat="1" ht="54" customHeight="1" thickTop="1" thickBot="1" x14ac:dyDescent="0.25">
      <c r="A16" s="72"/>
      <c r="B16" s="73" t="s">
        <v>14</v>
      </c>
      <c r="C16" s="74" t="s">
        <v>591</v>
      </c>
      <c r="D16" s="74" t="s">
        <v>592</v>
      </c>
      <c r="E16" s="75" t="s">
        <v>12</v>
      </c>
      <c r="F16" s="75" t="s">
        <v>22</v>
      </c>
      <c r="G16" s="75" t="s">
        <v>593</v>
      </c>
      <c r="H16" s="85">
        <v>45680</v>
      </c>
      <c r="I16" s="94" t="s">
        <v>127</v>
      </c>
      <c r="J16" s="94" t="s">
        <v>128</v>
      </c>
      <c r="K16" s="94">
        <v>0</v>
      </c>
      <c r="L16" s="94" t="s">
        <v>129</v>
      </c>
      <c r="M16" s="94" t="s">
        <v>101</v>
      </c>
      <c r="N16" s="74">
        <v>4</v>
      </c>
      <c r="O16" s="77">
        <v>1.736111111111111E-3</v>
      </c>
    </row>
    <row r="17" spans="1:15" s="101" customFormat="1" ht="54" customHeight="1" thickTop="1" thickBot="1" x14ac:dyDescent="0.25">
      <c r="A17" s="72"/>
      <c r="B17" s="73" t="s">
        <v>14</v>
      </c>
      <c r="C17" s="74" t="s">
        <v>594</v>
      </c>
      <c r="D17" s="74" t="s">
        <v>595</v>
      </c>
      <c r="E17" s="75" t="s">
        <v>12</v>
      </c>
      <c r="F17" s="75" t="s">
        <v>22</v>
      </c>
      <c r="G17" s="75" t="s">
        <v>126</v>
      </c>
      <c r="H17" s="85">
        <v>45671</v>
      </c>
      <c r="I17" s="94" t="s">
        <v>127</v>
      </c>
      <c r="J17" s="94" t="s">
        <v>128</v>
      </c>
      <c r="K17" s="94">
        <v>0</v>
      </c>
      <c r="L17" s="94" t="s">
        <v>129</v>
      </c>
      <c r="M17" s="94" t="s">
        <v>101</v>
      </c>
      <c r="N17" s="74">
        <v>4</v>
      </c>
      <c r="O17" s="77">
        <v>1.736111111111111E-3</v>
      </c>
    </row>
    <row r="18" spans="1:15" s="101" customFormat="1" ht="54" customHeight="1" thickTop="1" thickBot="1" x14ac:dyDescent="0.25">
      <c r="A18" s="72"/>
      <c r="B18" s="73" t="s">
        <v>14</v>
      </c>
      <c r="C18" s="74" t="s">
        <v>596</v>
      </c>
      <c r="D18" s="74" t="s">
        <v>597</v>
      </c>
      <c r="E18" s="75" t="s">
        <v>12</v>
      </c>
      <c r="F18" s="75" t="s">
        <v>22</v>
      </c>
      <c r="G18" s="75" t="s">
        <v>233</v>
      </c>
      <c r="H18" s="85">
        <v>45680</v>
      </c>
      <c r="I18" s="94" t="s">
        <v>127</v>
      </c>
      <c r="J18" s="94" t="s">
        <v>128</v>
      </c>
      <c r="K18" s="94">
        <v>0</v>
      </c>
      <c r="L18" s="94" t="s">
        <v>129</v>
      </c>
      <c r="M18" s="94" t="s">
        <v>101</v>
      </c>
      <c r="N18" s="74">
        <v>4</v>
      </c>
      <c r="O18" s="77">
        <v>1.736111111111111E-3</v>
      </c>
    </row>
    <row r="19" spans="1:15" s="101" customFormat="1" ht="54" customHeight="1" thickTop="1" thickBot="1" x14ac:dyDescent="0.25">
      <c r="A19" s="72"/>
      <c r="B19" s="73" t="s">
        <v>14</v>
      </c>
      <c r="C19" s="74" t="s">
        <v>599</v>
      </c>
      <c r="D19" s="74" t="s">
        <v>138</v>
      </c>
      <c r="E19" s="75" t="s">
        <v>12</v>
      </c>
      <c r="F19" s="75" t="s">
        <v>22</v>
      </c>
      <c r="G19" s="75" t="s">
        <v>139</v>
      </c>
      <c r="H19" s="76">
        <v>45674</v>
      </c>
      <c r="I19" s="94" t="s">
        <v>127</v>
      </c>
      <c r="J19" s="94" t="s">
        <v>57</v>
      </c>
      <c r="K19" s="94">
        <v>0</v>
      </c>
      <c r="L19" s="94" t="s">
        <v>140</v>
      </c>
      <c r="M19" s="94" t="s">
        <v>117</v>
      </c>
      <c r="N19" s="74">
        <v>2</v>
      </c>
      <c r="O19" s="77">
        <v>5.2083333333333333E-4</v>
      </c>
    </row>
    <row r="20" spans="1:15" s="101" customFormat="1" ht="54" customHeight="1" thickTop="1" thickBot="1" x14ac:dyDescent="0.25">
      <c r="A20" s="72"/>
      <c r="B20" s="73" t="s">
        <v>14</v>
      </c>
      <c r="C20" s="74" t="s">
        <v>600</v>
      </c>
      <c r="D20" s="74" t="s">
        <v>138</v>
      </c>
      <c r="E20" s="75" t="s">
        <v>12</v>
      </c>
      <c r="F20" s="75" t="s">
        <v>22</v>
      </c>
      <c r="G20" s="75" t="s">
        <v>139</v>
      </c>
      <c r="H20" s="76">
        <v>45674</v>
      </c>
      <c r="I20" s="94" t="s">
        <v>127</v>
      </c>
      <c r="J20" s="94" t="s">
        <v>57</v>
      </c>
      <c r="K20" s="94">
        <v>0</v>
      </c>
      <c r="L20" s="94" t="s">
        <v>140</v>
      </c>
      <c r="M20" s="94" t="s">
        <v>117</v>
      </c>
      <c r="N20" s="74">
        <v>2</v>
      </c>
      <c r="O20" s="77">
        <v>5.2083333333333333E-4</v>
      </c>
    </row>
    <row r="21" spans="1:15" s="101" customFormat="1" ht="54" customHeight="1" thickTop="1" thickBot="1" x14ac:dyDescent="0.25">
      <c r="A21" s="72"/>
      <c r="B21" s="73" t="s">
        <v>14</v>
      </c>
      <c r="C21" s="74" t="s">
        <v>601</v>
      </c>
      <c r="D21" s="74" t="s">
        <v>143</v>
      </c>
      <c r="E21" s="75" t="s">
        <v>12</v>
      </c>
      <c r="F21" s="75" t="s">
        <v>22</v>
      </c>
      <c r="G21" s="75" t="s">
        <v>139</v>
      </c>
      <c r="H21" s="76">
        <v>45674</v>
      </c>
      <c r="I21" s="94" t="s">
        <v>127</v>
      </c>
      <c r="J21" s="94" t="s">
        <v>57</v>
      </c>
      <c r="K21" s="94">
        <v>0</v>
      </c>
      <c r="L21" s="94" t="s">
        <v>144</v>
      </c>
      <c r="M21" s="94" t="s">
        <v>117</v>
      </c>
      <c r="N21" s="74">
        <v>1</v>
      </c>
      <c r="O21" s="77">
        <v>2.3148148148148146E-4</v>
      </c>
    </row>
    <row r="22" spans="1:15" s="101" customFormat="1" ht="54" customHeight="1" thickTop="1" thickBot="1" x14ac:dyDescent="0.25">
      <c r="A22" s="72"/>
      <c r="B22" s="73" t="s">
        <v>14</v>
      </c>
      <c r="C22" s="74" t="s">
        <v>602</v>
      </c>
      <c r="D22" s="74" t="s">
        <v>146</v>
      </c>
      <c r="E22" s="75" t="s">
        <v>12</v>
      </c>
      <c r="F22" s="75" t="s">
        <v>22</v>
      </c>
      <c r="G22" s="75" t="s">
        <v>139</v>
      </c>
      <c r="H22" s="76">
        <v>45674</v>
      </c>
      <c r="I22" s="94" t="s">
        <v>127</v>
      </c>
      <c r="J22" s="94" t="s">
        <v>57</v>
      </c>
      <c r="K22" s="94">
        <v>0</v>
      </c>
      <c r="L22" s="94" t="s">
        <v>147</v>
      </c>
      <c r="M22" s="94" t="s">
        <v>117</v>
      </c>
      <c r="N22" s="74">
        <v>2</v>
      </c>
      <c r="O22" s="77">
        <v>2.3148148148148146E-4</v>
      </c>
    </row>
    <row r="23" spans="1:15" s="101" customFormat="1" ht="54" customHeight="1" thickTop="1" thickBot="1" x14ac:dyDescent="0.25">
      <c r="A23" s="72"/>
      <c r="B23" s="73" t="s">
        <v>14</v>
      </c>
      <c r="C23" s="74" t="s">
        <v>603</v>
      </c>
      <c r="D23" s="74" t="s">
        <v>464</v>
      </c>
      <c r="E23" s="75" t="s">
        <v>12</v>
      </c>
      <c r="F23" s="75" t="s">
        <v>22</v>
      </c>
      <c r="G23" s="74" t="s">
        <v>593</v>
      </c>
      <c r="H23" s="85">
        <v>45680</v>
      </c>
      <c r="I23" s="94" t="s">
        <v>127</v>
      </c>
      <c r="J23" s="94" t="s">
        <v>128</v>
      </c>
      <c r="K23" s="94">
        <v>0</v>
      </c>
      <c r="L23" s="94" t="s">
        <v>153</v>
      </c>
      <c r="M23" s="94" t="s">
        <v>154</v>
      </c>
      <c r="N23" s="74">
        <v>2</v>
      </c>
      <c r="O23" s="77">
        <v>4.6296296296296293E-4</v>
      </c>
    </row>
    <row r="24" spans="1:15" s="101" customFormat="1" ht="54" customHeight="1" thickTop="1" thickBot="1" x14ac:dyDescent="0.25">
      <c r="A24" s="72"/>
      <c r="B24" s="73" t="s">
        <v>14</v>
      </c>
      <c r="C24" s="74" t="s">
        <v>604</v>
      </c>
      <c r="D24" s="74" t="s">
        <v>605</v>
      </c>
      <c r="E24" s="75" t="s">
        <v>12</v>
      </c>
      <c r="F24" s="75" t="s">
        <v>22</v>
      </c>
      <c r="G24" s="74" t="s">
        <v>593</v>
      </c>
      <c r="H24" s="85">
        <v>45680</v>
      </c>
      <c r="I24" s="94" t="s">
        <v>127</v>
      </c>
      <c r="J24" s="94" t="s">
        <v>128</v>
      </c>
      <c r="K24" s="94">
        <v>0</v>
      </c>
      <c r="L24" s="94" t="s">
        <v>153</v>
      </c>
      <c r="M24" s="94" t="s">
        <v>154</v>
      </c>
      <c r="N24" s="74">
        <v>2</v>
      </c>
      <c r="O24" s="77">
        <v>4.6296296296296293E-4</v>
      </c>
    </row>
    <row r="25" spans="1:15" s="101" customFormat="1" ht="54" customHeight="1" thickTop="1" thickBot="1" x14ac:dyDescent="0.25">
      <c r="A25" s="72"/>
      <c r="B25" s="73" t="s">
        <v>14</v>
      </c>
      <c r="C25" s="74" t="s">
        <v>606</v>
      </c>
      <c r="D25" s="74" t="s">
        <v>466</v>
      </c>
      <c r="E25" s="75" t="s">
        <v>12</v>
      </c>
      <c r="F25" s="75" t="s">
        <v>22</v>
      </c>
      <c r="G25" s="75" t="s">
        <v>233</v>
      </c>
      <c r="H25" s="85">
        <v>45680</v>
      </c>
      <c r="I25" s="94" t="s">
        <v>56</v>
      </c>
      <c r="J25" s="94" t="s">
        <v>128</v>
      </c>
      <c r="K25" s="94">
        <v>0</v>
      </c>
      <c r="L25" s="94" t="s">
        <v>153</v>
      </c>
      <c r="M25" s="94" t="s">
        <v>154</v>
      </c>
      <c r="N25" s="74">
        <v>2</v>
      </c>
      <c r="O25" s="77">
        <v>4.6296296296296293E-4</v>
      </c>
    </row>
    <row r="26" spans="1:15" s="101" customFormat="1" ht="54" customHeight="1" thickTop="1" thickBot="1" x14ac:dyDescent="0.25">
      <c r="A26" s="72"/>
      <c r="B26" s="73" t="s">
        <v>14</v>
      </c>
      <c r="C26" s="74" t="s">
        <v>607</v>
      </c>
      <c r="D26" s="74" t="s">
        <v>608</v>
      </c>
      <c r="E26" s="75" t="s">
        <v>12</v>
      </c>
      <c r="F26" s="75" t="s">
        <v>22</v>
      </c>
      <c r="G26" s="75" t="s">
        <v>233</v>
      </c>
      <c r="H26" s="85">
        <v>45680</v>
      </c>
      <c r="I26" s="94" t="s">
        <v>56</v>
      </c>
      <c r="J26" s="94" t="s">
        <v>128</v>
      </c>
      <c r="K26" s="94">
        <v>0</v>
      </c>
      <c r="L26" s="94" t="s">
        <v>153</v>
      </c>
      <c r="M26" s="94" t="s">
        <v>154</v>
      </c>
      <c r="N26" s="74">
        <v>2</v>
      </c>
      <c r="O26" s="77">
        <v>4.6296296296296293E-4</v>
      </c>
    </row>
    <row r="27" spans="1:15" s="101" customFormat="1" ht="54" customHeight="1" thickTop="1" thickBot="1" x14ac:dyDescent="0.25">
      <c r="B27" s="107" t="s">
        <v>14</v>
      </c>
      <c r="C27" s="100" t="s">
        <v>609</v>
      </c>
      <c r="D27" s="100" t="s">
        <v>171</v>
      </c>
      <c r="E27" s="108" t="s">
        <v>22</v>
      </c>
      <c r="F27" s="108" t="s">
        <v>22</v>
      </c>
      <c r="G27" s="100"/>
      <c r="H27" s="100"/>
      <c r="I27" s="94" t="s">
        <v>56</v>
      </c>
      <c r="J27" s="94" t="s">
        <v>57</v>
      </c>
      <c r="K27" s="94">
        <v>0</v>
      </c>
      <c r="L27" s="94" t="s">
        <v>172</v>
      </c>
      <c r="M27" s="94" t="s">
        <v>117</v>
      </c>
      <c r="N27" s="100">
        <v>2</v>
      </c>
      <c r="O27" s="110">
        <v>6.9444444444444447E-4</v>
      </c>
    </row>
    <row r="28" spans="1:15" s="101" customFormat="1" ht="54" customHeight="1" thickTop="1" thickBot="1" x14ac:dyDescent="0.25">
      <c r="A28" s="72"/>
      <c r="B28" s="78" t="s">
        <v>14</v>
      </c>
      <c r="C28" s="79" t="s">
        <v>610</v>
      </c>
      <c r="D28" s="79" t="s">
        <v>167</v>
      </c>
      <c r="E28" s="82" t="s">
        <v>12</v>
      </c>
      <c r="F28" s="82" t="s">
        <v>22</v>
      </c>
      <c r="G28" s="79" t="s">
        <v>168</v>
      </c>
      <c r="H28" s="86">
        <v>45675</v>
      </c>
      <c r="I28" s="94" t="s">
        <v>56</v>
      </c>
      <c r="J28" s="94" t="s">
        <v>57</v>
      </c>
      <c r="K28" s="94">
        <v>0</v>
      </c>
      <c r="L28" s="94" t="s">
        <v>169</v>
      </c>
      <c r="M28" s="94" t="s">
        <v>101</v>
      </c>
      <c r="N28" s="79">
        <v>1</v>
      </c>
      <c r="O28" s="83">
        <v>6.9444444444444447E-4</v>
      </c>
    </row>
    <row r="29" spans="1:15" s="101" customFormat="1" ht="54" customHeight="1" thickTop="1" thickBot="1" x14ac:dyDescent="0.25">
      <c r="B29" s="102" t="s">
        <v>17</v>
      </c>
      <c r="C29" s="103" t="s">
        <v>611</v>
      </c>
      <c r="D29" s="103" t="s">
        <v>174</v>
      </c>
      <c r="E29" s="104" t="s">
        <v>22</v>
      </c>
      <c r="F29" s="104" t="s">
        <v>22</v>
      </c>
      <c r="G29" s="103"/>
      <c r="H29" s="103"/>
      <c r="I29" s="94" t="s">
        <v>56</v>
      </c>
      <c r="J29" s="94" t="s">
        <v>57</v>
      </c>
      <c r="K29" s="94">
        <v>0</v>
      </c>
      <c r="L29" s="94" t="s">
        <v>612</v>
      </c>
      <c r="M29" s="94" t="s">
        <v>176</v>
      </c>
      <c r="N29" s="103">
        <v>2</v>
      </c>
      <c r="O29" s="106">
        <v>1.0416666666666667E-3</v>
      </c>
    </row>
    <row r="30" spans="1:15" s="101" customFormat="1" ht="54" customHeight="1" thickTop="1" thickBot="1" x14ac:dyDescent="0.25">
      <c r="A30" s="72"/>
      <c r="B30" s="73" t="s">
        <v>17</v>
      </c>
      <c r="C30" s="74" t="s">
        <v>613</v>
      </c>
      <c r="D30" s="74" t="s">
        <v>178</v>
      </c>
      <c r="E30" s="75" t="s">
        <v>12</v>
      </c>
      <c r="F30" s="75" t="s">
        <v>22</v>
      </c>
      <c r="G30" s="74" t="s">
        <v>614</v>
      </c>
      <c r="H30" s="76">
        <v>45671</v>
      </c>
      <c r="I30" s="94" t="s">
        <v>127</v>
      </c>
      <c r="J30" s="94" t="s">
        <v>57</v>
      </c>
      <c r="K30" s="94">
        <v>0</v>
      </c>
      <c r="L30" s="94" t="s">
        <v>180</v>
      </c>
      <c r="M30" s="94" t="s">
        <v>117</v>
      </c>
      <c r="N30" s="74">
        <v>2</v>
      </c>
      <c r="O30" s="77">
        <v>1.5624999999999999E-3</v>
      </c>
    </row>
    <row r="31" spans="1:15" s="101" customFormat="1" ht="54" customHeight="1" thickTop="1" thickBot="1" x14ac:dyDescent="0.25">
      <c r="A31" s="72"/>
      <c r="B31" s="73" t="s">
        <v>17</v>
      </c>
      <c r="C31" s="74" t="s">
        <v>615</v>
      </c>
      <c r="D31" s="74" t="s">
        <v>616</v>
      </c>
      <c r="E31" s="75" t="s">
        <v>12</v>
      </c>
      <c r="F31" s="75" t="s">
        <v>22</v>
      </c>
      <c r="G31" s="74" t="s">
        <v>614</v>
      </c>
      <c r="H31" s="76">
        <v>45671</v>
      </c>
      <c r="I31" s="94" t="s">
        <v>127</v>
      </c>
      <c r="J31" s="94" t="s">
        <v>128</v>
      </c>
      <c r="K31" s="94">
        <v>0</v>
      </c>
      <c r="L31" s="94" t="s">
        <v>617</v>
      </c>
      <c r="M31" s="94" t="s">
        <v>117</v>
      </c>
      <c r="N31" s="74">
        <v>2</v>
      </c>
      <c r="O31" s="77">
        <v>5.2083333333333333E-4</v>
      </c>
    </row>
    <row r="32" spans="1:15" s="101" customFormat="1" ht="54" customHeight="1" thickTop="1" thickBot="1" x14ac:dyDescent="0.25">
      <c r="A32" s="72"/>
      <c r="B32" s="73" t="s">
        <v>17</v>
      </c>
      <c r="C32" s="74" t="s">
        <v>618</v>
      </c>
      <c r="D32" s="74" t="s">
        <v>619</v>
      </c>
      <c r="E32" s="75" t="s">
        <v>12</v>
      </c>
      <c r="F32" s="75" t="s">
        <v>22</v>
      </c>
      <c r="G32" s="75" t="s">
        <v>183</v>
      </c>
      <c r="H32" s="76">
        <v>45671</v>
      </c>
      <c r="I32" s="94" t="s">
        <v>127</v>
      </c>
      <c r="J32" s="94" t="s">
        <v>57</v>
      </c>
      <c r="K32" s="94">
        <v>0</v>
      </c>
      <c r="L32" s="94" t="s">
        <v>620</v>
      </c>
      <c r="M32" s="94" t="s">
        <v>117</v>
      </c>
      <c r="N32" s="74">
        <v>2</v>
      </c>
      <c r="O32" s="77">
        <v>6.9444444444444447E-4</v>
      </c>
    </row>
    <row r="33" spans="1:15" s="101" customFormat="1" ht="54" customHeight="1" thickTop="1" thickBot="1" x14ac:dyDescent="0.25">
      <c r="A33" s="72"/>
      <c r="B33" s="73" t="s">
        <v>17</v>
      </c>
      <c r="C33" s="74" t="s">
        <v>621</v>
      </c>
      <c r="D33" s="74" t="s">
        <v>622</v>
      </c>
      <c r="E33" s="75" t="s">
        <v>12</v>
      </c>
      <c r="F33" s="75" t="s">
        <v>22</v>
      </c>
      <c r="G33" s="75" t="s">
        <v>183</v>
      </c>
      <c r="H33" s="76">
        <v>45671</v>
      </c>
      <c r="I33" s="94" t="s">
        <v>127</v>
      </c>
      <c r="J33" s="94" t="s">
        <v>57</v>
      </c>
      <c r="K33" s="94">
        <v>0</v>
      </c>
      <c r="L33" s="94" t="s">
        <v>184</v>
      </c>
      <c r="M33" s="94" t="s">
        <v>117</v>
      </c>
      <c r="N33" s="74">
        <v>2</v>
      </c>
      <c r="O33" s="77">
        <v>6.9444444444444447E-4</v>
      </c>
    </row>
    <row r="34" spans="1:15" s="101" customFormat="1" ht="54" customHeight="1" thickTop="1" thickBot="1" x14ac:dyDescent="0.25">
      <c r="A34" s="72"/>
      <c r="B34" s="73" t="s">
        <v>17</v>
      </c>
      <c r="C34" s="74" t="s">
        <v>623</v>
      </c>
      <c r="D34" s="74" t="s">
        <v>197</v>
      </c>
      <c r="E34" s="75" t="s">
        <v>12</v>
      </c>
      <c r="F34" s="75" t="s">
        <v>22</v>
      </c>
      <c r="G34" s="75" t="s">
        <v>198</v>
      </c>
      <c r="H34" s="76">
        <v>45673</v>
      </c>
      <c r="I34" s="94" t="s">
        <v>127</v>
      </c>
      <c r="J34" s="94" t="s">
        <v>128</v>
      </c>
      <c r="K34" s="94">
        <v>0</v>
      </c>
      <c r="L34" s="94" t="s">
        <v>199</v>
      </c>
      <c r="M34" s="94" t="s">
        <v>195</v>
      </c>
      <c r="N34" s="74">
        <v>1</v>
      </c>
      <c r="O34" s="77">
        <v>3.4722222222222224E-4</v>
      </c>
    </row>
    <row r="35" spans="1:15" s="101" customFormat="1" ht="54" customHeight="1" thickTop="1" thickBot="1" x14ac:dyDescent="0.25">
      <c r="A35" s="72"/>
      <c r="B35" s="73" t="s">
        <v>17</v>
      </c>
      <c r="C35" s="74" t="s">
        <v>624</v>
      </c>
      <c r="D35" s="74" t="s">
        <v>197</v>
      </c>
      <c r="E35" s="75" t="s">
        <v>12</v>
      </c>
      <c r="F35" s="75" t="s">
        <v>22</v>
      </c>
      <c r="G35" s="75" t="s">
        <v>198</v>
      </c>
      <c r="H35" s="76">
        <v>45673</v>
      </c>
      <c r="I35" s="94" t="s">
        <v>127</v>
      </c>
      <c r="J35" s="94" t="s">
        <v>128</v>
      </c>
      <c r="K35" s="94">
        <v>0</v>
      </c>
      <c r="L35" s="94" t="s">
        <v>199</v>
      </c>
      <c r="M35" s="94" t="s">
        <v>195</v>
      </c>
      <c r="N35" s="74">
        <v>1</v>
      </c>
      <c r="O35" s="77">
        <v>3.4722222222222224E-4</v>
      </c>
    </row>
    <row r="36" spans="1:15" s="101" customFormat="1" ht="54" customHeight="1" thickTop="1" thickBot="1" x14ac:dyDescent="0.25">
      <c r="A36" s="72"/>
      <c r="B36" s="73" t="s">
        <v>17</v>
      </c>
      <c r="C36" s="74" t="s">
        <v>625</v>
      </c>
      <c r="D36" s="74" t="s">
        <v>700</v>
      </c>
      <c r="E36" s="75" t="s">
        <v>12</v>
      </c>
      <c r="F36" s="75" t="s">
        <v>22</v>
      </c>
      <c r="G36" s="74" t="s">
        <v>202</v>
      </c>
      <c r="H36" s="85">
        <v>45672</v>
      </c>
      <c r="I36" s="94" t="s">
        <v>84</v>
      </c>
      <c r="J36" s="94" t="s">
        <v>128</v>
      </c>
      <c r="K36" s="94">
        <v>0</v>
      </c>
      <c r="L36" s="94" t="s">
        <v>203</v>
      </c>
      <c r="M36" s="94" t="s">
        <v>806</v>
      </c>
      <c r="N36" s="74">
        <v>1</v>
      </c>
      <c r="O36" s="77">
        <v>3.4722222222222224E-4</v>
      </c>
    </row>
    <row r="37" spans="1:15" s="101" customFormat="1" ht="54" customHeight="1" thickTop="1" thickBot="1" x14ac:dyDescent="0.25">
      <c r="A37" s="72"/>
      <c r="B37" s="73" t="s">
        <v>17</v>
      </c>
      <c r="C37" s="74" t="s">
        <v>626</v>
      </c>
      <c r="D37" s="74" t="s">
        <v>205</v>
      </c>
      <c r="E37" s="75" t="s">
        <v>12</v>
      </c>
      <c r="F37" s="75" t="s">
        <v>22</v>
      </c>
      <c r="G37" s="74" t="s">
        <v>701</v>
      </c>
      <c r="H37" s="85">
        <v>45673</v>
      </c>
      <c r="I37" s="94" t="s">
        <v>127</v>
      </c>
      <c r="J37" s="94" t="s">
        <v>128</v>
      </c>
      <c r="K37" s="94">
        <v>0</v>
      </c>
      <c r="L37" s="94" t="s">
        <v>207</v>
      </c>
      <c r="M37" s="94" t="s">
        <v>195</v>
      </c>
      <c r="N37" s="74">
        <v>1</v>
      </c>
      <c r="O37" s="77">
        <v>5.7870370370370378E-4</v>
      </c>
    </row>
    <row r="38" spans="1:15" s="101" customFormat="1" ht="54" customHeight="1" thickTop="1" thickBot="1" x14ac:dyDescent="0.25">
      <c r="A38" s="72"/>
      <c r="B38" s="73" t="s">
        <v>17</v>
      </c>
      <c r="C38" s="74" t="s">
        <v>627</v>
      </c>
      <c r="D38" s="74" t="s">
        <v>209</v>
      </c>
      <c r="E38" s="75" t="s">
        <v>12</v>
      </c>
      <c r="F38" s="75" t="s">
        <v>22</v>
      </c>
      <c r="G38" s="75" t="s">
        <v>702</v>
      </c>
      <c r="H38" s="76">
        <v>45673</v>
      </c>
      <c r="I38" s="94" t="s">
        <v>127</v>
      </c>
      <c r="J38" s="94" t="s">
        <v>128</v>
      </c>
      <c r="K38" s="94">
        <v>0</v>
      </c>
      <c r="L38" s="94" t="s">
        <v>211</v>
      </c>
      <c r="M38" s="94" t="s">
        <v>195</v>
      </c>
      <c r="N38" s="74">
        <v>2</v>
      </c>
      <c r="O38" s="77">
        <v>6.9444444444444447E-4</v>
      </c>
    </row>
    <row r="39" spans="1:15" s="101" customFormat="1" ht="54" customHeight="1" thickTop="1" thickBot="1" x14ac:dyDescent="0.25">
      <c r="A39" s="72"/>
      <c r="B39" s="73" t="s">
        <v>17</v>
      </c>
      <c r="C39" s="74" t="s">
        <v>628</v>
      </c>
      <c r="D39" s="74" t="s">
        <v>213</v>
      </c>
      <c r="E39" s="75" t="s">
        <v>12</v>
      </c>
      <c r="F39" s="75" t="s">
        <v>22</v>
      </c>
      <c r="G39" s="74" t="s">
        <v>214</v>
      </c>
      <c r="H39" s="85">
        <v>45672</v>
      </c>
      <c r="I39" s="94" t="s">
        <v>127</v>
      </c>
      <c r="J39" s="94" t="s">
        <v>128</v>
      </c>
      <c r="K39" s="94">
        <v>0</v>
      </c>
      <c r="L39" s="94" t="s">
        <v>215</v>
      </c>
      <c r="M39" s="94" t="s">
        <v>195</v>
      </c>
      <c r="N39" s="74">
        <v>1</v>
      </c>
      <c r="O39" s="77">
        <v>3.4722222222222224E-4</v>
      </c>
    </row>
    <row r="40" spans="1:15" s="101" customFormat="1" ht="54" customHeight="1" thickTop="1" thickBot="1" x14ac:dyDescent="0.25">
      <c r="A40" s="72"/>
      <c r="B40" s="73" t="s">
        <v>17</v>
      </c>
      <c r="C40" s="74" t="s">
        <v>629</v>
      </c>
      <c r="D40" s="74" t="s">
        <v>217</v>
      </c>
      <c r="E40" s="75" t="s">
        <v>12</v>
      </c>
      <c r="F40" s="75" t="s">
        <v>22</v>
      </c>
      <c r="G40" s="75" t="s">
        <v>702</v>
      </c>
      <c r="H40" s="76">
        <v>45673</v>
      </c>
      <c r="I40" s="94" t="s">
        <v>127</v>
      </c>
      <c r="J40" s="94" t="s">
        <v>57</v>
      </c>
      <c r="K40" s="94">
        <v>0</v>
      </c>
      <c r="L40" s="94" t="s">
        <v>207</v>
      </c>
      <c r="M40" s="94" t="s">
        <v>195</v>
      </c>
      <c r="N40" s="74">
        <v>1</v>
      </c>
      <c r="O40" s="77">
        <v>1.0416666666666667E-3</v>
      </c>
    </row>
    <row r="41" spans="1:15" s="101" customFormat="1" ht="54" customHeight="1" thickTop="1" thickBot="1" x14ac:dyDescent="0.25">
      <c r="A41" s="72"/>
      <c r="B41" s="73" t="s">
        <v>17</v>
      </c>
      <c r="C41" s="74" t="s">
        <v>630</v>
      </c>
      <c r="D41" s="74" t="s">
        <v>219</v>
      </c>
      <c r="E41" s="75" t="s">
        <v>12</v>
      </c>
      <c r="F41" s="75" t="s">
        <v>22</v>
      </c>
      <c r="G41" s="75" t="s">
        <v>220</v>
      </c>
      <c r="H41" s="76">
        <v>45673</v>
      </c>
      <c r="I41" s="94" t="s">
        <v>56</v>
      </c>
      <c r="J41" s="94" t="s">
        <v>128</v>
      </c>
      <c r="K41" s="94">
        <v>0</v>
      </c>
      <c r="L41" s="94" t="s">
        <v>221</v>
      </c>
      <c r="M41" s="94" t="s">
        <v>195</v>
      </c>
      <c r="N41" s="74">
        <v>1</v>
      </c>
      <c r="O41" s="77">
        <v>1.1574074074074073E-4</v>
      </c>
    </row>
    <row r="42" spans="1:15" s="101" customFormat="1" ht="54" customHeight="1" thickTop="1" thickBot="1" x14ac:dyDescent="0.25">
      <c r="A42" s="72"/>
      <c r="B42" s="73" t="s">
        <v>17</v>
      </c>
      <c r="C42" s="74" t="s">
        <v>631</v>
      </c>
      <c r="D42" s="74" t="s">
        <v>223</v>
      </c>
      <c r="E42" s="75" t="s">
        <v>12</v>
      </c>
      <c r="F42" s="75" t="s">
        <v>22</v>
      </c>
      <c r="G42" s="74" t="s">
        <v>224</v>
      </c>
      <c r="H42" s="85">
        <v>45672</v>
      </c>
      <c r="I42" s="94" t="s">
        <v>127</v>
      </c>
      <c r="J42" s="94" t="s">
        <v>128</v>
      </c>
      <c r="K42" s="94">
        <v>0</v>
      </c>
      <c r="L42" s="94" t="s">
        <v>225</v>
      </c>
      <c r="M42" s="94" t="s">
        <v>226</v>
      </c>
      <c r="N42" s="74">
        <v>2</v>
      </c>
      <c r="O42" s="77">
        <v>3.4722222222222224E-4</v>
      </c>
    </row>
    <row r="43" spans="1:15" s="101" customFormat="1" ht="54" customHeight="1" thickTop="1" thickBot="1" x14ac:dyDescent="0.25">
      <c r="A43" s="72"/>
      <c r="B43" s="73" t="s">
        <v>17</v>
      </c>
      <c r="C43" s="74" t="s">
        <v>632</v>
      </c>
      <c r="D43" s="74" t="s">
        <v>232</v>
      </c>
      <c r="E43" s="75" t="s">
        <v>12</v>
      </c>
      <c r="F43" s="75" t="s">
        <v>22</v>
      </c>
      <c r="G43" s="75" t="s">
        <v>233</v>
      </c>
      <c r="H43" s="76">
        <v>45672</v>
      </c>
      <c r="I43" s="94" t="s">
        <v>127</v>
      </c>
      <c r="J43" s="94" t="s">
        <v>128</v>
      </c>
      <c r="K43" s="94">
        <v>0</v>
      </c>
      <c r="L43" s="94" t="s">
        <v>234</v>
      </c>
      <c r="M43" s="94" t="s">
        <v>195</v>
      </c>
      <c r="N43" s="74">
        <v>1</v>
      </c>
      <c r="O43" s="77">
        <v>6.9444444444444447E-4</v>
      </c>
    </row>
    <row r="44" spans="1:15" s="101" customFormat="1" ht="54" customHeight="1" thickTop="1" thickBot="1" x14ac:dyDescent="0.25">
      <c r="A44" s="72"/>
      <c r="B44" s="73" t="s">
        <v>17</v>
      </c>
      <c r="C44" s="74" t="s">
        <v>633</v>
      </c>
      <c r="D44" s="74" t="s">
        <v>634</v>
      </c>
      <c r="E44" s="75" t="s">
        <v>12</v>
      </c>
      <c r="F44" s="75" t="s">
        <v>22</v>
      </c>
      <c r="G44" s="74" t="s">
        <v>224</v>
      </c>
      <c r="H44" s="85">
        <v>45672</v>
      </c>
      <c r="I44" s="94" t="s">
        <v>127</v>
      </c>
      <c r="J44" s="94" t="s">
        <v>128</v>
      </c>
      <c r="K44" s="94">
        <v>0</v>
      </c>
      <c r="L44" s="94" t="s">
        <v>635</v>
      </c>
      <c r="M44" s="94" t="s">
        <v>226</v>
      </c>
      <c r="N44" s="74">
        <v>1</v>
      </c>
      <c r="O44" s="77">
        <v>6.9444444444444447E-4</v>
      </c>
    </row>
    <row r="45" spans="1:15" s="101" customFormat="1" ht="54" customHeight="1" thickTop="1" thickBot="1" x14ac:dyDescent="0.25">
      <c r="A45" s="72"/>
      <c r="B45" s="73" t="s">
        <v>17</v>
      </c>
      <c r="C45" s="74" t="s">
        <v>636</v>
      </c>
      <c r="D45" s="74" t="s">
        <v>246</v>
      </c>
      <c r="E45" s="75" t="s">
        <v>12</v>
      </c>
      <c r="F45" s="75" t="s">
        <v>22</v>
      </c>
      <c r="G45" s="75" t="s">
        <v>703</v>
      </c>
      <c r="H45" s="76">
        <v>45673</v>
      </c>
      <c r="I45" s="94" t="s">
        <v>127</v>
      </c>
      <c r="J45" s="94" t="s">
        <v>128</v>
      </c>
      <c r="K45" s="94">
        <v>0</v>
      </c>
      <c r="L45" s="94" t="s">
        <v>638</v>
      </c>
      <c r="M45" s="94" t="s">
        <v>195</v>
      </c>
      <c r="N45" s="74">
        <v>2</v>
      </c>
      <c r="O45" s="77">
        <v>3.4722222222222224E-4</v>
      </c>
    </row>
    <row r="46" spans="1:15" s="101" customFormat="1" ht="54" customHeight="1" thickTop="1" thickBot="1" x14ac:dyDescent="0.25">
      <c r="A46" s="72"/>
      <c r="B46" s="73" t="s">
        <v>17</v>
      </c>
      <c r="C46" s="74" t="s">
        <v>639</v>
      </c>
      <c r="D46" s="74" t="s">
        <v>252</v>
      </c>
      <c r="E46" s="75" t="s">
        <v>12</v>
      </c>
      <c r="F46" s="75" t="s">
        <v>22</v>
      </c>
      <c r="G46" s="74" t="s">
        <v>253</v>
      </c>
      <c r="H46" s="85">
        <v>45672</v>
      </c>
      <c r="I46" s="94" t="s">
        <v>127</v>
      </c>
      <c r="J46" s="94" t="s">
        <v>128</v>
      </c>
      <c r="K46" s="94">
        <v>0</v>
      </c>
      <c r="L46" s="94" t="s">
        <v>254</v>
      </c>
      <c r="M46" s="94" t="s">
        <v>195</v>
      </c>
      <c r="N46" s="74">
        <v>1</v>
      </c>
      <c r="O46" s="77">
        <v>3.4722222222222224E-4</v>
      </c>
    </row>
    <row r="47" spans="1:15" s="101" customFormat="1" ht="54" customHeight="1" thickTop="1" thickBot="1" x14ac:dyDescent="0.25">
      <c r="A47" s="72"/>
      <c r="B47" s="73" t="s">
        <v>17</v>
      </c>
      <c r="C47" s="74" t="s">
        <v>640</v>
      </c>
      <c r="D47" s="74" t="s">
        <v>256</v>
      </c>
      <c r="E47" s="75" t="s">
        <v>12</v>
      </c>
      <c r="F47" s="75" t="s">
        <v>22</v>
      </c>
      <c r="G47" s="74" t="s">
        <v>257</v>
      </c>
      <c r="H47" s="85">
        <v>45672</v>
      </c>
      <c r="I47" s="94" t="s">
        <v>56</v>
      </c>
      <c r="J47" s="94" t="s">
        <v>128</v>
      </c>
      <c r="K47" s="94">
        <v>0</v>
      </c>
      <c r="L47" s="94" t="s">
        <v>258</v>
      </c>
      <c r="M47" s="94" t="s">
        <v>195</v>
      </c>
      <c r="N47" s="74">
        <v>1</v>
      </c>
      <c r="O47" s="77">
        <v>3.4722222222222224E-4</v>
      </c>
    </row>
    <row r="48" spans="1:15" s="101" customFormat="1" ht="54" customHeight="1" thickTop="1" thickBot="1" x14ac:dyDescent="0.25">
      <c r="A48" s="72"/>
      <c r="B48" s="73" t="s">
        <v>17</v>
      </c>
      <c r="C48" s="74" t="s">
        <v>641</v>
      </c>
      <c r="D48" s="74" t="s">
        <v>642</v>
      </c>
      <c r="E48" s="75" t="s">
        <v>12</v>
      </c>
      <c r="F48" s="75" t="s">
        <v>22</v>
      </c>
      <c r="G48" s="74" t="s">
        <v>261</v>
      </c>
      <c r="H48" s="85">
        <v>45672</v>
      </c>
      <c r="I48" s="94" t="s">
        <v>56</v>
      </c>
      <c r="J48" s="94" t="s">
        <v>128</v>
      </c>
      <c r="K48" s="94">
        <v>0</v>
      </c>
      <c r="L48" s="94" t="s">
        <v>262</v>
      </c>
      <c r="M48" s="94" t="s">
        <v>195</v>
      </c>
      <c r="N48" s="74">
        <v>1</v>
      </c>
      <c r="O48" s="77">
        <v>3.4722222222222224E-4</v>
      </c>
    </row>
    <row r="49" spans="1:15" s="101" customFormat="1" ht="54" customHeight="1" thickTop="1" thickBot="1" x14ac:dyDescent="0.25">
      <c r="A49" s="72"/>
      <c r="B49" s="73" t="s">
        <v>17</v>
      </c>
      <c r="C49" s="74" t="s">
        <v>643</v>
      </c>
      <c r="D49" s="74" t="s">
        <v>496</v>
      </c>
      <c r="E49" s="75" t="s">
        <v>12</v>
      </c>
      <c r="F49" s="75" t="s">
        <v>22</v>
      </c>
      <c r="G49" s="74" t="s">
        <v>202</v>
      </c>
      <c r="H49" s="85">
        <v>45672</v>
      </c>
      <c r="I49" s="94" t="s">
        <v>84</v>
      </c>
      <c r="J49" s="94" t="s">
        <v>128</v>
      </c>
      <c r="K49" s="94">
        <v>0</v>
      </c>
      <c r="L49" s="94" t="s">
        <v>269</v>
      </c>
      <c r="M49" s="94" t="s">
        <v>806</v>
      </c>
      <c r="N49" s="74">
        <v>1</v>
      </c>
      <c r="O49" s="77">
        <v>3.4722222222222224E-4</v>
      </c>
    </row>
    <row r="50" spans="1:15" s="101" customFormat="1" ht="54" customHeight="1" thickTop="1" thickBot="1" x14ac:dyDescent="0.25">
      <c r="A50" s="72"/>
      <c r="B50" s="73" t="s">
        <v>17</v>
      </c>
      <c r="C50" s="74" t="s">
        <v>644</v>
      </c>
      <c r="D50" s="74" t="s">
        <v>271</v>
      </c>
      <c r="E50" s="75" t="s">
        <v>12</v>
      </c>
      <c r="F50" s="75" t="s">
        <v>22</v>
      </c>
      <c r="G50" s="74" t="s">
        <v>202</v>
      </c>
      <c r="H50" s="85">
        <v>45672</v>
      </c>
      <c r="I50" s="94" t="s">
        <v>84</v>
      </c>
      <c r="J50" s="94" t="s">
        <v>128</v>
      </c>
      <c r="K50" s="94">
        <v>0</v>
      </c>
      <c r="L50" s="94" t="s">
        <v>272</v>
      </c>
      <c r="M50" s="94" t="s">
        <v>806</v>
      </c>
      <c r="N50" s="74">
        <v>1</v>
      </c>
      <c r="O50" s="77">
        <v>5.2083333333333333E-4</v>
      </c>
    </row>
    <row r="51" spans="1:15" s="101" customFormat="1" ht="54" customHeight="1" thickTop="1" thickBot="1" x14ac:dyDescent="0.25">
      <c r="A51" s="72"/>
      <c r="B51" s="73" t="s">
        <v>17</v>
      </c>
      <c r="C51" s="74" t="s">
        <v>645</v>
      </c>
      <c r="D51" s="74" t="s">
        <v>646</v>
      </c>
      <c r="E51" s="75" t="s">
        <v>12</v>
      </c>
      <c r="F51" s="75" t="s">
        <v>22</v>
      </c>
      <c r="G51" s="74" t="s">
        <v>202</v>
      </c>
      <c r="H51" s="85">
        <v>45672</v>
      </c>
      <c r="I51" s="94" t="s">
        <v>84</v>
      </c>
      <c r="J51" s="94" t="s">
        <v>128</v>
      </c>
      <c r="K51" s="94">
        <v>0</v>
      </c>
      <c r="L51" s="94" t="s">
        <v>275</v>
      </c>
      <c r="M51" s="94" t="s">
        <v>806</v>
      </c>
      <c r="N51" s="74">
        <v>1</v>
      </c>
      <c r="O51" s="77">
        <v>6.9444444444444447E-4</v>
      </c>
    </row>
    <row r="52" spans="1:15" s="101" customFormat="1" ht="54" customHeight="1" thickTop="1" thickBot="1" x14ac:dyDescent="0.25">
      <c r="A52" s="72"/>
      <c r="B52" s="73" t="s">
        <v>17</v>
      </c>
      <c r="C52" s="74" t="s">
        <v>647</v>
      </c>
      <c r="D52" s="74" t="s">
        <v>277</v>
      </c>
      <c r="E52" s="75" t="s">
        <v>12</v>
      </c>
      <c r="F52" s="75" t="s">
        <v>22</v>
      </c>
      <c r="G52" s="74" t="s">
        <v>704</v>
      </c>
      <c r="H52" s="85">
        <v>45672</v>
      </c>
      <c r="I52" s="94" t="s">
        <v>56</v>
      </c>
      <c r="J52" s="94" t="s">
        <v>128</v>
      </c>
      <c r="K52" s="94">
        <v>0</v>
      </c>
      <c r="L52" s="94" t="s">
        <v>278</v>
      </c>
      <c r="M52" s="94" t="s">
        <v>195</v>
      </c>
      <c r="N52" s="74">
        <v>1</v>
      </c>
      <c r="O52" s="77">
        <v>3.4722222222222224E-4</v>
      </c>
    </row>
    <row r="53" spans="1:15" s="101" customFormat="1" ht="54" customHeight="1" thickTop="1" thickBot="1" x14ac:dyDescent="0.25">
      <c r="A53" s="72"/>
      <c r="B53" s="73" t="s">
        <v>17</v>
      </c>
      <c r="C53" s="74" t="s">
        <v>648</v>
      </c>
      <c r="D53" s="74" t="s">
        <v>280</v>
      </c>
      <c r="E53" s="75" t="s">
        <v>12</v>
      </c>
      <c r="F53" s="75" t="s">
        <v>22</v>
      </c>
      <c r="G53" s="74" t="s">
        <v>705</v>
      </c>
      <c r="H53" s="85">
        <v>45673</v>
      </c>
      <c r="I53" s="94" t="s">
        <v>127</v>
      </c>
      <c r="J53" s="94" t="s">
        <v>128</v>
      </c>
      <c r="K53" s="94">
        <v>0</v>
      </c>
      <c r="L53" s="94" t="s">
        <v>282</v>
      </c>
      <c r="M53" s="94" t="s">
        <v>195</v>
      </c>
      <c r="N53" s="74">
        <v>1</v>
      </c>
      <c r="O53" s="77">
        <v>6.9444444444444447E-4</v>
      </c>
    </row>
    <row r="54" spans="1:15" s="101" customFormat="1" ht="54" customHeight="1" thickTop="1" thickBot="1" x14ac:dyDescent="0.25">
      <c r="A54" s="72"/>
      <c r="B54" s="73" t="s">
        <v>17</v>
      </c>
      <c r="C54" s="74" t="s">
        <v>649</v>
      </c>
      <c r="D54" s="74" t="s">
        <v>284</v>
      </c>
      <c r="E54" s="75" t="s">
        <v>12</v>
      </c>
      <c r="F54" s="75" t="s">
        <v>22</v>
      </c>
      <c r="G54" s="74" t="s">
        <v>705</v>
      </c>
      <c r="H54" s="85">
        <v>45673</v>
      </c>
      <c r="I54" s="94" t="s">
        <v>127</v>
      </c>
      <c r="J54" s="94" t="s">
        <v>128</v>
      </c>
      <c r="K54" s="94">
        <v>0</v>
      </c>
      <c r="L54" s="94" t="s">
        <v>285</v>
      </c>
      <c r="M54" s="94" t="s">
        <v>195</v>
      </c>
      <c r="N54" s="74">
        <v>1</v>
      </c>
      <c r="O54" s="77">
        <v>3.4722222222222224E-4</v>
      </c>
    </row>
    <row r="55" spans="1:15" s="101" customFormat="1" ht="54" customHeight="1" thickTop="1" thickBot="1" x14ac:dyDescent="0.25">
      <c r="A55" s="72"/>
      <c r="B55" s="73" t="s">
        <v>17</v>
      </c>
      <c r="C55" s="74" t="s">
        <v>650</v>
      </c>
      <c r="D55" s="74" t="s">
        <v>287</v>
      </c>
      <c r="E55" s="75" t="s">
        <v>12</v>
      </c>
      <c r="F55" s="75" t="s">
        <v>22</v>
      </c>
      <c r="G55" s="74" t="s">
        <v>705</v>
      </c>
      <c r="H55" s="85">
        <v>45673</v>
      </c>
      <c r="I55" s="94" t="s">
        <v>127</v>
      </c>
      <c r="J55" s="94" t="s">
        <v>128</v>
      </c>
      <c r="K55" s="94">
        <v>0</v>
      </c>
      <c r="L55" s="94" t="s">
        <v>285</v>
      </c>
      <c r="M55" s="94" t="s">
        <v>195</v>
      </c>
      <c r="N55" s="74">
        <v>1</v>
      </c>
      <c r="O55" s="77">
        <v>3.4722222222222224E-4</v>
      </c>
    </row>
    <row r="56" spans="1:15" s="101" customFormat="1" ht="54" customHeight="1" thickTop="1" thickBot="1" x14ac:dyDescent="0.25">
      <c r="A56" s="72"/>
      <c r="B56" s="73" t="s">
        <v>17</v>
      </c>
      <c r="C56" s="74" t="s">
        <v>625</v>
      </c>
      <c r="D56" s="74" t="s">
        <v>706</v>
      </c>
      <c r="E56" s="75" t="s">
        <v>12</v>
      </c>
      <c r="F56" s="75" t="s">
        <v>22</v>
      </c>
      <c r="G56" s="74" t="s">
        <v>202</v>
      </c>
      <c r="H56" s="85">
        <v>45672</v>
      </c>
      <c r="I56" s="94" t="s">
        <v>84</v>
      </c>
      <c r="J56" s="94" t="s">
        <v>128</v>
      </c>
      <c r="K56" s="94">
        <v>0</v>
      </c>
      <c r="L56" s="94" t="s">
        <v>203</v>
      </c>
      <c r="M56" s="94" t="s">
        <v>806</v>
      </c>
      <c r="N56" s="74">
        <v>1</v>
      </c>
      <c r="O56" s="77">
        <v>3.4722222222222224E-4</v>
      </c>
    </row>
    <row r="57" spans="1:15" s="101" customFormat="1" ht="54" customHeight="1" thickTop="1" thickBot="1" x14ac:dyDescent="0.25">
      <c r="A57" s="72"/>
      <c r="B57" s="73" t="s">
        <v>17</v>
      </c>
      <c r="C57" s="74" t="s">
        <v>651</v>
      </c>
      <c r="D57" s="74" t="s">
        <v>652</v>
      </c>
      <c r="E57" s="75" t="s">
        <v>12</v>
      </c>
      <c r="F57" s="75" t="s">
        <v>22</v>
      </c>
      <c r="G57" s="74" t="s">
        <v>707</v>
      </c>
      <c r="H57" s="85">
        <v>45672</v>
      </c>
      <c r="I57" s="94" t="s">
        <v>56</v>
      </c>
      <c r="J57" s="94" t="s">
        <v>128</v>
      </c>
      <c r="K57" s="94">
        <v>0</v>
      </c>
      <c r="L57" s="94" t="s">
        <v>297</v>
      </c>
      <c r="M57" s="94" t="s">
        <v>195</v>
      </c>
      <c r="N57" s="74">
        <v>1</v>
      </c>
      <c r="O57" s="77">
        <v>8.6805555555555551E-4</v>
      </c>
    </row>
    <row r="58" spans="1:15" s="101" customFormat="1" ht="54" customHeight="1" thickTop="1" thickBot="1" x14ac:dyDescent="0.25">
      <c r="A58" s="72"/>
      <c r="B58" s="73" t="s">
        <v>17</v>
      </c>
      <c r="C58" s="74" t="s">
        <v>653</v>
      </c>
      <c r="D58" s="74" t="s">
        <v>299</v>
      </c>
      <c r="E58" s="75" t="s">
        <v>12</v>
      </c>
      <c r="F58" s="75" t="s">
        <v>22</v>
      </c>
      <c r="G58" s="75" t="s">
        <v>233</v>
      </c>
      <c r="H58" s="76">
        <v>45672</v>
      </c>
      <c r="I58" s="94" t="s">
        <v>127</v>
      </c>
      <c r="J58" s="94" t="s">
        <v>128</v>
      </c>
      <c r="K58" s="94">
        <v>0</v>
      </c>
      <c r="L58" s="94" t="s">
        <v>300</v>
      </c>
      <c r="M58" s="94" t="s">
        <v>195</v>
      </c>
      <c r="N58" s="74">
        <v>1</v>
      </c>
      <c r="O58" s="77">
        <v>6.9444444444444447E-4</v>
      </c>
    </row>
    <row r="59" spans="1:15" s="101" customFormat="1" ht="54" customHeight="1" thickTop="1" thickBot="1" x14ac:dyDescent="0.25">
      <c r="A59" s="72"/>
      <c r="B59" s="73" t="s">
        <v>17</v>
      </c>
      <c r="C59" s="74" t="s">
        <v>654</v>
      </c>
      <c r="D59" s="74" t="s">
        <v>306</v>
      </c>
      <c r="E59" s="75" t="s">
        <v>12</v>
      </c>
      <c r="F59" s="75" t="s">
        <v>22</v>
      </c>
      <c r="G59" s="75" t="s">
        <v>233</v>
      </c>
      <c r="H59" s="76">
        <v>45672</v>
      </c>
      <c r="I59" s="94" t="s">
        <v>127</v>
      </c>
      <c r="J59" s="94" t="s">
        <v>128</v>
      </c>
      <c r="K59" s="94">
        <v>0</v>
      </c>
      <c r="L59" s="94" t="s">
        <v>300</v>
      </c>
      <c r="M59" s="94" t="s">
        <v>195</v>
      </c>
      <c r="N59" s="74">
        <v>1</v>
      </c>
      <c r="O59" s="77">
        <v>6.9444444444444447E-4</v>
      </c>
    </row>
    <row r="60" spans="1:15" s="101" customFormat="1" ht="54" customHeight="1" thickTop="1" thickBot="1" x14ac:dyDescent="0.25">
      <c r="B60" s="107" t="s">
        <v>17</v>
      </c>
      <c r="C60" s="100" t="s">
        <v>655</v>
      </c>
      <c r="D60" s="100" t="s">
        <v>656</v>
      </c>
      <c r="E60" s="108" t="s">
        <v>22</v>
      </c>
      <c r="F60" s="108" t="s">
        <v>22</v>
      </c>
      <c r="G60" s="100"/>
      <c r="H60" s="100"/>
      <c r="I60" s="94" t="s">
        <v>127</v>
      </c>
      <c r="J60" s="94" t="s">
        <v>57</v>
      </c>
      <c r="K60" s="94">
        <v>0</v>
      </c>
      <c r="L60" s="94" t="s">
        <v>657</v>
      </c>
      <c r="M60" s="94" t="s">
        <v>804</v>
      </c>
      <c r="N60" s="100">
        <v>1</v>
      </c>
      <c r="O60" s="110">
        <v>6.9444444444444447E-4</v>
      </c>
    </row>
    <row r="61" spans="1:15" s="101" customFormat="1" ht="54" customHeight="1" thickTop="1" thickBot="1" x14ac:dyDescent="0.25">
      <c r="A61" s="72"/>
      <c r="B61" s="73" t="s">
        <v>17</v>
      </c>
      <c r="C61" s="74" t="s">
        <v>658</v>
      </c>
      <c r="D61" s="74" t="s">
        <v>308</v>
      </c>
      <c r="E61" s="75" t="s">
        <v>12</v>
      </c>
      <c r="F61" s="75" t="s">
        <v>22</v>
      </c>
      <c r="G61" s="75" t="s">
        <v>309</v>
      </c>
      <c r="H61" s="76">
        <v>45673</v>
      </c>
      <c r="I61" s="94" t="s">
        <v>127</v>
      </c>
      <c r="J61" s="94" t="s">
        <v>57</v>
      </c>
      <c r="K61" s="94">
        <v>0</v>
      </c>
      <c r="L61" s="94" t="s">
        <v>310</v>
      </c>
      <c r="M61" s="94" t="s">
        <v>117</v>
      </c>
      <c r="N61" s="74">
        <v>1</v>
      </c>
      <c r="O61" s="77">
        <v>1.7361111111111112E-4</v>
      </c>
    </row>
    <row r="62" spans="1:15" s="101" customFormat="1" ht="54" customHeight="1" thickTop="1" thickBot="1" x14ac:dyDescent="0.25">
      <c r="B62" s="107" t="s">
        <v>17</v>
      </c>
      <c r="C62" s="100" t="s">
        <v>659</v>
      </c>
      <c r="D62" s="100" t="s">
        <v>312</v>
      </c>
      <c r="E62" s="108" t="s">
        <v>22</v>
      </c>
      <c r="F62" s="108" t="s">
        <v>22</v>
      </c>
      <c r="G62" s="100"/>
      <c r="H62" s="100"/>
      <c r="I62" s="94" t="s">
        <v>127</v>
      </c>
      <c r="J62" s="94" t="s">
        <v>128</v>
      </c>
      <c r="K62" s="94">
        <v>0</v>
      </c>
      <c r="L62" s="94" t="s">
        <v>313</v>
      </c>
      <c r="M62" s="94" t="s">
        <v>226</v>
      </c>
      <c r="N62" s="100">
        <v>2</v>
      </c>
      <c r="O62" s="110">
        <v>5.2083333333333333E-4</v>
      </c>
    </row>
    <row r="63" spans="1:15" s="101" customFormat="1" ht="54" customHeight="1" thickTop="1" thickBot="1" x14ac:dyDescent="0.25">
      <c r="A63" s="72"/>
      <c r="B63" s="73" t="s">
        <v>17</v>
      </c>
      <c r="C63" s="74" t="s">
        <v>660</v>
      </c>
      <c r="D63" s="74" t="s">
        <v>661</v>
      </c>
      <c r="E63" s="75" t="s">
        <v>12</v>
      </c>
      <c r="F63" s="75" t="s">
        <v>22</v>
      </c>
      <c r="G63" s="75" t="s">
        <v>309</v>
      </c>
      <c r="H63" s="76">
        <v>45673</v>
      </c>
      <c r="I63" s="94" t="s">
        <v>56</v>
      </c>
      <c r="J63" s="94" t="s">
        <v>57</v>
      </c>
      <c r="K63" s="94">
        <v>0</v>
      </c>
      <c r="L63" s="94">
        <v>0</v>
      </c>
      <c r="M63" s="94" t="s">
        <v>117</v>
      </c>
      <c r="N63" s="74">
        <v>3</v>
      </c>
      <c r="O63" s="77">
        <v>5.2083333333333333E-4</v>
      </c>
    </row>
    <row r="64" spans="1:15" s="101" customFormat="1" ht="54" customHeight="1" thickTop="1" thickBot="1" x14ac:dyDescent="0.25">
      <c r="A64" s="72"/>
      <c r="B64" s="78" t="s">
        <v>17</v>
      </c>
      <c r="C64" s="79" t="s">
        <v>662</v>
      </c>
      <c r="D64" s="79" t="s">
        <v>317</v>
      </c>
      <c r="E64" s="82" t="s">
        <v>12</v>
      </c>
      <c r="F64" s="82" t="s">
        <v>22</v>
      </c>
      <c r="G64" s="82" t="s">
        <v>318</v>
      </c>
      <c r="H64" s="99">
        <v>45671</v>
      </c>
      <c r="I64" s="94" t="s">
        <v>56</v>
      </c>
      <c r="J64" s="94" t="s">
        <v>57</v>
      </c>
      <c r="K64" s="94">
        <v>0</v>
      </c>
      <c r="L64" s="94">
        <v>0</v>
      </c>
      <c r="M64" s="94" t="s">
        <v>117</v>
      </c>
      <c r="N64" s="79">
        <v>4</v>
      </c>
      <c r="O64" s="83">
        <v>5.2083333333333333E-4</v>
      </c>
    </row>
    <row r="65" spans="1:15" s="101" customFormat="1" ht="54" customHeight="1" thickTop="1" thickBot="1" x14ac:dyDescent="0.25">
      <c r="B65" s="102" t="s">
        <v>21</v>
      </c>
      <c r="C65" s="103" t="s">
        <v>708</v>
      </c>
      <c r="D65" s="103" t="s">
        <v>709</v>
      </c>
      <c r="E65" s="104" t="s">
        <v>22</v>
      </c>
      <c r="F65" s="104" t="s">
        <v>22</v>
      </c>
      <c r="G65" s="103"/>
      <c r="H65" s="103"/>
      <c r="I65" s="94" t="s">
        <v>56</v>
      </c>
      <c r="J65" s="94" t="s">
        <v>128</v>
      </c>
      <c r="K65" s="94">
        <v>0</v>
      </c>
      <c r="L65" s="94" t="s">
        <v>665</v>
      </c>
      <c r="M65" s="94" t="s">
        <v>322</v>
      </c>
      <c r="N65" s="103">
        <v>4</v>
      </c>
      <c r="O65" s="106">
        <v>4.1666666666666666E-3</v>
      </c>
    </row>
    <row r="66" spans="1:15" s="101" customFormat="1" ht="54" customHeight="1" thickTop="1" thickBot="1" x14ac:dyDescent="0.25">
      <c r="B66" s="107" t="s">
        <v>21</v>
      </c>
      <c r="C66" s="100" t="s">
        <v>666</v>
      </c>
      <c r="D66" s="100" t="s">
        <v>667</v>
      </c>
      <c r="E66" s="108" t="s">
        <v>22</v>
      </c>
      <c r="F66" s="108" t="s">
        <v>22</v>
      </c>
      <c r="G66" s="100"/>
      <c r="H66" s="100"/>
      <c r="I66" s="94" t="s">
        <v>56</v>
      </c>
      <c r="J66" s="94" t="s">
        <v>128</v>
      </c>
      <c r="K66" s="94">
        <v>0</v>
      </c>
      <c r="L66" s="94" t="s">
        <v>324</v>
      </c>
      <c r="M66" s="94" t="s">
        <v>322</v>
      </c>
      <c r="N66" s="100">
        <v>4</v>
      </c>
      <c r="O66" s="110">
        <v>1.3888888888888889E-3</v>
      </c>
    </row>
    <row r="67" spans="1:15" s="101" customFormat="1" ht="54" customHeight="1" thickTop="1" thickBot="1" x14ac:dyDescent="0.25">
      <c r="B67" s="107" t="s">
        <v>21</v>
      </c>
      <c r="C67" s="100" t="s">
        <v>668</v>
      </c>
      <c r="D67" s="100" t="s">
        <v>326</v>
      </c>
      <c r="E67" s="108" t="s">
        <v>22</v>
      </c>
      <c r="F67" s="108" t="s">
        <v>22</v>
      </c>
      <c r="G67" s="100"/>
      <c r="H67" s="100"/>
      <c r="I67" s="94" t="s">
        <v>127</v>
      </c>
      <c r="J67" s="94" t="s">
        <v>128</v>
      </c>
      <c r="K67" s="94">
        <v>0</v>
      </c>
      <c r="L67" s="94" t="s">
        <v>669</v>
      </c>
      <c r="M67" s="94" t="s">
        <v>328</v>
      </c>
      <c r="N67" s="100">
        <v>2</v>
      </c>
      <c r="O67" s="110">
        <v>2.0833333333333333E-3</v>
      </c>
    </row>
    <row r="68" spans="1:15" s="101" customFormat="1" ht="54" customHeight="1" thickTop="1" thickBot="1" x14ac:dyDescent="0.25">
      <c r="B68" s="107" t="s">
        <v>21</v>
      </c>
      <c r="C68" s="100" t="s">
        <v>670</v>
      </c>
      <c r="D68" s="100" t="s">
        <v>330</v>
      </c>
      <c r="E68" s="108" t="s">
        <v>22</v>
      </c>
      <c r="F68" s="108" t="s">
        <v>22</v>
      </c>
      <c r="G68" s="100"/>
      <c r="H68" s="100"/>
      <c r="I68" s="94" t="s">
        <v>127</v>
      </c>
      <c r="J68" s="94" t="s">
        <v>128</v>
      </c>
      <c r="K68" s="94">
        <v>0</v>
      </c>
      <c r="L68" s="94" t="s">
        <v>331</v>
      </c>
      <c r="M68" s="94" t="s">
        <v>328</v>
      </c>
      <c r="N68" s="100">
        <v>2</v>
      </c>
      <c r="O68" s="110">
        <v>2.0833333333333333E-3</v>
      </c>
    </row>
    <row r="69" spans="1:15" s="101" customFormat="1" ht="54" customHeight="1" thickTop="1" thickBot="1" x14ac:dyDescent="0.25">
      <c r="A69" s="72"/>
      <c r="B69" s="73" t="s">
        <v>21</v>
      </c>
      <c r="C69" s="74" t="s">
        <v>671</v>
      </c>
      <c r="D69" s="74" t="s">
        <v>333</v>
      </c>
      <c r="E69" s="75" t="s">
        <v>12</v>
      </c>
      <c r="F69" s="75" t="s">
        <v>22</v>
      </c>
      <c r="G69" s="75" t="s">
        <v>309</v>
      </c>
      <c r="H69" s="76">
        <v>45673</v>
      </c>
      <c r="I69" s="94" t="s">
        <v>127</v>
      </c>
      <c r="J69" s="94" t="s">
        <v>57</v>
      </c>
      <c r="K69" s="94">
        <v>0</v>
      </c>
      <c r="L69" s="94" t="s">
        <v>334</v>
      </c>
      <c r="M69" s="94" t="s">
        <v>117</v>
      </c>
      <c r="N69" s="74">
        <v>2</v>
      </c>
      <c r="O69" s="77">
        <v>6.9444444444444447E-4</v>
      </c>
    </row>
    <row r="70" spans="1:15" s="101" customFormat="1" ht="54" customHeight="1" thickTop="1" thickBot="1" x14ac:dyDescent="0.25">
      <c r="B70" s="107" t="s">
        <v>21</v>
      </c>
      <c r="C70" s="100" t="s">
        <v>672</v>
      </c>
      <c r="D70" s="100" t="s">
        <v>346</v>
      </c>
      <c r="E70" s="108" t="s">
        <v>22</v>
      </c>
      <c r="F70" s="108" t="s">
        <v>22</v>
      </c>
      <c r="G70" s="100"/>
      <c r="H70" s="100"/>
      <c r="I70" s="94" t="s">
        <v>127</v>
      </c>
      <c r="J70" s="94" t="s">
        <v>128</v>
      </c>
      <c r="K70" s="94">
        <v>0</v>
      </c>
      <c r="L70" s="94" t="s">
        <v>347</v>
      </c>
      <c r="M70" s="94" t="s">
        <v>195</v>
      </c>
      <c r="N70" s="100">
        <v>2</v>
      </c>
      <c r="O70" s="110">
        <v>1.736111111111111E-3</v>
      </c>
    </row>
    <row r="71" spans="1:15" s="101" customFormat="1" ht="54" customHeight="1" thickTop="1" thickBot="1" x14ac:dyDescent="0.25">
      <c r="B71" s="107" t="s">
        <v>21</v>
      </c>
      <c r="C71" s="100" t="s">
        <v>673</v>
      </c>
      <c r="D71" s="100" t="s">
        <v>674</v>
      </c>
      <c r="E71" s="108" t="s">
        <v>22</v>
      </c>
      <c r="F71" s="108" t="s">
        <v>22</v>
      </c>
      <c r="G71" s="100"/>
      <c r="H71" s="100"/>
      <c r="I71" s="94" t="s">
        <v>56</v>
      </c>
      <c r="J71" s="94" t="s">
        <v>128</v>
      </c>
      <c r="K71" s="94">
        <v>0</v>
      </c>
      <c r="L71" s="94" t="s">
        <v>353</v>
      </c>
      <c r="M71" s="94" t="s">
        <v>154</v>
      </c>
      <c r="N71" s="100">
        <v>1</v>
      </c>
      <c r="O71" s="110">
        <v>9.2592592592592585E-4</v>
      </c>
    </row>
    <row r="72" spans="1:15" s="101" customFormat="1" ht="54" customHeight="1" thickTop="1" thickBot="1" x14ac:dyDescent="0.25">
      <c r="B72" s="107" t="s">
        <v>21</v>
      </c>
      <c r="C72" s="100" t="s">
        <v>675</v>
      </c>
      <c r="D72" s="100" t="s">
        <v>676</v>
      </c>
      <c r="E72" s="108" t="s">
        <v>22</v>
      </c>
      <c r="F72" s="108" t="s">
        <v>22</v>
      </c>
      <c r="G72" s="100"/>
      <c r="H72" s="100"/>
      <c r="I72" s="94" t="s">
        <v>127</v>
      </c>
      <c r="J72" s="94" t="s">
        <v>128</v>
      </c>
      <c r="K72" s="94">
        <v>0</v>
      </c>
      <c r="L72" s="94" t="s">
        <v>350</v>
      </c>
      <c r="M72" s="94" t="s">
        <v>154</v>
      </c>
      <c r="N72" s="100">
        <v>2</v>
      </c>
      <c r="O72" s="110">
        <v>9.2592592592592585E-4</v>
      </c>
    </row>
    <row r="73" spans="1:15" s="101" customFormat="1" ht="54" customHeight="1" thickTop="1" thickBot="1" x14ac:dyDescent="0.25">
      <c r="B73" s="107" t="s">
        <v>21</v>
      </c>
      <c r="C73" s="100" t="s">
        <v>677</v>
      </c>
      <c r="D73" s="100" t="s">
        <v>355</v>
      </c>
      <c r="E73" s="108" t="s">
        <v>22</v>
      </c>
      <c r="F73" s="108" t="s">
        <v>22</v>
      </c>
      <c r="G73" s="108"/>
      <c r="H73" s="111"/>
      <c r="I73" s="94" t="s">
        <v>56</v>
      </c>
      <c r="J73" s="94" t="s">
        <v>57</v>
      </c>
      <c r="K73" s="94">
        <v>0</v>
      </c>
      <c r="L73" s="94" t="s">
        <v>356</v>
      </c>
      <c r="M73" s="94" t="s">
        <v>338</v>
      </c>
      <c r="N73" s="100">
        <v>1</v>
      </c>
      <c r="O73" s="110">
        <v>1.1574074074074073E-4</v>
      </c>
    </row>
    <row r="74" spans="1:15" s="101" customFormat="1" ht="54" customHeight="1" thickTop="1" thickBot="1" x14ac:dyDescent="0.25">
      <c r="B74" s="107" t="s">
        <v>21</v>
      </c>
      <c r="C74" s="100" t="s">
        <v>678</v>
      </c>
      <c r="D74" s="100" t="s">
        <v>358</v>
      </c>
      <c r="E74" s="108" t="s">
        <v>22</v>
      </c>
      <c r="F74" s="108" t="s">
        <v>22</v>
      </c>
      <c r="G74" s="100"/>
      <c r="H74" s="100"/>
      <c r="I74" s="94" t="s">
        <v>56</v>
      </c>
      <c r="J74" s="94" t="s">
        <v>57</v>
      </c>
      <c r="K74" s="94">
        <v>0</v>
      </c>
      <c r="L74" s="94" t="s">
        <v>359</v>
      </c>
      <c r="M74" s="94" t="s">
        <v>804</v>
      </c>
      <c r="N74" s="100">
        <v>1</v>
      </c>
      <c r="O74" s="110">
        <v>6.9444444444444447E-4</v>
      </c>
    </row>
    <row r="75" spans="1:15" s="101" customFormat="1" ht="54" customHeight="1" thickTop="1" thickBot="1" x14ac:dyDescent="0.25">
      <c r="B75" s="107" t="s">
        <v>21</v>
      </c>
      <c r="C75" s="100" t="s">
        <v>679</v>
      </c>
      <c r="D75" s="134" t="s">
        <v>797</v>
      </c>
      <c r="E75" s="108" t="s">
        <v>22</v>
      </c>
      <c r="F75" s="108" t="s">
        <v>22</v>
      </c>
      <c r="G75" s="100"/>
      <c r="H75" s="100"/>
      <c r="I75" s="94" t="s">
        <v>56</v>
      </c>
      <c r="J75" s="94" t="s">
        <v>57</v>
      </c>
      <c r="K75" s="94">
        <v>0</v>
      </c>
      <c r="L75" s="94" t="s">
        <v>377</v>
      </c>
      <c r="M75" s="94" t="s">
        <v>117</v>
      </c>
      <c r="N75" s="100">
        <v>2</v>
      </c>
      <c r="O75" s="110">
        <v>3.4722222222222224E-4</v>
      </c>
    </row>
    <row r="76" spans="1:15" s="101" customFormat="1" ht="54" customHeight="1" thickTop="1" thickBot="1" x14ac:dyDescent="0.25">
      <c r="B76" s="107" t="s">
        <v>21</v>
      </c>
      <c r="C76" s="100" t="s">
        <v>680</v>
      </c>
      <c r="D76" s="100" t="s">
        <v>681</v>
      </c>
      <c r="E76" s="108" t="s">
        <v>22</v>
      </c>
      <c r="F76" s="108" t="s">
        <v>22</v>
      </c>
      <c r="G76" s="100"/>
      <c r="H76" s="100"/>
      <c r="I76" s="94" t="s">
        <v>56</v>
      </c>
      <c r="J76" s="94" t="s">
        <v>57</v>
      </c>
      <c r="K76" s="94">
        <v>0</v>
      </c>
      <c r="L76" s="94" t="s">
        <v>380</v>
      </c>
      <c r="M76" s="94" t="s">
        <v>117</v>
      </c>
      <c r="N76" s="100">
        <v>2</v>
      </c>
      <c r="O76" s="110">
        <v>6.9444444444444447E-4</v>
      </c>
    </row>
    <row r="77" spans="1:15" s="101" customFormat="1" ht="54" customHeight="1" thickTop="1" thickBot="1" x14ac:dyDescent="0.25">
      <c r="B77" s="107" t="s">
        <v>21</v>
      </c>
      <c r="C77" s="100" t="s">
        <v>682</v>
      </c>
      <c r="D77" s="100" t="s">
        <v>394</v>
      </c>
      <c r="E77" s="108" t="s">
        <v>22</v>
      </c>
      <c r="F77" s="108" t="s">
        <v>22</v>
      </c>
      <c r="G77" s="100"/>
      <c r="H77" s="100"/>
      <c r="I77" s="94" t="s">
        <v>56</v>
      </c>
      <c r="J77" s="94" t="s">
        <v>128</v>
      </c>
      <c r="K77" s="94">
        <v>0</v>
      </c>
      <c r="L77" s="94" t="s">
        <v>683</v>
      </c>
      <c r="M77" s="94" t="s">
        <v>101</v>
      </c>
      <c r="N77" s="100">
        <v>2</v>
      </c>
      <c r="O77" s="110">
        <v>1.3888888888888889E-3</v>
      </c>
    </row>
    <row r="78" spans="1:15" s="101" customFormat="1" ht="54" customHeight="1" thickTop="1" thickBot="1" x14ac:dyDescent="0.25">
      <c r="A78" s="72"/>
      <c r="B78" s="73" t="s">
        <v>21</v>
      </c>
      <c r="C78" s="74" t="s">
        <v>684</v>
      </c>
      <c r="D78" s="74" t="s">
        <v>685</v>
      </c>
      <c r="E78" s="75" t="s">
        <v>12</v>
      </c>
      <c r="F78" s="75" t="s">
        <v>22</v>
      </c>
      <c r="G78" s="75" t="s">
        <v>374</v>
      </c>
      <c r="H78" s="76">
        <v>45674</v>
      </c>
      <c r="I78" s="94" t="s">
        <v>56</v>
      </c>
      <c r="J78" s="94" t="s">
        <v>57</v>
      </c>
      <c r="K78" s="94">
        <v>0</v>
      </c>
      <c r="L78" s="94" t="s">
        <v>375</v>
      </c>
      <c r="M78" s="94" t="s">
        <v>117</v>
      </c>
      <c r="N78" s="74">
        <v>1</v>
      </c>
      <c r="O78" s="77">
        <v>6.9444444444444447E-4</v>
      </c>
    </row>
    <row r="79" spans="1:15" s="101" customFormat="1" ht="54" customHeight="1" thickTop="1" thickBot="1" x14ac:dyDescent="0.25">
      <c r="B79" s="107" t="s">
        <v>21</v>
      </c>
      <c r="C79" s="100" t="s">
        <v>686</v>
      </c>
      <c r="D79" s="100" t="s">
        <v>385</v>
      </c>
      <c r="E79" s="108" t="s">
        <v>22</v>
      </c>
      <c r="F79" s="108" t="s">
        <v>22</v>
      </c>
      <c r="G79" s="100"/>
      <c r="H79" s="100"/>
      <c r="I79" s="94" t="s">
        <v>84</v>
      </c>
      <c r="J79" s="94" t="s">
        <v>57</v>
      </c>
      <c r="K79" s="94">
        <v>0</v>
      </c>
      <c r="L79" s="94" t="s">
        <v>386</v>
      </c>
      <c r="M79" s="94" t="s">
        <v>101</v>
      </c>
      <c r="N79" s="100">
        <v>4</v>
      </c>
      <c r="O79" s="110">
        <v>2.0833333333333333E-3</v>
      </c>
    </row>
    <row r="80" spans="1:15" s="101" customFormat="1" ht="54" customHeight="1" thickTop="1" thickBot="1" x14ac:dyDescent="0.25">
      <c r="B80" s="112" t="s">
        <v>21</v>
      </c>
      <c r="C80" s="113" t="s">
        <v>687</v>
      </c>
      <c r="D80" s="113" t="s">
        <v>396</v>
      </c>
      <c r="E80" s="114" t="s">
        <v>22</v>
      </c>
      <c r="F80" s="114" t="s">
        <v>22</v>
      </c>
      <c r="G80" s="113"/>
      <c r="H80" s="113"/>
      <c r="I80" s="94" t="s">
        <v>84</v>
      </c>
      <c r="J80" s="94" t="s">
        <v>57</v>
      </c>
      <c r="K80" s="94">
        <v>0</v>
      </c>
      <c r="L80" s="94" t="s">
        <v>397</v>
      </c>
      <c r="M80" s="94" t="s">
        <v>101</v>
      </c>
      <c r="N80" s="113">
        <v>2</v>
      </c>
      <c r="O80" s="115">
        <v>6.9444444444444447E-4</v>
      </c>
    </row>
    <row r="81" spans="2:15" s="101" customFormat="1" ht="54" customHeight="1" thickTop="1" thickBot="1" x14ac:dyDescent="0.25">
      <c r="B81" s="102" t="s">
        <v>25</v>
      </c>
      <c r="C81" s="103" t="s">
        <v>688</v>
      </c>
      <c r="D81" s="103" t="s">
        <v>414</v>
      </c>
      <c r="E81" s="104" t="s">
        <v>22</v>
      </c>
      <c r="F81" s="104" t="s">
        <v>22</v>
      </c>
      <c r="G81" s="103"/>
      <c r="H81" s="103"/>
      <c r="I81" s="94" t="s">
        <v>127</v>
      </c>
      <c r="J81" s="94" t="s">
        <v>57</v>
      </c>
      <c r="K81" s="94">
        <v>0</v>
      </c>
      <c r="L81" s="94" t="s">
        <v>415</v>
      </c>
      <c r="M81" s="94" t="s">
        <v>101</v>
      </c>
      <c r="N81" s="103">
        <v>1</v>
      </c>
      <c r="O81" s="106">
        <v>3.4722222222222224E-4</v>
      </c>
    </row>
    <row r="82" spans="2:15" s="101" customFormat="1" ht="54" customHeight="1" thickTop="1" thickBot="1" x14ac:dyDescent="0.25">
      <c r="B82" s="107" t="s">
        <v>25</v>
      </c>
      <c r="C82" s="100" t="s">
        <v>689</v>
      </c>
      <c r="D82" s="100" t="s">
        <v>408</v>
      </c>
      <c r="E82" s="108" t="s">
        <v>22</v>
      </c>
      <c r="F82" s="108" t="s">
        <v>22</v>
      </c>
      <c r="G82" s="100"/>
      <c r="H82" s="100"/>
      <c r="I82" s="94" t="s">
        <v>127</v>
      </c>
      <c r="J82" s="94" t="s">
        <v>57</v>
      </c>
      <c r="K82" s="94">
        <v>0</v>
      </c>
      <c r="L82" s="94" t="s">
        <v>409</v>
      </c>
      <c r="M82" s="94" t="s">
        <v>101</v>
      </c>
      <c r="N82" s="100">
        <v>1</v>
      </c>
      <c r="O82" s="110">
        <v>6.9444444444444447E-4</v>
      </c>
    </row>
    <row r="83" spans="2:15" s="101" customFormat="1" ht="54" customHeight="1" thickTop="1" thickBot="1" x14ac:dyDescent="0.25">
      <c r="B83" s="107" t="s">
        <v>25</v>
      </c>
      <c r="C83" s="100" t="s">
        <v>690</v>
      </c>
      <c r="D83" s="100" t="s">
        <v>405</v>
      </c>
      <c r="E83" s="108" t="s">
        <v>22</v>
      </c>
      <c r="F83" s="108" t="s">
        <v>22</v>
      </c>
      <c r="G83" s="100"/>
      <c r="H83" s="100"/>
      <c r="I83" s="94" t="s">
        <v>127</v>
      </c>
      <c r="J83" s="94" t="s">
        <v>57</v>
      </c>
      <c r="K83" s="94">
        <v>0</v>
      </c>
      <c r="L83" s="94" t="s">
        <v>406</v>
      </c>
      <c r="M83" s="94" t="s">
        <v>226</v>
      </c>
      <c r="N83" s="100">
        <v>1</v>
      </c>
      <c r="O83" s="110">
        <v>6.9444444444444447E-4</v>
      </c>
    </row>
    <row r="84" spans="2:15" s="101" customFormat="1" ht="54" customHeight="1" thickTop="1" thickBot="1" x14ac:dyDescent="0.25">
      <c r="B84" s="107" t="s">
        <v>25</v>
      </c>
      <c r="C84" s="100" t="s">
        <v>691</v>
      </c>
      <c r="D84" s="100" t="s">
        <v>692</v>
      </c>
      <c r="E84" s="108" t="s">
        <v>22</v>
      </c>
      <c r="F84" s="108" t="s">
        <v>22</v>
      </c>
      <c r="G84" s="100"/>
      <c r="H84" s="100"/>
      <c r="I84" s="94" t="s">
        <v>127</v>
      </c>
      <c r="J84" s="94" t="s">
        <v>57</v>
      </c>
      <c r="K84" s="94">
        <v>0</v>
      </c>
      <c r="L84" s="94" t="s">
        <v>418</v>
      </c>
      <c r="M84" s="94" t="s">
        <v>226</v>
      </c>
      <c r="N84" s="100">
        <v>1</v>
      </c>
      <c r="O84" s="110">
        <v>0</v>
      </c>
    </row>
    <row r="85" spans="2:15" s="101" customFormat="1" ht="54" customHeight="1" thickTop="1" thickBot="1" x14ac:dyDescent="0.25">
      <c r="B85" s="107" t="s">
        <v>25</v>
      </c>
      <c r="C85" s="100" t="s">
        <v>693</v>
      </c>
      <c r="D85" s="100" t="s">
        <v>420</v>
      </c>
      <c r="E85" s="108" t="s">
        <v>22</v>
      </c>
      <c r="F85" s="108" t="s">
        <v>22</v>
      </c>
      <c r="G85" s="100"/>
      <c r="H85" s="100"/>
      <c r="I85" s="94" t="s">
        <v>127</v>
      </c>
      <c r="J85" s="94" t="s">
        <v>57</v>
      </c>
      <c r="K85" s="94">
        <v>0</v>
      </c>
      <c r="L85" s="94" t="s">
        <v>421</v>
      </c>
      <c r="M85" s="94" t="s">
        <v>226</v>
      </c>
      <c r="N85" s="100">
        <v>2</v>
      </c>
      <c r="O85" s="110">
        <v>1.0416666666666667E-3</v>
      </c>
    </row>
    <row r="86" spans="2:15" s="101" customFormat="1" ht="54" customHeight="1" thickTop="1" thickBot="1" x14ac:dyDescent="0.25">
      <c r="B86" s="107" t="s">
        <v>25</v>
      </c>
      <c r="C86" s="100" t="s">
        <v>694</v>
      </c>
      <c r="D86" s="100" t="s">
        <v>695</v>
      </c>
      <c r="E86" s="108" t="s">
        <v>22</v>
      </c>
      <c r="F86" s="108" t="s">
        <v>22</v>
      </c>
      <c r="G86" s="100"/>
      <c r="H86" s="100"/>
      <c r="I86" s="94" t="s">
        <v>56</v>
      </c>
      <c r="J86" s="94" t="s">
        <v>57</v>
      </c>
      <c r="K86" s="94">
        <v>0</v>
      </c>
      <c r="L86" s="94" t="s">
        <v>368</v>
      </c>
      <c r="M86" s="94" t="s">
        <v>800</v>
      </c>
      <c r="N86" s="100">
        <v>2</v>
      </c>
      <c r="O86" s="110">
        <v>5.2083333333333333E-4</v>
      </c>
    </row>
    <row r="87" spans="2:15" s="101" customFormat="1" ht="54" customHeight="1" thickTop="1" thickBot="1" x14ac:dyDescent="0.25">
      <c r="B87" s="112" t="s">
        <v>25</v>
      </c>
      <c r="C87" s="113" t="s">
        <v>696</v>
      </c>
      <c r="D87" s="113" t="s">
        <v>429</v>
      </c>
      <c r="E87" s="114" t="s">
        <v>22</v>
      </c>
      <c r="F87" s="114" t="s">
        <v>22</v>
      </c>
      <c r="G87" s="113"/>
      <c r="H87" s="113"/>
      <c r="I87" s="94" t="s">
        <v>84</v>
      </c>
      <c r="J87" s="94" t="s">
        <v>57</v>
      </c>
      <c r="K87" s="94">
        <v>0</v>
      </c>
      <c r="L87" s="94" t="s">
        <v>430</v>
      </c>
      <c r="M87" s="94" t="s">
        <v>801</v>
      </c>
      <c r="N87" s="113">
        <v>2</v>
      </c>
      <c r="O87" s="115">
        <v>6.9444444444444447E-4</v>
      </c>
    </row>
    <row r="88" spans="2:15" s="101" customFormat="1" ht="66" customHeight="1" thickTop="1" thickBot="1" x14ac:dyDescent="0.25">
      <c r="B88" s="120" t="s">
        <v>697</v>
      </c>
      <c r="C88" s="121" t="s">
        <v>698</v>
      </c>
      <c r="D88" s="121" t="s">
        <v>441</v>
      </c>
      <c r="E88" s="122" t="s">
        <v>22</v>
      </c>
      <c r="F88" s="122"/>
      <c r="G88" s="122"/>
      <c r="H88" s="130"/>
      <c r="I88" s="94" t="s">
        <v>84</v>
      </c>
      <c r="J88" s="94" t="s">
        <v>128</v>
      </c>
      <c r="K88" s="94">
        <v>0</v>
      </c>
      <c r="L88" s="94" t="s">
        <v>710</v>
      </c>
      <c r="M88" s="94" t="s">
        <v>798</v>
      </c>
      <c r="N88" s="122">
        <v>2</v>
      </c>
      <c r="O88" s="129">
        <v>2.0013888888888891</v>
      </c>
    </row>
    <row r="89" spans="2:15" s="101" customFormat="1" ht="15.75" thickTop="1" x14ac:dyDescent="0.2">
      <c r="B89" s="127"/>
      <c r="C89" s="127"/>
      <c r="D89" s="127"/>
      <c r="E89" s="127"/>
      <c r="F89" s="127"/>
      <c r="G89" s="127"/>
      <c r="H89" s="127"/>
      <c r="I89" s="127"/>
      <c r="J89" s="127"/>
      <c r="K89" s="127"/>
      <c r="L89" s="127"/>
      <c r="M89" s="128"/>
      <c r="N89" s="128"/>
      <c r="O89" s="128"/>
    </row>
    <row r="90" spans="2:15" s="101" customFormat="1" x14ac:dyDescent="0.2">
      <c r="B90" s="127"/>
      <c r="C90" s="127"/>
      <c r="D90" s="127"/>
      <c r="E90" s="127"/>
      <c r="F90" s="127"/>
      <c r="G90" s="127"/>
      <c r="H90" s="127"/>
      <c r="I90" s="127"/>
      <c r="J90" s="127"/>
      <c r="K90" s="127"/>
      <c r="L90" s="127"/>
      <c r="M90" s="128"/>
      <c r="N90" s="128"/>
      <c r="O90" s="128"/>
    </row>
    <row r="91" spans="2:15" s="101" customFormat="1" x14ac:dyDescent="0.2">
      <c r="B91" s="127"/>
      <c r="C91" s="127"/>
      <c r="D91" s="127"/>
      <c r="E91" s="127"/>
      <c r="F91" s="127"/>
      <c r="G91" s="127"/>
      <c r="H91" s="127"/>
      <c r="I91" s="127"/>
      <c r="J91" s="127"/>
      <c r="K91" s="127"/>
      <c r="L91" s="127"/>
      <c r="M91" s="128"/>
      <c r="N91" s="128"/>
      <c r="O91" s="128"/>
    </row>
    <row r="92" spans="2:15" s="101" customFormat="1" x14ac:dyDescent="0.2">
      <c r="B92" s="127"/>
      <c r="C92" s="127"/>
      <c r="D92" s="127"/>
      <c r="E92" s="127"/>
      <c r="F92" s="127"/>
      <c r="G92" s="127"/>
      <c r="H92" s="127"/>
      <c r="I92" s="127"/>
      <c r="J92" s="127"/>
      <c r="K92" s="127"/>
      <c r="L92" s="127"/>
      <c r="M92" s="128"/>
      <c r="N92" s="128"/>
      <c r="O92" s="128"/>
    </row>
    <row r="93" spans="2:15" s="101" customFormat="1" x14ac:dyDescent="0.2">
      <c r="B93" s="127"/>
      <c r="C93" s="127"/>
      <c r="D93" s="127"/>
      <c r="E93" s="127"/>
      <c r="F93" s="127"/>
      <c r="G93" s="127"/>
      <c r="H93" s="127"/>
      <c r="I93" s="127"/>
      <c r="J93" s="127"/>
      <c r="K93" s="127"/>
      <c r="L93" s="127"/>
      <c r="M93" s="128"/>
      <c r="N93" s="128"/>
      <c r="O93" s="128"/>
    </row>
    <row r="94" spans="2:15" s="101" customFormat="1" x14ac:dyDescent="0.2">
      <c r="B94" s="127"/>
      <c r="C94" s="127"/>
      <c r="D94" s="127"/>
      <c r="E94" s="127"/>
      <c r="F94" s="127"/>
      <c r="G94" s="127"/>
      <c r="H94" s="127"/>
      <c r="I94" s="127"/>
      <c r="J94" s="127"/>
      <c r="K94" s="127"/>
      <c r="L94" s="127"/>
      <c r="M94" s="128"/>
      <c r="N94" s="128"/>
      <c r="O94" s="128"/>
    </row>
    <row r="95" spans="2:15" s="101" customFormat="1" x14ac:dyDescent="0.2">
      <c r="B95" s="127"/>
      <c r="C95" s="127"/>
      <c r="D95" s="127"/>
      <c r="E95" s="127"/>
      <c r="F95" s="127"/>
      <c r="G95" s="127"/>
      <c r="H95" s="127"/>
      <c r="I95" s="127"/>
      <c r="J95" s="127"/>
      <c r="K95" s="127"/>
      <c r="L95" s="127"/>
      <c r="M95" s="128"/>
      <c r="N95" s="128"/>
      <c r="O95" s="128"/>
    </row>
    <row r="96" spans="2:15" s="101" customFormat="1" x14ac:dyDescent="0.2">
      <c r="B96" s="127"/>
      <c r="C96" s="127"/>
      <c r="D96" s="127"/>
      <c r="E96" s="127"/>
      <c r="F96" s="127"/>
      <c r="G96" s="127"/>
      <c r="H96" s="127"/>
      <c r="I96" s="127"/>
      <c r="J96" s="127"/>
      <c r="K96" s="127"/>
      <c r="L96" s="127"/>
      <c r="M96" s="128"/>
      <c r="N96" s="128"/>
      <c r="O96" s="128"/>
    </row>
    <row r="97" spans="2:15" s="101" customFormat="1" x14ac:dyDescent="0.2">
      <c r="B97" s="127"/>
      <c r="C97" s="127"/>
      <c r="D97" s="127"/>
      <c r="E97" s="127"/>
      <c r="F97" s="127"/>
      <c r="G97" s="127"/>
      <c r="H97" s="127"/>
      <c r="I97" s="127"/>
      <c r="J97" s="127"/>
      <c r="K97" s="127"/>
      <c r="L97" s="127"/>
      <c r="M97" s="128"/>
      <c r="N97" s="128"/>
      <c r="O97" s="128"/>
    </row>
    <row r="98" spans="2:15" s="101" customFormat="1" x14ac:dyDescent="0.2">
      <c r="B98" s="127"/>
      <c r="C98" s="127"/>
      <c r="D98" s="127"/>
      <c r="E98" s="127"/>
      <c r="F98" s="127"/>
      <c r="G98" s="127"/>
      <c r="H98" s="127"/>
      <c r="I98" s="127"/>
      <c r="J98" s="127"/>
      <c r="K98" s="127"/>
      <c r="L98" s="127"/>
      <c r="M98" s="128"/>
      <c r="N98" s="128"/>
      <c r="O98" s="128"/>
    </row>
    <row r="99" spans="2:15" s="101" customFormat="1" x14ac:dyDescent="0.2">
      <c r="B99" s="127"/>
      <c r="C99" s="127"/>
      <c r="D99" s="127"/>
      <c r="E99" s="127"/>
      <c r="F99" s="127"/>
      <c r="G99" s="127"/>
      <c r="H99" s="127"/>
      <c r="I99" s="127"/>
      <c r="J99" s="127"/>
      <c r="K99" s="127"/>
      <c r="L99" s="127"/>
      <c r="M99" s="128"/>
      <c r="N99" s="128"/>
      <c r="O99" s="128"/>
    </row>
    <row r="100" spans="2:15" s="101" customFormat="1" x14ac:dyDescent="0.2">
      <c r="B100" s="127"/>
      <c r="C100" s="127"/>
      <c r="D100" s="127"/>
      <c r="E100" s="127"/>
      <c r="F100" s="127"/>
      <c r="G100" s="127"/>
      <c r="H100" s="127"/>
      <c r="I100" s="127"/>
      <c r="J100" s="127"/>
      <c r="K100" s="127"/>
      <c r="L100" s="127"/>
      <c r="M100" s="128"/>
      <c r="N100" s="128"/>
      <c r="O100" s="128"/>
    </row>
    <row r="101" spans="2:15" s="101" customFormat="1" x14ac:dyDescent="0.2">
      <c r="B101" s="127"/>
      <c r="C101" s="127"/>
      <c r="D101" s="127"/>
      <c r="E101" s="127"/>
      <c r="F101" s="127"/>
      <c r="G101" s="127"/>
      <c r="H101" s="127"/>
      <c r="I101" s="127"/>
      <c r="J101" s="127"/>
      <c r="K101" s="127"/>
      <c r="L101" s="127"/>
      <c r="M101" s="128"/>
      <c r="N101" s="128"/>
      <c r="O101" s="128"/>
    </row>
    <row r="102" spans="2:15" s="101" customFormat="1" x14ac:dyDescent="0.2">
      <c r="B102" s="127"/>
      <c r="C102" s="127"/>
      <c r="D102" s="127"/>
      <c r="E102" s="127"/>
      <c r="F102" s="127"/>
      <c r="G102" s="127"/>
      <c r="H102" s="127"/>
      <c r="I102" s="127"/>
      <c r="J102" s="127"/>
      <c r="K102" s="127"/>
      <c r="L102" s="127"/>
      <c r="M102" s="128"/>
      <c r="N102" s="128"/>
      <c r="O102" s="128"/>
    </row>
    <row r="103" spans="2:15" s="101" customFormat="1" x14ac:dyDescent="0.2">
      <c r="B103" s="127"/>
      <c r="C103" s="127"/>
      <c r="D103" s="127"/>
      <c r="E103" s="127"/>
      <c r="F103" s="127"/>
      <c r="G103" s="127"/>
      <c r="H103" s="127"/>
      <c r="I103" s="127"/>
      <c r="J103" s="127"/>
      <c r="K103" s="127"/>
      <c r="L103" s="127"/>
      <c r="M103" s="128"/>
      <c r="N103" s="128"/>
      <c r="O103" s="128"/>
    </row>
    <row r="104" spans="2:15" s="101" customFormat="1" x14ac:dyDescent="0.2">
      <c r="B104" s="127"/>
      <c r="C104" s="127"/>
      <c r="D104" s="127"/>
      <c r="E104" s="127"/>
      <c r="F104" s="127"/>
      <c r="G104" s="127"/>
      <c r="H104" s="127"/>
      <c r="I104" s="127"/>
      <c r="J104" s="127"/>
      <c r="K104" s="127"/>
      <c r="L104" s="127"/>
      <c r="M104" s="128"/>
      <c r="N104" s="128"/>
      <c r="O104" s="128"/>
    </row>
    <row r="105" spans="2:15" s="101" customFormat="1" x14ac:dyDescent="0.2">
      <c r="B105" s="127"/>
      <c r="C105" s="127"/>
      <c r="D105" s="127"/>
      <c r="E105" s="127"/>
      <c r="F105" s="127"/>
      <c r="G105" s="127"/>
      <c r="H105" s="127"/>
      <c r="I105" s="127"/>
      <c r="J105" s="127"/>
      <c r="K105" s="127"/>
      <c r="L105" s="127"/>
      <c r="M105" s="128"/>
      <c r="N105" s="128"/>
      <c r="O105" s="128"/>
    </row>
    <row r="106" spans="2:15" s="101" customFormat="1" x14ac:dyDescent="0.2">
      <c r="B106" s="127"/>
      <c r="C106" s="127"/>
      <c r="D106" s="127"/>
      <c r="E106" s="127"/>
      <c r="F106" s="127"/>
      <c r="G106" s="127"/>
      <c r="H106" s="127"/>
      <c r="I106" s="127"/>
      <c r="J106" s="127"/>
      <c r="K106" s="127"/>
      <c r="L106" s="127"/>
      <c r="M106" s="128"/>
      <c r="N106" s="128"/>
      <c r="O106" s="128"/>
    </row>
    <row r="107" spans="2:15" s="101" customFormat="1" x14ac:dyDescent="0.2">
      <c r="B107" s="127"/>
      <c r="C107" s="127"/>
      <c r="D107" s="127"/>
      <c r="E107" s="127"/>
      <c r="F107" s="127"/>
      <c r="G107" s="127"/>
      <c r="H107" s="127"/>
      <c r="I107" s="127"/>
      <c r="J107" s="127"/>
      <c r="K107" s="127"/>
      <c r="L107" s="127"/>
      <c r="M107" s="128"/>
      <c r="N107" s="128"/>
      <c r="O107" s="128"/>
    </row>
    <row r="108" spans="2:15" s="101" customFormat="1" x14ac:dyDescent="0.2">
      <c r="B108" s="127"/>
      <c r="C108" s="127"/>
      <c r="D108" s="127"/>
      <c r="E108" s="127"/>
      <c r="F108" s="127"/>
      <c r="G108" s="127"/>
      <c r="H108" s="127"/>
      <c r="I108" s="127"/>
      <c r="J108" s="127"/>
      <c r="K108" s="127"/>
      <c r="L108" s="127"/>
      <c r="M108" s="128"/>
      <c r="N108" s="128"/>
      <c r="O108" s="128"/>
    </row>
    <row r="109" spans="2:15" s="101" customFormat="1" x14ac:dyDescent="0.2">
      <c r="B109" s="127"/>
      <c r="C109" s="127"/>
      <c r="D109" s="127"/>
      <c r="E109" s="127"/>
      <c r="F109" s="127"/>
      <c r="G109" s="127"/>
      <c r="H109" s="127"/>
      <c r="I109" s="127"/>
      <c r="J109" s="127"/>
      <c r="K109" s="127"/>
      <c r="L109" s="127"/>
      <c r="M109" s="128"/>
      <c r="N109" s="128"/>
      <c r="O109" s="128"/>
    </row>
    <row r="110" spans="2:15" s="101" customFormat="1" x14ac:dyDescent="0.2">
      <c r="B110" s="127"/>
      <c r="C110" s="127"/>
      <c r="D110" s="127"/>
      <c r="E110" s="127"/>
      <c r="F110" s="127"/>
      <c r="G110" s="127"/>
      <c r="H110" s="127"/>
      <c r="I110" s="127"/>
      <c r="J110" s="127"/>
      <c r="K110" s="127"/>
      <c r="L110" s="127"/>
      <c r="M110" s="128"/>
      <c r="N110" s="128"/>
      <c r="O110" s="128"/>
    </row>
    <row r="111" spans="2:15" s="101" customFormat="1" x14ac:dyDescent="0.2">
      <c r="B111" s="127"/>
      <c r="C111" s="127"/>
      <c r="D111" s="127"/>
      <c r="E111" s="127"/>
      <c r="F111" s="127"/>
      <c r="G111" s="127"/>
      <c r="H111" s="127"/>
      <c r="I111" s="127"/>
      <c r="J111" s="127"/>
      <c r="K111" s="127"/>
      <c r="L111" s="127"/>
      <c r="M111" s="128"/>
      <c r="N111" s="128"/>
      <c r="O111" s="128"/>
    </row>
    <row r="112" spans="2:15" s="101" customFormat="1" x14ac:dyDescent="0.2">
      <c r="B112" s="127"/>
      <c r="C112" s="127"/>
      <c r="D112" s="127"/>
      <c r="E112" s="127"/>
      <c r="F112" s="127"/>
      <c r="G112" s="127"/>
      <c r="H112" s="127"/>
      <c r="I112" s="127"/>
      <c r="J112" s="127"/>
      <c r="K112" s="127"/>
      <c r="L112" s="127"/>
      <c r="M112" s="128"/>
      <c r="N112" s="128"/>
      <c r="O112" s="128"/>
    </row>
    <row r="113" spans="2:15" s="101" customFormat="1" x14ac:dyDescent="0.2">
      <c r="B113" s="127"/>
      <c r="C113" s="127"/>
      <c r="D113" s="127"/>
      <c r="E113" s="127"/>
      <c r="F113" s="127"/>
      <c r="G113" s="127"/>
      <c r="H113" s="127"/>
      <c r="I113" s="127"/>
      <c r="J113" s="127"/>
      <c r="K113" s="127"/>
      <c r="L113" s="127"/>
      <c r="M113" s="128"/>
      <c r="N113" s="128"/>
      <c r="O113" s="128"/>
    </row>
    <row r="114" spans="2:15" s="101" customFormat="1" x14ac:dyDescent="0.2">
      <c r="B114" s="127"/>
      <c r="C114" s="127"/>
      <c r="D114" s="127"/>
      <c r="E114" s="127"/>
      <c r="F114" s="127"/>
      <c r="G114" s="127"/>
      <c r="H114" s="127"/>
      <c r="I114" s="127"/>
      <c r="J114" s="127"/>
      <c r="K114" s="127"/>
      <c r="L114" s="127"/>
      <c r="M114" s="128"/>
      <c r="N114" s="128"/>
      <c r="O114" s="128"/>
    </row>
    <row r="115" spans="2:15" s="101" customFormat="1" x14ac:dyDescent="0.2">
      <c r="B115" s="127"/>
      <c r="C115" s="127"/>
      <c r="D115" s="127"/>
      <c r="E115" s="127"/>
      <c r="F115" s="127"/>
      <c r="G115" s="127"/>
      <c r="H115" s="127"/>
      <c r="I115" s="127"/>
      <c r="J115" s="127"/>
      <c r="K115" s="127"/>
      <c r="L115" s="127"/>
      <c r="M115" s="128"/>
      <c r="N115" s="128"/>
      <c r="O115" s="128"/>
    </row>
    <row r="116" spans="2:15" s="101" customFormat="1" x14ac:dyDescent="0.2">
      <c r="B116" s="127"/>
      <c r="C116" s="127"/>
      <c r="D116" s="127"/>
      <c r="E116" s="127"/>
      <c r="F116" s="127"/>
      <c r="G116" s="127"/>
      <c r="H116" s="127"/>
      <c r="I116" s="127"/>
      <c r="J116" s="127"/>
      <c r="K116" s="127"/>
      <c r="L116" s="127"/>
      <c r="M116" s="128"/>
      <c r="N116" s="128"/>
      <c r="O116" s="128"/>
    </row>
    <row r="117" spans="2:15" s="101" customFormat="1" x14ac:dyDescent="0.2">
      <c r="B117" s="127"/>
      <c r="C117" s="127"/>
      <c r="D117" s="127"/>
      <c r="E117" s="127"/>
      <c r="F117" s="127"/>
      <c r="G117" s="127"/>
      <c r="H117" s="127"/>
      <c r="I117" s="127"/>
      <c r="J117" s="127"/>
      <c r="K117" s="127"/>
      <c r="L117" s="127"/>
      <c r="M117" s="128"/>
      <c r="N117" s="128"/>
      <c r="O117" s="128"/>
    </row>
    <row r="118" spans="2:15" s="101" customFormat="1" x14ac:dyDescent="0.2">
      <c r="B118" s="127"/>
      <c r="C118" s="127"/>
      <c r="D118" s="127"/>
      <c r="E118" s="127"/>
      <c r="F118" s="127"/>
      <c r="G118" s="127"/>
      <c r="H118" s="127"/>
      <c r="I118" s="127"/>
      <c r="J118" s="127"/>
      <c r="K118" s="127"/>
      <c r="L118" s="127"/>
      <c r="M118" s="128"/>
      <c r="N118" s="128"/>
      <c r="O118" s="128"/>
    </row>
    <row r="119" spans="2:15" s="101" customFormat="1" x14ac:dyDescent="0.2">
      <c r="B119" s="127"/>
      <c r="C119" s="127"/>
      <c r="D119" s="127"/>
      <c r="E119" s="127"/>
      <c r="F119" s="127"/>
      <c r="G119" s="127"/>
      <c r="H119" s="127"/>
      <c r="I119" s="127"/>
      <c r="J119" s="127"/>
      <c r="K119" s="127"/>
      <c r="L119" s="127"/>
      <c r="M119" s="128"/>
      <c r="N119" s="128"/>
      <c r="O119" s="128"/>
    </row>
    <row r="120" spans="2:15" s="101" customFormat="1" x14ac:dyDescent="0.2">
      <c r="B120" s="127"/>
      <c r="C120" s="127"/>
      <c r="D120" s="127"/>
      <c r="E120" s="127"/>
      <c r="F120" s="127"/>
      <c r="G120" s="127"/>
      <c r="H120" s="127"/>
      <c r="I120" s="127"/>
      <c r="J120" s="127"/>
      <c r="K120" s="127"/>
      <c r="L120" s="127"/>
      <c r="M120" s="128"/>
      <c r="N120" s="128"/>
      <c r="O120" s="128"/>
    </row>
    <row r="121" spans="2:15" s="101" customFormat="1" x14ac:dyDescent="0.2">
      <c r="B121" s="127"/>
      <c r="C121" s="127"/>
      <c r="D121" s="127"/>
      <c r="E121" s="127"/>
      <c r="F121" s="127"/>
      <c r="G121" s="127"/>
      <c r="H121" s="127"/>
      <c r="I121" s="127"/>
      <c r="J121" s="127"/>
      <c r="K121" s="127"/>
      <c r="L121" s="127"/>
      <c r="M121" s="128"/>
      <c r="N121" s="128"/>
      <c r="O121" s="128"/>
    </row>
    <row r="122" spans="2:15" s="101" customFormat="1" x14ac:dyDescent="0.2">
      <c r="B122" s="127"/>
      <c r="C122" s="127"/>
      <c r="D122" s="127"/>
      <c r="E122" s="127"/>
      <c r="F122" s="127"/>
      <c r="G122" s="127"/>
      <c r="H122" s="127"/>
      <c r="I122" s="127"/>
      <c r="J122" s="127"/>
      <c r="K122" s="127"/>
      <c r="L122" s="127"/>
      <c r="M122" s="128"/>
      <c r="N122" s="128"/>
      <c r="O122" s="128"/>
    </row>
    <row r="123" spans="2:15" s="101" customFormat="1" x14ac:dyDescent="0.2">
      <c r="B123" s="127"/>
      <c r="C123" s="127"/>
      <c r="D123" s="127"/>
      <c r="E123" s="127"/>
      <c r="F123" s="127"/>
      <c r="G123" s="127"/>
      <c r="H123" s="127"/>
      <c r="I123" s="127"/>
      <c r="J123" s="127"/>
      <c r="K123" s="127"/>
      <c r="L123" s="127"/>
      <c r="M123" s="128"/>
      <c r="N123" s="128"/>
      <c r="O123" s="128"/>
    </row>
    <row r="124" spans="2:15" s="101" customFormat="1" x14ac:dyDescent="0.2">
      <c r="B124" s="127"/>
      <c r="C124" s="127"/>
      <c r="D124" s="127"/>
      <c r="E124" s="127"/>
      <c r="F124" s="127"/>
      <c r="G124" s="127"/>
      <c r="H124" s="127"/>
      <c r="I124" s="127"/>
      <c r="J124" s="127"/>
      <c r="K124" s="127"/>
      <c r="L124" s="127"/>
      <c r="M124" s="128"/>
      <c r="N124" s="128"/>
      <c r="O124" s="128"/>
    </row>
    <row r="125" spans="2:15" s="101" customFormat="1" x14ac:dyDescent="0.2">
      <c r="B125" s="127"/>
      <c r="C125" s="127"/>
      <c r="D125" s="127"/>
      <c r="E125" s="127"/>
      <c r="F125" s="127"/>
      <c r="G125" s="127"/>
      <c r="H125" s="127"/>
      <c r="I125" s="127"/>
      <c r="J125" s="127"/>
      <c r="K125" s="127"/>
      <c r="L125" s="127"/>
      <c r="M125" s="128"/>
      <c r="N125" s="128"/>
      <c r="O125" s="128"/>
    </row>
    <row r="126" spans="2:15" s="101" customFormat="1" x14ac:dyDescent="0.2">
      <c r="B126" s="127"/>
      <c r="C126" s="127"/>
      <c r="D126" s="127"/>
      <c r="E126" s="127"/>
      <c r="F126" s="127"/>
      <c r="G126" s="127"/>
      <c r="H126" s="127"/>
      <c r="I126" s="127"/>
      <c r="J126" s="127"/>
      <c r="K126" s="127"/>
      <c r="L126" s="127"/>
      <c r="M126" s="128"/>
      <c r="N126" s="128"/>
      <c r="O126" s="128"/>
    </row>
    <row r="127" spans="2:15" s="101" customFormat="1" x14ac:dyDescent="0.2">
      <c r="B127" s="127"/>
      <c r="C127" s="127"/>
      <c r="D127" s="127"/>
      <c r="E127" s="127"/>
      <c r="F127" s="127"/>
      <c r="G127" s="127"/>
      <c r="H127" s="127"/>
      <c r="I127" s="127"/>
      <c r="J127" s="127"/>
      <c r="K127" s="127"/>
      <c r="L127" s="127"/>
      <c r="M127" s="128"/>
      <c r="N127" s="128"/>
      <c r="O127" s="128"/>
    </row>
    <row r="128" spans="2:15" s="101" customFormat="1" ht="66" customHeight="1" x14ac:dyDescent="0.2">
      <c r="B128" s="127"/>
      <c r="C128" s="127"/>
      <c r="D128" s="127"/>
      <c r="E128" s="127"/>
      <c r="F128" s="127"/>
      <c r="G128" s="127"/>
      <c r="H128" s="127"/>
      <c r="I128" s="127"/>
      <c r="J128" s="127"/>
      <c r="K128" s="127"/>
      <c r="L128" s="127"/>
      <c r="M128" s="128"/>
      <c r="N128" s="128"/>
      <c r="O128" s="128"/>
    </row>
    <row r="129" spans="2:12" s="101" customFormat="1" x14ac:dyDescent="0.2">
      <c r="B129" s="125"/>
      <c r="C129" s="125"/>
      <c r="D129" s="125"/>
      <c r="E129" s="125"/>
      <c r="F129" s="125"/>
      <c r="G129" s="125"/>
      <c r="H129" s="125"/>
      <c r="I129" s="125"/>
      <c r="J129" s="125"/>
      <c r="K129" s="125"/>
      <c r="L129" s="125"/>
    </row>
    <row r="130" spans="2:12" s="101" customFormat="1" x14ac:dyDescent="0.2">
      <c r="B130" s="125"/>
      <c r="C130" s="125"/>
      <c r="D130" s="125"/>
      <c r="E130" s="125"/>
      <c r="F130" s="125"/>
      <c r="G130" s="125"/>
      <c r="H130" s="125"/>
      <c r="I130" s="125"/>
      <c r="J130" s="125"/>
      <c r="K130" s="125"/>
      <c r="L130" s="125"/>
    </row>
    <row r="131" spans="2:12" s="101" customFormat="1" x14ac:dyDescent="0.2">
      <c r="B131" s="125"/>
      <c r="C131" s="125"/>
      <c r="D131" s="125"/>
      <c r="E131" s="125"/>
      <c r="F131" s="125"/>
      <c r="G131" s="125"/>
      <c r="H131" s="125"/>
      <c r="I131" s="125"/>
      <c r="J131" s="125"/>
      <c r="K131" s="125"/>
      <c r="L131" s="125"/>
    </row>
    <row r="132" spans="2:12" s="101" customFormat="1" x14ac:dyDescent="0.2">
      <c r="B132" s="125"/>
      <c r="C132" s="125"/>
      <c r="D132" s="125"/>
      <c r="E132" s="125"/>
      <c r="F132" s="125"/>
      <c r="G132" s="125"/>
      <c r="H132" s="125"/>
      <c r="I132" s="125"/>
      <c r="J132" s="125"/>
      <c r="K132" s="125"/>
      <c r="L132" s="125"/>
    </row>
    <row r="133" spans="2:12" s="101" customFormat="1" x14ac:dyDescent="0.2">
      <c r="B133" s="125"/>
      <c r="C133" s="125"/>
      <c r="D133" s="125"/>
      <c r="E133" s="125"/>
      <c r="F133" s="125"/>
      <c r="G133" s="125"/>
      <c r="H133" s="125"/>
      <c r="I133" s="125"/>
      <c r="J133" s="125"/>
      <c r="K133" s="125"/>
      <c r="L133" s="125"/>
    </row>
    <row r="134" spans="2:12" s="101" customFormat="1" x14ac:dyDescent="0.2">
      <c r="B134" s="125"/>
      <c r="C134" s="125"/>
      <c r="D134" s="125"/>
      <c r="E134" s="125"/>
      <c r="F134" s="125"/>
      <c r="G134" s="125"/>
      <c r="H134" s="125"/>
      <c r="I134" s="125"/>
      <c r="J134" s="125"/>
      <c r="K134" s="125"/>
      <c r="L134" s="125"/>
    </row>
    <row r="135" spans="2:12" s="101" customFormat="1" x14ac:dyDescent="0.2">
      <c r="B135" s="125"/>
      <c r="C135" s="125"/>
      <c r="D135" s="125"/>
      <c r="E135" s="125"/>
      <c r="F135" s="125"/>
      <c r="G135" s="125"/>
      <c r="H135" s="125"/>
      <c r="I135" s="125"/>
      <c r="J135" s="125"/>
      <c r="K135" s="125"/>
      <c r="L135" s="125"/>
    </row>
    <row r="136" spans="2:12" s="101" customFormat="1" x14ac:dyDescent="0.2">
      <c r="B136" s="125"/>
      <c r="C136" s="125"/>
      <c r="D136" s="125"/>
      <c r="E136" s="125"/>
      <c r="F136" s="125"/>
      <c r="G136" s="125"/>
      <c r="H136" s="125"/>
      <c r="I136" s="125"/>
      <c r="J136" s="125"/>
      <c r="K136" s="125"/>
      <c r="L136" s="125"/>
    </row>
    <row r="137" spans="2:12" s="101" customFormat="1" x14ac:dyDescent="0.2">
      <c r="B137" s="125"/>
      <c r="C137" s="125"/>
      <c r="D137" s="125"/>
      <c r="E137" s="125"/>
      <c r="F137" s="125"/>
      <c r="G137" s="125"/>
      <c r="H137" s="125"/>
      <c r="I137" s="125"/>
      <c r="J137" s="125"/>
      <c r="K137" s="125"/>
      <c r="L137" s="125"/>
    </row>
    <row r="138" spans="2:12" s="101" customFormat="1" x14ac:dyDescent="0.2">
      <c r="B138" s="125"/>
      <c r="C138" s="125"/>
      <c r="D138" s="125"/>
      <c r="E138" s="125"/>
      <c r="F138" s="125"/>
      <c r="G138" s="125"/>
      <c r="H138" s="125"/>
      <c r="I138" s="125"/>
      <c r="J138" s="125"/>
      <c r="K138" s="125"/>
      <c r="L138" s="125"/>
    </row>
    <row r="139" spans="2:12" s="101" customFormat="1" x14ac:dyDescent="0.2">
      <c r="B139" s="125"/>
      <c r="C139" s="125"/>
      <c r="D139" s="125"/>
      <c r="E139" s="125"/>
      <c r="F139" s="125"/>
      <c r="G139" s="125"/>
      <c r="H139" s="125"/>
      <c r="I139" s="125"/>
      <c r="J139" s="125"/>
      <c r="K139" s="125"/>
      <c r="L139" s="125"/>
    </row>
    <row r="140" spans="2:12" s="101" customFormat="1" x14ac:dyDescent="0.2">
      <c r="B140" s="125"/>
      <c r="C140" s="125"/>
      <c r="D140" s="125"/>
      <c r="E140" s="125"/>
      <c r="F140" s="125"/>
      <c r="G140" s="125"/>
      <c r="H140" s="125"/>
      <c r="I140" s="125"/>
      <c r="J140" s="125"/>
      <c r="K140" s="125"/>
      <c r="L140" s="125"/>
    </row>
    <row r="141" spans="2:12" s="101" customFormat="1" x14ac:dyDescent="0.2">
      <c r="B141" s="125"/>
      <c r="C141" s="125"/>
      <c r="D141" s="125"/>
      <c r="E141" s="125"/>
      <c r="F141" s="125"/>
      <c r="G141" s="125"/>
      <c r="H141" s="125"/>
      <c r="I141" s="125"/>
      <c r="J141" s="125"/>
      <c r="K141" s="125"/>
      <c r="L141" s="125"/>
    </row>
    <row r="142" spans="2:12" s="101" customFormat="1" x14ac:dyDescent="0.2">
      <c r="B142" s="125"/>
      <c r="C142" s="125"/>
      <c r="D142" s="125"/>
      <c r="E142" s="125"/>
      <c r="F142" s="125"/>
      <c r="G142" s="125"/>
      <c r="H142" s="125"/>
      <c r="I142" s="125"/>
      <c r="J142" s="125"/>
      <c r="K142" s="125"/>
      <c r="L142" s="125"/>
    </row>
    <row r="143" spans="2:12" s="101" customFormat="1" x14ac:dyDescent="0.2">
      <c r="B143" s="125"/>
      <c r="C143" s="125"/>
      <c r="D143" s="125"/>
      <c r="E143" s="125"/>
      <c r="F143" s="125"/>
      <c r="G143" s="125"/>
      <c r="H143" s="125"/>
      <c r="I143" s="125"/>
      <c r="J143" s="125"/>
      <c r="K143" s="125"/>
      <c r="L143" s="125"/>
    </row>
    <row r="144" spans="2:12" s="101" customFormat="1" x14ac:dyDescent="0.2">
      <c r="B144" s="125"/>
      <c r="C144" s="125"/>
      <c r="D144" s="125"/>
      <c r="E144" s="125"/>
      <c r="F144" s="125"/>
      <c r="G144" s="125"/>
      <c r="H144" s="125"/>
      <c r="I144" s="125"/>
      <c r="J144" s="125"/>
      <c r="K144" s="125"/>
      <c r="L144" s="125"/>
    </row>
    <row r="145" spans="2:12" s="101" customFormat="1" x14ac:dyDescent="0.2">
      <c r="B145" s="125"/>
      <c r="C145" s="125"/>
      <c r="D145" s="125"/>
      <c r="E145" s="125"/>
      <c r="F145" s="125"/>
      <c r="G145" s="125"/>
      <c r="H145" s="125"/>
      <c r="I145" s="125"/>
      <c r="J145" s="125"/>
      <c r="K145" s="125"/>
      <c r="L145" s="125"/>
    </row>
    <row r="146" spans="2:12" s="101" customFormat="1" x14ac:dyDescent="0.2">
      <c r="B146" s="125"/>
      <c r="C146" s="125"/>
      <c r="D146" s="125"/>
      <c r="E146" s="125"/>
      <c r="F146" s="125"/>
      <c r="G146" s="125"/>
      <c r="H146" s="125"/>
      <c r="I146" s="125"/>
      <c r="J146" s="125"/>
      <c r="K146" s="125"/>
      <c r="L146" s="125"/>
    </row>
    <row r="147" spans="2:12" s="101" customFormat="1" x14ac:dyDescent="0.2">
      <c r="B147" s="125"/>
      <c r="C147" s="125"/>
      <c r="D147" s="125"/>
      <c r="E147" s="125"/>
      <c r="F147" s="125"/>
      <c r="G147" s="125"/>
      <c r="H147" s="125"/>
      <c r="I147" s="125"/>
      <c r="J147" s="125"/>
      <c r="K147" s="125"/>
      <c r="L147" s="125"/>
    </row>
    <row r="148" spans="2:12" s="101" customFormat="1" x14ac:dyDescent="0.2">
      <c r="B148" s="125"/>
      <c r="C148" s="125"/>
      <c r="D148" s="125"/>
      <c r="E148" s="125"/>
      <c r="F148" s="125"/>
      <c r="G148" s="125"/>
      <c r="H148" s="125"/>
      <c r="I148" s="125"/>
      <c r="J148" s="125"/>
      <c r="K148" s="125"/>
      <c r="L148" s="125"/>
    </row>
    <row r="149" spans="2:12" s="101" customFormat="1" x14ac:dyDescent="0.2">
      <c r="B149" s="125"/>
      <c r="C149" s="125"/>
      <c r="D149" s="125"/>
      <c r="E149" s="125"/>
      <c r="F149" s="125"/>
      <c r="G149" s="125"/>
      <c r="H149" s="125"/>
      <c r="I149" s="125"/>
      <c r="J149" s="125"/>
      <c r="K149" s="125"/>
      <c r="L149" s="125"/>
    </row>
    <row r="150" spans="2:12" s="101" customFormat="1" x14ac:dyDescent="0.2">
      <c r="B150" s="125"/>
      <c r="C150" s="125"/>
      <c r="D150" s="125"/>
      <c r="E150" s="125"/>
      <c r="F150" s="125"/>
      <c r="G150" s="125"/>
      <c r="H150" s="125"/>
      <c r="I150" s="125"/>
      <c r="J150" s="125"/>
      <c r="K150" s="125"/>
      <c r="L150" s="125"/>
    </row>
    <row r="151" spans="2:12" s="101" customFormat="1" x14ac:dyDescent="0.2">
      <c r="B151" s="125"/>
      <c r="C151" s="125"/>
      <c r="D151" s="125"/>
      <c r="E151" s="125"/>
      <c r="F151" s="125"/>
      <c r="G151" s="125"/>
      <c r="H151" s="125"/>
      <c r="I151" s="125"/>
      <c r="J151" s="125"/>
      <c r="K151" s="125"/>
      <c r="L151" s="125"/>
    </row>
    <row r="152" spans="2:12" s="101" customFormat="1" x14ac:dyDescent="0.2">
      <c r="B152" s="125"/>
      <c r="C152" s="125"/>
      <c r="D152" s="125"/>
      <c r="E152" s="125"/>
      <c r="F152" s="125"/>
      <c r="G152" s="125"/>
      <c r="H152" s="125"/>
      <c r="I152" s="125"/>
      <c r="J152" s="125"/>
      <c r="K152" s="125"/>
      <c r="L152" s="125"/>
    </row>
    <row r="153" spans="2:12" s="101" customFormat="1" x14ac:dyDescent="0.2">
      <c r="B153" s="125"/>
      <c r="C153" s="125"/>
      <c r="D153" s="125"/>
      <c r="E153" s="125"/>
      <c r="F153" s="125"/>
      <c r="G153" s="125"/>
      <c r="H153" s="125"/>
      <c r="I153" s="125"/>
      <c r="J153" s="125"/>
      <c r="K153" s="125"/>
      <c r="L153" s="125"/>
    </row>
    <row r="154" spans="2:12" s="101" customFormat="1" x14ac:dyDescent="0.2">
      <c r="B154" s="125"/>
      <c r="C154" s="125"/>
      <c r="D154" s="125"/>
      <c r="E154" s="125"/>
      <c r="F154" s="125"/>
      <c r="G154" s="125"/>
      <c r="H154" s="125"/>
      <c r="I154" s="125"/>
      <c r="J154" s="125"/>
      <c r="K154" s="125"/>
      <c r="L154" s="125"/>
    </row>
    <row r="155" spans="2:12" s="101" customFormat="1" x14ac:dyDescent="0.2">
      <c r="B155" s="125"/>
      <c r="C155" s="125"/>
      <c r="D155" s="125"/>
      <c r="E155" s="125"/>
      <c r="F155" s="125"/>
      <c r="G155" s="125"/>
      <c r="H155" s="125"/>
      <c r="I155" s="125"/>
      <c r="J155" s="125"/>
      <c r="K155" s="125"/>
      <c r="L155" s="125"/>
    </row>
    <row r="156" spans="2:12" s="101" customFormat="1" x14ac:dyDescent="0.2">
      <c r="B156" s="125"/>
      <c r="C156" s="125"/>
      <c r="D156" s="125"/>
      <c r="E156" s="125"/>
      <c r="F156" s="125"/>
      <c r="G156" s="125"/>
      <c r="H156" s="125"/>
      <c r="I156" s="125"/>
      <c r="J156" s="125"/>
      <c r="K156" s="125"/>
      <c r="L156" s="125"/>
    </row>
    <row r="157" spans="2:12" s="101" customFormat="1" x14ac:dyDescent="0.2">
      <c r="B157" s="125"/>
      <c r="C157" s="125"/>
      <c r="D157" s="125"/>
      <c r="E157" s="125"/>
      <c r="F157" s="125"/>
      <c r="G157" s="125"/>
      <c r="H157" s="125"/>
      <c r="I157" s="125"/>
      <c r="J157" s="125"/>
      <c r="K157" s="125"/>
      <c r="L157" s="125"/>
    </row>
    <row r="158" spans="2:12" s="101" customFormat="1" x14ac:dyDescent="0.2">
      <c r="B158" s="125"/>
      <c r="C158" s="125"/>
      <c r="D158" s="125"/>
      <c r="E158" s="125"/>
      <c r="F158" s="125"/>
      <c r="G158" s="125"/>
      <c r="H158" s="125"/>
      <c r="I158" s="125"/>
      <c r="J158" s="125"/>
      <c r="K158" s="125"/>
      <c r="L158" s="125"/>
    </row>
    <row r="159" spans="2:12" s="101" customFormat="1" x14ac:dyDescent="0.2">
      <c r="B159" s="125"/>
      <c r="C159" s="125"/>
      <c r="D159" s="125"/>
      <c r="E159" s="125"/>
      <c r="F159" s="125"/>
      <c r="G159" s="125"/>
      <c r="H159" s="125"/>
      <c r="I159" s="125"/>
      <c r="J159" s="125"/>
      <c r="K159" s="125"/>
      <c r="L159" s="125"/>
    </row>
    <row r="160" spans="2:12" s="101" customFormat="1" x14ac:dyDescent="0.2">
      <c r="B160" s="125"/>
      <c r="C160" s="125"/>
      <c r="D160" s="125"/>
      <c r="E160" s="125"/>
      <c r="F160" s="125"/>
      <c r="G160" s="125"/>
      <c r="H160" s="125"/>
      <c r="I160" s="125"/>
      <c r="J160" s="125"/>
      <c r="K160" s="125"/>
      <c r="L160" s="125"/>
    </row>
    <row r="161" spans="2:12" s="101" customFormat="1" x14ac:dyDescent="0.2">
      <c r="B161" s="125"/>
      <c r="C161" s="125"/>
      <c r="D161" s="125"/>
      <c r="E161" s="125"/>
      <c r="F161" s="125"/>
      <c r="G161" s="125"/>
      <c r="H161" s="125"/>
      <c r="I161" s="125"/>
      <c r="J161" s="125"/>
      <c r="K161" s="125"/>
      <c r="L161" s="125"/>
    </row>
    <row r="162" spans="2:12" s="101" customFormat="1" x14ac:dyDescent="0.2">
      <c r="B162" s="125"/>
      <c r="C162" s="125"/>
      <c r="D162" s="125"/>
      <c r="E162" s="125"/>
      <c r="F162" s="125"/>
      <c r="G162" s="125"/>
      <c r="H162" s="125"/>
      <c r="I162" s="125"/>
      <c r="J162" s="125"/>
      <c r="K162" s="125"/>
      <c r="L162" s="125"/>
    </row>
    <row r="163" spans="2:12" s="101" customFormat="1" x14ac:dyDescent="0.2">
      <c r="B163" s="125"/>
      <c r="C163" s="125"/>
      <c r="D163" s="125"/>
      <c r="E163" s="125"/>
      <c r="F163" s="125"/>
      <c r="G163" s="125"/>
      <c r="H163" s="125"/>
      <c r="I163" s="125"/>
      <c r="J163" s="125"/>
      <c r="K163" s="125"/>
      <c r="L163" s="125"/>
    </row>
    <row r="164" spans="2:12" s="101" customFormat="1" x14ac:dyDescent="0.2">
      <c r="B164" s="125"/>
      <c r="C164" s="125"/>
      <c r="D164" s="125"/>
      <c r="E164" s="125"/>
      <c r="F164" s="125"/>
      <c r="G164" s="125"/>
      <c r="H164" s="125"/>
      <c r="I164" s="125"/>
      <c r="J164" s="125"/>
      <c r="K164" s="125"/>
      <c r="L164" s="125"/>
    </row>
    <row r="165" spans="2:12" s="101" customFormat="1" x14ac:dyDescent="0.2">
      <c r="B165" s="125"/>
      <c r="C165" s="125"/>
      <c r="D165" s="125"/>
      <c r="E165" s="125"/>
      <c r="F165" s="125"/>
      <c r="G165" s="125"/>
      <c r="H165" s="125"/>
      <c r="I165" s="125"/>
      <c r="J165" s="125"/>
      <c r="K165" s="125"/>
      <c r="L165" s="125"/>
    </row>
    <row r="166" spans="2:12" s="101" customFormat="1" x14ac:dyDescent="0.2">
      <c r="B166" s="125"/>
      <c r="C166" s="125"/>
      <c r="D166" s="125"/>
      <c r="E166" s="125"/>
      <c r="F166" s="125"/>
      <c r="G166" s="125"/>
      <c r="H166" s="125"/>
      <c r="I166" s="125"/>
      <c r="J166" s="125"/>
      <c r="K166" s="125"/>
      <c r="L166" s="125"/>
    </row>
    <row r="167" spans="2:12" s="101" customFormat="1" x14ac:dyDescent="0.2">
      <c r="B167" s="125"/>
      <c r="C167" s="125"/>
      <c r="D167" s="125"/>
      <c r="E167" s="125"/>
      <c r="F167" s="125"/>
      <c r="G167" s="125"/>
      <c r="H167" s="125"/>
      <c r="I167" s="125"/>
      <c r="J167" s="125"/>
      <c r="K167" s="125"/>
      <c r="L167" s="125"/>
    </row>
    <row r="168" spans="2:12" s="101" customFormat="1" x14ac:dyDescent="0.2">
      <c r="B168" s="125"/>
      <c r="C168" s="125"/>
      <c r="D168" s="125"/>
      <c r="E168" s="125"/>
      <c r="F168" s="125"/>
      <c r="G168" s="125"/>
      <c r="H168" s="125"/>
      <c r="I168" s="125"/>
      <c r="J168" s="125"/>
      <c r="K168" s="125"/>
      <c r="L168" s="125"/>
    </row>
    <row r="169" spans="2:12" s="101" customFormat="1" x14ac:dyDescent="0.2">
      <c r="B169" s="125"/>
      <c r="C169" s="125"/>
      <c r="D169" s="125"/>
      <c r="E169" s="125"/>
      <c r="F169" s="125"/>
      <c r="G169" s="125"/>
      <c r="H169" s="125"/>
      <c r="I169" s="125"/>
      <c r="J169" s="125"/>
      <c r="K169" s="125"/>
      <c r="L169" s="125"/>
    </row>
    <row r="170" spans="2:12" s="101" customFormat="1" x14ac:dyDescent="0.2">
      <c r="B170" s="125"/>
      <c r="C170" s="125"/>
      <c r="D170" s="125"/>
      <c r="E170" s="125"/>
      <c r="F170" s="125"/>
      <c r="G170" s="125"/>
      <c r="H170" s="125"/>
      <c r="I170" s="125"/>
      <c r="J170" s="125"/>
      <c r="K170" s="125"/>
      <c r="L170" s="125"/>
    </row>
    <row r="171" spans="2:12" s="101" customFormat="1" x14ac:dyDescent="0.2">
      <c r="B171" s="125"/>
      <c r="C171" s="125"/>
      <c r="D171" s="125"/>
      <c r="E171" s="125"/>
      <c r="F171" s="125"/>
      <c r="G171" s="125"/>
      <c r="H171" s="125"/>
      <c r="I171" s="125"/>
      <c r="J171" s="125"/>
      <c r="K171" s="125"/>
      <c r="L171" s="125"/>
    </row>
    <row r="172" spans="2:12" s="101" customFormat="1" x14ac:dyDescent="0.2">
      <c r="B172" s="125"/>
      <c r="C172" s="125"/>
      <c r="D172" s="125"/>
      <c r="E172" s="125"/>
      <c r="F172" s="125"/>
      <c r="G172" s="125"/>
      <c r="H172" s="125"/>
      <c r="I172" s="125"/>
      <c r="J172" s="125"/>
      <c r="K172" s="125"/>
      <c r="L172" s="125"/>
    </row>
    <row r="173" spans="2:12" s="101" customFormat="1" x14ac:dyDescent="0.2">
      <c r="B173" s="125"/>
      <c r="C173" s="125"/>
      <c r="D173" s="125"/>
      <c r="E173" s="125"/>
      <c r="F173" s="125"/>
      <c r="G173" s="125"/>
      <c r="H173" s="125"/>
      <c r="I173" s="125"/>
      <c r="J173" s="125"/>
      <c r="K173" s="125"/>
      <c r="L173" s="125"/>
    </row>
    <row r="174" spans="2:12" s="101" customFormat="1" x14ac:dyDescent="0.2">
      <c r="B174" s="125"/>
      <c r="C174" s="125"/>
      <c r="D174" s="125"/>
      <c r="E174" s="125"/>
      <c r="F174" s="125"/>
      <c r="G174" s="125"/>
      <c r="H174" s="125"/>
      <c r="I174" s="125"/>
      <c r="J174" s="125"/>
      <c r="K174" s="125"/>
      <c r="L174" s="125"/>
    </row>
    <row r="175" spans="2:12" s="101" customFormat="1" x14ac:dyDescent="0.2">
      <c r="B175" s="125"/>
      <c r="C175" s="125"/>
      <c r="D175" s="125"/>
      <c r="E175" s="125"/>
      <c r="F175" s="125"/>
      <c r="G175" s="125"/>
      <c r="H175" s="125"/>
      <c r="I175" s="125"/>
      <c r="J175" s="125"/>
      <c r="K175" s="125"/>
      <c r="L175" s="125"/>
    </row>
    <row r="176" spans="2:12" s="101" customFormat="1" x14ac:dyDescent="0.2">
      <c r="B176" s="125"/>
      <c r="C176" s="125"/>
      <c r="D176" s="125"/>
      <c r="E176" s="125"/>
      <c r="F176" s="125"/>
      <c r="G176" s="125"/>
      <c r="H176" s="125"/>
      <c r="I176" s="125"/>
      <c r="J176" s="125"/>
      <c r="K176" s="125"/>
      <c r="L176" s="125"/>
    </row>
    <row r="177" spans="2:12" s="101" customFormat="1" x14ac:dyDescent="0.2">
      <c r="B177" s="125"/>
      <c r="C177" s="125"/>
      <c r="D177" s="125"/>
      <c r="E177" s="125"/>
      <c r="F177" s="125"/>
      <c r="G177" s="125"/>
      <c r="H177" s="125"/>
      <c r="I177" s="125"/>
      <c r="J177" s="125"/>
      <c r="K177" s="125"/>
      <c r="L177" s="125"/>
    </row>
    <row r="178" spans="2:12" s="101" customFormat="1" x14ac:dyDescent="0.2">
      <c r="B178" s="125"/>
      <c r="C178" s="125"/>
      <c r="D178" s="125"/>
      <c r="E178" s="125"/>
      <c r="F178" s="125"/>
      <c r="G178" s="125"/>
      <c r="H178" s="125"/>
      <c r="I178" s="125"/>
      <c r="J178" s="125"/>
      <c r="K178" s="125"/>
      <c r="L178" s="125"/>
    </row>
    <row r="179" spans="2:12" s="101" customFormat="1" x14ac:dyDescent="0.2">
      <c r="B179" s="125"/>
      <c r="C179" s="125"/>
      <c r="D179" s="125"/>
      <c r="E179" s="125"/>
      <c r="F179" s="125"/>
      <c r="G179" s="125"/>
      <c r="H179" s="125"/>
      <c r="I179" s="125"/>
      <c r="J179" s="125"/>
      <c r="K179" s="125"/>
      <c r="L179" s="125"/>
    </row>
    <row r="180" spans="2:12" s="101" customFormat="1" x14ac:dyDescent="0.2">
      <c r="B180" s="125"/>
      <c r="C180" s="125"/>
      <c r="D180" s="125"/>
      <c r="E180" s="125"/>
      <c r="F180" s="125"/>
      <c r="G180" s="125"/>
      <c r="H180" s="125"/>
      <c r="I180" s="125"/>
      <c r="J180" s="125"/>
      <c r="K180" s="125"/>
      <c r="L180" s="125"/>
    </row>
  </sheetData>
  <autoFilter ref="A2:O88" xr:uid="{1F478E64-C5A9-4A43-89AA-045599EB1EC1}"/>
  <conditionalFormatting sqref="H17:H18 G15:G18 C3:F10 G3:H12 C11:D12 C79:D87 G62:H62 C61:D72 G36:H37 G42:H42 G46:H52 G56:H57 G44:H44 G39:H39 G65:H68 G23:H29 G60:H60 C15:D59 C74:D74 G70:H87 C76:D77 C75">
    <cfRule type="expression" dxfId="294" priority="128">
      <formula>AND(OR($F3="No",$F3=""), $E3= "Yes",$G3&lt;&gt;"",$H3&lt;&gt;"")</formula>
    </cfRule>
  </conditionalFormatting>
  <conditionalFormatting sqref="H15">
    <cfRule type="expression" dxfId="293" priority="125">
      <formula>AND(OR($F15="No",$F15=""), $E15= "Yes",$G15&lt;&gt;"",$H15&lt;&gt;"")</formula>
    </cfRule>
  </conditionalFormatting>
  <conditionalFormatting sqref="H16">
    <cfRule type="expression" dxfId="292" priority="124">
      <formula>AND(OR($F16="No",$F16=""), $E16= "Yes",$G16&lt;&gt;"",$H16&lt;&gt;"")</formula>
    </cfRule>
  </conditionalFormatting>
  <conditionalFormatting sqref="E11:F12 E79:F87 E62:F62 E36:F37 E42:F42 E46:F52 E56:F57 E44:F44 E39:F39 E65:F68 E70:F72 E23:F29 E15:F18 E74:F77">
    <cfRule type="expression" dxfId="291" priority="121">
      <formula>AND(OR($F11="No",$F11=""), $E11= "Yes",$G11&lt;&gt;"",$H11&lt;&gt;"")</formula>
    </cfRule>
    <cfRule type="expression" dxfId="290" priority="122">
      <formula>AND(OR($E11="No",$E11=""), $F11= "Yes",$G11&lt;&gt;"",$H11&lt;&gt;"")</formula>
    </cfRule>
  </conditionalFormatting>
  <conditionalFormatting sqref="I3:M88">
    <cfRule type="expression" dxfId="289" priority="118">
      <formula>AND(OR($F4="No",$F4=""), $E3= "Yes",$G3&lt;&gt;"",$H3&lt;&gt;"")</formula>
    </cfRule>
  </conditionalFormatting>
  <conditionalFormatting sqref="C78:D78">
    <cfRule type="expression" dxfId="288" priority="111">
      <formula>AND(OR($F78="No",$F78=""), $E78= "Yes",$G78&lt;&gt;"",$H78&lt;&gt;"")</formula>
    </cfRule>
  </conditionalFormatting>
  <conditionalFormatting sqref="E78:F78">
    <cfRule type="expression" dxfId="287" priority="109">
      <formula>AND(OR($F78="No",$F78=""), $E78= "Yes",$G78&lt;&gt;"",$H78&lt;&gt;"")</formula>
    </cfRule>
    <cfRule type="expression" dxfId="286" priority="110">
      <formula>AND(OR($E78="No",$E78=""), $F78= "Yes",$G78&lt;&gt;"",$H78&lt;&gt;"")</formula>
    </cfRule>
  </conditionalFormatting>
  <conditionalFormatting sqref="C73:D73">
    <cfRule type="expression" dxfId="285" priority="108">
      <formula>AND(OR($F73="No",$F73=""), $E73= "Yes",$G73&lt;&gt;"",$H73&lt;&gt;"")</formula>
    </cfRule>
  </conditionalFormatting>
  <conditionalFormatting sqref="E73:F73">
    <cfRule type="expression" dxfId="284" priority="106">
      <formula>AND(OR($F73="No",$F73=""), $E73= "Yes",$G73&lt;&gt;"",$H73&lt;&gt;"")</formula>
    </cfRule>
    <cfRule type="expression" dxfId="283" priority="107">
      <formula>AND(OR($E73="No",$E73=""), $F73= "Yes",$G73&lt;&gt;"",$H73&lt;&gt;"")</formula>
    </cfRule>
  </conditionalFormatting>
  <conditionalFormatting sqref="C60:D60">
    <cfRule type="expression" dxfId="282" priority="105">
      <formula>AND(OR($F60="No",$F60=""), $E60= "Yes",$G60&lt;&gt;"",$H60&lt;&gt;"")</formula>
    </cfRule>
  </conditionalFormatting>
  <conditionalFormatting sqref="E60:F60">
    <cfRule type="expression" dxfId="281" priority="103">
      <formula>AND(OR($F60="No",$F60=""), $E60= "Yes",$G60&lt;&gt;"",$H60&lt;&gt;"")</formula>
    </cfRule>
    <cfRule type="expression" dxfId="280" priority="104">
      <formula>AND(OR($E60="No",$E60=""), $F60= "Yes",$G60&lt;&gt;"",$H60&lt;&gt;"")</formula>
    </cfRule>
  </conditionalFormatting>
  <conditionalFormatting sqref="G32:H33">
    <cfRule type="expression" dxfId="279" priority="97">
      <formula>AND(OR($F32="No",$F32=""), $E32= "Yes",$G32&lt;&gt;"",$H32&lt;&gt;"")</formula>
    </cfRule>
  </conditionalFormatting>
  <conditionalFormatting sqref="G34:H34">
    <cfRule type="expression" dxfId="278" priority="93">
      <formula>AND(OR($F34="No",$F34=""), $E34= "Yes",$G34&lt;&gt;"",$H34&lt;&gt;"")</formula>
    </cfRule>
  </conditionalFormatting>
  <conditionalFormatting sqref="E34:F34">
    <cfRule type="expression" dxfId="277" priority="91">
      <formula>AND(OR($F34="No",$F34=""), $E34= "Yes",$G34&lt;&gt;"",$H34&lt;&gt;"")</formula>
    </cfRule>
    <cfRule type="expression" dxfId="276" priority="92">
      <formula>AND(OR($E34="No",$E34=""), $F34= "Yes",$G34&lt;&gt;"",$H34&lt;&gt;"")</formula>
    </cfRule>
  </conditionalFormatting>
  <conditionalFormatting sqref="G35:H35">
    <cfRule type="expression" dxfId="275" priority="90">
      <formula>AND(OR($F35="No",$F35=""), $E35= "Yes",$G35&lt;&gt;"",$H35&lt;&gt;"")</formula>
    </cfRule>
  </conditionalFormatting>
  <conditionalFormatting sqref="E35:F35">
    <cfRule type="expression" dxfId="274" priority="88">
      <formula>AND(OR($F35="No",$F35=""), $E35= "Yes",$G35&lt;&gt;"",$H35&lt;&gt;"")</formula>
    </cfRule>
    <cfRule type="expression" dxfId="273" priority="89">
      <formula>AND(OR($E35="No",$E35=""), $F35= "Yes",$G35&lt;&gt;"",$H35&lt;&gt;"")</formula>
    </cfRule>
  </conditionalFormatting>
  <conditionalFormatting sqref="G41:H41">
    <cfRule type="expression" dxfId="272" priority="87">
      <formula>AND(OR($F41="No",$F41=""), $E41= "Yes",$G41&lt;&gt;"",$H41&lt;&gt;"")</formula>
    </cfRule>
  </conditionalFormatting>
  <conditionalFormatting sqref="E41:F41">
    <cfRule type="expression" dxfId="271" priority="85">
      <formula>AND(OR($F41="No",$F41=""), $E41= "Yes",$G41&lt;&gt;"",$H41&lt;&gt;"")</formula>
    </cfRule>
    <cfRule type="expression" dxfId="270" priority="86">
      <formula>AND(OR($E41="No",$E41=""), $F41= "Yes",$G41&lt;&gt;"",$H41&lt;&gt;"")</formula>
    </cfRule>
  </conditionalFormatting>
  <conditionalFormatting sqref="G53:H53">
    <cfRule type="expression" dxfId="269" priority="75">
      <formula>AND(OR($F53="No",$F53=""), $E53= "Yes",$G53&lt;&gt;"",$H53&lt;&gt;"")</formula>
    </cfRule>
  </conditionalFormatting>
  <conditionalFormatting sqref="E53:F53">
    <cfRule type="expression" dxfId="268" priority="73">
      <formula>AND(OR($F53="No",$F53=""), $E53= "Yes",$G53&lt;&gt;"",$H53&lt;&gt;"")</formula>
    </cfRule>
    <cfRule type="expression" dxfId="267" priority="74">
      <formula>AND(OR($E53="No",$E53=""), $F53= "Yes",$G53&lt;&gt;"",$H53&lt;&gt;"")</formula>
    </cfRule>
  </conditionalFormatting>
  <conditionalFormatting sqref="G54:H54">
    <cfRule type="expression" dxfId="266" priority="72">
      <formula>AND(OR($F54="No",$F54=""), $E54= "Yes",$G54&lt;&gt;"",$H54&lt;&gt;"")</formula>
    </cfRule>
  </conditionalFormatting>
  <conditionalFormatting sqref="E54:F54">
    <cfRule type="expression" dxfId="265" priority="70">
      <formula>AND(OR($F54="No",$F54=""), $E54= "Yes",$G54&lt;&gt;"",$H54&lt;&gt;"")</formula>
    </cfRule>
    <cfRule type="expression" dxfId="264" priority="71">
      <formula>AND(OR($E54="No",$E54=""), $F54= "Yes",$G54&lt;&gt;"",$H54&lt;&gt;"")</formula>
    </cfRule>
  </conditionalFormatting>
  <conditionalFormatting sqref="G55:H55">
    <cfRule type="expression" dxfId="263" priority="69">
      <formula>AND(OR($F55="No",$F55=""), $E55= "Yes",$G55&lt;&gt;"",$H55&lt;&gt;"")</formula>
    </cfRule>
  </conditionalFormatting>
  <conditionalFormatting sqref="E55:F55">
    <cfRule type="expression" dxfId="262" priority="67">
      <formula>AND(OR($F55="No",$F55=""), $E55= "Yes",$G55&lt;&gt;"",$H55&lt;&gt;"")</formula>
    </cfRule>
    <cfRule type="expression" dxfId="261" priority="68">
      <formula>AND(OR($E55="No",$E55=""), $F55= "Yes",$G55&lt;&gt;"",$H55&lt;&gt;"")</formula>
    </cfRule>
  </conditionalFormatting>
  <conditionalFormatting sqref="G45:H45">
    <cfRule type="expression" dxfId="260" priority="63">
      <formula>AND(OR($F45="No",$F45=""), $E45= "Yes",$G45&lt;&gt;"",$H45&lt;&gt;"")</formula>
    </cfRule>
  </conditionalFormatting>
  <conditionalFormatting sqref="E45:F45">
    <cfRule type="expression" dxfId="259" priority="61">
      <formula>AND(OR($F45="No",$F45=""), $E45= "Yes",$G45&lt;&gt;"",$H45&lt;&gt;"")</formula>
    </cfRule>
    <cfRule type="expression" dxfId="258" priority="62">
      <formula>AND(OR($E45="No",$E45=""), $F45= "Yes",$G45&lt;&gt;"",$H45&lt;&gt;"")</formula>
    </cfRule>
  </conditionalFormatting>
  <conditionalFormatting sqref="G40:H40">
    <cfRule type="expression" dxfId="257" priority="53">
      <formula>AND(OR($F40="No",$F40=""), $E40= "Yes",$G40&lt;&gt;"",$H40&lt;&gt;"")</formula>
    </cfRule>
  </conditionalFormatting>
  <conditionalFormatting sqref="E40:F40">
    <cfRule type="expression" dxfId="256" priority="51">
      <formula>AND(OR($F40="No",$F40=""), $E40= "Yes",$G40&lt;&gt;"",$H40&lt;&gt;"")</formula>
    </cfRule>
    <cfRule type="expression" dxfId="255" priority="52">
      <formula>AND(OR($E40="No",$E40=""), $F40= "Yes",$G40&lt;&gt;"",$H40&lt;&gt;"")</formula>
    </cfRule>
  </conditionalFormatting>
  <conditionalFormatting sqref="G38:H38">
    <cfRule type="expression" dxfId="254" priority="50">
      <formula>AND(OR($F38="No",$F38=""), $E38= "Yes",$G38&lt;&gt;"",$H38&lt;&gt;"")</formula>
    </cfRule>
  </conditionalFormatting>
  <conditionalFormatting sqref="E38:F38">
    <cfRule type="expression" dxfId="253" priority="48">
      <formula>AND(OR($F38="No",$F38=""), $E38= "Yes",$G38&lt;&gt;"",$H38&lt;&gt;"")</formula>
    </cfRule>
    <cfRule type="expression" dxfId="252" priority="49">
      <formula>AND(OR($E38="No",$E38=""), $F38= "Yes",$G38&lt;&gt;"",$H38&lt;&gt;"")</formula>
    </cfRule>
  </conditionalFormatting>
  <conditionalFormatting sqref="G64:H64">
    <cfRule type="expression" dxfId="251" priority="47">
      <formula>AND(OR($F64="No",$F64=""), $E64= "Yes",$G64&lt;&gt;"",$H64&lt;&gt;"")</formula>
    </cfRule>
  </conditionalFormatting>
  <conditionalFormatting sqref="E64:F64">
    <cfRule type="expression" dxfId="250" priority="45">
      <formula>AND(OR($F64="No",$F64=""), $E64= "Yes",$G64&lt;&gt;"",$H64&lt;&gt;"")</formula>
    </cfRule>
    <cfRule type="expression" dxfId="249" priority="46">
      <formula>AND(OR($E64="No",$E64=""), $F64= "Yes",$G64&lt;&gt;"",$H64&lt;&gt;"")</formula>
    </cfRule>
  </conditionalFormatting>
  <conditionalFormatting sqref="G61:H61">
    <cfRule type="expression" dxfId="248" priority="44">
      <formula>AND(OR($F61="No",$F61=""), $E61= "Yes",$G61&lt;&gt;"",$H61&lt;&gt;"")</formula>
    </cfRule>
  </conditionalFormatting>
  <conditionalFormatting sqref="E61:F61">
    <cfRule type="expression" dxfId="247" priority="42">
      <formula>AND(OR($F61="No",$F61=""), $E61= "Yes",$G61&lt;&gt;"",$H61&lt;&gt;"")</formula>
    </cfRule>
    <cfRule type="expression" dxfId="246" priority="43">
      <formula>AND(OR($E61="No",$E61=""), $F61= "Yes",$G61&lt;&gt;"",$H61&lt;&gt;"")</formula>
    </cfRule>
  </conditionalFormatting>
  <conditionalFormatting sqref="G63:H63">
    <cfRule type="expression" dxfId="245" priority="41">
      <formula>AND(OR($F63="No",$F63=""), $E63= "Yes",$G63&lt;&gt;"",$H63&lt;&gt;"")</formula>
    </cfRule>
  </conditionalFormatting>
  <conditionalFormatting sqref="E63:F63">
    <cfRule type="expression" dxfId="244" priority="39">
      <formula>AND(OR($F63="No",$F63=""), $E63= "Yes",$G63&lt;&gt;"",$H63&lt;&gt;"")</formula>
    </cfRule>
    <cfRule type="expression" dxfId="243" priority="40">
      <formula>AND(OR($E63="No",$E63=""), $F63= "Yes",$G63&lt;&gt;"",$H63&lt;&gt;"")</formula>
    </cfRule>
  </conditionalFormatting>
  <conditionalFormatting sqref="G58:H58">
    <cfRule type="expression" dxfId="242" priority="38">
      <formula>AND(OR($F58="No",$F58=""), $E58= "Yes",$G58&lt;&gt;"",$H58&lt;&gt;"")</formula>
    </cfRule>
  </conditionalFormatting>
  <conditionalFormatting sqref="E58:F58">
    <cfRule type="expression" dxfId="241" priority="36">
      <formula>AND(OR($F58="No",$F58=""), $E58= "Yes",$G58&lt;&gt;"",$H58&lt;&gt;"")</formula>
    </cfRule>
    <cfRule type="expression" dxfId="240" priority="37">
      <formula>AND(OR($E58="No",$E58=""), $F58= "Yes",$G58&lt;&gt;"",$H58&lt;&gt;"")</formula>
    </cfRule>
  </conditionalFormatting>
  <conditionalFormatting sqref="G59:H59">
    <cfRule type="expression" dxfId="239" priority="35">
      <formula>AND(OR($F59="No",$F59=""), $E59= "Yes",$G59&lt;&gt;"",$H59&lt;&gt;"")</formula>
    </cfRule>
  </conditionalFormatting>
  <conditionalFormatting sqref="E59:F59">
    <cfRule type="expression" dxfId="238" priority="33">
      <formula>AND(OR($F59="No",$F59=""), $E59= "Yes",$G59&lt;&gt;"",$H59&lt;&gt;"")</formula>
    </cfRule>
    <cfRule type="expression" dxfId="237" priority="34">
      <formula>AND(OR($E59="No",$E59=""), $F59= "Yes",$G59&lt;&gt;"",$H59&lt;&gt;"")</formula>
    </cfRule>
  </conditionalFormatting>
  <conditionalFormatting sqref="G43:H43">
    <cfRule type="expression" dxfId="236" priority="32">
      <formula>AND(OR($F43="No",$F43=""), $E43= "Yes",$G43&lt;&gt;"",$H43&lt;&gt;"")</formula>
    </cfRule>
  </conditionalFormatting>
  <conditionalFormatting sqref="E43:F43">
    <cfRule type="expression" dxfId="235" priority="30">
      <formula>AND(OR($F43="No",$F43=""), $E43= "Yes",$G43&lt;&gt;"",$H43&lt;&gt;"")</formula>
    </cfRule>
    <cfRule type="expression" dxfId="234" priority="31">
      <formula>AND(OR($E43="No",$E43=""), $F43= "Yes",$G43&lt;&gt;"",$H43&lt;&gt;"")</formula>
    </cfRule>
  </conditionalFormatting>
  <conditionalFormatting sqref="G69:H69">
    <cfRule type="expression" dxfId="233" priority="29">
      <formula>AND(OR($F69="No",$F69=""), $E69= "Yes",$G69&lt;&gt;"",$H69&lt;&gt;"")</formula>
    </cfRule>
  </conditionalFormatting>
  <conditionalFormatting sqref="E69:F69">
    <cfRule type="expression" dxfId="232" priority="27">
      <formula>AND(OR($F69="No",$F69=""), $E69= "Yes",$G69&lt;&gt;"",$H69&lt;&gt;"")</formula>
    </cfRule>
    <cfRule type="expression" dxfId="231" priority="28">
      <formula>AND(OR($E69="No",$E69=""), $F69= "Yes",$G69&lt;&gt;"",$H69&lt;&gt;"")</formula>
    </cfRule>
  </conditionalFormatting>
  <conditionalFormatting sqref="G19:H22">
    <cfRule type="expression" dxfId="230" priority="26">
      <formula>AND(OR($F19="No",$F19=""), $E19= "Yes",$G19&lt;&gt;"",$H19&lt;&gt;"")</formula>
    </cfRule>
  </conditionalFormatting>
  <conditionalFormatting sqref="E19:F22">
    <cfRule type="expression" dxfId="229" priority="24">
      <formula>AND(OR($F19="No",$F19=""), $E19= "Yes",$G19&lt;&gt;"",$H19&lt;&gt;"")</formula>
    </cfRule>
    <cfRule type="expression" dxfId="228" priority="25">
      <formula>AND(OR($E19="No",$E19=""), $F19= "Yes",$G19&lt;&gt;"",$H19&lt;&gt;"")</formula>
    </cfRule>
  </conditionalFormatting>
  <conditionalFormatting sqref="G30">
    <cfRule type="expression" dxfId="227" priority="23">
      <formula>AND(OR($F30="No",$F30=""), $E30= "Yes",$G30&lt;&gt;"",$H30&lt;&gt;"")</formula>
    </cfRule>
  </conditionalFormatting>
  <conditionalFormatting sqref="E30:F30">
    <cfRule type="expression" dxfId="226" priority="21">
      <formula>AND(OR($F30="No",$F30=""), $E30= "Yes",$G30&lt;&gt;"",$H30&lt;&gt;"")</formula>
    </cfRule>
    <cfRule type="expression" dxfId="225" priority="22">
      <formula>AND(OR($E30="No",$E30=""), $F30= "Yes",$G30&lt;&gt;"",$H30&lt;&gt;"")</formula>
    </cfRule>
  </conditionalFormatting>
  <conditionalFormatting sqref="H30">
    <cfRule type="expression" dxfId="224" priority="20">
      <formula>AND(OR($F30="No",$F30=""), $E30= "Yes",$G30&lt;&gt;"",$H30&lt;&gt;"")</formula>
    </cfRule>
  </conditionalFormatting>
  <conditionalFormatting sqref="G31">
    <cfRule type="expression" dxfId="223" priority="19">
      <formula>AND(OR($F31="No",$F31=""), $E31= "Yes",$G31&lt;&gt;"",$H31&lt;&gt;"")</formula>
    </cfRule>
  </conditionalFormatting>
  <conditionalFormatting sqref="E31:F31">
    <cfRule type="expression" dxfId="222" priority="17">
      <formula>AND(OR($F31="No",$F31=""), $E31= "Yes",$G31&lt;&gt;"",$H31&lt;&gt;"")</formula>
    </cfRule>
    <cfRule type="expression" dxfId="221" priority="18">
      <formula>AND(OR($E31="No",$E31=""), $F31= "Yes",$G31&lt;&gt;"",$H31&lt;&gt;"")</formula>
    </cfRule>
  </conditionalFormatting>
  <conditionalFormatting sqref="H31">
    <cfRule type="expression" dxfId="220" priority="16">
      <formula>AND(OR($F31="No",$F31=""), $E31= "Yes",$G31&lt;&gt;"",$H31&lt;&gt;"")</formula>
    </cfRule>
  </conditionalFormatting>
  <conditionalFormatting sqref="E32:F32">
    <cfRule type="expression" dxfId="219" priority="14">
      <formula>AND(OR($F32="No",$F32=""), $E32= "Yes",$G32&lt;&gt;"",$H32&lt;&gt;"")</formula>
    </cfRule>
    <cfRule type="expression" dxfId="218" priority="15">
      <formula>AND(OR($E32="No",$E32=""), $F32= "Yes",$G32&lt;&gt;"",$H32&lt;&gt;"")</formula>
    </cfRule>
  </conditionalFormatting>
  <conditionalFormatting sqref="E33:F33">
    <cfRule type="expression" dxfId="217" priority="12">
      <formula>AND(OR($F33="No",$F33=""), $E33= "Yes",$G33&lt;&gt;"",$H33&lt;&gt;"")</formula>
    </cfRule>
    <cfRule type="expression" dxfId="216" priority="13">
      <formula>AND(OR($E33="No",$E33=""), $F33= "Yes",$G33&lt;&gt;"",$H33&lt;&gt;"")</formula>
    </cfRule>
  </conditionalFormatting>
  <conditionalFormatting sqref="A2">
    <cfRule type="expression" dxfId="215" priority="10">
      <formula>AND(OR(#REF!="No",#REF!=""), #REF!= "Yes",#REF!&lt;&gt;"",#REF!&lt;&gt;"")</formula>
    </cfRule>
    <cfRule type="expression" dxfId="214" priority="11">
      <formula>AND(OR(#REF!="No",#REF!=""), #REF!= "Yes",#REF!&lt;&gt;"",#REF!&lt;&gt;"")</formula>
    </cfRule>
  </conditionalFormatting>
  <conditionalFormatting sqref="N3:O12 N29:O64 N15:O27 N66:O87">
    <cfRule type="expression" dxfId="213" priority="9">
      <formula>AND(OR($E3="No",$E3=""), $D3= "Yes",$F3&lt;&gt;"",$G3&lt;&gt;"")</formula>
    </cfRule>
  </conditionalFormatting>
  <conditionalFormatting sqref="N65:O65">
    <cfRule type="expression" dxfId="212" priority="8">
      <formula>AND(OR($F65="No",$F65=""), $E65= "Yes",$G65&lt;&gt;"",$H65&lt;&gt;"")</formula>
    </cfRule>
  </conditionalFormatting>
  <conditionalFormatting sqref="N28:O28">
    <cfRule type="expression" dxfId="211" priority="7">
      <formula>AND(OR($F28="No",$F28=""), $E28= "Yes",$G28&lt;&gt;"",$H28&lt;&gt;"")</formula>
    </cfRule>
  </conditionalFormatting>
  <conditionalFormatting sqref="C13:H14">
    <cfRule type="expression" dxfId="210" priority="5">
      <formula>AND(OR($F13="No",$F13=""), $E13= "Yes",$G13&lt;&gt;"",$H13&lt;&gt;"")</formula>
    </cfRule>
  </conditionalFormatting>
  <conditionalFormatting sqref="N13:O14">
    <cfRule type="expression" dxfId="209" priority="4">
      <formula>AND(OR($E13="No",$E13=""), $D13= "Yes",$F13&lt;&gt;"",$G13&lt;&gt;"")</formula>
    </cfRule>
  </conditionalFormatting>
  <conditionalFormatting sqref="N88:O88">
    <cfRule type="expression" dxfId="208" priority="3">
      <formula>AND(OR($E88="No",$E88=""), $D88= "Yes",$F88&lt;&gt;"",$G88&lt;&gt;"")</formula>
    </cfRule>
  </conditionalFormatting>
  <conditionalFormatting sqref="E88:H88">
    <cfRule type="expression" dxfId="207" priority="2">
      <formula>AND(OR($F88="No",$F88=""), $E88= "Yes",$G88&lt;&gt;"",$H88&lt;&gt;"")</formula>
    </cfRule>
  </conditionalFormatting>
  <conditionalFormatting sqref="D75">
    <cfRule type="expression" dxfId="206" priority="1">
      <formula>AND(OR($F75="No",$F75=""), $E75= "Yes",$G75&lt;&gt;"",$H75&lt;&gt;"")</formula>
    </cfRule>
  </conditionalFormatting>
  <dataValidations count="2">
    <dataValidation type="list" allowBlank="1" showInputMessage="1" showErrorMessage="1" sqref="B3:B30" xr:uid="{7440A30A-DB6C-42D9-A74A-83096DA13796}">
      <formula1>"Phase 1, Phase 2, Phase 3, Phase 4, "</formula1>
    </dataValidation>
    <dataValidation type="list" allowBlank="1" showInputMessage="1" showErrorMessage="1" sqref="F15:F18 F11:F12 E3:E18 E19:F87" xr:uid="{DC18D1DE-4330-45F8-AA50-116294833802}">
      <formula1>"Yes, No"</formula1>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dimension ref="A1:O180"/>
  <sheetViews>
    <sheetView zoomScale="60" zoomScaleNormal="60" workbookViewId="0">
      <pane ySplit="2" topLeftCell="A3" activePane="bottomLeft" state="frozen"/>
      <selection pane="bottomLeft" activeCell="I3" sqref="I3:M41"/>
    </sheetView>
  </sheetViews>
  <sheetFormatPr defaultRowHeight="15" x14ac:dyDescent="0.2"/>
  <cols>
    <col min="1" max="1" width="8.88671875" style="3" customWidth="1"/>
    <col min="2" max="2" width="7.77734375" style="22" customWidth="1"/>
    <col min="3" max="3" width="60.77734375" style="22" customWidth="1"/>
    <col min="4" max="4" width="38.77734375" style="22" customWidth="1"/>
    <col min="5" max="5" width="11.33203125" style="22" customWidth="1"/>
    <col min="6" max="6" width="12" style="22" customWidth="1"/>
    <col min="7" max="7" width="38.77734375" style="22" customWidth="1"/>
    <col min="8" max="8" width="14.77734375" style="22" customWidth="1"/>
    <col min="9" max="10" width="10.33203125" style="22" customWidth="1"/>
    <col min="11" max="11" width="8.88671875" style="3" customWidth="1"/>
    <col min="12" max="12" width="16.88671875" style="22" customWidth="1"/>
    <col min="13" max="13" width="8.88671875" style="3" customWidth="1"/>
    <col min="14" max="14" width="10" style="3" customWidth="1"/>
    <col min="15" max="17" width="8.88671875" style="3" customWidth="1"/>
    <col min="18" max="16384" width="8.88671875" style="3"/>
  </cols>
  <sheetData>
    <row r="1" spans="1:15" ht="21" customHeight="1" thickBot="1" x14ac:dyDescent="0.25">
      <c r="B1" s="88" t="s">
        <v>44</v>
      </c>
      <c r="C1" s="62" t="s">
        <v>711</v>
      </c>
      <c r="D1" s="23"/>
      <c r="E1" s="23"/>
      <c r="F1" s="23"/>
      <c r="G1" s="23"/>
      <c r="H1" s="23"/>
      <c r="I1" s="23"/>
      <c r="J1" s="23"/>
      <c r="K1" s="22"/>
      <c r="L1" s="23"/>
    </row>
    <row r="2" spans="1:15" s="10" customFormat="1" ht="87.95" customHeight="1" thickBot="1" x14ac:dyDescent="0.25">
      <c r="A2" s="50" t="s">
        <v>38</v>
      </c>
      <c r="B2" s="64" t="s">
        <v>39</v>
      </c>
      <c r="C2" s="65" t="s">
        <v>40</v>
      </c>
      <c r="D2" s="66" t="s">
        <v>41</v>
      </c>
      <c r="E2" s="67" t="s">
        <v>24</v>
      </c>
      <c r="F2" s="67" t="s">
        <v>20</v>
      </c>
      <c r="G2" s="68" t="s">
        <v>42</v>
      </c>
      <c r="H2" s="68" t="s">
        <v>43</v>
      </c>
      <c r="I2" s="63" t="s">
        <v>46</v>
      </c>
      <c r="J2" s="63" t="s">
        <v>47</v>
      </c>
      <c r="K2" s="63" t="s">
        <v>48</v>
      </c>
      <c r="L2" s="63" t="s">
        <v>49</v>
      </c>
      <c r="M2" s="63" t="s">
        <v>50</v>
      </c>
      <c r="N2" s="63" t="s">
        <v>51</v>
      </c>
      <c r="O2" s="63" t="s">
        <v>52</v>
      </c>
    </row>
    <row r="3" spans="1:15" s="101" customFormat="1" ht="54" customHeight="1" thickTop="1" thickBot="1" x14ac:dyDescent="0.25">
      <c r="A3" s="72"/>
      <c r="B3" s="92" t="s">
        <v>11</v>
      </c>
      <c r="C3" s="93" t="s">
        <v>712</v>
      </c>
      <c r="D3" s="93" t="s">
        <v>447</v>
      </c>
      <c r="E3" s="93" t="s">
        <v>12</v>
      </c>
      <c r="F3" s="93" t="s">
        <v>22</v>
      </c>
      <c r="G3" s="93" t="s">
        <v>55</v>
      </c>
      <c r="H3" s="95" t="s">
        <v>55</v>
      </c>
      <c r="I3" s="94" t="s">
        <v>56</v>
      </c>
      <c r="J3" s="94" t="s">
        <v>57</v>
      </c>
      <c r="K3" s="94">
        <v>0</v>
      </c>
      <c r="L3" s="94" t="s">
        <v>62</v>
      </c>
      <c r="M3" s="94" t="s">
        <v>63</v>
      </c>
      <c r="N3" s="93">
        <v>1</v>
      </c>
      <c r="O3" s="96">
        <v>1.3888888888888889E-3</v>
      </c>
    </row>
    <row r="4" spans="1:15" s="101" customFormat="1" ht="54" customHeight="1" thickTop="1" thickBot="1" x14ac:dyDescent="0.25">
      <c r="A4" s="72"/>
      <c r="B4" s="73" t="s">
        <v>11</v>
      </c>
      <c r="C4" s="74" t="s">
        <v>713</v>
      </c>
      <c r="D4" s="74" t="s">
        <v>714</v>
      </c>
      <c r="E4" s="74" t="s">
        <v>12</v>
      </c>
      <c r="F4" s="74" t="s">
        <v>22</v>
      </c>
      <c r="G4" s="74" t="s">
        <v>55</v>
      </c>
      <c r="H4" s="85" t="s">
        <v>55</v>
      </c>
      <c r="I4" s="94" t="s">
        <v>56</v>
      </c>
      <c r="J4" s="94" t="s">
        <v>57</v>
      </c>
      <c r="K4" s="94">
        <v>0</v>
      </c>
      <c r="L4" s="94" t="s">
        <v>88</v>
      </c>
      <c r="M4" s="94" t="s">
        <v>59</v>
      </c>
      <c r="N4" s="74">
        <v>1</v>
      </c>
      <c r="O4" s="77">
        <v>2.0833333333333333E-3</v>
      </c>
    </row>
    <row r="5" spans="1:15" s="101" customFormat="1" ht="54" customHeight="1" thickTop="1" thickBot="1" x14ac:dyDescent="0.25">
      <c r="A5" s="72"/>
      <c r="B5" s="78" t="s">
        <v>11</v>
      </c>
      <c r="C5" s="79" t="s">
        <v>715</v>
      </c>
      <c r="D5" s="79" t="s">
        <v>451</v>
      </c>
      <c r="E5" s="79" t="s">
        <v>12</v>
      </c>
      <c r="F5" s="79" t="s">
        <v>22</v>
      </c>
      <c r="G5" s="79" t="s">
        <v>55</v>
      </c>
      <c r="H5" s="86" t="s">
        <v>55</v>
      </c>
      <c r="I5" s="94" t="s">
        <v>56</v>
      </c>
      <c r="J5" s="94" t="s">
        <v>57</v>
      </c>
      <c r="K5" s="94">
        <v>0</v>
      </c>
      <c r="L5" s="94" t="s">
        <v>93</v>
      </c>
      <c r="M5" s="94" t="s">
        <v>59</v>
      </c>
      <c r="N5" s="79">
        <v>1</v>
      </c>
      <c r="O5" s="83">
        <v>1.0416666666666667E-3</v>
      </c>
    </row>
    <row r="6" spans="1:15" s="101" customFormat="1" ht="54" customHeight="1" thickTop="1" thickBot="1" x14ac:dyDescent="0.25">
      <c r="A6" s="72"/>
      <c r="B6" s="92" t="s">
        <v>14</v>
      </c>
      <c r="C6" s="93" t="s">
        <v>716</v>
      </c>
      <c r="D6" s="93" t="s">
        <v>717</v>
      </c>
      <c r="E6" s="94" t="s">
        <v>12</v>
      </c>
      <c r="F6" s="94" t="s">
        <v>22</v>
      </c>
      <c r="G6" s="93" t="s">
        <v>126</v>
      </c>
      <c r="H6" s="95">
        <v>45671</v>
      </c>
      <c r="I6" s="94" t="s">
        <v>127</v>
      </c>
      <c r="J6" s="94" t="s">
        <v>128</v>
      </c>
      <c r="K6" s="94">
        <v>0</v>
      </c>
      <c r="L6" s="94" t="s">
        <v>129</v>
      </c>
      <c r="M6" s="94" t="s">
        <v>101</v>
      </c>
      <c r="N6" s="93">
        <v>4</v>
      </c>
      <c r="O6" s="96">
        <v>1.736111111111111E-3</v>
      </c>
    </row>
    <row r="7" spans="1:15" s="101" customFormat="1" ht="54" customHeight="1" thickTop="1" thickBot="1" x14ac:dyDescent="0.25">
      <c r="A7" s="72"/>
      <c r="B7" s="73" t="s">
        <v>14</v>
      </c>
      <c r="C7" s="74" t="s">
        <v>718</v>
      </c>
      <c r="D7" s="74" t="s">
        <v>719</v>
      </c>
      <c r="E7" s="75" t="s">
        <v>12</v>
      </c>
      <c r="F7" s="75" t="s">
        <v>22</v>
      </c>
      <c r="G7" s="74" t="s">
        <v>720</v>
      </c>
      <c r="H7" s="85">
        <v>45674</v>
      </c>
      <c r="I7" s="94" t="s">
        <v>127</v>
      </c>
      <c r="J7" s="94" t="s">
        <v>128</v>
      </c>
      <c r="K7" s="94">
        <v>0</v>
      </c>
      <c r="L7" s="94" t="s">
        <v>129</v>
      </c>
      <c r="M7" s="94" t="s">
        <v>101</v>
      </c>
      <c r="N7" s="74">
        <v>4</v>
      </c>
      <c r="O7" s="77">
        <v>1.736111111111111E-3</v>
      </c>
    </row>
    <row r="8" spans="1:15" s="101" customFormat="1" ht="54" customHeight="1" thickTop="1" thickBot="1" x14ac:dyDescent="0.25">
      <c r="A8" s="72"/>
      <c r="B8" s="73" t="s">
        <v>14</v>
      </c>
      <c r="C8" s="74" t="s">
        <v>721</v>
      </c>
      <c r="D8" s="74" t="s">
        <v>722</v>
      </c>
      <c r="E8" s="75" t="s">
        <v>12</v>
      </c>
      <c r="F8" s="75" t="s">
        <v>22</v>
      </c>
      <c r="G8" s="74" t="s">
        <v>126</v>
      </c>
      <c r="H8" s="76">
        <v>45671</v>
      </c>
      <c r="I8" s="94" t="s">
        <v>127</v>
      </c>
      <c r="J8" s="94" t="s">
        <v>128</v>
      </c>
      <c r="K8" s="94">
        <v>0</v>
      </c>
      <c r="L8" s="94" t="s">
        <v>129</v>
      </c>
      <c r="M8" s="94" t="s">
        <v>101</v>
      </c>
      <c r="N8" s="74">
        <v>4</v>
      </c>
      <c r="O8" s="77">
        <v>1.736111111111111E-3</v>
      </c>
    </row>
    <row r="9" spans="1:15" s="101" customFormat="1" ht="54" customHeight="1" thickTop="1" thickBot="1" x14ac:dyDescent="0.25">
      <c r="A9" s="72"/>
      <c r="B9" s="73" t="s">
        <v>14</v>
      </c>
      <c r="C9" s="74" t="s">
        <v>723</v>
      </c>
      <c r="D9" s="74" t="s">
        <v>724</v>
      </c>
      <c r="E9" s="75" t="s">
        <v>12</v>
      </c>
      <c r="F9" s="75" t="s">
        <v>22</v>
      </c>
      <c r="G9" s="75" t="s">
        <v>233</v>
      </c>
      <c r="H9" s="76">
        <v>45709</v>
      </c>
      <c r="I9" s="94" t="s">
        <v>127</v>
      </c>
      <c r="J9" s="94" t="s">
        <v>128</v>
      </c>
      <c r="K9" s="94">
        <v>0</v>
      </c>
      <c r="L9" s="94" t="s">
        <v>129</v>
      </c>
      <c r="M9" s="94" t="s">
        <v>101</v>
      </c>
      <c r="N9" s="74">
        <v>4</v>
      </c>
      <c r="O9" s="77">
        <v>1.736111111111111E-3</v>
      </c>
    </row>
    <row r="10" spans="1:15" s="101" customFormat="1" ht="54" customHeight="1" thickTop="1" thickBot="1" x14ac:dyDescent="0.25">
      <c r="A10" s="72"/>
      <c r="B10" s="73" t="s">
        <v>14</v>
      </c>
      <c r="C10" s="74" t="s">
        <v>725</v>
      </c>
      <c r="D10" s="74" t="s">
        <v>461</v>
      </c>
      <c r="E10" s="75" t="s">
        <v>12</v>
      </c>
      <c r="F10" s="75" t="s">
        <v>22</v>
      </c>
      <c r="G10" s="75" t="s">
        <v>183</v>
      </c>
      <c r="H10" s="76">
        <v>45674</v>
      </c>
      <c r="I10" s="94" t="s">
        <v>127</v>
      </c>
      <c r="J10" s="94" t="s">
        <v>57</v>
      </c>
      <c r="K10" s="94">
        <v>0</v>
      </c>
      <c r="L10" s="94" t="s">
        <v>462</v>
      </c>
      <c r="M10" s="94" t="s">
        <v>117</v>
      </c>
      <c r="N10" s="74">
        <v>1</v>
      </c>
      <c r="O10" s="77">
        <v>6.9444444444444447E-4</v>
      </c>
    </row>
    <row r="11" spans="1:15" s="101" customFormat="1" ht="54" customHeight="1" thickTop="1" thickBot="1" x14ac:dyDescent="0.25">
      <c r="A11" s="72"/>
      <c r="B11" s="73" t="s">
        <v>14</v>
      </c>
      <c r="C11" s="74" t="s">
        <v>726</v>
      </c>
      <c r="D11" s="74" t="s">
        <v>464</v>
      </c>
      <c r="E11" s="75" t="s">
        <v>12</v>
      </c>
      <c r="F11" s="75" t="s">
        <v>22</v>
      </c>
      <c r="G11" s="74" t="s">
        <v>720</v>
      </c>
      <c r="H11" s="85">
        <v>45674</v>
      </c>
      <c r="I11" s="94" t="s">
        <v>56</v>
      </c>
      <c r="J11" s="94" t="s">
        <v>128</v>
      </c>
      <c r="K11" s="94">
        <v>0</v>
      </c>
      <c r="L11" s="94" t="s">
        <v>153</v>
      </c>
      <c r="M11" s="94" t="s">
        <v>154</v>
      </c>
      <c r="N11" s="74">
        <v>2</v>
      </c>
      <c r="O11" s="77">
        <v>4.6296296296296293E-4</v>
      </c>
    </row>
    <row r="12" spans="1:15" s="101" customFormat="1" ht="54" customHeight="1" thickTop="1" thickBot="1" x14ac:dyDescent="0.25">
      <c r="A12" s="72"/>
      <c r="B12" s="73" t="s">
        <v>14</v>
      </c>
      <c r="C12" s="74" t="s">
        <v>727</v>
      </c>
      <c r="D12" s="74" t="s">
        <v>466</v>
      </c>
      <c r="E12" s="75" t="s">
        <v>12</v>
      </c>
      <c r="F12" s="75" t="s">
        <v>22</v>
      </c>
      <c r="G12" s="75" t="s">
        <v>233</v>
      </c>
      <c r="H12" s="76">
        <v>45709</v>
      </c>
      <c r="I12" s="94" t="s">
        <v>56</v>
      </c>
      <c r="J12" s="94" t="s">
        <v>128</v>
      </c>
      <c r="K12" s="94">
        <v>0</v>
      </c>
      <c r="L12" s="94" t="s">
        <v>153</v>
      </c>
      <c r="M12" s="94" t="s">
        <v>154</v>
      </c>
      <c r="N12" s="74">
        <v>2</v>
      </c>
      <c r="O12" s="77">
        <v>4.6296296296296293E-4</v>
      </c>
    </row>
    <row r="13" spans="1:15" s="101" customFormat="1" ht="54" customHeight="1" thickTop="1" thickBot="1" x14ac:dyDescent="0.25">
      <c r="A13" s="72"/>
      <c r="B13" s="78" t="s">
        <v>14</v>
      </c>
      <c r="C13" s="79" t="s">
        <v>728</v>
      </c>
      <c r="D13" s="79" t="s">
        <v>468</v>
      </c>
      <c r="E13" s="82" t="s">
        <v>12</v>
      </c>
      <c r="F13" s="82" t="s">
        <v>22</v>
      </c>
      <c r="G13" s="79" t="s">
        <v>168</v>
      </c>
      <c r="H13" s="86">
        <v>45675</v>
      </c>
      <c r="I13" s="94" t="s">
        <v>84</v>
      </c>
      <c r="J13" s="94" t="s">
        <v>57</v>
      </c>
      <c r="K13" s="94">
        <v>0</v>
      </c>
      <c r="L13" s="94" t="s">
        <v>470</v>
      </c>
      <c r="M13" s="94" t="s">
        <v>101</v>
      </c>
      <c r="N13" s="79">
        <v>1</v>
      </c>
      <c r="O13" s="83">
        <v>6.9444444444444447E-4</v>
      </c>
    </row>
    <row r="14" spans="1:15" s="101" customFormat="1" ht="54" customHeight="1" thickTop="1" thickBot="1" x14ac:dyDescent="0.25">
      <c r="A14" s="72"/>
      <c r="B14" s="92" t="s">
        <v>17</v>
      </c>
      <c r="C14" s="93" t="s">
        <v>729</v>
      </c>
      <c r="D14" s="93" t="s">
        <v>197</v>
      </c>
      <c r="E14" s="94" t="s">
        <v>12</v>
      </c>
      <c r="F14" s="94" t="s">
        <v>22</v>
      </c>
      <c r="G14" s="94" t="s">
        <v>198</v>
      </c>
      <c r="H14" s="98">
        <v>45673</v>
      </c>
      <c r="I14" s="94" t="s">
        <v>127</v>
      </c>
      <c r="J14" s="94" t="s">
        <v>128</v>
      </c>
      <c r="K14" s="94">
        <v>0</v>
      </c>
      <c r="L14" s="94" t="s">
        <v>199</v>
      </c>
      <c r="M14" s="94" t="s">
        <v>195</v>
      </c>
      <c r="N14" s="93">
        <v>1</v>
      </c>
      <c r="O14" s="96">
        <v>3.4722222222222224E-4</v>
      </c>
    </row>
    <row r="15" spans="1:15" s="101" customFormat="1" ht="54" customHeight="1" thickTop="1" thickBot="1" x14ac:dyDescent="0.25">
      <c r="A15" s="72"/>
      <c r="B15" s="73" t="s">
        <v>17</v>
      </c>
      <c r="C15" s="74" t="s">
        <v>730</v>
      </c>
      <c r="D15" s="74" t="s">
        <v>197</v>
      </c>
      <c r="E15" s="75" t="s">
        <v>12</v>
      </c>
      <c r="F15" s="75" t="s">
        <v>22</v>
      </c>
      <c r="G15" s="75" t="s">
        <v>198</v>
      </c>
      <c r="H15" s="76">
        <v>45673</v>
      </c>
      <c r="I15" s="94" t="s">
        <v>127</v>
      </c>
      <c r="J15" s="94" t="s">
        <v>128</v>
      </c>
      <c r="K15" s="94">
        <v>0</v>
      </c>
      <c r="L15" s="94" t="s">
        <v>199</v>
      </c>
      <c r="M15" s="94" t="s">
        <v>195</v>
      </c>
      <c r="N15" s="74">
        <v>1</v>
      </c>
      <c r="O15" s="77">
        <v>3.4722222222222224E-4</v>
      </c>
    </row>
    <row r="16" spans="1:15" s="101" customFormat="1" ht="54" customHeight="1" thickTop="1" thickBot="1" x14ac:dyDescent="0.25">
      <c r="A16" s="72"/>
      <c r="B16" s="73" t="s">
        <v>17</v>
      </c>
      <c r="C16" s="74" t="s">
        <v>731</v>
      </c>
      <c r="D16" s="74" t="s">
        <v>813</v>
      </c>
      <c r="E16" s="75" t="s">
        <v>12</v>
      </c>
      <c r="F16" s="75" t="s">
        <v>22</v>
      </c>
      <c r="G16" s="74" t="s">
        <v>202</v>
      </c>
      <c r="H16" s="85">
        <v>45672</v>
      </c>
      <c r="I16" s="94" t="s">
        <v>84</v>
      </c>
      <c r="J16" s="94" t="s">
        <v>128</v>
      </c>
      <c r="K16" s="94">
        <v>0</v>
      </c>
      <c r="L16" s="94" t="s">
        <v>203</v>
      </c>
      <c r="M16" s="94" t="s">
        <v>806</v>
      </c>
      <c r="N16" s="74">
        <v>1</v>
      </c>
      <c r="O16" s="77">
        <v>3.4722222222222224E-4</v>
      </c>
    </row>
    <row r="17" spans="1:15" s="101" customFormat="1" ht="54" customHeight="1" thickTop="1" thickBot="1" x14ac:dyDescent="0.25">
      <c r="A17" s="72"/>
      <c r="B17" s="73" t="s">
        <v>17</v>
      </c>
      <c r="C17" s="74" t="s">
        <v>732</v>
      </c>
      <c r="D17" s="74" t="s">
        <v>205</v>
      </c>
      <c r="E17" s="75" t="s">
        <v>12</v>
      </c>
      <c r="F17" s="75" t="s">
        <v>22</v>
      </c>
      <c r="G17" s="74" t="s">
        <v>701</v>
      </c>
      <c r="H17" s="85">
        <v>45673</v>
      </c>
      <c r="I17" s="94" t="s">
        <v>127</v>
      </c>
      <c r="J17" s="94" t="s">
        <v>128</v>
      </c>
      <c r="K17" s="94">
        <v>0</v>
      </c>
      <c r="L17" s="94" t="s">
        <v>207</v>
      </c>
      <c r="M17" s="94" t="s">
        <v>806</v>
      </c>
      <c r="N17" s="74">
        <v>1</v>
      </c>
      <c r="O17" s="77">
        <v>5.7870370370370378E-4</v>
      </c>
    </row>
    <row r="18" spans="1:15" s="101" customFormat="1" ht="54" customHeight="1" thickTop="1" thickBot="1" x14ac:dyDescent="0.25">
      <c r="A18" s="72"/>
      <c r="B18" s="73" t="s">
        <v>17</v>
      </c>
      <c r="C18" s="74" t="s">
        <v>733</v>
      </c>
      <c r="D18" s="74" t="s">
        <v>209</v>
      </c>
      <c r="E18" s="75" t="s">
        <v>12</v>
      </c>
      <c r="F18" s="75" t="s">
        <v>22</v>
      </c>
      <c r="G18" s="75" t="s">
        <v>702</v>
      </c>
      <c r="H18" s="76">
        <v>45673</v>
      </c>
      <c r="I18" s="94" t="s">
        <v>127</v>
      </c>
      <c r="J18" s="94" t="s">
        <v>128</v>
      </c>
      <c r="K18" s="94">
        <v>0</v>
      </c>
      <c r="L18" s="94" t="s">
        <v>211</v>
      </c>
      <c r="M18" s="94" t="s">
        <v>195</v>
      </c>
      <c r="N18" s="74">
        <v>2</v>
      </c>
      <c r="O18" s="77">
        <v>6.9444444444444447E-4</v>
      </c>
    </row>
    <row r="19" spans="1:15" s="101" customFormat="1" ht="54" customHeight="1" thickTop="1" thickBot="1" x14ac:dyDescent="0.25">
      <c r="A19" s="72"/>
      <c r="B19" s="73" t="s">
        <v>17</v>
      </c>
      <c r="C19" s="74" t="s">
        <v>734</v>
      </c>
      <c r="D19" s="74" t="s">
        <v>213</v>
      </c>
      <c r="E19" s="75" t="s">
        <v>12</v>
      </c>
      <c r="F19" s="75" t="s">
        <v>22</v>
      </c>
      <c r="G19" s="74" t="s">
        <v>214</v>
      </c>
      <c r="H19" s="85">
        <v>45672</v>
      </c>
      <c r="I19" s="94" t="s">
        <v>56</v>
      </c>
      <c r="J19" s="94" t="s">
        <v>128</v>
      </c>
      <c r="K19" s="94">
        <v>0</v>
      </c>
      <c r="L19" s="94" t="s">
        <v>215</v>
      </c>
      <c r="M19" s="94" t="s">
        <v>195</v>
      </c>
      <c r="N19" s="74">
        <v>1</v>
      </c>
      <c r="O19" s="77">
        <v>3.4722222222222224E-4</v>
      </c>
    </row>
    <row r="20" spans="1:15" s="101" customFormat="1" ht="54" customHeight="1" thickTop="1" thickBot="1" x14ac:dyDescent="0.25">
      <c r="A20" s="72"/>
      <c r="B20" s="73" t="s">
        <v>17</v>
      </c>
      <c r="C20" s="74" t="s">
        <v>735</v>
      </c>
      <c r="D20" s="74" t="s">
        <v>217</v>
      </c>
      <c r="E20" s="75" t="s">
        <v>12</v>
      </c>
      <c r="F20" s="75" t="s">
        <v>22</v>
      </c>
      <c r="G20" s="75" t="s">
        <v>702</v>
      </c>
      <c r="H20" s="76">
        <v>45673</v>
      </c>
      <c r="I20" s="94" t="s">
        <v>127</v>
      </c>
      <c r="J20" s="94" t="s">
        <v>57</v>
      </c>
      <c r="K20" s="94">
        <v>0</v>
      </c>
      <c r="L20" s="94" t="s">
        <v>207</v>
      </c>
      <c r="M20" s="94" t="s">
        <v>195</v>
      </c>
      <c r="N20" s="74">
        <v>1</v>
      </c>
      <c r="O20" s="77">
        <v>1.0416666666666667E-3</v>
      </c>
    </row>
    <row r="21" spans="1:15" s="101" customFormat="1" ht="54" customHeight="1" thickTop="1" thickBot="1" x14ac:dyDescent="0.25">
      <c r="A21" s="72"/>
      <c r="B21" s="73" t="s">
        <v>17</v>
      </c>
      <c r="C21" s="74" t="s">
        <v>736</v>
      </c>
      <c r="D21" s="74" t="s">
        <v>219</v>
      </c>
      <c r="E21" s="75" t="s">
        <v>12</v>
      </c>
      <c r="F21" s="75" t="s">
        <v>22</v>
      </c>
      <c r="G21" s="75" t="s">
        <v>220</v>
      </c>
      <c r="H21" s="76">
        <v>45673</v>
      </c>
      <c r="I21" s="94" t="s">
        <v>127</v>
      </c>
      <c r="J21" s="94" t="s">
        <v>128</v>
      </c>
      <c r="K21" s="94">
        <v>0</v>
      </c>
      <c r="L21" s="94" t="s">
        <v>221</v>
      </c>
      <c r="M21" s="94" t="s">
        <v>195</v>
      </c>
      <c r="N21" s="74">
        <v>1</v>
      </c>
      <c r="O21" s="77">
        <v>1.1574074074074073E-4</v>
      </c>
    </row>
    <row r="22" spans="1:15" s="101" customFormat="1" ht="54" customHeight="1" thickTop="1" thickBot="1" x14ac:dyDescent="0.25">
      <c r="A22" s="72"/>
      <c r="B22" s="73" t="s">
        <v>17</v>
      </c>
      <c r="C22" s="74" t="s">
        <v>737</v>
      </c>
      <c r="D22" s="74" t="s">
        <v>811</v>
      </c>
      <c r="E22" s="75" t="s">
        <v>12</v>
      </c>
      <c r="F22" s="75" t="s">
        <v>22</v>
      </c>
      <c r="G22" s="74" t="s">
        <v>202</v>
      </c>
      <c r="H22" s="85">
        <v>45672</v>
      </c>
      <c r="I22" s="94" t="s">
        <v>84</v>
      </c>
      <c r="J22" s="94" t="s">
        <v>128</v>
      </c>
      <c r="K22" s="94">
        <v>0</v>
      </c>
      <c r="L22" s="94" t="s">
        <v>480</v>
      </c>
      <c r="M22" s="94" t="s">
        <v>806</v>
      </c>
      <c r="N22" s="74">
        <v>1</v>
      </c>
      <c r="O22" s="77">
        <v>3.4722222222222224E-4</v>
      </c>
    </row>
    <row r="23" spans="1:15" s="101" customFormat="1" ht="54" customHeight="1" thickTop="1" thickBot="1" x14ac:dyDescent="0.25">
      <c r="A23" s="72"/>
      <c r="B23" s="73" t="s">
        <v>17</v>
      </c>
      <c r="C23" s="74" t="s">
        <v>738</v>
      </c>
      <c r="D23" s="74" t="s">
        <v>232</v>
      </c>
      <c r="E23" s="75" t="s">
        <v>12</v>
      </c>
      <c r="F23" s="75" t="s">
        <v>22</v>
      </c>
      <c r="G23" s="75" t="s">
        <v>233</v>
      </c>
      <c r="H23" s="76">
        <v>45672</v>
      </c>
      <c r="I23" s="94" t="s">
        <v>127</v>
      </c>
      <c r="J23" s="94" t="s">
        <v>128</v>
      </c>
      <c r="K23" s="94">
        <v>0</v>
      </c>
      <c r="L23" s="94" t="s">
        <v>234</v>
      </c>
      <c r="M23" s="94" t="s">
        <v>195</v>
      </c>
      <c r="N23" s="74">
        <v>1</v>
      </c>
      <c r="O23" s="77">
        <v>6.9444444444444447E-4</v>
      </c>
    </row>
    <row r="24" spans="1:15" s="101" customFormat="1" ht="54" customHeight="1" thickTop="1" thickBot="1" x14ac:dyDescent="0.25">
      <c r="A24" s="72"/>
      <c r="B24" s="73" t="s">
        <v>17</v>
      </c>
      <c r="C24" s="74" t="s">
        <v>739</v>
      </c>
      <c r="D24" s="74" t="s">
        <v>256</v>
      </c>
      <c r="E24" s="75" t="s">
        <v>12</v>
      </c>
      <c r="F24" s="75" t="s">
        <v>22</v>
      </c>
      <c r="G24" s="74" t="s">
        <v>257</v>
      </c>
      <c r="H24" s="85">
        <v>45672</v>
      </c>
      <c r="I24" s="94" t="s">
        <v>56</v>
      </c>
      <c r="J24" s="94" t="s">
        <v>128</v>
      </c>
      <c r="K24" s="94">
        <v>0</v>
      </c>
      <c r="L24" s="94" t="s">
        <v>258</v>
      </c>
      <c r="M24" s="94" t="s">
        <v>195</v>
      </c>
      <c r="N24" s="74">
        <v>1</v>
      </c>
      <c r="O24" s="77">
        <v>3.4722222222222224E-4</v>
      </c>
    </row>
    <row r="25" spans="1:15" s="101" customFormat="1" ht="54" customHeight="1" thickTop="1" thickBot="1" x14ac:dyDescent="0.25">
      <c r="A25" s="72"/>
      <c r="B25" s="73" t="s">
        <v>17</v>
      </c>
      <c r="C25" s="74" t="s">
        <v>740</v>
      </c>
      <c r="D25" s="74" t="s">
        <v>496</v>
      </c>
      <c r="E25" s="75" t="s">
        <v>12</v>
      </c>
      <c r="F25" s="75" t="s">
        <v>22</v>
      </c>
      <c r="G25" s="74" t="s">
        <v>202</v>
      </c>
      <c r="H25" s="85">
        <v>45672</v>
      </c>
      <c r="I25" s="94" t="s">
        <v>84</v>
      </c>
      <c r="J25" s="94" t="s">
        <v>128</v>
      </c>
      <c r="K25" s="94">
        <v>0</v>
      </c>
      <c r="L25" s="94" t="s">
        <v>269</v>
      </c>
      <c r="M25" s="94" t="s">
        <v>806</v>
      </c>
      <c r="N25" s="74">
        <v>1</v>
      </c>
      <c r="O25" s="77">
        <v>3.4722222222222224E-4</v>
      </c>
    </row>
    <row r="26" spans="1:15" s="101" customFormat="1" ht="54" customHeight="1" thickTop="1" thickBot="1" x14ac:dyDescent="0.25">
      <c r="A26" s="72"/>
      <c r="B26" s="73" t="s">
        <v>17</v>
      </c>
      <c r="C26" s="74" t="s">
        <v>741</v>
      </c>
      <c r="D26" s="74" t="s">
        <v>498</v>
      </c>
      <c r="E26" s="75" t="s">
        <v>12</v>
      </c>
      <c r="F26" s="75" t="s">
        <v>22</v>
      </c>
      <c r="G26" s="74" t="s">
        <v>202</v>
      </c>
      <c r="H26" s="85">
        <v>45672</v>
      </c>
      <c r="I26" s="94" t="s">
        <v>84</v>
      </c>
      <c r="J26" s="94" t="s">
        <v>128</v>
      </c>
      <c r="K26" s="94">
        <v>0</v>
      </c>
      <c r="L26" s="94" t="s">
        <v>275</v>
      </c>
      <c r="M26" s="94" t="s">
        <v>806</v>
      </c>
      <c r="N26" s="74">
        <v>1</v>
      </c>
      <c r="O26" s="77">
        <v>6.9444444444444447E-4</v>
      </c>
    </row>
    <row r="27" spans="1:15" s="101" customFormat="1" ht="54" customHeight="1" thickTop="1" thickBot="1" x14ac:dyDescent="0.25">
      <c r="A27" s="72"/>
      <c r="B27" s="73" t="s">
        <v>17</v>
      </c>
      <c r="C27" s="74" t="s">
        <v>742</v>
      </c>
      <c r="D27" s="74" t="s">
        <v>277</v>
      </c>
      <c r="E27" s="75" t="s">
        <v>12</v>
      </c>
      <c r="F27" s="75" t="s">
        <v>22</v>
      </c>
      <c r="G27" s="74" t="s">
        <v>704</v>
      </c>
      <c r="H27" s="85">
        <v>45306</v>
      </c>
      <c r="I27" s="94" t="s">
        <v>56</v>
      </c>
      <c r="J27" s="94" t="s">
        <v>128</v>
      </c>
      <c r="K27" s="94">
        <v>0</v>
      </c>
      <c r="L27" s="94" t="s">
        <v>278</v>
      </c>
      <c r="M27" s="94" t="s">
        <v>195</v>
      </c>
      <c r="N27" s="74">
        <v>1</v>
      </c>
      <c r="O27" s="77">
        <v>3.4722222222222224E-4</v>
      </c>
    </row>
    <row r="28" spans="1:15" s="101" customFormat="1" ht="54" customHeight="1" thickTop="1" thickBot="1" x14ac:dyDescent="0.25">
      <c r="A28" s="72"/>
      <c r="B28" s="73" t="s">
        <v>17</v>
      </c>
      <c r="C28" s="74" t="s">
        <v>743</v>
      </c>
      <c r="D28" s="74" t="s">
        <v>280</v>
      </c>
      <c r="E28" s="75" t="s">
        <v>12</v>
      </c>
      <c r="F28" s="75" t="s">
        <v>22</v>
      </c>
      <c r="G28" s="74" t="s">
        <v>744</v>
      </c>
      <c r="H28" s="85">
        <v>45673</v>
      </c>
      <c r="I28" s="94" t="s">
        <v>127</v>
      </c>
      <c r="J28" s="94" t="s">
        <v>128</v>
      </c>
      <c r="K28" s="94">
        <v>0</v>
      </c>
      <c r="L28" s="94" t="s">
        <v>282</v>
      </c>
      <c r="M28" s="94" t="s">
        <v>195</v>
      </c>
      <c r="N28" s="74">
        <v>1</v>
      </c>
      <c r="O28" s="77">
        <v>6.9444444444444447E-4</v>
      </c>
    </row>
    <row r="29" spans="1:15" s="101" customFormat="1" ht="54" customHeight="1" thickTop="1" thickBot="1" x14ac:dyDescent="0.25">
      <c r="A29" s="72"/>
      <c r="B29" s="73" t="s">
        <v>17</v>
      </c>
      <c r="C29" s="74" t="s">
        <v>745</v>
      </c>
      <c r="D29" s="74" t="s">
        <v>746</v>
      </c>
      <c r="E29" s="75" t="s">
        <v>12</v>
      </c>
      <c r="F29" s="75" t="s">
        <v>22</v>
      </c>
      <c r="G29" s="74" t="s">
        <v>707</v>
      </c>
      <c r="H29" s="85">
        <v>45672</v>
      </c>
      <c r="I29" s="94" t="s">
        <v>56</v>
      </c>
      <c r="J29" s="94" t="s">
        <v>128</v>
      </c>
      <c r="K29" s="94">
        <v>0</v>
      </c>
      <c r="L29" s="94" t="s">
        <v>297</v>
      </c>
      <c r="M29" s="94" t="s">
        <v>195</v>
      </c>
      <c r="N29" s="74">
        <v>1</v>
      </c>
      <c r="O29" s="77">
        <v>8.6805555555555551E-4</v>
      </c>
    </row>
    <row r="30" spans="1:15" s="101" customFormat="1" ht="54" customHeight="1" thickTop="1" thickBot="1" x14ac:dyDescent="0.25">
      <c r="A30" s="72"/>
      <c r="B30" s="73" t="s">
        <v>17</v>
      </c>
      <c r="C30" s="74" t="s">
        <v>747</v>
      </c>
      <c r="D30" s="74" t="s">
        <v>510</v>
      </c>
      <c r="E30" s="75" t="s">
        <v>12</v>
      </c>
      <c r="F30" s="75" t="s">
        <v>22</v>
      </c>
      <c r="G30" s="75" t="s">
        <v>233</v>
      </c>
      <c r="H30" s="76">
        <v>45672</v>
      </c>
      <c r="I30" s="94" t="s">
        <v>127</v>
      </c>
      <c r="J30" s="94" t="s">
        <v>128</v>
      </c>
      <c r="K30" s="94">
        <v>0</v>
      </c>
      <c r="L30" s="94" t="s">
        <v>300</v>
      </c>
      <c r="M30" s="94" t="s">
        <v>195</v>
      </c>
      <c r="N30" s="74">
        <v>1</v>
      </c>
      <c r="O30" s="77">
        <v>6.9444444444444447E-4</v>
      </c>
    </row>
    <row r="31" spans="1:15" s="101" customFormat="1" ht="54" customHeight="1" thickTop="1" thickBot="1" x14ac:dyDescent="0.25">
      <c r="A31" s="72"/>
      <c r="B31" s="78" t="s">
        <v>17</v>
      </c>
      <c r="C31" s="79" t="s">
        <v>748</v>
      </c>
      <c r="D31" s="79" t="s">
        <v>512</v>
      </c>
      <c r="E31" s="82" t="s">
        <v>12</v>
      </c>
      <c r="F31" s="82" t="s">
        <v>22</v>
      </c>
      <c r="G31" s="82" t="s">
        <v>233</v>
      </c>
      <c r="H31" s="99">
        <v>45672</v>
      </c>
      <c r="I31" s="94" t="s">
        <v>127</v>
      </c>
      <c r="J31" s="94" t="s">
        <v>128</v>
      </c>
      <c r="K31" s="94">
        <v>0</v>
      </c>
      <c r="L31" s="94" t="s">
        <v>300</v>
      </c>
      <c r="M31" s="94" t="s">
        <v>195</v>
      </c>
      <c r="N31" s="79">
        <v>1</v>
      </c>
      <c r="O31" s="83">
        <v>6.9444444444444447E-4</v>
      </c>
    </row>
    <row r="32" spans="1:15" s="101" customFormat="1" ht="54" customHeight="1" thickTop="1" thickBot="1" x14ac:dyDescent="0.25">
      <c r="B32" s="102" t="s">
        <v>21</v>
      </c>
      <c r="C32" s="103" t="s">
        <v>749</v>
      </c>
      <c r="D32" s="103" t="s">
        <v>750</v>
      </c>
      <c r="E32" s="104" t="s">
        <v>22</v>
      </c>
      <c r="F32" s="104" t="s">
        <v>22</v>
      </c>
      <c r="G32" s="103"/>
      <c r="H32" s="103"/>
      <c r="I32" s="94" t="s">
        <v>127</v>
      </c>
      <c r="J32" s="94" t="s">
        <v>128</v>
      </c>
      <c r="K32" s="94">
        <v>0</v>
      </c>
      <c r="L32" s="94" t="s">
        <v>331</v>
      </c>
      <c r="M32" s="94" t="s">
        <v>328</v>
      </c>
      <c r="N32" s="103">
        <v>2</v>
      </c>
      <c r="O32" s="106">
        <v>2.0833333333333333E-3</v>
      </c>
    </row>
    <row r="33" spans="2:15" s="101" customFormat="1" ht="54" customHeight="1" thickTop="1" thickBot="1" x14ac:dyDescent="0.25">
      <c r="B33" s="107" t="s">
        <v>21</v>
      </c>
      <c r="C33" s="100" t="s">
        <v>751</v>
      </c>
      <c r="D33" s="100" t="s">
        <v>752</v>
      </c>
      <c r="E33" s="108" t="s">
        <v>22</v>
      </c>
      <c r="F33" s="108" t="s">
        <v>22</v>
      </c>
      <c r="G33" s="100"/>
      <c r="H33" s="100"/>
      <c r="I33" s="94" t="s">
        <v>127</v>
      </c>
      <c r="J33" s="94" t="s">
        <v>128</v>
      </c>
      <c r="K33" s="94">
        <v>0</v>
      </c>
      <c r="L33" s="94" t="s">
        <v>331</v>
      </c>
      <c r="M33" s="94" t="s">
        <v>328</v>
      </c>
      <c r="N33" s="100">
        <v>2</v>
      </c>
      <c r="O33" s="110">
        <v>2.0833333333333333E-3</v>
      </c>
    </row>
    <row r="34" spans="2:15" s="101" customFormat="1" ht="54" customHeight="1" thickTop="1" thickBot="1" x14ac:dyDescent="0.25">
      <c r="B34" s="107" t="s">
        <v>21</v>
      </c>
      <c r="C34" s="100" t="s">
        <v>790</v>
      </c>
      <c r="D34" s="100" t="s">
        <v>753</v>
      </c>
      <c r="E34" s="108" t="str">
        <f>'UNDM 4 Car'!E66</f>
        <v>No</v>
      </c>
      <c r="F34" s="108" t="str">
        <f>'UNDM 4 Car'!F66</f>
        <v>No</v>
      </c>
      <c r="G34" s="108">
        <f>'UNDM 4 Car'!G66</f>
        <v>0</v>
      </c>
      <c r="H34" s="108">
        <f>'UNDM 4 Car'!H66</f>
        <v>0</v>
      </c>
      <c r="I34" s="94" t="s">
        <v>127</v>
      </c>
      <c r="J34" s="94" t="s">
        <v>128</v>
      </c>
      <c r="K34" s="94">
        <v>0</v>
      </c>
      <c r="L34" s="94" t="s">
        <v>324</v>
      </c>
      <c r="M34" s="94" t="s">
        <v>322</v>
      </c>
      <c r="N34" s="100">
        <v>4</v>
      </c>
      <c r="O34" s="110">
        <v>5.208333333333333E-3</v>
      </c>
    </row>
    <row r="35" spans="2:15" s="101" customFormat="1" ht="54" customHeight="1" thickTop="1" thickBot="1" x14ac:dyDescent="0.25">
      <c r="B35" s="107" t="s">
        <v>21</v>
      </c>
      <c r="C35" s="100" t="s">
        <v>791</v>
      </c>
      <c r="D35" s="100" t="s">
        <v>518</v>
      </c>
      <c r="E35" s="108" t="str">
        <f>'Trailer 4 Car'!E44</f>
        <v>No</v>
      </c>
      <c r="F35" s="108" t="str">
        <f>'Trailer 4 Car'!F44</f>
        <v>No</v>
      </c>
      <c r="G35" s="108">
        <f>'Trailer 4 Car'!G44</f>
        <v>0</v>
      </c>
      <c r="H35" s="108">
        <f>'Trailer 4 Car'!H44</f>
        <v>0</v>
      </c>
      <c r="I35" s="94" t="s">
        <v>127</v>
      </c>
      <c r="J35" s="94" t="s">
        <v>128</v>
      </c>
      <c r="K35" s="94">
        <v>0</v>
      </c>
      <c r="L35" s="94" t="s">
        <v>324</v>
      </c>
      <c r="M35" s="94" t="s">
        <v>322</v>
      </c>
      <c r="N35" s="100">
        <v>4</v>
      </c>
      <c r="O35" s="110">
        <v>5.208333333333333E-3</v>
      </c>
    </row>
    <row r="36" spans="2:15" s="101" customFormat="1" ht="54" customHeight="1" thickTop="1" thickBot="1" x14ac:dyDescent="0.25">
      <c r="B36" s="107" t="s">
        <v>21</v>
      </c>
      <c r="C36" s="100" t="s">
        <v>754</v>
      </c>
      <c r="D36" s="100" t="s">
        <v>346</v>
      </c>
      <c r="E36" s="108" t="s">
        <v>22</v>
      </c>
      <c r="F36" s="108" t="s">
        <v>22</v>
      </c>
      <c r="G36" s="100"/>
      <c r="H36" s="100"/>
      <c r="I36" s="94" t="s">
        <v>127</v>
      </c>
      <c r="J36" s="94" t="s">
        <v>128</v>
      </c>
      <c r="K36" s="94">
        <v>0</v>
      </c>
      <c r="L36" s="94" t="s">
        <v>347</v>
      </c>
      <c r="M36" s="94" t="s">
        <v>195</v>
      </c>
      <c r="N36" s="100">
        <v>2</v>
      </c>
      <c r="O36" s="110">
        <v>1.736111111111111E-3</v>
      </c>
    </row>
    <row r="37" spans="2:15" s="101" customFormat="1" ht="54" customHeight="1" thickTop="1" thickBot="1" x14ac:dyDescent="0.25">
      <c r="B37" s="107" t="s">
        <v>21</v>
      </c>
      <c r="C37" s="100" t="s">
        <v>755</v>
      </c>
      <c r="D37" s="100" t="s">
        <v>756</v>
      </c>
      <c r="E37" s="108" t="s">
        <v>22</v>
      </c>
      <c r="F37" s="108" t="s">
        <v>22</v>
      </c>
      <c r="G37" s="100"/>
      <c r="H37" s="100"/>
      <c r="I37" s="94" t="s">
        <v>56</v>
      </c>
      <c r="J37" s="94" t="s">
        <v>128</v>
      </c>
      <c r="K37" s="94">
        <v>0</v>
      </c>
      <c r="L37" s="94" t="s">
        <v>350</v>
      </c>
      <c r="M37" s="94" t="s">
        <v>154</v>
      </c>
      <c r="N37" s="100">
        <v>2</v>
      </c>
      <c r="O37" s="110">
        <v>4.6296296296296293E-4</v>
      </c>
    </row>
    <row r="38" spans="2:15" s="101" customFormat="1" ht="54" customHeight="1" thickTop="1" thickBot="1" x14ac:dyDescent="0.25">
      <c r="B38" s="107" t="s">
        <v>21</v>
      </c>
      <c r="C38" s="100" t="s">
        <v>757</v>
      </c>
      <c r="D38" s="100" t="s">
        <v>385</v>
      </c>
      <c r="E38" s="108" t="s">
        <v>22</v>
      </c>
      <c r="F38" s="108" t="s">
        <v>22</v>
      </c>
      <c r="G38" s="100"/>
      <c r="H38" s="100"/>
      <c r="I38" s="94" t="s">
        <v>84</v>
      </c>
      <c r="J38" s="94" t="s">
        <v>57</v>
      </c>
      <c r="K38" s="94">
        <v>0</v>
      </c>
      <c r="L38" s="94" t="s">
        <v>386</v>
      </c>
      <c r="M38" s="94" t="s">
        <v>101</v>
      </c>
      <c r="N38" s="100">
        <v>4</v>
      </c>
      <c r="O38" s="110">
        <v>2.0833333333333333E-3</v>
      </c>
    </row>
    <row r="39" spans="2:15" s="101" customFormat="1" ht="54" customHeight="1" thickTop="1" thickBot="1" x14ac:dyDescent="0.25">
      <c r="B39" s="112" t="s">
        <v>21</v>
      </c>
      <c r="C39" s="113" t="s">
        <v>758</v>
      </c>
      <c r="D39" s="113" t="s">
        <v>396</v>
      </c>
      <c r="E39" s="114" t="s">
        <v>22</v>
      </c>
      <c r="F39" s="114" t="s">
        <v>22</v>
      </c>
      <c r="G39" s="113"/>
      <c r="H39" s="113"/>
      <c r="I39" s="94" t="s">
        <v>56</v>
      </c>
      <c r="J39" s="94" t="s">
        <v>57</v>
      </c>
      <c r="K39" s="94">
        <v>0</v>
      </c>
      <c r="L39" s="94" t="s">
        <v>397</v>
      </c>
      <c r="M39" s="94" t="s">
        <v>101</v>
      </c>
      <c r="N39" s="113">
        <v>2</v>
      </c>
      <c r="O39" s="115">
        <v>6.9444444444444447E-4</v>
      </c>
    </row>
    <row r="40" spans="2:15" s="101" customFormat="1" ht="54" customHeight="1" thickTop="1" thickBot="1" x14ac:dyDescent="0.25">
      <c r="B40" s="102" t="s">
        <v>25</v>
      </c>
      <c r="C40" s="103" t="s">
        <v>759</v>
      </c>
      <c r="D40" s="103" t="s">
        <v>405</v>
      </c>
      <c r="E40" s="104" t="s">
        <v>22</v>
      </c>
      <c r="F40" s="104" t="s">
        <v>22</v>
      </c>
      <c r="G40" s="103"/>
      <c r="H40" s="103"/>
      <c r="I40" s="94" t="s">
        <v>127</v>
      </c>
      <c r="J40" s="94" t="s">
        <v>57</v>
      </c>
      <c r="K40" s="94">
        <v>0</v>
      </c>
      <c r="L40" s="94" t="s">
        <v>406</v>
      </c>
      <c r="M40" s="94" t="s">
        <v>226</v>
      </c>
      <c r="N40" s="103">
        <v>1</v>
      </c>
      <c r="O40" s="106">
        <v>6.9444444444444447E-4</v>
      </c>
    </row>
    <row r="41" spans="2:15" s="101" customFormat="1" ht="54" customHeight="1" thickTop="1" x14ac:dyDescent="0.2">
      <c r="B41" s="107" t="s">
        <v>25</v>
      </c>
      <c r="C41" s="100" t="s">
        <v>760</v>
      </c>
      <c r="D41" s="100" t="s">
        <v>761</v>
      </c>
      <c r="E41" s="108" t="s">
        <v>22</v>
      </c>
      <c r="F41" s="108" t="s">
        <v>22</v>
      </c>
      <c r="G41" s="100"/>
      <c r="H41" s="100"/>
      <c r="I41" s="94" t="s">
        <v>127</v>
      </c>
      <c r="J41" s="94" t="s">
        <v>57</v>
      </c>
      <c r="K41" s="94">
        <v>0</v>
      </c>
      <c r="L41" s="94">
        <v>0</v>
      </c>
      <c r="M41" s="94" t="s">
        <v>802</v>
      </c>
      <c r="N41" s="100">
        <v>1</v>
      </c>
      <c r="O41" s="110">
        <v>3.4722222222222224E-4</v>
      </c>
    </row>
    <row r="42" spans="2:15" s="101" customFormat="1" ht="15.75" thickBot="1" x14ac:dyDescent="0.25">
      <c r="B42" s="131"/>
      <c r="C42" s="114"/>
      <c r="D42" s="114"/>
      <c r="E42" s="114"/>
      <c r="F42" s="114"/>
      <c r="G42" s="114"/>
      <c r="H42" s="114"/>
      <c r="I42" s="114"/>
      <c r="J42" s="114"/>
      <c r="K42" s="118"/>
      <c r="L42" s="114"/>
      <c r="M42" s="118"/>
      <c r="N42" s="118"/>
      <c r="O42" s="132"/>
    </row>
    <row r="43" spans="2:15" s="101" customFormat="1" ht="15.75" thickTop="1" x14ac:dyDescent="0.2">
      <c r="B43" s="127"/>
      <c r="C43" s="127"/>
      <c r="D43" s="127"/>
      <c r="E43" s="127"/>
      <c r="F43" s="127"/>
      <c r="G43" s="127"/>
      <c r="H43" s="127"/>
      <c r="I43" s="127"/>
      <c r="J43" s="127"/>
      <c r="K43" s="128"/>
      <c r="L43" s="127"/>
      <c r="M43" s="128"/>
      <c r="N43" s="128"/>
      <c r="O43" s="128"/>
    </row>
    <row r="44" spans="2:15" s="101" customFormat="1" x14ac:dyDescent="0.2">
      <c r="B44" s="127"/>
      <c r="C44" s="127"/>
      <c r="D44" s="127"/>
      <c r="E44" s="127"/>
      <c r="F44" s="127"/>
      <c r="G44" s="127"/>
      <c r="H44" s="127"/>
      <c r="I44" s="127"/>
      <c r="J44" s="127"/>
      <c r="K44" s="128"/>
      <c r="L44" s="127"/>
      <c r="M44" s="128"/>
      <c r="N44" s="128"/>
      <c r="O44" s="128"/>
    </row>
    <row r="45" spans="2:15" s="101" customFormat="1" x14ac:dyDescent="0.2">
      <c r="B45" s="127"/>
      <c r="C45" s="127"/>
      <c r="D45" s="127"/>
      <c r="E45" s="127"/>
      <c r="F45" s="127"/>
      <c r="G45" s="127"/>
      <c r="H45" s="127"/>
      <c r="I45" s="127"/>
      <c r="J45" s="127"/>
      <c r="K45" s="128"/>
      <c r="L45" s="127"/>
      <c r="M45" s="128"/>
      <c r="N45" s="128"/>
      <c r="O45" s="128"/>
    </row>
    <row r="46" spans="2:15" s="101" customFormat="1" x14ac:dyDescent="0.2">
      <c r="B46" s="127"/>
      <c r="C46" s="127"/>
      <c r="D46" s="127"/>
      <c r="E46" s="127"/>
      <c r="F46" s="127"/>
      <c r="G46" s="127"/>
      <c r="H46" s="127"/>
      <c r="I46" s="127"/>
      <c r="J46" s="127"/>
      <c r="K46" s="128"/>
      <c r="L46" s="127"/>
      <c r="M46" s="128"/>
      <c r="N46" s="128"/>
      <c r="O46" s="128"/>
    </row>
    <row r="47" spans="2:15" s="101" customFormat="1" x14ac:dyDescent="0.2">
      <c r="B47" s="127"/>
      <c r="C47" s="127"/>
      <c r="D47" s="127"/>
      <c r="E47" s="127"/>
      <c r="F47" s="127"/>
      <c r="G47" s="127"/>
      <c r="H47" s="127"/>
      <c r="I47" s="127"/>
      <c r="J47" s="127"/>
      <c r="K47" s="128"/>
      <c r="L47" s="127"/>
      <c r="M47" s="128"/>
      <c r="N47" s="128"/>
      <c r="O47" s="128"/>
    </row>
    <row r="48" spans="2:15" s="101" customFormat="1" x14ac:dyDescent="0.2">
      <c r="B48" s="127"/>
      <c r="C48" s="127"/>
      <c r="D48" s="127"/>
      <c r="E48" s="127"/>
      <c r="F48" s="127"/>
      <c r="G48" s="127"/>
      <c r="H48" s="127"/>
      <c r="I48" s="127"/>
      <c r="J48" s="127"/>
      <c r="K48" s="128"/>
      <c r="L48" s="127"/>
      <c r="M48" s="128"/>
      <c r="N48" s="128"/>
      <c r="O48" s="128"/>
    </row>
    <row r="49" spans="2:15" s="101" customFormat="1" x14ac:dyDescent="0.2">
      <c r="B49" s="127"/>
      <c r="C49" s="127"/>
      <c r="D49" s="127"/>
      <c r="E49" s="127"/>
      <c r="F49" s="127"/>
      <c r="G49" s="127"/>
      <c r="H49" s="127"/>
      <c r="I49" s="127"/>
      <c r="J49" s="127"/>
      <c r="K49" s="128"/>
      <c r="L49" s="127"/>
      <c r="M49" s="128"/>
      <c r="N49" s="128"/>
      <c r="O49" s="128"/>
    </row>
    <row r="50" spans="2:15" s="101" customFormat="1" x14ac:dyDescent="0.2">
      <c r="B50" s="127"/>
      <c r="C50" s="127"/>
      <c r="D50" s="127"/>
      <c r="E50" s="127"/>
      <c r="F50" s="127"/>
      <c r="G50" s="127"/>
      <c r="H50" s="127"/>
      <c r="I50" s="127"/>
      <c r="J50" s="127"/>
      <c r="K50" s="128"/>
      <c r="L50" s="127"/>
      <c r="M50" s="128"/>
      <c r="N50" s="128"/>
      <c r="O50" s="128"/>
    </row>
    <row r="51" spans="2:15" s="101" customFormat="1" x14ac:dyDescent="0.2">
      <c r="B51" s="127"/>
      <c r="C51" s="127"/>
      <c r="D51" s="127"/>
      <c r="E51" s="127"/>
      <c r="F51" s="127"/>
      <c r="G51" s="127"/>
      <c r="H51" s="127"/>
      <c r="I51" s="127"/>
      <c r="J51" s="127"/>
      <c r="K51" s="128"/>
      <c r="L51" s="127"/>
      <c r="M51" s="128"/>
      <c r="N51" s="128"/>
      <c r="O51" s="128"/>
    </row>
    <row r="52" spans="2:15" s="101" customFormat="1" x14ac:dyDescent="0.2">
      <c r="B52" s="127"/>
      <c r="C52" s="127"/>
      <c r="D52" s="127"/>
      <c r="E52" s="127"/>
      <c r="F52" s="127"/>
      <c r="G52" s="127"/>
      <c r="H52" s="127"/>
      <c r="I52" s="127"/>
      <c r="J52" s="127"/>
      <c r="K52" s="128"/>
      <c r="L52" s="127"/>
      <c r="M52" s="128"/>
      <c r="N52" s="128"/>
      <c r="O52" s="128"/>
    </row>
    <row r="53" spans="2:15" s="101" customFormat="1" x14ac:dyDescent="0.2">
      <c r="B53" s="127"/>
      <c r="C53" s="127"/>
      <c r="D53" s="127"/>
      <c r="E53" s="127"/>
      <c r="F53" s="127"/>
      <c r="G53" s="127"/>
      <c r="H53" s="127"/>
      <c r="I53" s="127"/>
      <c r="J53" s="127"/>
      <c r="K53" s="128"/>
      <c r="L53" s="127"/>
      <c r="M53" s="128"/>
      <c r="N53" s="128"/>
      <c r="O53" s="128"/>
    </row>
    <row r="54" spans="2:15" s="101" customFormat="1" x14ac:dyDescent="0.2">
      <c r="B54" s="127"/>
      <c r="C54" s="127"/>
      <c r="D54" s="127"/>
      <c r="E54" s="127"/>
      <c r="F54" s="127"/>
      <c r="G54" s="127"/>
      <c r="H54" s="127"/>
      <c r="I54" s="127"/>
      <c r="J54" s="127"/>
      <c r="K54" s="128"/>
      <c r="L54" s="127"/>
      <c r="M54" s="128"/>
      <c r="N54" s="128"/>
      <c r="O54" s="128"/>
    </row>
    <row r="55" spans="2:15" s="101" customFormat="1" x14ac:dyDescent="0.2">
      <c r="B55" s="127"/>
      <c r="C55" s="127"/>
      <c r="D55" s="127"/>
      <c r="E55" s="127"/>
      <c r="F55" s="127"/>
      <c r="G55" s="127"/>
      <c r="H55" s="127"/>
      <c r="I55" s="127"/>
      <c r="J55" s="127"/>
      <c r="K55" s="128"/>
      <c r="L55" s="127"/>
      <c r="M55" s="128"/>
      <c r="N55" s="128"/>
      <c r="O55" s="128"/>
    </row>
    <row r="56" spans="2:15" s="101" customFormat="1" x14ac:dyDescent="0.2">
      <c r="B56" s="127"/>
      <c r="C56" s="127"/>
      <c r="D56" s="127"/>
      <c r="E56" s="127"/>
      <c r="F56" s="127"/>
      <c r="G56" s="127"/>
      <c r="H56" s="127"/>
      <c r="I56" s="127"/>
      <c r="J56" s="127"/>
      <c r="K56" s="128"/>
      <c r="L56" s="127"/>
      <c r="M56" s="128"/>
      <c r="N56" s="128"/>
      <c r="O56" s="128"/>
    </row>
    <row r="57" spans="2:15" s="101" customFormat="1" x14ac:dyDescent="0.2">
      <c r="B57" s="127"/>
      <c r="C57" s="127"/>
      <c r="D57" s="127"/>
      <c r="E57" s="127"/>
      <c r="F57" s="127"/>
      <c r="G57" s="127"/>
      <c r="H57" s="127"/>
      <c r="I57" s="127"/>
      <c r="J57" s="127"/>
      <c r="K57" s="128"/>
      <c r="L57" s="127"/>
      <c r="M57" s="128"/>
      <c r="N57" s="128"/>
      <c r="O57" s="128"/>
    </row>
    <row r="58" spans="2:15" s="101" customFormat="1" x14ac:dyDescent="0.2">
      <c r="B58" s="127"/>
      <c r="C58" s="127"/>
      <c r="D58" s="127"/>
      <c r="E58" s="127"/>
      <c r="F58" s="127"/>
      <c r="G58" s="127"/>
      <c r="H58" s="127"/>
      <c r="I58" s="127"/>
      <c r="J58" s="127"/>
      <c r="K58" s="128"/>
      <c r="L58" s="127"/>
      <c r="M58" s="128"/>
      <c r="N58" s="128"/>
      <c r="O58" s="128"/>
    </row>
    <row r="59" spans="2:15" s="101" customFormat="1" x14ac:dyDescent="0.2">
      <c r="B59" s="127"/>
      <c r="C59" s="127"/>
      <c r="D59" s="127"/>
      <c r="E59" s="127"/>
      <c r="F59" s="127"/>
      <c r="G59" s="127"/>
      <c r="H59" s="127"/>
      <c r="I59" s="127"/>
      <c r="J59" s="127"/>
      <c r="K59" s="128"/>
      <c r="L59" s="127"/>
      <c r="M59" s="128"/>
      <c r="N59" s="128"/>
      <c r="O59" s="128"/>
    </row>
    <row r="60" spans="2:15" s="101" customFormat="1" x14ac:dyDescent="0.2">
      <c r="B60" s="127"/>
      <c r="C60" s="127"/>
      <c r="D60" s="127"/>
      <c r="E60" s="127"/>
      <c r="F60" s="127"/>
      <c r="G60" s="127"/>
      <c r="H60" s="127"/>
      <c r="I60" s="127"/>
      <c r="J60" s="127"/>
      <c r="K60" s="128"/>
      <c r="L60" s="127"/>
      <c r="M60" s="128"/>
      <c r="N60" s="128"/>
      <c r="O60" s="128"/>
    </row>
    <row r="61" spans="2:15" s="101" customFormat="1" x14ac:dyDescent="0.2">
      <c r="B61" s="127"/>
      <c r="C61" s="127"/>
      <c r="D61" s="127"/>
      <c r="E61" s="127"/>
      <c r="F61" s="127"/>
      <c r="G61" s="127"/>
      <c r="H61" s="127"/>
      <c r="I61" s="127"/>
      <c r="J61" s="127"/>
      <c r="K61" s="128"/>
      <c r="L61" s="127"/>
      <c r="M61" s="128"/>
      <c r="N61" s="128"/>
      <c r="O61" s="128"/>
    </row>
    <row r="62" spans="2:15" s="101" customFormat="1" x14ac:dyDescent="0.2">
      <c r="B62" s="127"/>
      <c r="C62" s="127"/>
      <c r="D62" s="127"/>
      <c r="E62" s="127"/>
      <c r="F62" s="127"/>
      <c r="G62" s="127"/>
      <c r="H62" s="127"/>
      <c r="I62" s="127"/>
      <c r="J62" s="127"/>
      <c r="K62" s="128"/>
      <c r="L62" s="127"/>
      <c r="M62" s="128"/>
      <c r="N62" s="128"/>
      <c r="O62" s="128"/>
    </row>
    <row r="63" spans="2:15" s="101" customFormat="1" x14ac:dyDescent="0.2">
      <c r="B63" s="127"/>
      <c r="C63" s="127"/>
      <c r="D63" s="127"/>
      <c r="E63" s="127"/>
      <c r="F63" s="127"/>
      <c r="G63" s="127"/>
      <c r="H63" s="127"/>
      <c r="I63" s="127"/>
      <c r="J63" s="127"/>
      <c r="K63" s="128"/>
      <c r="L63" s="127"/>
      <c r="M63" s="128"/>
      <c r="N63" s="128"/>
      <c r="O63" s="128"/>
    </row>
    <row r="64" spans="2:15" s="101" customFormat="1" x14ac:dyDescent="0.2">
      <c r="B64" s="127"/>
      <c r="C64" s="127"/>
      <c r="D64" s="127"/>
      <c r="E64" s="127"/>
      <c r="F64" s="127"/>
      <c r="G64" s="127"/>
      <c r="H64" s="127"/>
      <c r="I64" s="127"/>
      <c r="J64" s="127"/>
      <c r="K64" s="128"/>
      <c r="L64" s="127"/>
      <c r="M64" s="128"/>
      <c r="N64" s="128"/>
      <c r="O64" s="128"/>
    </row>
    <row r="65" spans="2:15" s="101" customFormat="1" x14ac:dyDescent="0.2">
      <c r="B65" s="127"/>
      <c r="C65" s="127"/>
      <c r="D65" s="127"/>
      <c r="E65" s="127"/>
      <c r="F65" s="127"/>
      <c r="G65" s="127"/>
      <c r="H65" s="127"/>
      <c r="I65" s="127"/>
      <c r="J65" s="127"/>
      <c r="K65" s="128"/>
      <c r="L65" s="127"/>
      <c r="M65" s="128"/>
      <c r="N65" s="128"/>
      <c r="O65" s="128"/>
    </row>
    <row r="66" spans="2:15" s="101" customFormat="1" x14ac:dyDescent="0.2">
      <c r="B66" s="127"/>
      <c r="C66" s="127"/>
      <c r="D66" s="127"/>
      <c r="E66" s="127"/>
      <c r="F66" s="127"/>
      <c r="G66" s="127"/>
      <c r="H66" s="127"/>
      <c r="I66" s="127"/>
      <c r="J66" s="127"/>
      <c r="K66" s="128"/>
      <c r="L66" s="127"/>
      <c r="M66" s="128"/>
      <c r="N66" s="128"/>
      <c r="O66" s="128"/>
    </row>
    <row r="67" spans="2:15" s="101" customFormat="1" x14ac:dyDescent="0.2">
      <c r="B67" s="127"/>
      <c r="C67" s="127"/>
      <c r="D67" s="127"/>
      <c r="E67" s="127"/>
      <c r="F67" s="127"/>
      <c r="G67" s="127"/>
      <c r="H67" s="127"/>
      <c r="I67" s="127"/>
      <c r="J67" s="127"/>
      <c r="K67" s="128"/>
      <c r="L67" s="127"/>
      <c r="M67" s="128"/>
      <c r="N67" s="128"/>
      <c r="O67" s="128"/>
    </row>
    <row r="68" spans="2:15" s="101" customFormat="1" x14ac:dyDescent="0.2">
      <c r="B68" s="127"/>
      <c r="C68" s="127"/>
      <c r="D68" s="127"/>
      <c r="E68" s="127"/>
      <c r="F68" s="127"/>
      <c r="G68" s="127"/>
      <c r="H68" s="127"/>
      <c r="I68" s="127"/>
      <c r="J68" s="127"/>
      <c r="K68" s="128"/>
      <c r="L68" s="127"/>
      <c r="M68" s="128"/>
      <c r="N68" s="128"/>
      <c r="O68" s="128"/>
    </row>
    <row r="69" spans="2:15" s="101" customFormat="1" x14ac:dyDescent="0.2">
      <c r="B69" s="127"/>
      <c r="C69" s="127"/>
      <c r="D69" s="127"/>
      <c r="E69" s="127"/>
      <c r="F69" s="127"/>
      <c r="G69" s="127"/>
      <c r="H69" s="127"/>
      <c r="I69" s="127"/>
      <c r="J69" s="127"/>
      <c r="K69" s="128"/>
      <c r="L69" s="127"/>
      <c r="M69" s="128"/>
      <c r="N69" s="128"/>
      <c r="O69" s="128"/>
    </row>
    <row r="70" spans="2:15" s="101" customFormat="1" x14ac:dyDescent="0.2">
      <c r="B70" s="127"/>
      <c r="C70" s="127"/>
      <c r="D70" s="127"/>
      <c r="E70" s="127"/>
      <c r="F70" s="127"/>
      <c r="G70" s="127"/>
      <c r="H70" s="127"/>
      <c r="I70" s="127"/>
      <c r="J70" s="127"/>
      <c r="K70" s="128"/>
      <c r="L70" s="127"/>
      <c r="M70" s="128"/>
      <c r="N70" s="128"/>
      <c r="O70" s="128"/>
    </row>
    <row r="71" spans="2:15" s="101" customFormat="1" x14ac:dyDescent="0.2">
      <c r="B71" s="127"/>
      <c r="C71" s="127"/>
      <c r="D71" s="127"/>
      <c r="E71" s="127"/>
      <c r="F71" s="127"/>
      <c r="G71" s="127"/>
      <c r="H71" s="127"/>
      <c r="I71" s="127"/>
      <c r="J71" s="127"/>
      <c r="K71" s="128"/>
      <c r="L71" s="127"/>
      <c r="M71" s="128"/>
      <c r="N71" s="128"/>
      <c r="O71" s="128"/>
    </row>
    <row r="72" spans="2:15" s="101" customFormat="1" x14ac:dyDescent="0.2">
      <c r="B72" s="127"/>
      <c r="C72" s="127"/>
      <c r="D72" s="127"/>
      <c r="E72" s="127"/>
      <c r="F72" s="127"/>
      <c r="G72" s="127"/>
      <c r="H72" s="127"/>
      <c r="I72" s="127"/>
      <c r="J72" s="127"/>
      <c r="K72" s="128"/>
      <c r="L72" s="127"/>
      <c r="M72" s="128"/>
      <c r="N72" s="128"/>
      <c r="O72" s="128"/>
    </row>
    <row r="73" spans="2:15" s="101" customFormat="1" x14ac:dyDescent="0.2">
      <c r="B73" s="127"/>
      <c r="C73" s="127"/>
      <c r="D73" s="127"/>
      <c r="E73" s="127"/>
      <c r="F73" s="127"/>
      <c r="G73" s="127"/>
      <c r="H73" s="127"/>
      <c r="I73" s="127"/>
      <c r="J73" s="127"/>
      <c r="K73" s="128"/>
      <c r="L73" s="127"/>
      <c r="M73" s="128"/>
      <c r="N73" s="128"/>
      <c r="O73" s="128"/>
    </row>
    <row r="74" spans="2:15" s="101" customFormat="1" x14ac:dyDescent="0.2">
      <c r="B74" s="127"/>
      <c r="C74" s="127"/>
      <c r="D74" s="127"/>
      <c r="E74" s="127"/>
      <c r="F74" s="127"/>
      <c r="G74" s="127"/>
      <c r="H74" s="127"/>
      <c r="I74" s="127"/>
      <c r="J74" s="127"/>
      <c r="K74" s="128"/>
      <c r="L74" s="127"/>
      <c r="M74" s="128"/>
      <c r="N74" s="128"/>
      <c r="O74" s="128"/>
    </row>
    <row r="75" spans="2:15" s="101" customFormat="1" x14ac:dyDescent="0.2">
      <c r="B75" s="127"/>
      <c r="C75" s="127"/>
      <c r="D75" s="127"/>
      <c r="E75" s="127"/>
      <c r="F75" s="127"/>
      <c r="G75" s="127"/>
      <c r="H75" s="127"/>
      <c r="I75" s="127"/>
      <c r="J75" s="127"/>
      <c r="K75" s="128"/>
      <c r="L75" s="127"/>
      <c r="M75" s="128"/>
      <c r="N75" s="128"/>
      <c r="O75" s="128"/>
    </row>
    <row r="76" spans="2:15" s="101" customFormat="1" x14ac:dyDescent="0.2">
      <c r="B76" s="127"/>
      <c r="C76" s="127"/>
      <c r="D76" s="127"/>
      <c r="E76" s="127"/>
      <c r="F76" s="127"/>
      <c r="G76" s="127"/>
      <c r="H76" s="127"/>
      <c r="I76" s="127"/>
      <c r="J76" s="127"/>
      <c r="K76" s="128"/>
      <c r="L76" s="127"/>
      <c r="M76" s="128"/>
      <c r="N76" s="128"/>
      <c r="O76" s="128"/>
    </row>
    <row r="77" spans="2:15" s="101" customFormat="1" x14ac:dyDescent="0.2">
      <c r="B77" s="127"/>
      <c r="C77" s="127"/>
      <c r="D77" s="127"/>
      <c r="E77" s="127"/>
      <c r="F77" s="127"/>
      <c r="G77" s="127"/>
      <c r="H77" s="127"/>
      <c r="I77" s="127"/>
      <c r="J77" s="127"/>
      <c r="K77" s="128"/>
      <c r="L77" s="127"/>
      <c r="M77" s="128"/>
      <c r="N77" s="128"/>
      <c r="O77" s="128"/>
    </row>
    <row r="78" spans="2:15" s="101" customFormat="1" x14ac:dyDescent="0.2">
      <c r="B78" s="127"/>
      <c r="C78" s="127"/>
      <c r="D78" s="127"/>
      <c r="E78" s="127"/>
      <c r="F78" s="127"/>
      <c r="G78" s="127"/>
      <c r="H78" s="127"/>
      <c r="I78" s="127"/>
      <c r="J78" s="127"/>
      <c r="K78" s="128"/>
      <c r="L78" s="127"/>
      <c r="M78" s="128"/>
      <c r="N78" s="128"/>
      <c r="O78" s="128"/>
    </row>
    <row r="79" spans="2:15" s="101" customFormat="1" x14ac:dyDescent="0.2">
      <c r="B79" s="127"/>
      <c r="C79" s="127"/>
      <c r="D79" s="127"/>
      <c r="E79" s="127"/>
      <c r="F79" s="127"/>
      <c r="G79" s="127"/>
      <c r="H79" s="127"/>
      <c r="I79" s="127"/>
      <c r="J79" s="127"/>
      <c r="K79" s="128"/>
      <c r="L79" s="127"/>
      <c r="M79" s="128"/>
      <c r="N79" s="128"/>
      <c r="O79" s="128"/>
    </row>
    <row r="80" spans="2:15" s="101" customFormat="1" x14ac:dyDescent="0.2">
      <c r="B80" s="127"/>
      <c r="C80" s="127"/>
      <c r="D80" s="127"/>
      <c r="E80" s="127"/>
      <c r="F80" s="127"/>
      <c r="G80" s="127"/>
      <c r="H80" s="127"/>
      <c r="I80" s="127"/>
      <c r="J80" s="127"/>
      <c r="K80" s="128"/>
      <c r="L80" s="127"/>
      <c r="M80" s="128"/>
      <c r="N80" s="128"/>
      <c r="O80" s="128"/>
    </row>
    <row r="81" spans="2:15" s="101" customFormat="1" x14ac:dyDescent="0.2">
      <c r="B81" s="127"/>
      <c r="C81" s="127"/>
      <c r="D81" s="127"/>
      <c r="E81" s="127"/>
      <c r="F81" s="127"/>
      <c r="G81" s="127"/>
      <c r="H81" s="127"/>
      <c r="I81" s="127"/>
      <c r="J81" s="127"/>
      <c r="K81" s="128"/>
      <c r="L81" s="127"/>
      <c r="M81" s="128"/>
      <c r="N81" s="128"/>
      <c r="O81" s="128"/>
    </row>
    <row r="82" spans="2:15" s="101" customFormat="1" x14ac:dyDescent="0.2">
      <c r="B82" s="127"/>
      <c r="C82" s="127"/>
      <c r="D82" s="127"/>
      <c r="E82" s="127"/>
      <c r="F82" s="127"/>
      <c r="G82" s="127"/>
      <c r="H82" s="127"/>
      <c r="I82" s="127"/>
      <c r="J82" s="127"/>
      <c r="K82" s="128"/>
      <c r="L82" s="127"/>
      <c r="M82" s="128"/>
      <c r="N82" s="128"/>
      <c r="O82" s="128"/>
    </row>
    <row r="83" spans="2:15" s="101" customFormat="1" x14ac:dyDescent="0.2">
      <c r="B83" s="127"/>
      <c r="C83" s="127"/>
      <c r="D83" s="127"/>
      <c r="E83" s="127"/>
      <c r="F83" s="127"/>
      <c r="G83" s="127"/>
      <c r="H83" s="127"/>
      <c r="I83" s="127"/>
      <c r="J83" s="127"/>
      <c r="K83" s="128"/>
      <c r="L83" s="127"/>
      <c r="M83" s="128"/>
      <c r="N83" s="128"/>
      <c r="O83" s="128"/>
    </row>
    <row r="84" spans="2:15" s="101" customFormat="1" x14ac:dyDescent="0.2">
      <c r="B84" s="127"/>
      <c r="C84" s="127"/>
      <c r="D84" s="127"/>
      <c r="E84" s="127"/>
      <c r="F84" s="127"/>
      <c r="G84" s="127"/>
      <c r="H84" s="127"/>
      <c r="I84" s="127"/>
      <c r="J84" s="127"/>
      <c r="K84" s="128"/>
      <c r="L84" s="127"/>
      <c r="M84" s="128"/>
      <c r="N84" s="128"/>
      <c r="O84" s="128"/>
    </row>
    <row r="85" spans="2:15" s="101" customFormat="1" x14ac:dyDescent="0.2">
      <c r="B85" s="127"/>
      <c r="C85" s="127"/>
      <c r="D85" s="127"/>
      <c r="E85" s="127"/>
      <c r="F85" s="127"/>
      <c r="G85" s="127"/>
      <c r="H85" s="127"/>
      <c r="I85" s="127"/>
      <c r="J85" s="127"/>
      <c r="K85" s="128"/>
      <c r="L85" s="127"/>
      <c r="M85" s="128"/>
      <c r="N85" s="128"/>
      <c r="O85" s="128"/>
    </row>
    <row r="86" spans="2:15" s="101" customFormat="1" x14ac:dyDescent="0.2">
      <c r="B86" s="127"/>
      <c r="C86" s="127"/>
      <c r="D86" s="127"/>
      <c r="E86" s="127"/>
      <c r="F86" s="127"/>
      <c r="G86" s="127"/>
      <c r="H86" s="127"/>
      <c r="I86" s="127"/>
      <c r="J86" s="127"/>
      <c r="K86" s="128"/>
      <c r="L86" s="127"/>
      <c r="M86" s="128"/>
      <c r="N86" s="128"/>
      <c r="O86" s="128"/>
    </row>
    <row r="87" spans="2:15" s="101" customFormat="1" x14ac:dyDescent="0.2">
      <c r="B87" s="127"/>
      <c r="C87" s="127"/>
      <c r="D87" s="127"/>
      <c r="E87" s="127"/>
      <c r="F87" s="127"/>
      <c r="G87" s="127"/>
      <c r="H87" s="127"/>
      <c r="I87" s="127"/>
      <c r="J87" s="127"/>
      <c r="K87" s="128"/>
      <c r="L87" s="127"/>
      <c r="M87" s="128"/>
      <c r="N87" s="128"/>
      <c r="O87" s="128"/>
    </row>
    <row r="88" spans="2:15" s="101" customFormat="1" ht="66" customHeight="1" x14ac:dyDescent="0.2">
      <c r="B88" s="127"/>
      <c r="C88" s="127"/>
      <c r="D88" s="127"/>
      <c r="E88" s="127"/>
      <c r="F88" s="127"/>
      <c r="G88" s="127"/>
      <c r="H88" s="127"/>
      <c r="I88" s="127"/>
      <c r="J88" s="127"/>
      <c r="K88" s="128"/>
      <c r="L88" s="127"/>
      <c r="M88" s="128"/>
      <c r="N88" s="128"/>
      <c r="O88" s="128"/>
    </row>
    <row r="89" spans="2:15" s="101" customFormat="1" x14ac:dyDescent="0.2">
      <c r="B89" s="127"/>
      <c r="C89" s="127"/>
      <c r="D89" s="127"/>
      <c r="E89" s="127"/>
      <c r="F89" s="127"/>
      <c r="G89" s="127"/>
      <c r="H89" s="127"/>
      <c r="I89" s="127"/>
      <c r="J89" s="127"/>
      <c r="K89" s="128"/>
      <c r="L89" s="127"/>
      <c r="M89" s="128"/>
      <c r="N89" s="128"/>
      <c r="O89" s="128"/>
    </row>
    <row r="90" spans="2:15" s="101" customFormat="1" x14ac:dyDescent="0.2">
      <c r="B90" s="127"/>
      <c r="C90" s="127"/>
      <c r="D90" s="127"/>
      <c r="E90" s="127"/>
      <c r="F90" s="127"/>
      <c r="G90" s="127"/>
      <c r="H90" s="127"/>
      <c r="I90" s="127"/>
      <c r="J90" s="127"/>
      <c r="K90" s="128"/>
      <c r="L90" s="127"/>
      <c r="M90" s="128"/>
      <c r="N90" s="128"/>
      <c r="O90" s="128"/>
    </row>
    <row r="91" spans="2:15" s="101" customFormat="1" x14ac:dyDescent="0.2">
      <c r="B91" s="127"/>
      <c r="C91" s="127"/>
      <c r="D91" s="127"/>
      <c r="E91" s="127"/>
      <c r="F91" s="127"/>
      <c r="G91" s="127"/>
      <c r="H91" s="127"/>
      <c r="I91" s="127"/>
      <c r="J91" s="127"/>
      <c r="K91" s="128"/>
      <c r="L91" s="127"/>
      <c r="M91" s="128"/>
      <c r="N91" s="128"/>
      <c r="O91" s="128"/>
    </row>
    <row r="92" spans="2:15" s="101" customFormat="1" x14ac:dyDescent="0.2">
      <c r="B92" s="127"/>
      <c r="C92" s="127"/>
      <c r="D92" s="127"/>
      <c r="E92" s="127"/>
      <c r="F92" s="127"/>
      <c r="G92" s="127"/>
      <c r="H92" s="127"/>
      <c r="I92" s="127"/>
      <c r="J92" s="127"/>
      <c r="K92" s="128"/>
      <c r="L92" s="127"/>
      <c r="M92" s="128"/>
      <c r="N92" s="128"/>
      <c r="O92" s="128"/>
    </row>
    <row r="93" spans="2:15" s="101" customFormat="1" x14ac:dyDescent="0.2">
      <c r="B93" s="127"/>
      <c r="C93" s="127"/>
      <c r="D93" s="127"/>
      <c r="E93" s="127"/>
      <c r="F93" s="127"/>
      <c r="G93" s="127"/>
      <c r="H93" s="127"/>
      <c r="I93" s="127"/>
      <c r="J93" s="127"/>
      <c r="K93" s="128"/>
      <c r="L93" s="127"/>
      <c r="M93" s="128"/>
      <c r="N93" s="128"/>
      <c r="O93" s="128"/>
    </row>
    <row r="94" spans="2:15" s="101" customFormat="1" x14ac:dyDescent="0.2">
      <c r="B94" s="127"/>
      <c r="C94" s="127"/>
      <c r="D94" s="127"/>
      <c r="E94" s="127"/>
      <c r="F94" s="127"/>
      <c r="G94" s="127"/>
      <c r="H94" s="127"/>
      <c r="I94" s="127"/>
      <c r="J94" s="127"/>
      <c r="K94" s="128"/>
      <c r="L94" s="127"/>
      <c r="M94" s="128"/>
      <c r="N94" s="128"/>
      <c r="O94" s="128"/>
    </row>
    <row r="95" spans="2:15" s="101" customFormat="1" x14ac:dyDescent="0.2">
      <c r="B95" s="127"/>
      <c r="C95" s="127"/>
      <c r="D95" s="127"/>
      <c r="E95" s="127"/>
      <c r="F95" s="127"/>
      <c r="G95" s="127"/>
      <c r="H95" s="127"/>
      <c r="I95" s="127"/>
      <c r="J95" s="127"/>
      <c r="K95" s="128"/>
      <c r="L95" s="127"/>
      <c r="M95" s="128"/>
      <c r="N95" s="128"/>
      <c r="O95" s="128"/>
    </row>
    <row r="96" spans="2:15" s="101" customFormat="1" x14ac:dyDescent="0.2">
      <c r="B96" s="127"/>
      <c r="C96" s="127"/>
      <c r="D96" s="127"/>
      <c r="E96" s="127"/>
      <c r="F96" s="127"/>
      <c r="G96" s="127"/>
      <c r="H96" s="127"/>
      <c r="I96" s="127"/>
      <c r="J96" s="127"/>
      <c r="K96" s="128"/>
      <c r="L96" s="127"/>
      <c r="M96" s="128"/>
      <c r="N96" s="128"/>
      <c r="O96" s="128"/>
    </row>
    <row r="97" spans="2:15" s="101" customFormat="1" x14ac:dyDescent="0.2">
      <c r="B97" s="127"/>
      <c r="C97" s="127"/>
      <c r="D97" s="127"/>
      <c r="E97" s="127"/>
      <c r="F97" s="127"/>
      <c r="G97" s="127"/>
      <c r="H97" s="127"/>
      <c r="I97" s="127"/>
      <c r="J97" s="127"/>
      <c r="K97" s="128"/>
      <c r="L97" s="127"/>
      <c r="M97" s="128"/>
      <c r="N97" s="128"/>
      <c r="O97" s="128"/>
    </row>
    <row r="98" spans="2:15" s="101" customFormat="1" x14ac:dyDescent="0.2">
      <c r="B98" s="127"/>
      <c r="C98" s="127"/>
      <c r="D98" s="127"/>
      <c r="E98" s="127"/>
      <c r="F98" s="127"/>
      <c r="G98" s="127"/>
      <c r="H98" s="127"/>
      <c r="I98" s="127"/>
      <c r="J98" s="127"/>
      <c r="K98" s="128"/>
      <c r="L98" s="127"/>
      <c r="M98" s="128"/>
      <c r="N98" s="128"/>
      <c r="O98" s="128"/>
    </row>
    <row r="99" spans="2:15" s="101" customFormat="1" x14ac:dyDescent="0.2">
      <c r="B99" s="127"/>
      <c r="C99" s="127"/>
      <c r="D99" s="127"/>
      <c r="E99" s="127"/>
      <c r="F99" s="127"/>
      <c r="G99" s="127"/>
      <c r="H99" s="127"/>
      <c r="I99" s="127"/>
      <c r="J99" s="127"/>
      <c r="K99" s="128"/>
      <c r="L99" s="127"/>
      <c r="M99" s="128"/>
      <c r="N99" s="128"/>
      <c r="O99" s="128"/>
    </row>
    <row r="100" spans="2:15" s="101" customFormat="1" x14ac:dyDescent="0.2">
      <c r="B100" s="127"/>
      <c r="C100" s="127"/>
      <c r="D100" s="127"/>
      <c r="E100" s="127"/>
      <c r="F100" s="127"/>
      <c r="G100" s="127"/>
      <c r="H100" s="127"/>
      <c r="I100" s="127"/>
      <c r="J100" s="127"/>
      <c r="K100" s="128"/>
      <c r="L100" s="127"/>
      <c r="M100" s="128"/>
      <c r="N100" s="128"/>
      <c r="O100" s="128"/>
    </row>
    <row r="101" spans="2:15" s="101" customFormat="1" x14ac:dyDescent="0.2">
      <c r="B101" s="127"/>
      <c r="C101" s="127"/>
      <c r="D101" s="127"/>
      <c r="E101" s="127"/>
      <c r="F101" s="127"/>
      <c r="G101" s="127"/>
      <c r="H101" s="127"/>
      <c r="I101" s="127"/>
      <c r="J101" s="127"/>
      <c r="K101" s="128"/>
      <c r="L101" s="127"/>
      <c r="M101" s="128"/>
      <c r="N101" s="128"/>
      <c r="O101" s="128"/>
    </row>
    <row r="102" spans="2:15" s="101" customFormat="1" x14ac:dyDescent="0.2">
      <c r="B102" s="127"/>
      <c r="C102" s="127"/>
      <c r="D102" s="127"/>
      <c r="E102" s="127"/>
      <c r="F102" s="127"/>
      <c r="G102" s="127"/>
      <c r="H102" s="127"/>
      <c r="I102" s="127"/>
      <c r="J102" s="127"/>
      <c r="K102" s="128"/>
      <c r="L102" s="127"/>
      <c r="M102" s="128"/>
      <c r="N102" s="128"/>
      <c r="O102" s="128"/>
    </row>
    <row r="103" spans="2:15" s="101" customFormat="1" x14ac:dyDescent="0.2">
      <c r="B103" s="127"/>
      <c r="C103" s="127"/>
      <c r="D103" s="127"/>
      <c r="E103" s="127"/>
      <c r="F103" s="127"/>
      <c r="G103" s="127"/>
      <c r="H103" s="127"/>
      <c r="I103" s="127"/>
      <c r="J103" s="127"/>
      <c r="K103" s="128"/>
      <c r="L103" s="127"/>
      <c r="M103" s="128"/>
      <c r="N103" s="128"/>
      <c r="O103" s="128"/>
    </row>
    <row r="104" spans="2:15" s="101" customFormat="1" x14ac:dyDescent="0.2">
      <c r="B104" s="127"/>
      <c r="C104" s="127"/>
      <c r="D104" s="127"/>
      <c r="E104" s="127"/>
      <c r="F104" s="127"/>
      <c r="G104" s="127"/>
      <c r="H104" s="127"/>
      <c r="I104" s="127"/>
      <c r="J104" s="127"/>
      <c r="K104" s="128"/>
      <c r="L104" s="127"/>
      <c r="M104" s="128"/>
      <c r="N104" s="128"/>
      <c r="O104" s="128"/>
    </row>
    <row r="105" spans="2:15" s="101" customFormat="1" x14ac:dyDescent="0.2">
      <c r="B105" s="127"/>
      <c r="C105" s="127"/>
      <c r="D105" s="127"/>
      <c r="E105" s="127"/>
      <c r="F105" s="127"/>
      <c r="G105" s="127"/>
      <c r="H105" s="127"/>
      <c r="I105" s="127"/>
      <c r="J105" s="127"/>
      <c r="K105" s="128"/>
      <c r="L105" s="127"/>
      <c r="M105" s="128"/>
      <c r="N105" s="128"/>
      <c r="O105" s="128"/>
    </row>
    <row r="106" spans="2:15" s="101" customFormat="1" x14ac:dyDescent="0.2">
      <c r="B106" s="127"/>
      <c r="C106" s="127"/>
      <c r="D106" s="127"/>
      <c r="E106" s="127"/>
      <c r="F106" s="127"/>
      <c r="G106" s="127"/>
      <c r="H106" s="127"/>
      <c r="I106" s="127"/>
      <c r="J106" s="127"/>
      <c r="K106" s="128"/>
      <c r="L106" s="127"/>
      <c r="M106" s="128"/>
      <c r="N106" s="128"/>
      <c r="O106" s="128"/>
    </row>
    <row r="107" spans="2:15" s="101" customFormat="1" x14ac:dyDescent="0.2">
      <c r="B107" s="127"/>
      <c r="C107" s="127"/>
      <c r="D107" s="127"/>
      <c r="E107" s="127"/>
      <c r="F107" s="127"/>
      <c r="G107" s="127"/>
      <c r="H107" s="127"/>
      <c r="I107" s="127"/>
      <c r="J107" s="127"/>
      <c r="K107" s="128"/>
      <c r="L107" s="127"/>
      <c r="M107" s="128"/>
      <c r="N107" s="128"/>
      <c r="O107" s="128"/>
    </row>
    <row r="108" spans="2:15" s="101" customFormat="1" x14ac:dyDescent="0.2">
      <c r="B108" s="127"/>
      <c r="C108" s="127"/>
      <c r="D108" s="127"/>
      <c r="E108" s="127"/>
      <c r="F108" s="127"/>
      <c r="G108" s="127"/>
      <c r="H108" s="127"/>
      <c r="I108" s="127"/>
      <c r="J108" s="127"/>
      <c r="K108" s="128"/>
      <c r="L108" s="127"/>
      <c r="M108" s="128"/>
      <c r="N108" s="128"/>
      <c r="O108" s="128"/>
    </row>
    <row r="109" spans="2:15" s="101" customFormat="1" x14ac:dyDescent="0.2">
      <c r="B109" s="127"/>
      <c r="C109" s="127"/>
      <c r="D109" s="127"/>
      <c r="E109" s="127"/>
      <c r="F109" s="127"/>
      <c r="G109" s="127"/>
      <c r="H109" s="127"/>
      <c r="I109" s="127"/>
      <c r="J109" s="127"/>
      <c r="K109" s="128"/>
      <c r="L109" s="127"/>
      <c r="M109" s="128"/>
      <c r="N109" s="128"/>
      <c r="O109" s="128"/>
    </row>
    <row r="110" spans="2:15" s="101" customFormat="1" x14ac:dyDescent="0.2">
      <c r="B110" s="127"/>
      <c r="C110" s="127"/>
      <c r="D110" s="127"/>
      <c r="E110" s="127"/>
      <c r="F110" s="127"/>
      <c r="G110" s="127"/>
      <c r="H110" s="127"/>
      <c r="I110" s="127"/>
      <c r="J110" s="127"/>
      <c r="K110" s="128"/>
      <c r="L110" s="127"/>
      <c r="M110" s="128"/>
      <c r="N110" s="128"/>
      <c r="O110" s="128"/>
    </row>
    <row r="111" spans="2:15" s="101" customFormat="1" x14ac:dyDescent="0.2">
      <c r="B111" s="127"/>
      <c r="C111" s="127"/>
      <c r="D111" s="127"/>
      <c r="E111" s="127"/>
      <c r="F111" s="127"/>
      <c r="G111" s="127"/>
      <c r="H111" s="127"/>
      <c r="I111" s="127"/>
      <c r="J111" s="127"/>
      <c r="K111" s="128"/>
      <c r="L111" s="127"/>
      <c r="M111" s="128"/>
      <c r="N111" s="128"/>
      <c r="O111" s="128"/>
    </row>
    <row r="112" spans="2:15" s="101" customFormat="1" x14ac:dyDescent="0.2">
      <c r="B112" s="127"/>
      <c r="C112" s="127"/>
      <c r="D112" s="127"/>
      <c r="E112" s="127"/>
      <c r="F112" s="127"/>
      <c r="G112" s="127"/>
      <c r="H112" s="127"/>
      <c r="I112" s="127"/>
      <c r="J112" s="127"/>
      <c r="K112" s="128"/>
      <c r="L112" s="127"/>
      <c r="M112" s="128"/>
      <c r="N112" s="128"/>
      <c r="O112" s="128"/>
    </row>
    <row r="113" spans="2:15" s="101" customFormat="1" x14ac:dyDescent="0.2">
      <c r="B113" s="127"/>
      <c r="C113" s="127"/>
      <c r="D113" s="127"/>
      <c r="E113" s="127"/>
      <c r="F113" s="127"/>
      <c r="G113" s="127"/>
      <c r="H113" s="127"/>
      <c r="I113" s="127"/>
      <c r="J113" s="127"/>
      <c r="K113" s="128"/>
      <c r="L113" s="127"/>
      <c r="M113" s="128"/>
      <c r="N113" s="128"/>
      <c r="O113" s="128"/>
    </row>
    <row r="114" spans="2:15" s="101" customFormat="1" x14ac:dyDescent="0.2">
      <c r="B114" s="127"/>
      <c r="C114" s="127"/>
      <c r="D114" s="127"/>
      <c r="E114" s="127"/>
      <c r="F114" s="127"/>
      <c r="G114" s="127"/>
      <c r="H114" s="127"/>
      <c r="I114" s="127"/>
      <c r="J114" s="127"/>
      <c r="K114" s="128"/>
      <c r="L114" s="127"/>
      <c r="M114" s="128"/>
      <c r="N114" s="128"/>
      <c r="O114" s="128"/>
    </row>
    <row r="115" spans="2:15" s="101" customFormat="1" x14ac:dyDescent="0.2">
      <c r="B115" s="127"/>
      <c r="C115" s="127"/>
      <c r="D115" s="127"/>
      <c r="E115" s="127"/>
      <c r="F115" s="127"/>
      <c r="G115" s="127"/>
      <c r="H115" s="127"/>
      <c r="I115" s="127"/>
      <c r="J115" s="127"/>
      <c r="K115" s="128"/>
      <c r="L115" s="127"/>
      <c r="M115" s="128"/>
      <c r="N115" s="128"/>
      <c r="O115" s="128"/>
    </row>
    <row r="116" spans="2:15" s="101" customFormat="1" x14ac:dyDescent="0.2">
      <c r="B116" s="127"/>
      <c r="C116" s="127"/>
      <c r="D116" s="127"/>
      <c r="E116" s="127"/>
      <c r="F116" s="127"/>
      <c r="G116" s="127"/>
      <c r="H116" s="127"/>
      <c r="I116" s="127"/>
      <c r="J116" s="127"/>
      <c r="K116" s="128"/>
      <c r="L116" s="127"/>
      <c r="M116" s="128"/>
      <c r="N116" s="128"/>
      <c r="O116" s="128"/>
    </row>
    <row r="117" spans="2:15" s="101" customFormat="1" x14ac:dyDescent="0.2">
      <c r="B117" s="127"/>
      <c r="C117" s="127"/>
      <c r="D117" s="127"/>
      <c r="E117" s="127"/>
      <c r="F117" s="127"/>
      <c r="G117" s="127"/>
      <c r="H117" s="127"/>
      <c r="I117" s="127"/>
      <c r="J117" s="127"/>
      <c r="K117" s="128"/>
      <c r="L117" s="127"/>
      <c r="M117" s="128"/>
      <c r="N117" s="128"/>
      <c r="O117" s="128"/>
    </row>
    <row r="118" spans="2:15" s="101" customFormat="1" x14ac:dyDescent="0.2">
      <c r="B118" s="127"/>
      <c r="C118" s="127"/>
      <c r="D118" s="127"/>
      <c r="E118" s="127"/>
      <c r="F118" s="127"/>
      <c r="G118" s="127"/>
      <c r="H118" s="127"/>
      <c r="I118" s="127"/>
      <c r="J118" s="127"/>
      <c r="K118" s="128"/>
      <c r="L118" s="127"/>
      <c r="M118" s="128"/>
      <c r="N118" s="128"/>
      <c r="O118" s="128"/>
    </row>
    <row r="119" spans="2:15" s="101" customFormat="1" x14ac:dyDescent="0.2">
      <c r="B119" s="127"/>
      <c r="C119" s="127"/>
      <c r="D119" s="127"/>
      <c r="E119" s="127"/>
      <c r="F119" s="127"/>
      <c r="G119" s="127"/>
      <c r="H119" s="127"/>
      <c r="I119" s="127"/>
      <c r="J119" s="127"/>
      <c r="K119" s="128"/>
      <c r="L119" s="127"/>
      <c r="M119" s="128"/>
      <c r="N119" s="128"/>
      <c r="O119" s="128"/>
    </row>
    <row r="120" spans="2:15" s="101" customFormat="1" x14ac:dyDescent="0.2">
      <c r="B120" s="127"/>
      <c r="C120" s="127"/>
      <c r="D120" s="127"/>
      <c r="E120" s="127"/>
      <c r="F120" s="127"/>
      <c r="G120" s="127"/>
      <c r="H120" s="127"/>
      <c r="I120" s="127"/>
      <c r="J120" s="127"/>
      <c r="K120" s="128"/>
      <c r="L120" s="127"/>
      <c r="M120" s="128"/>
      <c r="N120" s="128"/>
      <c r="O120" s="128"/>
    </row>
    <row r="121" spans="2:15" s="101" customFormat="1" x14ac:dyDescent="0.2">
      <c r="B121" s="127"/>
      <c r="C121" s="127"/>
      <c r="D121" s="127"/>
      <c r="E121" s="127"/>
      <c r="F121" s="127"/>
      <c r="G121" s="127"/>
      <c r="H121" s="127"/>
      <c r="I121" s="127"/>
      <c r="J121" s="127"/>
      <c r="K121" s="128"/>
      <c r="L121" s="127"/>
      <c r="M121" s="128"/>
      <c r="N121" s="128"/>
      <c r="O121" s="128"/>
    </row>
    <row r="122" spans="2:15" s="101" customFormat="1" x14ac:dyDescent="0.2">
      <c r="B122" s="127"/>
      <c r="C122" s="127"/>
      <c r="D122" s="127"/>
      <c r="E122" s="127"/>
      <c r="F122" s="127"/>
      <c r="G122" s="127"/>
      <c r="H122" s="127"/>
      <c r="I122" s="127"/>
      <c r="J122" s="127"/>
      <c r="K122" s="128"/>
      <c r="L122" s="127"/>
      <c r="M122" s="128"/>
      <c r="N122" s="128"/>
      <c r="O122" s="128"/>
    </row>
    <row r="123" spans="2:15" s="101" customFormat="1" x14ac:dyDescent="0.2">
      <c r="B123" s="127"/>
      <c r="C123" s="127"/>
      <c r="D123" s="127"/>
      <c r="E123" s="127"/>
      <c r="F123" s="127"/>
      <c r="G123" s="127"/>
      <c r="H123" s="127"/>
      <c r="I123" s="127"/>
      <c r="J123" s="127"/>
      <c r="K123" s="128"/>
      <c r="L123" s="127"/>
      <c r="M123" s="128"/>
      <c r="N123" s="128"/>
      <c r="O123" s="128"/>
    </row>
    <row r="124" spans="2:15" s="101" customFormat="1" x14ac:dyDescent="0.2">
      <c r="B124" s="127"/>
      <c r="C124" s="127"/>
      <c r="D124" s="127"/>
      <c r="E124" s="127"/>
      <c r="F124" s="127"/>
      <c r="G124" s="127"/>
      <c r="H124" s="127"/>
      <c r="I124" s="127"/>
      <c r="J124" s="127"/>
      <c r="K124" s="128"/>
      <c r="L124" s="127"/>
      <c r="M124" s="128"/>
      <c r="N124" s="128"/>
      <c r="O124" s="128"/>
    </row>
    <row r="125" spans="2:15" s="101" customFormat="1" x14ac:dyDescent="0.2">
      <c r="B125" s="127"/>
      <c r="C125" s="127"/>
      <c r="D125" s="127"/>
      <c r="E125" s="127"/>
      <c r="F125" s="127"/>
      <c r="G125" s="127"/>
      <c r="H125" s="127"/>
      <c r="I125" s="127"/>
      <c r="J125" s="127"/>
      <c r="K125" s="128"/>
      <c r="L125" s="127"/>
      <c r="M125" s="128"/>
      <c r="N125" s="128"/>
      <c r="O125" s="128"/>
    </row>
    <row r="126" spans="2:15" s="101" customFormat="1" x14ac:dyDescent="0.2">
      <c r="B126" s="127"/>
      <c r="C126" s="127"/>
      <c r="D126" s="127"/>
      <c r="E126" s="127"/>
      <c r="F126" s="127"/>
      <c r="G126" s="127"/>
      <c r="H126" s="127"/>
      <c r="I126" s="127"/>
      <c r="J126" s="127"/>
      <c r="K126" s="128"/>
      <c r="L126" s="127"/>
      <c r="M126" s="128"/>
      <c r="N126" s="128"/>
      <c r="O126" s="128"/>
    </row>
    <row r="127" spans="2:15" s="101" customFormat="1" x14ac:dyDescent="0.2">
      <c r="B127" s="127"/>
      <c r="C127" s="127"/>
      <c r="D127" s="127"/>
      <c r="E127" s="127"/>
      <c r="F127" s="127"/>
      <c r="G127" s="127"/>
      <c r="H127" s="127"/>
      <c r="I127" s="127"/>
      <c r="J127" s="127"/>
      <c r="K127" s="128"/>
      <c r="L127" s="127"/>
      <c r="M127" s="128"/>
      <c r="N127" s="128"/>
      <c r="O127" s="128"/>
    </row>
    <row r="128" spans="2:15" s="101" customFormat="1" ht="66" customHeight="1" x14ac:dyDescent="0.2">
      <c r="B128" s="127"/>
      <c r="C128" s="127"/>
      <c r="D128" s="127"/>
      <c r="E128" s="127"/>
      <c r="F128" s="127"/>
      <c r="G128" s="127"/>
      <c r="H128" s="127"/>
      <c r="I128" s="127"/>
      <c r="J128" s="127"/>
      <c r="K128" s="128"/>
      <c r="L128" s="127"/>
      <c r="M128" s="128"/>
      <c r="N128" s="128"/>
      <c r="O128" s="128"/>
    </row>
    <row r="129" spans="2:12" s="101" customFormat="1" x14ac:dyDescent="0.2">
      <c r="B129" s="125"/>
      <c r="C129" s="125"/>
      <c r="D129" s="125"/>
      <c r="E129" s="125"/>
      <c r="F129" s="125"/>
      <c r="G129" s="125"/>
      <c r="H129" s="125"/>
      <c r="I129" s="125"/>
      <c r="J129" s="125"/>
      <c r="L129" s="125"/>
    </row>
    <row r="130" spans="2:12" s="101" customFormat="1" x14ac:dyDescent="0.2">
      <c r="B130" s="125"/>
      <c r="C130" s="125"/>
      <c r="D130" s="125"/>
      <c r="E130" s="125"/>
      <c r="F130" s="125"/>
      <c r="G130" s="125"/>
      <c r="H130" s="125"/>
      <c r="I130" s="125"/>
      <c r="J130" s="125"/>
      <c r="L130" s="125"/>
    </row>
    <row r="131" spans="2:12" s="101" customFormat="1" x14ac:dyDescent="0.2">
      <c r="B131" s="125"/>
      <c r="C131" s="125"/>
      <c r="D131" s="125"/>
      <c r="E131" s="125"/>
      <c r="F131" s="125"/>
      <c r="G131" s="125"/>
      <c r="H131" s="125"/>
      <c r="I131" s="125"/>
      <c r="J131" s="125"/>
      <c r="L131" s="125"/>
    </row>
    <row r="132" spans="2:12" s="101" customFormat="1" x14ac:dyDescent="0.2">
      <c r="B132" s="125"/>
      <c r="C132" s="125"/>
      <c r="D132" s="125"/>
      <c r="E132" s="125"/>
      <c r="F132" s="125"/>
      <c r="G132" s="125"/>
      <c r="H132" s="125"/>
      <c r="I132" s="125"/>
      <c r="J132" s="125"/>
      <c r="L132" s="125"/>
    </row>
    <row r="133" spans="2:12" s="101" customFormat="1" x14ac:dyDescent="0.2">
      <c r="B133" s="125"/>
      <c r="C133" s="125"/>
      <c r="D133" s="125"/>
      <c r="E133" s="125"/>
      <c r="F133" s="125"/>
      <c r="G133" s="125"/>
      <c r="H133" s="125"/>
      <c r="I133" s="125"/>
      <c r="J133" s="125"/>
      <c r="L133" s="125"/>
    </row>
    <row r="134" spans="2:12" s="101" customFormat="1" x14ac:dyDescent="0.2">
      <c r="B134" s="125"/>
      <c r="C134" s="125"/>
      <c r="D134" s="125"/>
      <c r="E134" s="125"/>
      <c r="F134" s="125"/>
      <c r="G134" s="125"/>
      <c r="H134" s="125"/>
      <c r="I134" s="125"/>
      <c r="J134" s="125"/>
      <c r="L134" s="125"/>
    </row>
    <row r="135" spans="2:12" s="101" customFormat="1" x14ac:dyDescent="0.2">
      <c r="B135" s="125"/>
      <c r="C135" s="125"/>
      <c r="D135" s="125"/>
      <c r="E135" s="125"/>
      <c r="F135" s="125"/>
      <c r="G135" s="125"/>
      <c r="H135" s="125"/>
      <c r="I135" s="125"/>
      <c r="J135" s="125"/>
      <c r="L135" s="125"/>
    </row>
    <row r="136" spans="2:12" s="101" customFormat="1" x14ac:dyDescent="0.2">
      <c r="B136" s="125"/>
      <c r="C136" s="125"/>
      <c r="D136" s="125"/>
      <c r="E136" s="125"/>
      <c r="F136" s="125"/>
      <c r="G136" s="125"/>
      <c r="H136" s="125"/>
      <c r="I136" s="125"/>
      <c r="J136" s="125"/>
      <c r="L136" s="125"/>
    </row>
    <row r="137" spans="2:12" s="101" customFormat="1" x14ac:dyDescent="0.2">
      <c r="B137" s="125"/>
      <c r="C137" s="125"/>
      <c r="D137" s="125"/>
      <c r="E137" s="125"/>
      <c r="F137" s="125"/>
      <c r="G137" s="125"/>
      <c r="H137" s="125"/>
      <c r="I137" s="125"/>
      <c r="J137" s="125"/>
      <c r="L137" s="125"/>
    </row>
    <row r="138" spans="2:12" s="101" customFormat="1" x14ac:dyDescent="0.2">
      <c r="B138" s="125"/>
      <c r="C138" s="125"/>
      <c r="D138" s="125"/>
      <c r="E138" s="125"/>
      <c r="F138" s="125"/>
      <c r="G138" s="125"/>
      <c r="H138" s="125"/>
      <c r="I138" s="125"/>
      <c r="J138" s="125"/>
      <c r="L138" s="125"/>
    </row>
    <row r="139" spans="2:12" s="101" customFormat="1" x14ac:dyDescent="0.2">
      <c r="B139" s="125"/>
      <c r="C139" s="125"/>
      <c r="D139" s="125"/>
      <c r="E139" s="125"/>
      <c r="F139" s="125"/>
      <c r="G139" s="125"/>
      <c r="H139" s="125"/>
      <c r="I139" s="125"/>
      <c r="J139" s="125"/>
      <c r="L139" s="125"/>
    </row>
    <row r="140" spans="2:12" s="101" customFormat="1" x14ac:dyDescent="0.2">
      <c r="B140" s="125"/>
      <c r="C140" s="125"/>
      <c r="D140" s="125"/>
      <c r="E140" s="125"/>
      <c r="F140" s="125"/>
      <c r="G140" s="125"/>
      <c r="H140" s="125"/>
      <c r="I140" s="125"/>
      <c r="J140" s="125"/>
      <c r="L140" s="125"/>
    </row>
    <row r="141" spans="2:12" s="101" customFormat="1" x14ac:dyDescent="0.2">
      <c r="B141" s="125"/>
      <c r="C141" s="125"/>
      <c r="D141" s="125"/>
      <c r="E141" s="125"/>
      <c r="F141" s="125"/>
      <c r="G141" s="125"/>
      <c r="H141" s="125"/>
      <c r="I141" s="125"/>
      <c r="J141" s="125"/>
      <c r="L141" s="125"/>
    </row>
    <row r="142" spans="2:12" s="101" customFormat="1" x14ac:dyDescent="0.2">
      <c r="B142" s="125"/>
      <c r="C142" s="125"/>
      <c r="D142" s="125"/>
      <c r="E142" s="125"/>
      <c r="F142" s="125"/>
      <c r="G142" s="125"/>
      <c r="H142" s="125"/>
      <c r="I142" s="125"/>
      <c r="J142" s="125"/>
      <c r="L142" s="125"/>
    </row>
    <row r="143" spans="2:12" s="101" customFormat="1" x14ac:dyDescent="0.2">
      <c r="B143" s="125"/>
      <c r="C143" s="125"/>
      <c r="D143" s="125"/>
      <c r="E143" s="125"/>
      <c r="F143" s="125"/>
      <c r="G143" s="125"/>
      <c r="H143" s="125"/>
      <c r="I143" s="125"/>
      <c r="J143" s="125"/>
      <c r="L143" s="125"/>
    </row>
    <row r="144" spans="2:12" s="101" customFormat="1" x14ac:dyDescent="0.2">
      <c r="B144" s="125"/>
      <c r="C144" s="125"/>
      <c r="D144" s="125"/>
      <c r="E144" s="125"/>
      <c r="F144" s="125"/>
      <c r="G144" s="125"/>
      <c r="H144" s="125"/>
      <c r="I144" s="125"/>
      <c r="J144" s="125"/>
      <c r="L144" s="125"/>
    </row>
    <row r="145" spans="2:12" s="101" customFormat="1" x14ac:dyDescent="0.2">
      <c r="B145" s="125"/>
      <c r="C145" s="125"/>
      <c r="D145" s="125"/>
      <c r="E145" s="125"/>
      <c r="F145" s="125"/>
      <c r="G145" s="125"/>
      <c r="H145" s="125"/>
      <c r="I145" s="125"/>
      <c r="J145" s="125"/>
      <c r="L145" s="125"/>
    </row>
    <row r="146" spans="2:12" s="101" customFormat="1" x14ac:dyDescent="0.2">
      <c r="B146" s="125"/>
      <c r="C146" s="125"/>
      <c r="D146" s="125"/>
      <c r="E146" s="125"/>
      <c r="F146" s="125"/>
      <c r="G146" s="125"/>
      <c r="H146" s="125"/>
      <c r="I146" s="125"/>
      <c r="J146" s="125"/>
      <c r="L146" s="125"/>
    </row>
    <row r="147" spans="2:12" s="101" customFormat="1" x14ac:dyDescent="0.2">
      <c r="B147" s="125"/>
      <c r="C147" s="125"/>
      <c r="D147" s="125"/>
      <c r="E147" s="125"/>
      <c r="F147" s="125"/>
      <c r="G147" s="125"/>
      <c r="H147" s="125"/>
      <c r="I147" s="125"/>
      <c r="J147" s="125"/>
      <c r="L147" s="125"/>
    </row>
    <row r="148" spans="2:12" s="101" customFormat="1" x14ac:dyDescent="0.2">
      <c r="B148" s="125"/>
      <c r="C148" s="125"/>
      <c r="D148" s="125"/>
      <c r="E148" s="125"/>
      <c r="F148" s="125"/>
      <c r="G148" s="125"/>
      <c r="H148" s="125"/>
      <c r="I148" s="125"/>
      <c r="J148" s="125"/>
      <c r="L148" s="125"/>
    </row>
    <row r="149" spans="2:12" s="101" customFormat="1" x14ac:dyDescent="0.2">
      <c r="B149" s="125"/>
      <c r="C149" s="125"/>
      <c r="D149" s="125"/>
      <c r="E149" s="125"/>
      <c r="F149" s="125"/>
      <c r="G149" s="125"/>
      <c r="H149" s="125"/>
      <c r="I149" s="125"/>
      <c r="J149" s="125"/>
      <c r="L149" s="125"/>
    </row>
    <row r="150" spans="2:12" s="101" customFormat="1" x14ac:dyDescent="0.2">
      <c r="B150" s="125"/>
      <c r="C150" s="125"/>
      <c r="D150" s="125"/>
      <c r="E150" s="125"/>
      <c r="F150" s="125"/>
      <c r="G150" s="125"/>
      <c r="H150" s="125"/>
      <c r="I150" s="125"/>
      <c r="J150" s="125"/>
      <c r="L150" s="125"/>
    </row>
    <row r="151" spans="2:12" s="101" customFormat="1" x14ac:dyDescent="0.2">
      <c r="B151" s="125"/>
      <c r="C151" s="125"/>
      <c r="D151" s="125"/>
      <c r="E151" s="125"/>
      <c r="F151" s="125"/>
      <c r="G151" s="125"/>
      <c r="H151" s="125"/>
      <c r="I151" s="125"/>
      <c r="J151" s="125"/>
      <c r="L151" s="125"/>
    </row>
    <row r="152" spans="2:12" s="101" customFormat="1" x14ac:dyDescent="0.2">
      <c r="B152" s="125"/>
      <c r="C152" s="125"/>
      <c r="D152" s="125"/>
      <c r="E152" s="125"/>
      <c r="F152" s="125"/>
      <c r="G152" s="125"/>
      <c r="H152" s="125"/>
      <c r="I152" s="125"/>
      <c r="J152" s="125"/>
      <c r="L152" s="125"/>
    </row>
    <row r="153" spans="2:12" s="101" customFormat="1" x14ac:dyDescent="0.2">
      <c r="B153" s="125"/>
      <c r="C153" s="125"/>
      <c r="D153" s="125"/>
      <c r="E153" s="125"/>
      <c r="F153" s="125"/>
      <c r="G153" s="125"/>
      <c r="H153" s="125"/>
      <c r="I153" s="125"/>
      <c r="J153" s="125"/>
      <c r="L153" s="125"/>
    </row>
    <row r="154" spans="2:12" s="101" customFormat="1" x14ac:dyDescent="0.2">
      <c r="B154" s="125"/>
      <c r="C154" s="125"/>
      <c r="D154" s="125"/>
      <c r="E154" s="125"/>
      <c r="F154" s="125"/>
      <c r="G154" s="125"/>
      <c r="H154" s="125"/>
      <c r="I154" s="125"/>
      <c r="J154" s="125"/>
      <c r="L154" s="125"/>
    </row>
    <row r="155" spans="2:12" s="101" customFormat="1" x14ac:dyDescent="0.2">
      <c r="B155" s="125"/>
      <c r="C155" s="125"/>
      <c r="D155" s="125"/>
      <c r="E155" s="125"/>
      <c r="F155" s="125"/>
      <c r="G155" s="125"/>
      <c r="H155" s="125"/>
      <c r="I155" s="125"/>
      <c r="J155" s="125"/>
      <c r="L155" s="125"/>
    </row>
    <row r="156" spans="2:12" s="101" customFormat="1" x14ac:dyDescent="0.2">
      <c r="B156" s="125"/>
      <c r="C156" s="125"/>
      <c r="D156" s="125"/>
      <c r="E156" s="125"/>
      <c r="F156" s="125"/>
      <c r="G156" s="125"/>
      <c r="H156" s="125"/>
      <c r="I156" s="125"/>
      <c r="J156" s="125"/>
      <c r="L156" s="125"/>
    </row>
    <row r="157" spans="2:12" s="101" customFormat="1" x14ac:dyDescent="0.2">
      <c r="B157" s="125"/>
      <c r="C157" s="125"/>
      <c r="D157" s="125"/>
      <c r="E157" s="125"/>
      <c r="F157" s="125"/>
      <c r="G157" s="125"/>
      <c r="H157" s="125"/>
      <c r="I157" s="125"/>
      <c r="J157" s="125"/>
      <c r="L157" s="125"/>
    </row>
    <row r="158" spans="2:12" s="101" customFormat="1" x14ac:dyDescent="0.2">
      <c r="B158" s="125"/>
      <c r="C158" s="125"/>
      <c r="D158" s="125"/>
      <c r="E158" s="125"/>
      <c r="F158" s="125"/>
      <c r="G158" s="125"/>
      <c r="H158" s="125"/>
      <c r="I158" s="125"/>
      <c r="J158" s="125"/>
      <c r="L158" s="125"/>
    </row>
    <row r="159" spans="2:12" s="101" customFormat="1" x14ac:dyDescent="0.2">
      <c r="B159" s="125"/>
      <c r="C159" s="125"/>
      <c r="D159" s="125"/>
      <c r="E159" s="125"/>
      <c r="F159" s="125"/>
      <c r="G159" s="125"/>
      <c r="H159" s="125"/>
      <c r="I159" s="125"/>
      <c r="J159" s="125"/>
      <c r="L159" s="125"/>
    </row>
    <row r="160" spans="2:12" s="101" customFormat="1" x14ac:dyDescent="0.2">
      <c r="B160" s="125"/>
      <c r="C160" s="125"/>
      <c r="D160" s="125"/>
      <c r="E160" s="125"/>
      <c r="F160" s="125"/>
      <c r="G160" s="125"/>
      <c r="H160" s="125"/>
      <c r="I160" s="125"/>
      <c r="J160" s="125"/>
      <c r="L160" s="125"/>
    </row>
    <row r="161" spans="2:12" s="101" customFormat="1" x14ac:dyDescent="0.2">
      <c r="B161" s="125"/>
      <c r="C161" s="125"/>
      <c r="D161" s="125"/>
      <c r="E161" s="125"/>
      <c r="F161" s="125"/>
      <c r="G161" s="125"/>
      <c r="H161" s="125"/>
      <c r="I161" s="125"/>
      <c r="J161" s="125"/>
      <c r="L161" s="125"/>
    </row>
    <row r="162" spans="2:12" s="101" customFormat="1" x14ac:dyDescent="0.2">
      <c r="B162" s="125"/>
      <c r="C162" s="125"/>
      <c r="D162" s="125"/>
      <c r="E162" s="125"/>
      <c r="F162" s="125"/>
      <c r="G162" s="125"/>
      <c r="H162" s="125"/>
      <c r="I162" s="125"/>
      <c r="J162" s="125"/>
      <c r="L162" s="125"/>
    </row>
    <row r="163" spans="2:12" s="101" customFormat="1" x14ac:dyDescent="0.2">
      <c r="B163" s="125"/>
      <c r="C163" s="125"/>
      <c r="D163" s="125"/>
      <c r="E163" s="125"/>
      <c r="F163" s="125"/>
      <c r="G163" s="125"/>
      <c r="H163" s="125"/>
      <c r="I163" s="125"/>
      <c r="J163" s="125"/>
      <c r="L163" s="125"/>
    </row>
    <row r="164" spans="2:12" s="101" customFormat="1" x14ac:dyDescent="0.2">
      <c r="B164" s="125"/>
      <c r="C164" s="125"/>
      <c r="D164" s="125"/>
      <c r="E164" s="125"/>
      <c r="F164" s="125"/>
      <c r="G164" s="125"/>
      <c r="H164" s="125"/>
      <c r="I164" s="125"/>
      <c r="J164" s="125"/>
      <c r="L164" s="125"/>
    </row>
    <row r="165" spans="2:12" s="101" customFormat="1" x14ac:dyDescent="0.2">
      <c r="B165" s="125"/>
      <c r="C165" s="125"/>
      <c r="D165" s="125"/>
      <c r="E165" s="125"/>
      <c r="F165" s="125"/>
      <c r="G165" s="125"/>
      <c r="H165" s="125"/>
      <c r="I165" s="125"/>
      <c r="J165" s="125"/>
      <c r="L165" s="125"/>
    </row>
    <row r="166" spans="2:12" s="101" customFormat="1" x14ac:dyDescent="0.2">
      <c r="B166" s="125"/>
      <c r="C166" s="125"/>
      <c r="D166" s="125"/>
      <c r="E166" s="125"/>
      <c r="F166" s="125"/>
      <c r="G166" s="125"/>
      <c r="H166" s="125"/>
      <c r="I166" s="125"/>
      <c r="J166" s="125"/>
      <c r="L166" s="125"/>
    </row>
    <row r="167" spans="2:12" s="101" customFormat="1" x14ac:dyDescent="0.2">
      <c r="B167" s="125"/>
      <c r="C167" s="125"/>
      <c r="D167" s="125"/>
      <c r="E167" s="125"/>
      <c r="F167" s="125"/>
      <c r="G167" s="125"/>
      <c r="H167" s="125"/>
      <c r="I167" s="125"/>
      <c r="J167" s="125"/>
      <c r="L167" s="125"/>
    </row>
    <row r="168" spans="2:12" s="101" customFormat="1" x14ac:dyDescent="0.2">
      <c r="B168" s="125"/>
      <c r="C168" s="125"/>
      <c r="D168" s="125"/>
      <c r="E168" s="125"/>
      <c r="F168" s="125"/>
      <c r="G168" s="125"/>
      <c r="H168" s="125"/>
      <c r="I168" s="125"/>
      <c r="J168" s="125"/>
      <c r="L168" s="125"/>
    </row>
    <row r="169" spans="2:12" s="101" customFormat="1" x14ac:dyDescent="0.2">
      <c r="B169" s="125"/>
      <c r="C169" s="125"/>
      <c r="D169" s="125"/>
      <c r="E169" s="125"/>
      <c r="F169" s="125"/>
      <c r="G169" s="125"/>
      <c r="H169" s="125"/>
      <c r="I169" s="125"/>
      <c r="J169" s="125"/>
      <c r="L169" s="125"/>
    </row>
    <row r="170" spans="2:12" s="101" customFormat="1" x14ac:dyDescent="0.2">
      <c r="B170" s="125"/>
      <c r="C170" s="125"/>
      <c r="D170" s="125"/>
      <c r="E170" s="125"/>
      <c r="F170" s="125"/>
      <c r="G170" s="125"/>
      <c r="H170" s="125"/>
      <c r="I170" s="125"/>
      <c r="J170" s="125"/>
      <c r="L170" s="125"/>
    </row>
    <row r="171" spans="2:12" s="101" customFormat="1" x14ac:dyDescent="0.2">
      <c r="B171" s="125"/>
      <c r="C171" s="125"/>
      <c r="D171" s="125"/>
      <c r="E171" s="125"/>
      <c r="F171" s="125"/>
      <c r="G171" s="125"/>
      <c r="H171" s="125"/>
      <c r="I171" s="125"/>
      <c r="J171" s="125"/>
      <c r="L171" s="125"/>
    </row>
    <row r="172" spans="2:12" s="101" customFormat="1" x14ac:dyDescent="0.2">
      <c r="B172" s="125"/>
      <c r="C172" s="125"/>
      <c r="D172" s="125"/>
      <c r="E172" s="125"/>
      <c r="F172" s="125"/>
      <c r="G172" s="125"/>
      <c r="H172" s="125"/>
      <c r="I172" s="125"/>
      <c r="J172" s="125"/>
      <c r="L172" s="125"/>
    </row>
    <row r="173" spans="2:12" s="101" customFormat="1" x14ac:dyDescent="0.2">
      <c r="B173" s="125"/>
      <c r="C173" s="125"/>
      <c r="D173" s="125"/>
      <c r="E173" s="125"/>
      <c r="F173" s="125"/>
      <c r="G173" s="125"/>
      <c r="H173" s="125"/>
      <c r="I173" s="125"/>
      <c r="J173" s="125"/>
      <c r="L173" s="125"/>
    </row>
    <row r="174" spans="2:12" s="101" customFormat="1" x14ac:dyDescent="0.2">
      <c r="B174" s="125"/>
      <c r="C174" s="125"/>
      <c r="D174" s="125"/>
      <c r="E174" s="125"/>
      <c r="F174" s="125"/>
      <c r="G174" s="125"/>
      <c r="H174" s="125"/>
      <c r="I174" s="125"/>
      <c r="J174" s="125"/>
      <c r="L174" s="125"/>
    </row>
    <row r="175" spans="2:12" s="101" customFormat="1" x14ac:dyDescent="0.2">
      <c r="B175" s="125"/>
      <c r="C175" s="125"/>
      <c r="D175" s="125"/>
      <c r="E175" s="125"/>
      <c r="F175" s="125"/>
      <c r="G175" s="125"/>
      <c r="H175" s="125"/>
      <c r="I175" s="125"/>
      <c r="J175" s="125"/>
      <c r="L175" s="125"/>
    </row>
    <row r="176" spans="2:12" s="101" customFormat="1" x14ac:dyDescent="0.2">
      <c r="B176" s="125"/>
      <c r="C176" s="125"/>
      <c r="D176" s="125"/>
      <c r="E176" s="125"/>
      <c r="F176" s="125"/>
      <c r="G176" s="125"/>
      <c r="H176" s="125"/>
      <c r="I176" s="125"/>
      <c r="J176" s="125"/>
      <c r="L176" s="125"/>
    </row>
    <row r="177" spans="2:12" s="101" customFormat="1" x14ac:dyDescent="0.2">
      <c r="B177" s="125"/>
      <c r="C177" s="125"/>
      <c r="D177" s="125"/>
      <c r="E177" s="125"/>
      <c r="F177" s="125"/>
      <c r="G177" s="125"/>
      <c r="H177" s="125"/>
      <c r="I177" s="125"/>
      <c r="J177" s="125"/>
      <c r="L177" s="125"/>
    </row>
    <row r="178" spans="2:12" s="101" customFormat="1" x14ac:dyDescent="0.2">
      <c r="B178" s="125"/>
      <c r="C178" s="125"/>
      <c r="D178" s="125"/>
      <c r="E178" s="125"/>
      <c r="F178" s="125"/>
      <c r="G178" s="125"/>
      <c r="H178" s="125"/>
      <c r="I178" s="125"/>
      <c r="J178" s="125"/>
      <c r="L178" s="125"/>
    </row>
    <row r="179" spans="2:12" s="101" customFormat="1" x14ac:dyDescent="0.2">
      <c r="B179" s="125"/>
      <c r="C179" s="125"/>
      <c r="D179" s="125"/>
      <c r="E179" s="125"/>
      <c r="F179" s="125"/>
      <c r="G179" s="125"/>
      <c r="H179" s="125"/>
      <c r="I179" s="125"/>
      <c r="J179" s="125"/>
      <c r="L179" s="125"/>
    </row>
    <row r="180" spans="2:12" s="101" customFormat="1" x14ac:dyDescent="0.2">
      <c r="B180" s="125"/>
      <c r="C180" s="125"/>
      <c r="D180" s="125"/>
      <c r="E180" s="125"/>
      <c r="F180" s="125"/>
      <c r="G180" s="125"/>
      <c r="H180" s="125"/>
      <c r="I180" s="125"/>
      <c r="J180" s="125"/>
      <c r="L180" s="125"/>
    </row>
  </sheetData>
  <autoFilter ref="A2:O41" xr:uid="{A1F54CA9-D850-4C56-9250-200AD4095B93}"/>
  <conditionalFormatting sqref="C3:D9 G6:G8 C11:D15 G11:H11 B41:D41 G16:H17 G22:H22 G32:H33 G29:H29 G24:H27 G19:H19 G13:H13 C36:D40 D34:D35 G36:H40 C17:D21 C16 C23:D33 C22">
    <cfRule type="expression" dxfId="205" priority="102">
      <formula>AND(OR($F3="No",$F3=""), $E3= "Yes",$G3&lt;&gt;"",$H3&lt;&gt;"")</formula>
    </cfRule>
  </conditionalFormatting>
  <conditionalFormatting sqref="E3:F5">
    <cfRule type="expression" dxfId="204" priority="101">
      <formula>AND(OR($F3="No",$F3=""), $E3= "Yes",$G3&lt;&gt;"",$H3&lt;&gt;"")</formula>
    </cfRule>
  </conditionalFormatting>
  <conditionalFormatting sqref="C10:D10">
    <cfRule type="expression" dxfId="203" priority="212">
      <formula>AND(OR($F10="No",$F10=""), $E10= "Yes",#REF!&lt;&gt;"",$H10&lt;&gt;"")</formula>
    </cfRule>
  </conditionalFormatting>
  <conditionalFormatting sqref="H6">
    <cfRule type="expression" dxfId="202" priority="92">
      <formula>AND(OR($F6="No",$F6=""), $E6= "Yes",$G6&lt;&gt;"",$H6&lt;&gt;"")</formula>
    </cfRule>
  </conditionalFormatting>
  <conditionalFormatting sqref="H7">
    <cfRule type="expression" dxfId="201" priority="91">
      <formula>AND(OR($F7="No",$F7=""), $E7= "Yes",$G7&lt;&gt;"",$H7&lt;&gt;"")</formula>
    </cfRule>
  </conditionalFormatting>
  <conditionalFormatting sqref="G3:H5">
    <cfRule type="expression" dxfId="200" priority="90">
      <formula>AND(OR($F3="No",$F3=""), $E3= "Yes",$G3&lt;&gt;"",$H3&lt;&gt;"")</formula>
    </cfRule>
  </conditionalFormatting>
  <conditionalFormatting sqref="G41:H41">
    <cfRule type="expression" dxfId="199" priority="84">
      <formula>AND(OR($F41="No",$F41=""), $E41= "Yes",$G41&lt;&gt;"",$H41&lt;&gt;"")</formula>
    </cfRule>
  </conditionalFormatting>
  <conditionalFormatting sqref="I3:M41">
    <cfRule type="expression" dxfId="198" priority="81">
      <formula>AND(OR($F4="No",$F4=""), $E3= "Yes",$G3&lt;&gt;"",$H3&lt;&gt;"")</formula>
    </cfRule>
  </conditionalFormatting>
  <conditionalFormatting sqref="E6:F8 E11:F11 E10 E22:F22 E32:F33 E29:F29 E24:F27 E13:F13 E16:F19 E36:F41 E34:H35">
    <cfRule type="expression" dxfId="197" priority="74">
      <formula>AND(OR($F6="No",$F6=""), $E6= "Yes",$G6&lt;&gt;"",$H6&lt;&gt;"")</formula>
    </cfRule>
    <cfRule type="expression" dxfId="196" priority="75">
      <formula>AND(OR($E6="No",$E6=""), $F6= "Yes",$G6&lt;&gt;"",$H6&lt;&gt;"")</formula>
    </cfRule>
  </conditionalFormatting>
  <conditionalFormatting sqref="G10:H10">
    <cfRule type="expression" dxfId="195" priority="71">
      <formula>AND(OR($F10="No",$F10=""), $E10= "Yes",$G10&lt;&gt;"",$H10&lt;&gt;"")</formula>
    </cfRule>
  </conditionalFormatting>
  <conditionalFormatting sqref="F10">
    <cfRule type="expression" dxfId="194" priority="69">
      <formula>AND(OR($F10="No",$F10=""), $E10= "Yes",$G10&lt;&gt;"",$H10&lt;&gt;"")</formula>
    </cfRule>
    <cfRule type="expression" dxfId="193" priority="70">
      <formula>AND(OR($E10="No",$E10=""), $F10= "Yes",$G10&lt;&gt;"",$H10&lt;&gt;"")</formula>
    </cfRule>
  </conditionalFormatting>
  <conditionalFormatting sqref="H8">
    <cfRule type="expression" dxfId="192" priority="68">
      <formula>AND(OR($F8="No",$F8=""), $E8= "Yes",$G8&lt;&gt;"",$H8&lt;&gt;"")</formula>
    </cfRule>
  </conditionalFormatting>
  <conditionalFormatting sqref="G14:H14">
    <cfRule type="expression" dxfId="191" priority="67">
      <formula>AND(OR($F14="No",$F14=""), $E14= "Yes",$G14&lt;&gt;"",$H14&lt;&gt;"")</formula>
    </cfRule>
  </conditionalFormatting>
  <conditionalFormatting sqref="E14:F14">
    <cfRule type="expression" dxfId="190" priority="65">
      <formula>AND(OR($F14="No",$F14=""), $E14= "Yes",$G14&lt;&gt;"",$H14&lt;&gt;"")</formula>
    </cfRule>
    <cfRule type="expression" dxfId="189" priority="66">
      <formula>AND(OR($E14="No",$E14=""), $F14= "Yes",$G14&lt;&gt;"",$H14&lt;&gt;"")</formula>
    </cfRule>
  </conditionalFormatting>
  <conditionalFormatting sqref="G15:H15">
    <cfRule type="expression" dxfId="188" priority="64">
      <formula>AND(OR($F15="No",$F15=""), $E15= "Yes",$G15&lt;&gt;"",$H15&lt;&gt;"")</formula>
    </cfRule>
  </conditionalFormatting>
  <conditionalFormatting sqref="E15:F15">
    <cfRule type="expression" dxfId="187" priority="62">
      <formula>AND(OR($F15="No",$F15=""), $E15= "Yes",$G15&lt;&gt;"",$H15&lt;&gt;"")</formula>
    </cfRule>
    <cfRule type="expression" dxfId="186" priority="63">
      <formula>AND(OR($E15="No",$E15=""), $F15= "Yes",$G15&lt;&gt;"",$H15&lt;&gt;"")</formula>
    </cfRule>
  </conditionalFormatting>
  <conditionalFormatting sqref="G21:H21">
    <cfRule type="expression" dxfId="185" priority="61">
      <formula>AND(OR($F21="No",$F21=""), $E21= "Yes",$G21&lt;&gt;"",$H21&lt;&gt;"")</formula>
    </cfRule>
  </conditionalFormatting>
  <conditionalFormatting sqref="G28:H28">
    <cfRule type="expression" dxfId="184" priority="52">
      <formula>AND(OR($F28="No",$F28=""), $E28= "Yes",$G28&lt;&gt;"",$H28&lt;&gt;"")</formula>
    </cfRule>
  </conditionalFormatting>
  <conditionalFormatting sqref="E28:F28">
    <cfRule type="expression" dxfId="183" priority="50">
      <formula>AND(OR($F28="No",$F28=""), $E28= "Yes",$G28&lt;&gt;"",$H28&lt;&gt;"")</formula>
    </cfRule>
    <cfRule type="expression" dxfId="182" priority="51">
      <formula>AND(OR($E28="No",$E28=""), $F28= "Yes",$G28&lt;&gt;"",$H28&lt;&gt;"")</formula>
    </cfRule>
  </conditionalFormatting>
  <conditionalFormatting sqref="G20:H20">
    <cfRule type="expression" dxfId="181" priority="39">
      <formula>AND(OR($F20="No",$F20=""), $E20= "Yes",$G20&lt;&gt;"",$H20&lt;&gt;"")</formula>
    </cfRule>
  </conditionalFormatting>
  <conditionalFormatting sqref="G18:H18">
    <cfRule type="expression" dxfId="180" priority="36">
      <formula>AND(OR($F18="No",$F18=""), $E18= "Yes",$G18&lt;&gt;"",$H18&lt;&gt;"")</formula>
    </cfRule>
  </conditionalFormatting>
  <conditionalFormatting sqref="E20:F21">
    <cfRule type="expression" dxfId="179" priority="32">
      <formula>AND(OR($F20="No",$F20=""), $E20= "Yes",$G20&lt;&gt;"",$H20&lt;&gt;"")</formula>
    </cfRule>
    <cfRule type="expression" dxfId="178" priority="33">
      <formula>AND(OR($E20="No",$E20=""), $F20= "Yes",$G20&lt;&gt;"",$H20&lt;&gt;"")</formula>
    </cfRule>
  </conditionalFormatting>
  <conditionalFormatting sqref="G23:H23">
    <cfRule type="expression" dxfId="177" priority="31">
      <formula>AND(OR($F23="No",$F23=""), $E23= "Yes",$G23&lt;&gt;"",$H23&lt;&gt;"")</formula>
    </cfRule>
  </conditionalFormatting>
  <conditionalFormatting sqref="E23:F23">
    <cfRule type="expression" dxfId="176" priority="29">
      <formula>AND(OR($F23="No",$F23=""), $E23= "Yes",$G23&lt;&gt;"",$H23&lt;&gt;"")</formula>
    </cfRule>
    <cfRule type="expression" dxfId="175" priority="30">
      <formula>AND(OR($E23="No",$E23=""), $F23= "Yes",$G23&lt;&gt;"",$H23&lt;&gt;"")</formula>
    </cfRule>
  </conditionalFormatting>
  <conditionalFormatting sqref="G31:H31">
    <cfRule type="expression" dxfId="174" priority="28">
      <formula>AND(OR($F31="No",$F31=""), $E31= "Yes",$G31&lt;&gt;"",$H31&lt;&gt;"")</formula>
    </cfRule>
  </conditionalFormatting>
  <conditionalFormatting sqref="E31:F31">
    <cfRule type="expression" dxfId="173" priority="26">
      <formula>AND(OR($F31="No",$F31=""), $E31= "Yes",$G31&lt;&gt;"",$H31&lt;&gt;"")</formula>
    </cfRule>
    <cfRule type="expression" dxfId="172" priority="27">
      <formula>AND(OR($E31="No",$E31=""), $F31= "Yes",$G31&lt;&gt;"",$H31&lt;&gt;"")</formula>
    </cfRule>
  </conditionalFormatting>
  <conditionalFormatting sqref="G30:H30">
    <cfRule type="expression" dxfId="171" priority="25">
      <formula>AND(OR($F30="No",$F30=""), $E30= "Yes",$G30&lt;&gt;"",$H30&lt;&gt;"")</formula>
    </cfRule>
  </conditionalFormatting>
  <conditionalFormatting sqref="E30:F30">
    <cfRule type="expression" dxfId="170" priority="23">
      <formula>AND(OR($F30="No",$F30=""), $E30= "Yes",$G30&lt;&gt;"",$H30&lt;&gt;"")</formula>
    </cfRule>
    <cfRule type="expression" dxfId="169" priority="24">
      <formula>AND(OR($E30="No",$E30=""), $F30= "Yes",$G30&lt;&gt;"",$H30&lt;&gt;"")</formula>
    </cfRule>
  </conditionalFormatting>
  <conditionalFormatting sqref="G9:H9">
    <cfRule type="expression" dxfId="168" priority="19">
      <formula>AND(OR($F9="No",$F9=""), $E9= "Yes",$G9&lt;&gt;"",$H9&lt;&gt;"")</formula>
    </cfRule>
  </conditionalFormatting>
  <conditionalFormatting sqref="E9:F9">
    <cfRule type="expression" dxfId="167" priority="17">
      <formula>AND(OR($F9="No",$F9=""), $E9= "Yes",$G9&lt;&gt;"",$H9&lt;&gt;"")</formula>
    </cfRule>
    <cfRule type="expression" dxfId="166" priority="18">
      <formula>AND(OR($E9="No",$E9=""), $F9= "Yes",$G9&lt;&gt;"",$H9&lt;&gt;"")</formula>
    </cfRule>
  </conditionalFormatting>
  <conditionalFormatting sqref="G12:H12">
    <cfRule type="expression" dxfId="165" priority="16">
      <formula>AND(OR($F12="No",$F12=""), $E12= "Yes",$G12&lt;&gt;"",$H12&lt;&gt;"")</formula>
    </cfRule>
  </conditionalFormatting>
  <conditionalFormatting sqref="E12:F12">
    <cfRule type="expression" dxfId="164" priority="14">
      <formula>AND(OR($F12="No",$F12=""), $E12= "Yes",$G12&lt;&gt;"",$H12&lt;&gt;"")</formula>
    </cfRule>
    <cfRule type="expression" dxfId="163" priority="15">
      <formula>AND(OR($E12="No",$E12=""), $F12= "Yes",$G12&lt;&gt;"",$H12&lt;&gt;"")</formula>
    </cfRule>
  </conditionalFormatting>
  <conditionalFormatting sqref="A2">
    <cfRule type="expression" dxfId="162" priority="12">
      <formula>AND(OR(#REF!="No",#REF!=""), #REF!= "Yes",#REF!&lt;&gt;"",#REF!&lt;&gt;"")</formula>
    </cfRule>
    <cfRule type="expression" dxfId="161" priority="13">
      <formula>AND(OR(#REF!="No",#REF!=""), #REF!= "Yes",#REF!&lt;&gt;"",#REF!&lt;&gt;"")</formula>
    </cfRule>
  </conditionalFormatting>
  <conditionalFormatting sqref="N3:O3 N5:O12 N35:O36 N38:O40 N14:O31">
    <cfRule type="expression" dxfId="160" priority="11">
      <formula>AND(OR($F3="No",$F3=""), $E3= "Yes",$G3&lt;&gt;"",$H3&lt;&gt;"")</formula>
    </cfRule>
  </conditionalFormatting>
  <conditionalFormatting sqref="N4:O4">
    <cfRule type="expression" dxfId="159" priority="10">
      <formula>AND(OR($F4="No",$F4=""), $E4= "Yes",$G4&lt;&gt;"",$H4&lt;&gt;"")</formula>
    </cfRule>
  </conditionalFormatting>
  <conditionalFormatting sqref="N32:O32">
    <cfRule type="expression" dxfId="158" priority="9">
      <formula>AND(OR($F32="No",$F32=""), $E32= "Yes",$G32&lt;&gt;"",$H32&lt;&gt;"")</formula>
    </cfRule>
  </conditionalFormatting>
  <conditionalFormatting sqref="N33:O33">
    <cfRule type="expression" dxfId="157" priority="8">
      <formula>AND(OR($F33="No",$F33=""), $E33= "Yes",$G33&lt;&gt;"",$H33&lt;&gt;"")</formula>
    </cfRule>
  </conditionalFormatting>
  <conditionalFormatting sqref="N34:O34">
    <cfRule type="expression" dxfId="156" priority="7">
      <formula>AND(OR($F34="No",$F34=""), $E34= "Yes",$G34&lt;&gt;"",$H34&lt;&gt;"")</formula>
    </cfRule>
  </conditionalFormatting>
  <conditionalFormatting sqref="N37:O37">
    <cfRule type="expression" dxfId="155" priority="6">
      <formula>AND(OR($F37="No",$F37=""), $E37= "Yes",$G37&lt;&gt;"",$H37&lt;&gt;"")</formula>
    </cfRule>
  </conditionalFormatting>
  <conditionalFormatting sqref="N41:O41">
    <cfRule type="expression" dxfId="154" priority="5">
      <formula>AND(OR($E41="No",$E41=""), $D41= "Yes",$F41&lt;&gt;"",$G41&lt;&gt;"")</formula>
    </cfRule>
  </conditionalFormatting>
  <conditionalFormatting sqref="N13:O13">
    <cfRule type="expression" dxfId="153" priority="4">
      <formula>AND(OR($F13="No",$F13=""), $E13= "Yes",$G13&lt;&gt;"",$H13&lt;&gt;"")</formula>
    </cfRule>
  </conditionalFormatting>
  <conditionalFormatting sqref="C34:C35">
    <cfRule type="expression" dxfId="152" priority="3">
      <formula>AND(OR($F34="No",$F34=""), $E34= "Yes",$G34&lt;&gt;"",$H34&lt;&gt;"")</formula>
    </cfRule>
  </conditionalFormatting>
  <conditionalFormatting sqref="D16">
    <cfRule type="expression" dxfId="151" priority="2">
      <formula>AND(OR($F16="No",$F16=""), $E16= "Yes",$G16&lt;&gt;"",$H16&lt;&gt;"")</formula>
    </cfRule>
  </conditionalFormatting>
  <conditionalFormatting sqref="D22">
    <cfRule type="expression" dxfId="150" priority="1">
      <formula>AND(OR($F22="No",$F22=""), $E22= "Yes",$G22&lt;&gt;"",$H22&lt;&gt;"")</formula>
    </cfRule>
  </conditionalFormatting>
  <dataValidations count="1">
    <dataValidation type="list" allowBlank="1" showInputMessage="1" showErrorMessage="1" sqref="E3:E5 E6:F41" xr:uid="{63B66D06-6651-4924-98D9-F3C7F6C19769}">
      <formula1>"Yes, No"</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pageSetUpPr fitToPage="1"/>
  </sheetPr>
  <dimension ref="A1:O180"/>
  <sheetViews>
    <sheetView zoomScale="60" zoomScaleNormal="60" workbookViewId="0">
      <pane ySplit="2" topLeftCell="A3" activePane="bottomLeft" state="frozen"/>
      <selection pane="bottomLeft" activeCell="J4" sqref="J4"/>
    </sheetView>
  </sheetViews>
  <sheetFormatPr defaultRowHeight="15" x14ac:dyDescent="0.2"/>
  <cols>
    <col min="1" max="1" width="8.88671875" style="3" customWidth="1"/>
    <col min="2" max="2" width="7.77734375" style="22" customWidth="1"/>
    <col min="3" max="3" width="60.77734375" style="22" customWidth="1"/>
    <col min="4" max="4" width="38.77734375" style="22" customWidth="1"/>
    <col min="5" max="5" width="8.88671875" style="22" customWidth="1"/>
    <col min="6" max="6" width="7.77734375" style="22" customWidth="1"/>
    <col min="7" max="7" width="38.77734375" style="22" customWidth="1"/>
    <col min="8" max="8" width="14.77734375" style="22" customWidth="1"/>
    <col min="9" max="11" width="10.33203125" style="22" customWidth="1"/>
    <col min="12" max="12" width="15.88671875" style="22" customWidth="1"/>
    <col min="13" max="13" width="8.88671875" style="3" customWidth="1"/>
    <col min="14" max="14" width="10.33203125" style="3" customWidth="1"/>
    <col min="15" max="17" width="8.88671875" style="3" customWidth="1"/>
    <col min="18" max="16384" width="8.88671875" style="3"/>
  </cols>
  <sheetData>
    <row r="1" spans="1:15" ht="21" customHeight="1" thickBot="1" x14ac:dyDescent="0.25">
      <c r="B1" s="88" t="s">
        <v>44</v>
      </c>
      <c r="C1" s="62" t="s">
        <v>762</v>
      </c>
      <c r="D1" s="23"/>
      <c r="E1" s="23"/>
      <c r="F1" s="23"/>
      <c r="G1" s="23"/>
      <c r="H1" s="23"/>
      <c r="I1" s="23"/>
      <c r="J1" s="23"/>
      <c r="L1" s="23"/>
    </row>
    <row r="2" spans="1:15" s="10" customFormat="1" ht="87.95" customHeight="1" thickBot="1" x14ac:dyDescent="0.25">
      <c r="A2" s="50" t="s">
        <v>38</v>
      </c>
      <c r="B2" s="64" t="s">
        <v>39</v>
      </c>
      <c r="C2" s="65" t="s">
        <v>40</v>
      </c>
      <c r="D2" s="66" t="s">
        <v>41</v>
      </c>
      <c r="E2" s="67" t="s">
        <v>24</v>
      </c>
      <c r="F2" s="67" t="s">
        <v>20</v>
      </c>
      <c r="G2" s="68" t="s">
        <v>42</v>
      </c>
      <c r="H2" s="68" t="s">
        <v>43</v>
      </c>
      <c r="I2" s="63" t="s">
        <v>46</v>
      </c>
      <c r="J2" s="63" t="s">
        <v>47</v>
      </c>
      <c r="K2" s="63" t="s">
        <v>48</v>
      </c>
      <c r="L2" s="63" t="s">
        <v>49</v>
      </c>
      <c r="M2" s="63" t="s">
        <v>50</v>
      </c>
      <c r="N2" s="63" t="s">
        <v>51</v>
      </c>
      <c r="O2" s="63" t="s">
        <v>52</v>
      </c>
    </row>
    <row r="3" spans="1:15" s="101" customFormat="1" ht="54" customHeight="1" thickTop="1" thickBot="1" x14ac:dyDescent="0.25">
      <c r="A3" s="72"/>
      <c r="B3" s="92" t="s">
        <v>11</v>
      </c>
      <c r="C3" s="93" t="s">
        <v>443</v>
      </c>
      <c r="D3" s="93" t="s">
        <v>444</v>
      </c>
      <c r="E3" s="93" t="s">
        <v>12</v>
      </c>
      <c r="F3" s="93" t="s">
        <v>22</v>
      </c>
      <c r="G3" s="93" t="s">
        <v>55</v>
      </c>
      <c r="H3" s="95" t="s">
        <v>55</v>
      </c>
      <c r="I3" s="94" t="s">
        <v>56</v>
      </c>
      <c r="J3" s="94" t="s">
        <v>57</v>
      </c>
      <c r="K3" s="94">
        <v>0</v>
      </c>
      <c r="L3" s="94" t="s">
        <v>445</v>
      </c>
      <c r="M3" s="94" t="s">
        <v>59</v>
      </c>
      <c r="N3" s="93">
        <v>2</v>
      </c>
      <c r="O3" s="96">
        <v>5.2083333333333333E-4</v>
      </c>
    </row>
    <row r="4" spans="1:15" s="101" customFormat="1" ht="54" customHeight="1" thickTop="1" thickBot="1" x14ac:dyDescent="0.25">
      <c r="A4" s="72"/>
      <c r="B4" s="73" t="s">
        <v>11</v>
      </c>
      <c r="C4" s="74" t="s">
        <v>446</v>
      </c>
      <c r="D4" s="74" t="s">
        <v>447</v>
      </c>
      <c r="E4" s="74" t="s">
        <v>12</v>
      </c>
      <c r="F4" s="74" t="s">
        <v>22</v>
      </c>
      <c r="G4" s="74" t="s">
        <v>55</v>
      </c>
      <c r="H4" s="85" t="s">
        <v>55</v>
      </c>
      <c r="I4" s="94" t="s">
        <v>56</v>
      </c>
      <c r="J4" s="94" t="s">
        <v>57</v>
      </c>
      <c r="K4" s="94">
        <v>0</v>
      </c>
      <c r="L4" s="94" t="s">
        <v>62</v>
      </c>
      <c r="M4" s="94" t="s">
        <v>63</v>
      </c>
      <c r="N4" s="74">
        <v>1</v>
      </c>
      <c r="O4" s="77">
        <v>1.3888888888888889E-3</v>
      </c>
    </row>
    <row r="5" spans="1:15" s="101" customFormat="1" ht="54" customHeight="1" thickTop="1" thickBot="1" x14ac:dyDescent="0.25">
      <c r="A5" s="72"/>
      <c r="B5" s="73" t="s">
        <v>11</v>
      </c>
      <c r="C5" s="74" t="s">
        <v>448</v>
      </c>
      <c r="D5" s="74" t="s">
        <v>449</v>
      </c>
      <c r="E5" s="74" t="s">
        <v>12</v>
      </c>
      <c r="F5" s="74" t="s">
        <v>22</v>
      </c>
      <c r="G5" s="74" t="s">
        <v>55</v>
      </c>
      <c r="H5" s="85" t="s">
        <v>55</v>
      </c>
      <c r="I5" s="94" t="s">
        <v>56</v>
      </c>
      <c r="J5" s="94" t="s">
        <v>57</v>
      </c>
      <c r="K5" s="94">
        <v>0</v>
      </c>
      <c r="L5" s="94" t="s">
        <v>88</v>
      </c>
      <c r="M5" s="94" t="s">
        <v>59</v>
      </c>
      <c r="N5" s="74">
        <v>1</v>
      </c>
      <c r="O5" s="77">
        <v>2.0833333333333333E-3</v>
      </c>
    </row>
    <row r="6" spans="1:15" s="101" customFormat="1" ht="54" customHeight="1" thickTop="1" thickBot="1" x14ac:dyDescent="0.25">
      <c r="A6" s="72"/>
      <c r="B6" s="78" t="s">
        <v>11</v>
      </c>
      <c r="C6" s="79" t="s">
        <v>450</v>
      </c>
      <c r="D6" s="79" t="s">
        <v>451</v>
      </c>
      <c r="E6" s="79" t="s">
        <v>12</v>
      </c>
      <c r="F6" s="79" t="s">
        <v>22</v>
      </c>
      <c r="G6" s="79" t="s">
        <v>55</v>
      </c>
      <c r="H6" s="86" t="s">
        <v>55</v>
      </c>
      <c r="I6" s="94" t="s">
        <v>56</v>
      </c>
      <c r="J6" s="94" t="s">
        <v>57</v>
      </c>
      <c r="K6" s="94">
        <v>0</v>
      </c>
      <c r="L6" s="94" t="s">
        <v>93</v>
      </c>
      <c r="M6" s="94" t="s">
        <v>59</v>
      </c>
      <c r="N6" s="79">
        <v>1</v>
      </c>
      <c r="O6" s="83">
        <v>1.0416666666666667E-3</v>
      </c>
    </row>
    <row r="7" spans="1:15" s="101" customFormat="1" ht="54" customHeight="1" thickTop="1" thickBot="1" x14ac:dyDescent="0.25">
      <c r="A7" s="72"/>
      <c r="B7" s="92" t="s">
        <v>14</v>
      </c>
      <c r="C7" s="93" t="s">
        <v>452</v>
      </c>
      <c r="D7" s="93" t="s">
        <v>453</v>
      </c>
      <c r="E7" s="94" t="s">
        <v>12</v>
      </c>
      <c r="F7" s="94" t="s">
        <v>22</v>
      </c>
      <c r="G7" s="93" t="s">
        <v>126</v>
      </c>
      <c r="H7" s="95">
        <v>45671</v>
      </c>
      <c r="I7" s="94" t="s">
        <v>127</v>
      </c>
      <c r="J7" s="94" t="s">
        <v>128</v>
      </c>
      <c r="K7" s="94">
        <v>0</v>
      </c>
      <c r="L7" s="94" t="s">
        <v>129</v>
      </c>
      <c r="M7" s="94" t="s">
        <v>101</v>
      </c>
      <c r="N7" s="93">
        <v>4</v>
      </c>
      <c r="O7" s="96">
        <v>1.736111111111111E-3</v>
      </c>
    </row>
    <row r="8" spans="1:15" s="101" customFormat="1" ht="54" customHeight="1" thickTop="1" thickBot="1" x14ac:dyDescent="0.25">
      <c r="A8" s="72"/>
      <c r="B8" s="73" t="s">
        <v>14</v>
      </c>
      <c r="C8" s="74" t="s">
        <v>454</v>
      </c>
      <c r="D8" s="74" t="s">
        <v>455</v>
      </c>
      <c r="E8" s="75" t="s">
        <v>12</v>
      </c>
      <c r="F8" s="75" t="s">
        <v>22</v>
      </c>
      <c r="G8" s="74" t="s">
        <v>593</v>
      </c>
      <c r="H8" s="85">
        <v>45674</v>
      </c>
      <c r="I8" s="94" t="s">
        <v>127</v>
      </c>
      <c r="J8" s="94" t="s">
        <v>128</v>
      </c>
      <c r="K8" s="94">
        <v>0</v>
      </c>
      <c r="L8" s="94" t="s">
        <v>129</v>
      </c>
      <c r="M8" s="94" t="s">
        <v>101</v>
      </c>
      <c r="N8" s="74">
        <v>4</v>
      </c>
      <c r="O8" s="77">
        <v>1.736111111111111E-3</v>
      </c>
    </row>
    <row r="9" spans="1:15" s="101" customFormat="1" ht="54" customHeight="1" thickTop="1" thickBot="1" x14ac:dyDescent="0.25">
      <c r="A9" s="72"/>
      <c r="B9" s="73" t="s">
        <v>14</v>
      </c>
      <c r="C9" s="74" t="s">
        <v>456</v>
      </c>
      <c r="D9" s="74" t="s">
        <v>457</v>
      </c>
      <c r="E9" s="75" t="s">
        <v>12</v>
      </c>
      <c r="F9" s="75" t="s">
        <v>22</v>
      </c>
      <c r="G9" s="74" t="s">
        <v>126</v>
      </c>
      <c r="H9" s="85">
        <v>45671</v>
      </c>
      <c r="I9" s="94" t="s">
        <v>127</v>
      </c>
      <c r="J9" s="94" t="s">
        <v>128</v>
      </c>
      <c r="K9" s="94">
        <v>0</v>
      </c>
      <c r="L9" s="94" t="s">
        <v>129</v>
      </c>
      <c r="M9" s="94" t="s">
        <v>101</v>
      </c>
      <c r="N9" s="74">
        <v>4</v>
      </c>
      <c r="O9" s="77">
        <v>1.736111111111111E-3</v>
      </c>
    </row>
    <row r="10" spans="1:15" s="101" customFormat="1" ht="54" customHeight="1" thickTop="1" thickBot="1" x14ac:dyDescent="0.25">
      <c r="A10" s="72"/>
      <c r="B10" s="73" t="s">
        <v>14</v>
      </c>
      <c r="C10" s="74" t="s">
        <v>458</v>
      </c>
      <c r="D10" s="74" t="s">
        <v>459</v>
      </c>
      <c r="E10" s="75" t="s">
        <v>12</v>
      </c>
      <c r="F10" s="75" t="s">
        <v>22</v>
      </c>
      <c r="G10" s="74" t="s">
        <v>593</v>
      </c>
      <c r="H10" s="85">
        <v>45674</v>
      </c>
      <c r="I10" s="94" t="s">
        <v>127</v>
      </c>
      <c r="J10" s="94" t="s">
        <v>128</v>
      </c>
      <c r="K10" s="94">
        <v>0</v>
      </c>
      <c r="L10" s="94" t="s">
        <v>129</v>
      </c>
      <c r="M10" s="94" t="s">
        <v>101</v>
      </c>
      <c r="N10" s="74">
        <v>4</v>
      </c>
      <c r="O10" s="77">
        <v>1.736111111111111E-3</v>
      </c>
    </row>
    <row r="11" spans="1:15" s="101" customFormat="1" ht="54" customHeight="1" thickTop="1" thickBot="1" x14ac:dyDescent="0.25">
      <c r="A11" s="72"/>
      <c r="B11" s="73" t="s">
        <v>14</v>
      </c>
      <c r="C11" s="74" t="s">
        <v>460</v>
      </c>
      <c r="D11" s="74" t="s">
        <v>461</v>
      </c>
      <c r="E11" s="75" t="s">
        <v>12</v>
      </c>
      <c r="F11" s="75" t="s">
        <v>22</v>
      </c>
      <c r="G11" s="75" t="s">
        <v>183</v>
      </c>
      <c r="H11" s="76">
        <v>45674</v>
      </c>
      <c r="I11" s="94" t="s">
        <v>127</v>
      </c>
      <c r="J11" s="94" t="s">
        <v>57</v>
      </c>
      <c r="K11" s="94">
        <v>0</v>
      </c>
      <c r="L11" s="94" t="s">
        <v>462</v>
      </c>
      <c r="M11" s="94" t="s">
        <v>117</v>
      </c>
      <c r="N11" s="74">
        <v>1</v>
      </c>
      <c r="O11" s="77">
        <v>6.9444444444444447E-4</v>
      </c>
    </row>
    <row r="12" spans="1:15" s="101" customFormat="1" ht="54" customHeight="1" thickTop="1" thickBot="1" x14ac:dyDescent="0.25">
      <c r="A12" s="72"/>
      <c r="B12" s="73" t="s">
        <v>14</v>
      </c>
      <c r="C12" s="74" t="s">
        <v>463</v>
      </c>
      <c r="D12" s="74" t="s">
        <v>464</v>
      </c>
      <c r="E12" s="75" t="s">
        <v>12</v>
      </c>
      <c r="F12" s="75" t="s">
        <v>22</v>
      </c>
      <c r="G12" s="74" t="s">
        <v>593</v>
      </c>
      <c r="H12" s="85">
        <v>45674</v>
      </c>
      <c r="I12" s="94" t="s">
        <v>56</v>
      </c>
      <c r="J12" s="94" t="s">
        <v>128</v>
      </c>
      <c r="K12" s="94">
        <v>0</v>
      </c>
      <c r="L12" s="94" t="s">
        <v>153</v>
      </c>
      <c r="M12" s="94" t="s">
        <v>154</v>
      </c>
      <c r="N12" s="74">
        <v>2</v>
      </c>
      <c r="O12" s="77">
        <v>4.6296296296296293E-4</v>
      </c>
    </row>
    <row r="13" spans="1:15" s="101" customFormat="1" ht="54" customHeight="1" thickTop="1" thickBot="1" x14ac:dyDescent="0.25">
      <c r="A13" s="72"/>
      <c r="B13" s="73" t="s">
        <v>14</v>
      </c>
      <c r="C13" s="74" t="s">
        <v>465</v>
      </c>
      <c r="D13" s="74" t="s">
        <v>466</v>
      </c>
      <c r="E13" s="75" t="s">
        <v>12</v>
      </c>
      <c r="F13" s="75" t="s">
        <v>22</v>
      </c>
      <c r="G13" s="74" t="s">
        <v>593</v>
      </c>
      <c r="H13" s="85">
        <v>45674</v>
      </c>
      <c r="I13" s="94" t="s">
        <v>56</v>
      </c>
      <c r="J13" s="94" t="s">
        <v>128</v>
      </c>
      <c r="K13" s="94">
        <v>0</v>
      </c>
      <c r="L13" s="94" t="s">
        <v>153</v>
      </c>
      <c r="M13" s="94" t="s">
        <v>154</v>
      </c>
      <c r="N13" s="74">
        <v>2</v>
      </c>
      <c r="O13" s="77">
        <v>4.6296296296296293E-4</v>
      </c>
    </row>
    <row r="14" spans="1:15" s="101" customFormat="1" ht="54" customHeight="1" thickTop="1" thickBot="1" x14ac:dyDescent="0.25">
      <c r="A14" s="72"/>
      <c r="B14" s="78" t="s">
        <v>14</v>
      </c>
      <c r="C14" s="79" t="s">
        <v>467</v>
      </c>
      <c r="D14" s="79" t="s">
        <v>468</v>
      </c>
      <c r="E14" s="82" t="s">
        <v>12</v>
      </c>
      <c r="F14" s="82" t="s">
        <v>22</v>
      </c>
      <c r="G14" s="79" t="s">
        <v>168</v>
      </c>
      <c r="H14" s="86">
        <v>45675</v>
      </c>
      <c r="I14" s="94" t="s">
        <v>84</v>
      </c>
      <c r="J14" s="94" t="s">
        <v>57</v>
      </c>
      <c r="K14" s="94">
        <v>0</v>
      </c>
      <c r="L14" s="94" t="s">
        <v>470</v>
      </c>
      <c r="M14" s="94" t="s">
        <v>101</v>
      </c>
      <c r="N14" s="79">
        <v>1</v>
      </c>
      <c r="O14" s="83">
        <v>6.9444444444444447E-4</v>
      </c>
    </row>
    <row r="15" spans="1:15" s="101" customFormat="1" ht="54" customHeight="1" thickTop="1" thickBot="1" x14ac:dyDescent="0.25">
      <c r="A15" s="72"/>
      <c r="B15" s="92" t="s">
        <v>17</v>
      </c>
      <c r="C15" s="93" t="s">
        <v>763</v>
      </c>
      <c r="D15" s="93" t="s">
        <v>197</v>
      </c>
      <c r="E15" s="94" t="s">
        <v>12</v>
      </c>
      <c r="F15" s="94" t="s">
        <v>22</v>
      </c>
      <c r="G15" s="94" t="s">
        <v>198</v>
      </c>
      <c r="H15" s="98">
        <v>45673</v>
      </c>
      <c r="I15" s="94" t="s">
        <v>127</v>
      </c>
      <c r="J15" s="94" t="s">
        <v>128</v>
      </c>
      <c r="K15" s="94">
        <v>0</v>
      </c>
      <c r="L15" s="94" t="s">
        <v>199</v>
      </c>
      <c r="M15" s="94" t="s">
        <v>195</v>
      </c>
      <c r="N15" s="93">
        <v>1</v>
      </c>
      <c r="O15" s="96">
        <v>3.4722222222222224E-4</v>
      </c>
    </row>
    <row r="16" spans="1:15" s="101" customFormat="1" ht="54" customHeight="1" thickTop="1" thickBot="1" x14ac:dyDescent="0.25">
      <c r="A16" s="72"/>
      <c r="B16" s="73" t="s">
        <v>17</v>
      </c>
      <c r="C16" s="74" t="s">
        <v>472</v>
      </c>
      <c r="D16" s="74" t="s">
        <v>197</v>
      </c>
      <c r="E16" s="75" t="s">
        <v>12</v>
      </c>
      <c r="F16" s="75" t="s">
        <v>22</v>
      </c>
      <c r="G16" s="75" t="s">
        <v>198</v>
      </c>
      <c r="H16" s="76">
        <v>45673</v>
      </c>
      <c r="I16" s="94" t="s">
        <v>127</v>
      </c>
      <c r="J16" s="94" t="s">
        <v>128</v>
      </c>
      <c r="K16" s="94">
        <v>0</v>
      </c>
      <c r="L16" s="94" t="s">
        <v>199</v>
      </c>
      <c r="M16" s="94" t="s">
        <v>195</v>
      </c>
      <c r="N16" s="74">
        <v>1</v>
      </c>
      <c r="O16" s="77">
        <v>3.4722222222222224E-4</v>
      </c>
    </row>
    <row r="17" spans="1:15" s="101" customFormat="1" ht="54" customHeight="1" thickTop="1" thickBot="1" x14ac:dyDescent="0.25">
      <c r="A17" s="72"/>
      <c r="B17" s="73" t="s">
        <v>17</v>
      </c>
      <c r="C17" s="74" t="s">
        <v>764</v>
      </c>
      <c r="D17" s="74" t="s">
        <v>814</v>
      </c>
      <c r="E17" s="75" t="s">
        <v>12</v>
      </c>
      <c r="F17" s="75" t="s">
        <v>22</v>
      </c>
      <c r="G17" s="74" t="s">
        <v>202</v>
      </c>
      <c r="H17" s="85">
        <v>45672</v>
      </c>
      <c r="I17" s="94" t="s">
        <v>84</v>
      </c>
      <c r="J17" s="94" t="s">
        <v>128</v>
      </c>
      <c r="K17" s="94">
        <v>0</v>
      </c>
      <c r="L17" s="94" t="s">
        <v>203</v>
      </c>
      <c r="M17" s="94" t="s">
        <v>806</v>
      </c>
      <c r="N17" s="74">
        <v>1</v>
      </c>
      <c r="O17" s="77">
        <v>3.4722222222222224E-4</v>
      </c>
    </row>
    <row r="18" spans="1:15" s="101" customFormat="1" ht="54" customHeight="1" thickTop="1" thickBot="1" x14ac:dyDescent="0.25">
      <c r="A18" s="72"/>
      <c r="B18" s="73" t="s">
        <v>17</v>
      </c>
      <c r="C18" s="74" t="s">
        <v>474</v>
      </c>
      <c r="D18" s="74" t="s">
        <v>205</v>
      </c>
      <c r="E18" s="75" t="s">
        <v>12</v>
      </c>
      <c r="F18" s="75" t="s">
        <v>22</v>
      </c>
      <c r="G18" s="74" t="s">
        <v>701</v>
      </c>
      <c r="H18" s="85">
        <v>45673</v>
      </c>
      <c r="I18" s="94" t="s">
        <v>127</v>
      </c>
      <c r="J18" s="94" t="s">
        <v>128</v>
      </c>
      <c r="K18" s="94">
        <v>0</v>
      </c>
      <c r="L18" s="94" t="s">
        <v>207</v>
      </c>
      <c r="M18" s="94" t="s">
        <v>195</v>
      </c>
      <c r="N18" s="74">
        <v>1</v>
      </c>
      <c r="O18" s="77">
        <v>5.7870370370370378E-4</v>
      </c>
    </row>
    <row r="19" spans="1:15" s="101" customFormat="1" ht="54" customHeight="1" thickTop="1" thickBot="1" x14ac:dyDescent="0.25">
      <c r="A19" s="72"/>
      <c r="B19" s="73" t="s">
        <v>17</v>
      </c>
      <c r="C19" s="74" t="s">
        <v>475</v>
      </c>
      <c r="D19" s="74" t="s">
        <v>209</v>
      </c>
      <c r="E19" s="75" t="s">
        <v>12</v>
      </c>
      <c r="F19" s="75" t="s">
        <v>22</v>
      </c>
      <c r="G19" s="75" t="s">
        <v>702</v>
      </c>
      <c r="H19" s="76">
        <v>45673</v>
      </c>
      <c r="I19" s="94" t="s">
        <v>127</v>
      </c>
      <c r="J19" s="94" t="s">
        <v>128</v>
      </c>
      <c r="K19" s="94">
        <v>0</v>
      </c>
      <c r="L19" s="94" t="s">
        <v>211</v>
      </c>
      <c r="M19" s="94" t="s">
        <v>195</v>
      </c>
      <c r="N19" s="74">
        <v>2</v>
      </c>
      <c r="O19" s="77">
        <v>6.9444444444444447E-4</v>
      </c>
    </row>
    <row r="20" spans="1:15" s="101" customFormat="1" ht="54" customHeight="1" thickTop="1" thickBot="1" x14ac:dyDescent="0.25">
      <c r="A20" s="72"/>
      <c r="B20" s="73" t="s">
        <v>17</v>
      </c>
      <c r="C20" s="74" t="s">
        <v>476</v>
      </c>
      <c r="D20" s="74" t="s">
        <v>213</v>
      </c>
      <c r="E20" s="75" t="s">
        <v>12</v>
      </c>
      <c r="F20" s="75" t="s">
        <v>22</v>
      </c>
      <c r="G20" s="74" t="s">
        <v>214</v>
      </c>
      <c r="H20" s="85">
        <v>45672</v>
      </c>
      <c r="I20" s="94" t="s">
        <v>56</v>
      </c>
      <c r="J20" s="94" t="s">
        <v>128</v>
      </c>
      <c r="K20" s="94">
        <v>0</v>
      </c>
      <c r="L20" s="94" t="s">
        <v>215</v>
      </c>
      <c r="M20" s="94" t="s">
        <v>195</v>
      </c>
      <c r="N20" s="74">
        <v>1</v>
      </c>
      <c r="O20" s="77">
        <v>3.4722222222222224E-4</v>
      </c>
    </row>
    <row r="21" spans="1:15" s="101" customFormat="1" ht="54" customHeight="1" thickTop="1" thickBot="1" x14ac:dyDescent="0.25">
      <c r="A21" s="72"/>
      <c r="B21" s="73" t="s">
        <v>17</v>
      </c>
      <c r="C21" s="74" t="s">
        <v>477</v>
      </c>
      <c r="D21" s="74" t="s">
        <v>217</v>
      </c>
      <c r="E21" s="75" t="s">
        <v>12</v>
      </c>
      <c r="F21" s="75" t="s">
        <v>22</v>
      </c>
      <c r="G21" s="75" t="s">
        <v>702</v>
      </c>
      <c r="H21" s="76">
        <v>45673</v>
      </c>
      <c r="I21" s="94" t="s">
        <v>127</v>
      </c>
      <c r="J21" s="94" t="s">
        <v>57</v>
      </c>
      <c r="K21" s="94">
        <v>0</v>
      </c>
      <c r="L21" s="94" t="s">
        <v>207</v>
      </c>
      <c r="M21" s="94" t="s">
        <v>195</v>
      </c>
      <c r="N21" s="74">
        <v>1</v>
      </c>
      <c r="O21" s="77">
        <v>1.0416666666666667E-3</v>
      </c>
    </row>
    <row r="22" spans="1:15" s="101" customFormat="1" ht="54" customHeight="1" thickTop="1" thickBot="1" x14ac:dyDescent="0.25">
      <c r="A22" s="72"/>
      <c r="B22" s="73" t="s">
        <v>17</v>
      </c>
      <c r="C22" s="74" t="s">
        <v>478</v>
      </c>
      <c r="D22" s="74" t="s">
        <v>219</v>
      </c>
      <c r="E22" s="75" t="s">
        <v>12</v>
      </c>
      <c r="F22" s="75" t="s">
        <v>22</v>
      </c>
      <c r="G22" s="75" t="s">
        <v>220</v>
      </c>
      <c r="H22" s="76">
        <v>45673</v>
      </c>
      <c r="I22" s="94" t="s">
        <v>127</v>
      </c>
      <c r="J22" s="94" t="s">
        <v>128</v>
      </c>
      <c r="K22" s="94">
        <v>0</v>
      </c>
      <c r="L22" s="94" t="s">
        <v>221</v>
      </c>
      <c r="M22" s="94" t="s">
        <v>195</v>
      </c>
      <c r="N22" s="74">
        <v>1</v>
      </c>
      <c r="O22" s="77">
        <v>1.1574074074074073E-4</v>
      </c>
    </row>
    <row r="23" spans="1:15" s="101" customFormat="1" ht="54" customHeight="1" thickTop="1" thickBot="1" x14ac:dyDescent="0.25">
      <c r="A23" s="72"/>
      <c r="B23" s="73" t="s">
        <v>17</v>
      </c>
      <c r="C23" s="74" t="s">
        <v>479</v>
      </c>
      <c r="D23" s="74" t="s">
        <v>811</v>
      </c>
      <c r="E23" s="75" t="s">
        <v>12</v>
      </c>
      <c r="F23" s="75" t="s">
        <v>22</v>
      </c>
      <c r="G23" s="74" t="s">
        <v>202</v>
      </c>
      <c r="H23" s="85">
        <v>45672</v>
      </c>
      <c r="I23" s="94" t="s">
        <v>84</v>
      </c>
      <c r="J23" s="94" t="s">
        <v>128</v>
      </c>
      <c r="K23" s="94">
        <v>0</v>
      </c>
      <c r="L23" s="94" t="s">
        <v>480</v>
      </c>
      <c r="M23" s="94" t="s">
        <v>806</v>
      </c>
      <c r="N23" s="74">
        <v>1</v>
      </c>
      <c r="O23" s="77">
        <v>3.4722222222222224E-4</v>
      </c>
    </row>
    <row r="24" spans="1:15" s="101" customFormat="1" ht="54" customHeight="1" thickTop="1" thickBot="1" x14ac:dyDescent="0.25">
      <c r="A24" s="72"/>
      <c r="B24" s="73" t="s">
        <v>17</v>
      </c>
      <c r="C24" s="74" t="s">
        <v>481</v>
      </c>
      <c r="D24" s="74" t="s">
        <v>232</v>
      </c>
      <c r="E24" s="75" t="s">
        <v>12</v>
      </c>
      <c r="F24" s="75" t="s">
        <v>22</v>
      </c>
      <c r="G24" s="75" t="s">
        <v>233</v>
      </c>
      <c r="H24" s="76">
        <v>45672</v>
      </c>
      <c r="I24" s="94" t="s">
        <v>127</v>
      </c>
      <c r="J24" s="94" t="s">
        <v>128</v>
      </c>
      <c r="K24" s="94">
        <v>0</v>
      </c>
      <c r="L24" s="94" t="s">
        <v>234</v>
      </c>
      <c r="M24" s="94" t="s">
        <v>195</v>
      </c>
      <c r="N24" s="74">
        <v>1</v>
      </c>
      <c r="O24" s="77">
        <v>6.9444444444444447E-4</v>
      </c>
    </row>
    <row r="25" spans="1:15" s="101" customFormat="1" ht="54" customHeight="1" thickTop="1" thickBot="1" x14ac:dyDescent="0.25">
      <c r="A25" s="72"/>
      <c r="B25" s="73" t="s">
        <v>17</v>
      </c>
      <c r="C25" s="74" t="s">
        <v>482</v>
      </c>
      <c r="D25" s="74" t="s">
        <v>256</v>
      </c>
      <c r="E25" s="75" t="s">
        <v>12</v>
      </c>
      <c r="F25" s="75" t="s">
        <v>22</v>
      </c>
      <c r="G25" s="74" t="s">
        <v>257</v>
      </c>
      <c r="H25" s="85">
        <v>45672</v>
      </c>
      <c r="I25" s="94" t="s">
        <v>56</v>
      </c>
      <c r="J25" s="94" t="s">
        <v>128</v>
      </c>
      <c r="K25" s="94">
        <v>0</v>
      </c>
      <c r="L25" s="94" t="s">
        <v>258</v>
      </c>
      <c r="M25" s="94" t="s">
        <v>195</v>
      </c>
      <c r="N25" s="74">
        <v>1</v>
      </c>
      <c r="O25" s="77">
        <v>3.4722222222222224E-4</v>
      </c>
    </row>
    <row r="26" spans="1:15" s="101" customFormat="1" ht="54" customHeight="1" thickTop="1" thickBot="1" x14ac:dyDescent="0.25">
      <c r="A26" s="72"/>
      <c r="B26" s="73" t="s">
        <v>17</v>
      </c>
      <c r="C26" s="74" t="s">
        <v>483</v>
      </c>
      <c r="D26" s="74" t="s">
        <v>484</v>
      </c>
      <c r="E26" s="75" t="s">
        <v>12</v>
      </c>
      <c r="F26" s="75" t="s">
        <v>22</v>
      </c>
      <c r="G26" s="74" t="s">
        <v>214</v>
      </c>
      <c r="H26" s="85">
        <v>45672</v>
      </c>
      <c r="I26" s="94" t="s">
        <v>56</v>
      </c>
      <c r="J26" s="94" t="s">
        <v>128</v>
      </c>
      <c r="K26" s="94">
        <v>0</v>
      </c>
      <c r="L26" s="94" t="s">
        <v>486</v>
      </c>
      <c r="M26" s="94" t="s">
        <v>195</v>
      </c>
      <c r="N26" s="74">
        <v>2</v>
      </c>
      <c r="O26" s="77">
        <v>2.3148148148148146E-4</v>
      </c>
    </row>
    <row r="27" spans="1:15" s="101" customFormat="1" ht="54" customHeight="1" thickTop="1" thickBot="1" x14ac:dyDescent="0.25">
      <c r="A27" s="72"/>
      <c r="B27" s="73" t="s">
        <v>17</v>
      </c>
      <c r="C27" s="74" t="s">
        <v>487</v>
      </c>
      <c r="D27" s="74" t="s">
        <v>810</v>
      </c>
      <c r="E27" s="75" t="s">
        <v>12</v>
      </c>
      <c r="F27" s="75" t="s">
        <v>22</v>
      </c>
      <c r="G27" s="74" t="s">
        <v>202</v>
      </c>
      <c r="H27" s="85">
        <v>45672</v>
      </c>
      <c r="I27" s="94" t="s">
        <v>84</v>
      </c>
      <c r="J27" s="94" t="s">
        <v>128</v>
      </c>
      <c r="K27" s="94">
        <v>0</v>
      </c>
      <c r="L27" s="94" t="s">
        <v>488</v>
      </c>
      <c r="M27" s="94" t="s">
        <v>806</v>
      </c>
      <c r="N27" s="74">
        <v>1</v>
      </c>
      <c r="O27" s="77">
        <v>3.4722222222222224E-4</v>
      </c>
    </row>
    <row r="28" spans="1:15" s="101" customFormat="1" ht="54" customHeight="1" thickTop="1" thickBot="1" x14ac:dyDescent="0.25">
      <c r="A28" s="72"/>
      <c r="B28" s="73" t="s">
        <v>17</v>
      </c>
      <c r="C28" s="74" t="s">
        <v>489</v>
      </c>
      <c r="D28" s="74" t="s">
        <v>490</v>
      </c>
      <c r="E28" s="75" t="s">
        <v>12</v>
      </c>
      <c r="F28" s="75" t="s">
        <v>22</v>
      </c>
      <c r="G28" s="74" t="s">
        <v>214</v>
      </c>
      <c r="H28" s="85">
        <v>45672</v>
      </c>
      <c r="I28" s="94" t="s">
        <v>56</v>
      </c>
      <c r="J28" s="94" t="s">
        <v>128</v>
      </c>
      <c r="K28" s="94">
        <v>0</v>
      </c>
      <c r="L28" s="94" t="s">
        <v>491</v>
      </c>
      <c r="M28" s="94" t="s">
        <v>195</v>
      </c>
      <c r="N28" s="74">
        <v>1</v>
      </c>
      <c r="O28" s="77">
        <v>4.6296296296296293E-4</v>
      </c>
    </row>
    <row r="29" spans="1:15" s="101" customFormat="1" ht="54" customHeight="1" thickTop="1" thickBot="1" x14ac:dyDescent="0.25">
      <c r="B29" s="107" t="s">
        <v>17</v>
      </c>
      <c r="C29" s="100" t="s">
        <v>492</v>
      </c>
      <c r="D29" s="100" t="s">
        <v>493</v>
      </c>
      <c r="E29" s="108" t="s">
        <v>22</v>
      </c>
      <c r="F29" s="108" t="s">
        <v>22</v>
      </c>
      <c r="G29" s="100"/>
      <c r="H29" s="100"/>
      <c r="I29" s="94" t="s">
        <v>56</v>
      </c>
      <c r="J29" s="94" t="s">
        <v>57</v>
      </c>
      <c r="K29" s="94">
        <v>0</v>
      </c>
      <c r="L29" s="94" t="s">
        <v>494</v>
      </c>
      <c r="M29" s="94" t="s">
        <v>195</v>
      </c>
      <c r="N29" s="100">
        <v>1</v>
      </c>
      <c r="O29" s="110">
        <v>6.9444444444444447E-4</v>
      </c>
    </row>
    <row r="30" spans="1:15" s="101" customFormat="1" ht="54" customHeight="1" thickTop="1" thickBot="1" x14ac:dyDescent="0.25">
      <c r="A30" s="72"/>
      <c r="B30" s="73" t="s">
        <v>17</v>
      </c>
      <c r="C30" s="74" t="s">
        <v>495</v>
      </c>
      <c r="D30" s="74" t="s">
        <v>496</v>
      </c>
      <c r="E30" s="75" t="s">
        <v>12</v>
      </c>
      <c r="F30" s="75" t="s">
        <v>22</v>
      </c>
      <c r="G30" s="74" t="s">
        <v>202</v>
      </c>
      <c r="H30" s="85">
        <v>45672</v>
      </c>
      <c r="I30" s="94" t="s">
        <v>84</v>
      </c>
      <c r="J30" s="94" t="s">
        <v>128</v>
      </c>
      <c r="K30" s="94">
        <v>0</v>
      </c>
      <c r="L30" s="94" t="s">
        <v>269</v>
      </c>
      <c r="M30" s="94" t="s">
        <v>806</v>
      </c>
      <c r="N30" s="74">
        <v>1</v>
      </c>
      <c r="O30" s="77">
        <v>3.4722222222222224E-4</v>
      </c>
    </row>
    <row r="31" spans="1:15" s="101" customFormat="1" ht="54" customHeight="1" thickTop="1" thickBot="1" x14ac:dyDescent="0.25">
      <c r="A31" s="72"/>
      <c r="B31" s="73" t="s">
        <v>17</v>
      </c>
      <c r="C31" s="74" t="s">
        <v>497</v>
      </c>
      <c r="D31" s="74" t="s">
        <v>498</v>
      </c>
      <c r="E31" s="75" t="s">
        <v>12</v>
      </c>
      <c r="F31" s="75" t="s">
        <v>22</v>
      </c>
      <c r="G31" s="74" t="s">
        <v>202</v>
      </c>
      <c r="H31" s="85">
        <v>45672</v>
      </c>
      <c r="I31" s="94" t="s">
        <v>84</v>
      </c>
      <c r="J31" s="94" t="s">
        <v>128</v>
      </c>
      <c r="K31" s="94">
        <v>0</v>
      </c>
      <c r="L31" s="94" t="s">
        <v>275</v>
      </c>
      <c r="M31" s="94" t="s">
        <v>806</v>
      </c>
      <c r="N31" s="74">
        <v>1</v>
      </c>
      <c r="O31" s="77">
        <v>6.9444444444444447E-4</v>
      </c>
    </row>
    <row r="32" spans="1:15" s="101" customFormat="1" ht="54" customHeight="1" thickTop="1" thickBot="1" x14ac:dyDescent="0.25">
      <c r="A32" s="72"/>
      <c r="B32" s="73" t="s">
        <v>17</v>
      </c>
      <c r="C32" s="74" t="s">
        <v>499</v>
      </c>
      <c r="D32" s="74" t="s">
        <v>277</v>
      </c>
      <c r="E32" s="75" t="s">
        <v>12</v>
      </c>
      <c r="F32" s="75" t="s">
        <v>22</v>
      </c>
      <c r="G32" s="74" t="s">
        <v>704</v>
      </c>
      <c r="H32" s="85">
        <v>45672</v>
      </c>
      <c r="I32" s="94" t="s">
        <v>56</v>
      </c>
      <c r="J32" s="94" t="s">
        <v>128</v>
      </c>
      <c r="K32" s="94">
        <v>0</v>
      </c>
      <c r="L32" s="94" t="s">
        <v>278</v>
      </c>
      <c r="M32" s="94" t="s">
        <v>195</v>
      </c>
      <c r="N32" s="74">
        <v>1</v>
      </c>
      <c r="O32" s="77">
        <v>3.4722222222222224E-4</v>
      </c>
    </row>
    <row r="33" spans="1:15" s="101" customFormat="1" ht="54" customHeight="1" thickTop="1" thickBot="1" x14ac:dyDescent="0.25">
      <c r="B33" s="107" t="s">
        <v>17</v>
      </c>
      <c r="C33" s="100" t="s">
        <v>500</v>
      </c>
      <c r="D33" s="100" t="s">
        <v>501</v>
      </c>
      <c r="E33" s="108" t="s">
        <v>22</v>
      </c>
      <c r="F33" s="108" t="s">
        <v>22</v>
      </c>
      <c r="G33" s="100"/>
      <c r="H33" s="100"/>
      <c r="I33" s="94" t="s">
        <v>56</v>
      </c>
      <c r="J33" s="94" t="s">
        <v>128</v>
      </c>
      <c r="K33" s="94">
        <v>0</v>
      </c>
      <c r="L33" s="94" t="s">
        <v>502</v>
      </c>
      <c r="M33" s="94" t="s">
        <v>195</v>
      </c>
      <c r="N33" s="100">
        <v>1</v>
      </c>
      <c r="O33" s="110">
        <v>5.7870370370370378E-4</v>
      </c>
    </row>
    <row r="34" spans="1:15" s="101" customFormat="1" ht="54" customHeight="1" thickTop="1" thickBot="1" x14ac:dyDescent="0.25">
      <c r="A34" s="72"/>
      <c r="B34" s="73" t="s">
        <v>17</v>
      </c>
      <c r="C34" s="74" t="s">
        <v>503</v>
      </c>
      <c r="D34" s="74" t="s">
        <v>504</v>
      </c>
      <c r="E34" s="75" t="s">
        <v>12</v>
      </c>
      <c r="F34" s="75" t="s">
        <v>22</v>
      </c>
      <c r="G34" s="74" t="s">
        <v>214</v>
      </c>
      <c r="H34" s="85">
        <v>45672</v>
      </c>
      <c r="I34" s="94" t="s">
        <v>56</v>
      </c>
      <c r="J34" s="94" t="s">
        <v>128</v>
      </c>
      <c r="K34" s="94">
        <v>0</v>
      </c>
      <c r="L34" s="94" t="s">
        <v>505</v>
      </c>
      <c r="M34" s="94" t="s">
        <v>195</v>
      </c>
      <c r="N34" s="74">
        <v>1</v>
      </c>
      <c r="O34" s="77">
        <v>2.3148148148148146E-4</v>
      </c>
    </row>
    <row r="35" spans="1:15" s="101" customFormat="1" ht="54" customHeight="1" thickTop="1" thickBot="1" x14ac:dyDescent="0.25">
      <c r="A35" s="72"/>
      <c r="B35" s="73" t="s">
        <v>17</v>
      </c>
      <c r="C35" s="74" t="s">
        <v>506</v>
      </c>
      <c r="D35" s="74" t="s">
        <v>280</v>
      </c>
      <c r="E35" s="75" t="s">
        <v>12</v>
      </c>
      <c r="F35" s="75" t="s">
        <v>22</v>
      </c>
      <c r="G35" s="74" t="s">
        <v>705</v>
      </c>
      <c r="H35" s="85">
        <v>45673</v>
      </c>
      <c r="I35" s="94" t="s">
        <v>127</v>
      </c>
      <c r="J35" s="94" t="s">
        <v>128</v>
      </c>
      <c r="K35" s="94">
        <v>0</v>
      </c>
      <c r="L35" s="94" t="s">
        <v>282</v>
      </c>
      <c r="M35" s="94" t="s">
        <v>195</v>
      </c>
      <c r="N35" s="74">
        <v>1</v>
      </c>
      <c r="O35" s="77">
        <v>6.9444444444444447E-4</v>
      </c>
    </row>
    <row r="36" spans="1:15" s="101" customFormat="1" ht="54" customHeight="1" thickTop="1" thickBot="1" x14ac:dyDescent="0.25">
      <c r="A36" s="72"/>
      <c r="B36" s="73" t="s">
        <v>17</v>
      </c>
      <c r="C36" s="74" t="s">
        <v>507</v>
      </c>
      <c r="D36" s="74" t="s">
        <v>508</v>
      </c>
      <c r="E36" s="75" t="s">
        <v>12</v>
      </c>
      <c r="F36" s="75" t="s">
        <v>22</v>
      </c>
      <c r="G36" s="74" t="s">
        <v>707</v>
      </c>
      <c r="H36" s="85">
        <v>45672</v>
      </c>
      <c r="I36" s="94" t="s">
        <v>127</v>
      </c>
      <c r="J36" s="94" t="s">
        <v>128</v>
      </c>
      <c r="K36" s="94">
        <v>0</v>
      </c>
      <c r="L36" s="94" t="s">
        <v>297</v>
      </c>
      <c r="M36" s="94" t="s">
        <v>195</v>
      </c>
      <c r="N36" s="74">
        <v>1</v>
      </c>
      <c r="O36" s="77">
        <v>8.6805555555555551E-4</v>
      </c>
    </row>
    <row r="37" spans="1:15" s="101" customFormat="1" ht="54" customHeight="1" thickTop="1" thickBot="1" x14ac:dyDescent="0.25">
      <c r="A37" s="72"/>
      <c r="B37" s="73" t="s">
        <v>17</v>
      </c>
      <c r="C37" s="74" t="s">
        <v>764</v>
      </c>
      <c r="D37" s="74" t="s">
        <v>706</v>
      </c>
      <c r="E37" s="75" t="s">
        <v>12</v>
      </c>
      <c r="F37" s="75" t="s">
        <v>22</v>
      </c>
      <c r="G37" s="74" t="s">
        <v>202</v>
      </c>
      <c r="H37" s="85">
        <v>45672</v>
      </c>
      <c r="I37" s="94" t="s">
        <v>84</v>
      </c>
      <c r="J37" s="94" t="s">
        <v>128</v>
      </c>
      <c r="K37" s="94">
        <v>0</v>
      </c>
      <c r="L37" s="94" t="s">
        <v>203</v>
      </c>
      <c r="M37" s="94" t="s">
        <v>806</v>
      </c>
      <c r="N37" s="74">
        <v>1</v>
      </c>
      <c r="O37" s="77">
        <v>3.4722222222222224E-4</v>
      </c>
    </row>
    <row r="38" spans="1:15" s="101" customFormat="1" ht="54" customHeight="1" thickTop="1" thickBot="1" x14ac:dyDescent="0.25">
      <c r="A38" s="72"/>
      <c r="B38" s="73" t="s">
        <v>17</v>
      </c>
      <c r="C38" s="74" t="s">
        <v>509</v>
      </c>
      <c r="D38" s="74" t="s">
        <v>510</v>
      </c>
      <c r="E38" s="75" t="s">
        <v>12</v>
      </c>
      <c r="F38" s="75" t="s">
        <v>22</v>
      </c>
      <c r="G38" s="75" t="s">
        <v>233</v>
      </c>
      <c r="H38" s="76">
        <v>45672</v>
      </c>
      <c r="I38" s="94" t="s">
        <v>127</v>
      </c>
      <c r="J38" s="94" t="s">
        <v>128</v>
      </c>
      <c r="K38" s="94">
        <v>0</v>
      </c>
      <c r="L38" s="94" t="s">
        <v>300</v>
      </c>
      <c r="M38" s="94" t="s">
        <v>195</v>
      </c>
      <c r="N38" s="74">
        <v>1</v>
      </c>
      <c r="O38" s="77">
        <v>6.9444444444444447E-4</v>
      </c>
    </row>
    <row r="39" spans="1:15" s="101" customFormat="1" ht="54" customHeight="1" thickTop="1" thickBot="1" x14ac:dyDescent="0.25">
      <c r="A39" s="72"/>
      <c r="B39" s="78" t="s">
        <v>17</v>
      </c>
      <c r="C39" s="79" t="s">
        <v>511</v>
      </c>
      <c r="D39" s="79" t="s">
        <v>512</v>
      </c>
      <c r="E39" s="82" t="s">
        <v>12</v>
      </c>
      <c r="F39" s="82" t="s">
        <v>22</v>
      </c>
      <c r="G39" s="82" t="s">
        <v>233</v>
      </c>
      <c r="H39" s="99">
        <v>45672</v>
      </c>
      <c r="I39" s="94" t="s">
        <v>127</v>
      </c>
      <c r="J39" s="94" t="s">
        <v>128</v>
      </c>
      <c r="K39" s="94">
        <v>0</v>
      </c>
      <c r="L39" s="94" t="s">
        <v>300</v>
      </c>
      <c r="M39" s="94" t="s">
        <v>195</v>
      </c>
      <c r="N39" s="79">
        <v>1</v>
      </c>
      <c r="O39" s="83">
        <v>6.9444444444444447E-4</v>
      </c>
    </row>
    <row r="40" spans="1:15" s="101" customFormat="1" ht="54" customHeight="1" thickTop="1" thickBot="1" x14ac:dyDescent="0.25">
      <c r="A40" s="72"/>
      <c r="B40" s="92" t="s">
        <v>17</v>
      </c>
      <c r="C40" s="93" t="s">
        <v>513</v>
      </c>
      <c r="D40" s="93" t="s">
        <v>514</v>
      </c>
      <c r="E40" s="94" t="s">
        <v>12</v>
      </c>
      <c r="F40" s="94" t="s">
        <v>22</v>
      </c>
      <c r="G40" s="93" t="s">
        <v>765</v>
      </c>
      <c r="H40" s="95">
        <v>45673</v>
      </c>
      <c r="I40" s="94" t="s">
        <v>56</v>
      </c>
      <c r="J40" s="94" t="s">
        <v>57</v>
      </c>
      <c r="K40" s="94">
        <v>0</v>
      </c>
      <c r="L40" s="94" t="s">
        <v>515</v>
      </c>
      <c r="M40" s="94" t="s">
        <v>117</v>
      </c>
      <c r="N40" s="93">
        <v>2</v>
      </c>
      <c r="O40" s="96">
        <v>4.6296296296296293E-4</v>
      </c>
    </row>
    <row r="41" spans="1:15" s="101" customFormat="1" ht="54" customHeight="1" thickTop="1" thickBot="1" x14ac:dyDescent="0.25">
      <c r="B41" s="107" t="s">
        <v>21</v>
      </c>
      <c r="C41" s="100" t="s">
        <v>516</v>
      </c>
      <c r="D41" s="100" t="s">
        <v>517</v>
      </c>
      <c r="E41" s="108" t="s">
        <v>22</v>
      </c>
      <c r="F41" s="108" t="s">
        <v>22</v>
      </c>
      <c r="G41" s="100"/>
      <c r="H41" s="100"/>
      <c r="I41" s="94" t="s">
        <v>127</v>
      </c>
      <c r="J41" s="94" t="s">
        <v>128</v>
      </c>
      <c r="K41" s="94">
        <v>0</v>
      </c>
      <c r="L41" s="94" t="s">
        <v>331</v>
      </c>
      <c r="M41" s="94" t="s">
        <v>328</v>
      </c>
      <c r="N41" s="100">
        <v>2</v>
      </c>
      <c r="O41" s="110">
        <v>2.0833333333333333E-3</v>
      </c>
    </row>
    <row r="42" spans="1:15" s="101" customFormat="1" ht="54" customHeight="1" thickTop="1" thickBot="1" x14ac:dyDescent="0.25">
      <c r="B42" s="107" t="s">
        <v>21</v>
      </c>
      <c r="C42" s="100" t="s">
        <v>766</v>
      </c>
      <c r="D42" s="100" t="s">
        <v>767</v>
      </c>
      <c r="E42" s="108" t="str">
        <f>'DM 4 Car'!E89</f>
        <v>No</v>
      </c>
      <c r="F42" s="108" t="str">
        <f>'DM 4 Car'!F89</f>
        <v>No</v>
      </c>
      <c r="G42" s="108">
        <f>'DM 4 Car'!G89</f>
        <v>0</v>
      </c>
      <c r="H42" s="108">
        <f>'DM 4 Car'!H89</f>
        <v>0</v>
      </c>
      <c r="I42" s="94" t="s">
        <v>127</v>
      </c>
      <c r="J42" s="94" t="s">
        <v>128</v>
      </c>
      <c r="K42" s="94">
        <v>0</v>
      </c>
      <c r="L42" s="94" t="s">
        <v>324</v>
      </c>
      <c r="M42" s="94" t="s">
        <v>328</v>
      </c>
      <c r="N42" s="100">
        <v>4</v>
      </c>
      <c r="O42" s="110">
        <v>5.208333333333333E-3</v>
      </c>
    </row>
    <row r="43" spans="1:15" s="101" customFormat="1" ht="54" customHeight="1" thickTop="1" thickBot="1" x14ac:dyDescent="0.25">
      <c r="B43" s="107" t="s">
        <v>21</v>
      </c>
      <c r="C43" s="100" t="s">
        <v>519</v>
      </c>
      <c r="D43" s="100" t="s">
        <v>520</v>
      </c>
      <c r="E43" s="108" t="s">
        <v>22</v>
      </c>
      <c r="F43" s="108" t="s">
        <v>22</v>
      </c>
      <c r="G43" s="100"/>
      <c r="H43" s="100"/>
      <c r="I43" s="94" t="s">
        <v>127</v>
      </c>
      <c r="J43" s="94" t="s">
        <v>128</v>
      </c>
      <c r="K43" s="94">
        <v>0</v>
      </c>
      <c r="L43" s="94" t="s">
        <v>331</v>
      </c>
      <c r="M43" s="94" t="s">
        <v>328</v>
      </c>
      <c r="N43" s="100">
        <v>2</v>
      </c>
      <c r="O43" s="110">
        <v>2.0833333333333333E-3</v>
      </c>
    </row>
    <row r="44" spans="1:15" s="101" customFormat="1" ht="54" customHeight="1" thickTop="1" thickBot="1" x14ac:dyDescent="0.25">
      <c r="B44" s="107" t="s">
        <v>21</v>
      </c>
      <c r="C44" s="100" t="s">
        <v>521</v>
      </c>
      <c r="D44" s="100" t="s">
        <v>768</v>
      </c>
      <c r="E44" s="108" t="s">
        <v>22</v>
      </c>
      <c r="F44" s="108" t="s">
        <v>22</v>
      </c>
      <c r="G44" s="100"/>
      <c r="H44" s="100"/>
      <c r="I44" s="94" t="s">
        <v>127</v>
      </c>
      <c r="J44" s="94" t="s">
        <v>128</v>
      </c>
      <c r="K44" s="94">
        <v>0</v>
      </c>
      <c r="L44" s="94" t="s">
        <v>324</v>
      </c>
      <c r="M44" s="94" t="s">
        <v>328</v>
      </c>
      <c r="N44" s="100">
        <v>4</v>
      </c>
      <c r="O44" s="110">
        <v>5.208333333333333E-3</v>
      </c>
    </row>
    <row r="45" spans="1:15" s="101" customFormat="1" ht="54" customHeight="1" thickTop="1" thickBot="1" x14ac:dyDescent="0.25">
      <c r="B45" s="107" t="s">
        <v>21</v>
      </c>
      <c r="C45" s="100" t="s">
        <v>523</v>
      </c>
      <c r="D45" s="100" t="s">
        <v>524</v>
      </c>
      <c r="E45" s="108" t="s">
        <v>22</v>
      </c>
      <c r="F45" s="108" t="s">
        <v>22</v>
      </c>
      <c r="G45" s="100"/>
      <c r="H45" s="100"/>
      <c r="I45" s="94" t="s">
        <v>127</v>
      </c>
      <c r="J45" s="94" t="s">
        <v>128</v>
      </c>
      <c r="K45" s="94">
        <v>0</v>
      </c>
      <c r="L45" s="94" t="s">
        <v>525</v>
      </c>
      <c r="M45" s="94" t="s">
        <v>195</v>
      </c>
      <c r="N45" s="100">
        <v>2</v>
      </c>
      <c r="O45" s="110">
        <v>2.0833333333333333E-3</v>
      </c>
    </row>
    <row r="46" spans="1:15" s="101" customFormat="1" ht="54" customHeight="1" thickTop="1" thickBot="1" x14ac:dyDescent="0.25">
      <c r="B46" s="107" t="s">
        <v>21</v>
      </c>
      <c r="C46" s="100" t="s">
        <v>526</v>
      </c>
      <c r="D46" s="100" t="s">
        <v>346</v>
      </c>
      <c r="E46" s="108" t="s">
        <v>22</v>
      </c>
      <c r="F46" s="108" t="s">
        <v>22</v>
      </c>
      <c r="G46" s="100"/>
      <c r="H46" s="100"/>
      <c r="I46" s="94" t="s">
        <v>127</v>
      </c>
      <c r="J46" s="94" t="s">
        <v>128</v>
      </c>
      <c r="K46" s="94">
        <v>0</v>
      </c>
      <c r="L46" s="94" t="s">
        <v>347</v>
      </c>
      <c r="M46" s="94" t="s">
        <v>195</v>
      </c>
      <c r="N46" s="100">
        <v>2</v>
      </c>
      <c r="O46" s="110">
        <v>3.4722222222222224E-4</v>
      </c>
    </row>
    <row r="47" spans="1:15" s="101" customFormat="1" ht="54" customHeight="1" thickTop="1" thickBot="1" x14ac:dyDescent="0.25">
      <c r="B47" s="107" t="s">
        <v>21</v>
      </c>
      <c r="C47" s="100" t="s">
        <v>527</v>
      </c>
      <c r="D47" s="100" t="s">
        <v>769</v>
      </c>
      <c r="E47" s="108" t="s">
        <v>22</v>
      </c>
      <c r="F47" s="108" t="s">
        <v>22</v>
      </c>
      <c r="G47" s="100"/>
      <c r="H47" s="100"/>
      <c r="I47" s="94" t="s">
        <v>56</v>
      </c>
      <c r="J47" s="94" t="s">
        <v>128</v>
      </c>
      <c r="K47" s="94">
        <v>0</v>
      </c>
      <c r="L47" s="94" t="s">
        <v>350</v>
      </c>
      <c r="M47" s="94" t="s">
        <v>154</v>
      </c>
      <c r="N47" s="100">
        <v>2</v>
      </c>
      <c r="O47" s="110">
        <v>4.6296296296296293E-4</v>
      </c>
    </row>
    <row r="48" spans="1:15" s="101" customFormat="1" ht="54" customHeight="1" thickTop="1" thickBot="1" x14ac:dyDescent="0.25">
      <c r="B48" s="107" t="s">
        <v>21</v>
      </c>
      <c r="C48" s="100" t="s">
        <v>529</v>
      </c>
      <c r="D48" s="100" t="s">
        <v>530</v>
      </c>
      <c r="E48" s="108" t="s">
        <v>22</v>
      </c>
      <c r="F48" s="108" t="s">
        <v>22</v>
      </c>
      <c r="G48" s="100"/>
      <c r="H48" s="100"/>
      <c r="I48" s="94" t="s">
        <v>127</v>
      </c>
      <c r="J48" s="94" t="s">
        <v>128</v>
      </c>
      <c r="K48" s="94">
        <v>0</v>
      </c>
      <c r="L48" s="94" t="s">
        <v>531</v>
      </c>
      <c r="M48" s="94" t="s">
        <v>195</v>
      </c>
      <c r="N48" s="100">
        <v>1</v>
      </c>
      <c r="O48" s="110">
        <v>6.9444444444444447E-4</v>
      </c>
    </row>
    <row r="49" spans="1:15" s="101" customFormat="1" ht="54" customHeight="1" thickTop="1" thickBot="1" x14ac:dyDescent="0.25">
      <c r="A49" s="72"/>
      <c r="B49" s="73" t="s">
        <v>21</v>
      </c>
      <c r="C49" s="74" t="s">
        <v>532</v>
      </c>
      <c r="D49" s="74" t="s">
        <v>533</v>
      </c>
      <c r="E49" s="75" t="s">
        <v>12</v>
      </c>
      <c r="F49" s="75" t="s">
        <v>22</v>
      </c>
      <c r="G49" s="74" t="s">
        <v>534</v>
      </c>
      <c r="H49" s="85">
        <v>45306</v>
      </c>
      <c r="I49" s="94" t="s">
        <v>127</v>
      </c>
      <c r="J49" s="94" t="s">
        <v>128</v>
      </c>
      <c r="K49" s="94">
        <v>0</v>
      </c>
      <c r="L49" s="94" t="s">
        <v>535</v>
      </c>
      <c r="M49" s="94" t="s">
        <v>226</v>
      </c>
      <c r="N49" s="74">
        <v>1</v>
      </c>
      <c r="O49" s="77">
        <v>3.4722222222222224E-4</v>
      </c>
    </row>
    <row r="50" spans="1:15" s="101" customFormat="1" ht="54" customHeight="1" thickTop="1" thickBot="1" x14ac:dyDescent="0.25">
      <c r="A50" s="72"/>
      <c r="B50" s="73" t="s">
        <v>21</v>
      </c>
      <c r="C50" s="74" t="s">
        <v>536</v>
      </c>
      <c r="D50" s="74" t="s">
        <v>815</v>
      </c>
      <c r="E50" s="75" t="s">
        <v>12</v>
      </c>
      <c r="F50" s="75" t="s">
        <v>22</v>
      </c>
      <c r="G50" s="74" t="s">
        <v>202</v>
      </c>
      <c r="H50" s="85">
        <v>45672</v>
      </c>
      <c r="I50" s="94" t="s">
        <v>84</v>
      </c>
      <c r="J50" s="94" t="s">
        <v>128</v>
      </c>
      <c r="K50" s="94">
        <v>0</v>
      </c>
      <c r="L50" s="94" t="s">
        <v>537</v>
      </c>
      <c r="M50" s="94" t="s">
        <v>806</v>
      </c>
      <c r="N50" s="74">
        <v>1</v>
      </c>
      <c r="O50" s="77">
        <v>6.9444444444444447E-4</v>
      </c>
    </row>
    <row r="51" spans="1:15" s="101" customFormat="1" ht="54" customHeight="1" thickTop="1" thickBot="1" x14ac:dyDescent="0.25">
      <c r="A51" s="72"/>
      <c r="B51" s="73" t="s">
        <v>21</v>
      </c>
      <c r="C51" s="74" t="s">
        <v>770</v>
      </c>
      <c r="D51" s="74" t="s">
        <v>539</v>
      </c>
      <c r="E51" s="75" t="s">
        <v>12</v>
      </c>
      <c r="F51" s="75" t="s">
        <v>22</v>
      </c>
      <c r="G51" s="74" t="s">
        <v>540</v>
      </c>
      <c r="H51" s="85">
        <v>45673</v>
      </c>
      <c r="I51" s="94" t="s">
        <v>56</v>
      </c>
      <c r="J51" s="94" t="s">
        <v>57</v>
      </c>
      <c r="K51" s="94">
        <v>0</v>
      </c>
      <c r="L51" s="94" t="s">
        <v>541</v>
      </c>
      <c r="M51" s="94" t="s">
        <v>117</v>
      </c>
      <c r="N51" s="74">
        <v>2</v>
      </c>
      <c r="O51" s="77">
        <v>2.0833333333333333E-3</v>
      </c>
    </row>
    <row r="52" spans="1:15" s="101" customFormat="1" ht="54" customHeight="1" thickTop="1" thickBot="1" x14ac:dyDescent="0.25">
      <c r="A52" s="72"/>
      <c r="B52" s="73" t="s">
        <v>21</v>
      </c>
      <c r="C52" s="74" t="s">
        <v>542</v>
      </c>
      <c r="D52" s="74" t="s">
        <v>543</v>
      </c>
      <c r="E52" s="75" t="s">
        <v>12</v>
      </c>
      <c r="F52" s="75" t="s">
        <v>22</v>
      </c>
      <c r="G52" s="74" t="s">
        <v>765</v>
      </c>
      <c r="H52" s="85">
        <v>45673</v>
      </c>
      <c r="I52" s="94" t="s">
        <v>56</v>
      </c>
      <c r="J52" s="94" t="s">
        <v>57</v>
      </c>
      <c r="K52" s="94">
        <v>0</v>
      </c>
      <c r="L52" s="94" t="s">
        <v>544</v>
      </c>
      <c r="M52" s="94" t="s">
        <v>117</v>
      </c>
      <c r="N52" s="74">
        <v>2</v>
      </c>
      <c r="O52" s="77">
        <v>6.9444444444444447E-4</v>
      </c>
    </row>
    <row r="53" spans="1:15" s="101" customFormat="1" ht="54" customHeight="1" thickTop="1" thickBot="1" x14ac:dyDescent="0.25">
      <c r="B53" s="107" t="s">
        <v>21</v>
      </c>
      <c r="C53" s="100" t="s">
        <v>771</v>
      </c>
      <c r="D53" s="100" t="s">
        <v>546</v>
      </c>
      <c r="E53" s="108" t="s">
        <v>22</v>
      </c>
      <c r="F53" s="108" t="s">
        <v>22</v>
      </c>
      <c r="G53" s="100"/>
      <c r="H53" s="100"/>
      <c r="I53" s="94" t="s">
        <v>56</v>
      </c>
      <c r="J53" s="94" t="s">
        <v>57</v>
      </c>
      <c r="K53" s="94">
        <v>0</v>
      </c>
      <c r="L53" s="94" t="s">
        <v>547</v>
      </c>
      <c r="M53" s="94" t="s">
        <v>59</v>
      </c>
      <c r="N53" s="100">
        <v>2</v>
      </c>
      <c r="O53" s="110">
        <v>6.9444444444444447E-4</v>
      </c>
    </row>
    <row r="54" spans="1:15" s="101" customFormat="1" ht="54" customHeight="1" thickTop="1" thickBot="1" x14ac:dyDescent="0.25">
      <c r="A54" s="72"/>
      <c r="B54" s="73" t="s">
        <v>21</v>
      </c>
      <c r="C54" s="74" t="s">
        <v>548</v>
      </c>
      <c r="D54" s="74" t="s">
        <v>549</v>
      </c>
      <c r="E54" s="75" t="s">
        <v>12</v>
      </c>
      <c r="F54" s="75" t="s">
        <v>22</v>
      </c>
      <c r="G54" s="74" t="s">
        <v>765</v>
      </c>
      <c r="H54" s="85">
        <v>45673</v>
      </c>
      <c r="I54" s="94" t="s">
        <v>56</v>
      </c>
      <c r="J54" s="94" t="s">
        <v>57</v>
      </c>
      <c r="K54" s="94">
        <v>0</v>
      </c>
      <c r="L54" s="94" t="s">
        <v>550</v>
      </c>
      <c r="M54" s="94" t="s">
        <v>117</v>
      </c>
      <c r="N54" s="74">
        <v>2</v>
      </c>
      <c r="O54" s="77">
        <v>6.9444444444444447E-4</v>
      </c>
    </row>
    <row r="55" spans="1:15" s="101" customFormat="1" ht="54" customHeight="1" thickTop="1" thickBot="1" x14ac:dyDescent="0.25">
      <c r="B55" s="107" t="s">
        <v>21</v>
      </c>
      <c r="C55" s="100" t="s">
        <v>772</v>
      </c>
      <c r="D55" s="100" t="s">
        <v>385</v>
      </c>
      <c r="E55" s="108" t="s">
        <v>22</v>
      </c>
      <c r="F55" s="108" t="s">
        <v>22</v>
      </c>
      <c r="G55" s="100"/>
      <c r="H55" s="100"/>
      <c r="I55" s="94" t="s">
        <v>84</v>
      </c>
      <c r="J55" s="94" t="s">
        <v>57</v>
      </c>
      <c r="K55" s="94">
        <v>0</v>
      </c>
      <c r="L55" s="94" t="s">
        <v>386</v>
      </c>
      <c r="M55" s="94" t="s">
        <v>101</v>
      </c>
      <c r="N55" s="100">
        <v>4</v>
      </c>
      <c r="O55" s="110">
        <v>2.0833333333333333E-3</v>
      </c>
    </row>
    <row r="56" spans="1:15" s="101" customFormat="1" ht="54" customHeight="1" thickTop="1" thickBot="1" x14ac:dyDescent="0.25">
      <c r="B56" s="112" t="s">
        <v>21</v>
      </c>
      <c r="C56" s="113" t="s">
        <v>773</v>
      </c>
      <c r="D56" s="113" t="s">
        <v>396</v>
      </c>
      <c r="E56" s="114" t="s">
        <v>22</v>
      </c>
      <c r="F56" s="114" t="s">
        <v>22</v>
      </c>
      <c r="G56" s="113"/>
      <c r="H56" s="113"/>
      <c r="I56" s="94" t="s">
        <v>56</v>
      </c>
      <c r="J56" s="94" t="s">
        <v>57</v>
      </c>
      <c r="K56" s="94">
        <v>0</v>
      </c>
      <c r="L56" s="94" t="s">
        <v>397</v>
      </c>
      <c r="M56" s="94" t="s">
        <v>101</v>
      </c>
      <c r="N56" s="113">
        <v>2</v>
      </c>
      <c r="O56" s="115">
        <v>6.9444444444444447E-4</v>
      </c>
    </row>
    <row r="57" spans="1:15" s="101" customFormat="1" ht="54" customHeight="1" thickTop="1" thickBot="1" x14ac:dyDescent="0.25">
      <c r="B57" s="102" t="s">
        <v>25</v>
      </c>
      <c r="C57" s="103" t="s">
        <v>567</v>
      </c>
      <c r="D57" s="103" t="s">
        <v>405</v>
      </c>
      <c r="E57" s="104" t="s">
        <v>22</v>
      </c>
      <c r="F57" s="104" t="s">
        <v>22</v>
      </c>
      <c r="G57" s="103"/>
      <c r="H57" s="103"/>
      <c r="I57" s="94" t="s">
        <v>127</v>
      </c>
      <c r="J57" s="94" t="s">
        <v>57</v>
      </c>
      <c r="K57" s="94">
        <v>0</v>
      </c>
      <c r="L57" s="94" t="s">
        <v>406</v>
      </c>
      <c r="M57" s="94" t="s">
        <v>226</v>
      </c>
      <c r="N57" s="103">
        <v>1</v>
      </c>
      <c r="O57" s="106">
        <v>6.9444444444444447E-4</v>
      </c>
    </row>
    <row r="58" spans="1:15" s="101" customFormat="1" ht="54" customHeight="1" thickTop="1" thickBot="1" x14ac:dyDescent="0.25">
      <c r="B58" s="107" t="s">
        <v>25</v>
      </c>
      <c r="C58" s="100" t="s">
        <v>568</v>
      </c>
      <c r="D58" s="100" t="s">
        <v>774</v>
      </c>
      <c r="E58" s="108" t="s">
        <v>22</v>
      </c>
      <c r="F58" s="108" t="s">
        <v>22</v>
      </c>
      <c r="G58" s="100"/>
      <c r="H58" s="100"/>
      <c r="I58" s="94" t="s">
        <v>127</v>
      </c>
      <c r="J58" s="94" t="s">
        <v>57</v>
      </c>
      <c r="K58" s="94">
        <v>0</v>
      </c>
      <c r="L58" s="94" t="s">
        <v>803</v>
      </c>
      <c r="M58" s="94" t="s">
        <v>802</v>
      </c>
      <c r="N58" s="100">
        <v>1</v>
      </c>
      <c r="O58" s="110">
        <v>3.4722222222222224E-4</v>
      </c>
    </row>
    <row r="59" spans="1:15" s="101" customFormat="1" ht="54" customHeight="1" thickTop="1" x14ac:dyDescent="0.2">
      <c r="B59" s="107" t="s">
        <v>25</v>
      </c>
      <c r="C59" s="100" t="s">
        <v>570</v>
      </c>
      <c r="D59" s="100" t="s">
        <v>571</v>
      </c>
      <c r="E59" s="108" t="s">
        <v>22</v>
      </c>
      <c r="F59" s="108" t="s">
        <v>22</v>
      </c>
      <c r="G59" s="100"/>
      <c r="H59" s="100"/>
      <c r="I59" s="94" t="s">
        <v>56</v>
      </c>
      <c r="J59" s="94" t="s">
        <v>57</v>
      </c>
      <c r="K59" s="94">
        <v>0</v>
      </c>
      <c r="L59" s="94" t="s">
        <v>438</v>
      </c>
      <c r="M59" s="94" t="s">
        <v>101</v>
      </c>
      <c r="N59" s="100">
        <v>1</v>
      </c>
      <c r="O59" s="110">
        <v>1.0416666666666667E-3</v>
      </c>
    </row>
    <row r="60" spans="1:15" s="101" customFormat="1" ht="15.75" thickBot="1" x14ac:dyDescent="0.25">
      <c r="B60" s="131"/>
      <c r="C60" s="114"/>
      <c r="D60" s="114"/>
      <c r="E60" s="114"/>
      <c r="F60" s="114"/>
      <c r="G60" s="114"/>
      <c r="H60" s="114"/>
      <c r="I60" s="114"/>
      <c r="J60" s="114"/>
      <c r="K60" s="114"/>
      <c r="L60" s="114"/>
      <c r="M60" s="118"/>
      <c r="N60" s="118"/>
      <c r="O60" s="132"/>
    </row>
    <row r="61" spans="1:15" s="101" customFormat="1" ht="15.75" thickTop="1" x14ac:dyDescent="0.2">
      <c r="B61" s="127"/>
      <c r="C61" s="127"/>
      <c r="D61" s="127"/>
      <c r="E61" s="127"/>
      <c r="F61" s="127"/>
      <c r="G61" s="127"/>
      <c r="H61" s="127"/>
      <c r="I61" s="127"/>
      <c r="J61" s="127"/>
      <c r="K61" s="127"/>
      <c r="L61" s="127"/>
      <c r="M61" s="128"/>
      <c r="N61" s="128"/>
      <c r="O61" s="128"/>
    </row>
    <row r="62" spans="1:15" s="101" customFormat="1" x14ac:dyDescent="0.2">
      <c r="B62" s="127"/>
      <c r="C62" s="127"/>
      <c r="D62" s="127"/>
      <c r="E62" s="127"/>
      <c r="F62" s="127"/>
      <c r="G62" s="127"/>
      <c r="H62" s="127"/>
      <c r="I62" s="127"/>
      <c r="J62" s="127"/>
      <c r="K62" s="127"/>
      <c r="L62" s="127"/>
      <c r="M62" s="128"/>
      <c r="N62" s="128"/>
      <c r="O62" s="128"/>
    </row>
    <row r="63" spans="1:15" s="101" customFormat="1" x14ac:dyDescent="0.2">
      <c r="B63" s="127"/>
      <c r="C63" s="127"/>
      <c r="D63" s="127"/>
      <c r="E63" s="127"/>
      <c r="F63" s="127"/>
      <c r="G63" s="127"/>
      <c r="H63" s="127"/>
      <c r="I63" s="127"/>
      <c r="J63" s="127"/>
      <c r="K63" s="127"/>
      <c r="L63" s="127"/>
      <c r="M63" s="128"/>
      <c r="N63" s="128"/>
      <c r="O63" s="128"/>
    </row>
    <row r="64" spans="1:15" s="101" customFormat="1" x14ac:dyDescent="0.2">
      <c r="B64" s="127"/>
      <c r="C64" s="127"/>
      <c r="D64" s="127"/>
      <c r="E64" s="127"/>
      <c r="F64" s="127"/>
      <c r="G64" s="127"/>
      <c r="H64" s="127"/>
      <c r="I64" s="127"/>
      <c r="J64" s="127"/>
      <c r="K64" s="127"/>
      <c r="L64" s="127"/>
      <c r="M64" s="128"/>
      <c r="N64" s="128"/>
      <c r="O64" s="128"/>
    </row>
    <row r="65" spans="2:15" s="101" customFormat="1" x14ac:dyDescent="0.2">
      <c r="B65" s="127"/>
      <c r="C65" s="127"/>
      <c r="D65" s="127"/>
      <c r="E65" s="127"/>
      <c r="F65" s="127"/>
      <c r="G65" s="127"/>
      <c r="H65" s="127"/>
      <c r="I65" s="127"/>
      <c r="J65" s="127"/>
      <c r="K65" s="127"/>
      <c r="L65" s="127"/>
      <c r="M65" s="128"/>
      <c r="N65" s="128"/>
      <c r="O65" s="128"/>
    </row>
    <row r="66" spans="2:15" s="101" customFormat="1" x14ac:dyDescent="0.2">
      <c r="B66" s="127"/>
      <c r="C66" s="127"/>
      <c r="D66" s="127"/>
      <c r="E66" s="127"/>
      <c r="F66" s="127"/>
      <c r="G66" s="127"/>
      <c r="H66" s="127"/>
      <c r="I66" s="127"/>
      <c r="J66" s="127"/>
      <c r="K66" s="127"/>
      <c r="L66" s="127"/>
      <c r="M66" s="128"/>
      <c r="N66" s="128"/>
      <c r="O66" s="128"/>
    </row>
    <row r="67" spans="2:15" s="101" customFormat="1" x14ac:dyDescent="0.2">
      <c r="B67" s="127"/>
      <c r="C67" s="127"/>
      <c r="D67" s="127"/>
      <c r="E67" s="127"/>
      <c r="F67" s="127"/>
      <c r="G67" s="127"/>
      <c r="H67" s="127"/>
      <c r="I67" s="127"/>
      <c r="J67" s="127"/>
      <c r="K67" s="127"/>
      <c r="L67" s="127"/>
      <c r="M67" s="128"/>
      <c r="N67" s="128"/>
      <c r="O67" s="128"/>
    </row>
    <row r="68" spans="2:15" s="101" customFormat="1" x14ac:dyDescent="0.2">
      <c r="B68" s="127"/>
      <c r="C68" s="127"/>
      <c r="D68" s="127"/>
      <c r="E68" s="127"/>
      <c r="F68" s="127"/>
      <c r="G68" s="127"/>
      <c r="H68" s="127"/>
      <c r="I68" s="127"/>
      <c r="J68" s="127"/>
      <c r="K68" s="127"/>
      <c r="L68" s="127"/>
      <c r="M68" s="128"/>
      <c r="N68" s="128"/>
      <c r="O68" s="128"/>
    </row>
    <row r="69" spans="2:15" s="101" customFormat="1" x14ac:dyDescent="0.2">
      <c r="B69" s="127"/>
      <c r="C69" s="127"/>
      <c r="D69" s="127"/>
      <c r="E69" s="127"/>
      <c r="F69" s="127"/>
      <c r="G69" s="127"/>
      <c r="H69" s="127"/>
      <c r="I69" s="127"/>
      <c r="J69" s="127"/>
      <c r="K69" s="127"/>
      <c r="L69" s="127"/>
      <c r="M69" s="128"/>
      <c r="N69" s="128"/>
      <c r="O69" s="128"/>
    </row>
    <row r="70" spans="2:15" s="101" customFormat="1" x14ac:dyDescent="0.2">
      <c r="B70" s="127"/>
      <c r="C70" s="127"/>
      <c r="D70" s="127"/>
      <c r="E70" s="127"/>
      <c r="F70" s="127"/>
      <c r="G70" s="127"/>
      <c r="H70" s="127"/>
      <c r="I70" s="127"/>
      <c r="J70" s="127"/>
      <c r="K70" s="127"/>
      <c r="L70" s="127"/>
      <c r="M70" s="128"/>
      <c r="N70" s="128"/>
      <c r="O70" s="128"/>
    </row>
    <row r="71" spans="2:15" s="101" customFormat="1" x14ac:dyDescent="0.2">
      <c r="B71" s="127"/>
      <c r="C71" s="127"/>
      <c r="D71" s="127"/>
      <c r="E71" s="127"/>
      <c r="F71" s="127"/>
      <c r="G71" s="127"/>
      <c r="H71" s="127"/>
      <c r="I71" s="127"/>
      <c r="J71" s="127"/>
      <c r="K71" s="127"/>
      <c r="L71" s="127"/>
      <c r="M71" s="128"/>
      <c r="N71" s="128"/>
      <c r="O71" s="128"/>
    </row>
    <row r="72" spans="2:15" s="101" customFormat="1" x14ac:dyDescent="0.2">
      <c r="B72" s="127"/>
      <c r="C72" s="127"/>
      <c r="D72" s="127"/>
      <c r="E72" s="127"/>
      <c r="F72" s="127"/>
      <c r="G72" s="127"/>
      <c r="H72" s="127"/>
      <c r="I72" s="127"/>
      <c r="J72" s="127"/>
      <c r="K72" s="127"/>
      <c r="L72" s="127"/>
      <c r="M72" s="128"/>
      <c r="N72" s="128"/>
      <c r="O72" s="128"/>
    </row>
    <row r="73" spans="2:15" s="101" customFormat="1" x14ac:dyDescent="0.2">
      <c r="B73" s="127"/>
      <c r="C73" s="127"/>
      <c r="D73" s="127"/>
      <c r="E73" s="127"/>
      <c r="F73" s="127"/>
      <c r="G73" s="127"/>
      <c r="H73" s="127"/>
      <c r="I73" s="127"/>
      <c r="J73" s="127"/>
      <c r="K73" s="127"/>
      <c r="L73" s="127"/>
      <c r="M73" s="128"/>
      <c r="N73" s="128"/>
      <c r="O73" s="128"/>
    </row>
    <row r="74" spans="2:15" s="101" customFormat="1" x14ac:dyDescent="0.2">
      <c r="B74" s="127"/>
      <c r="C74" s="127"/>
      <c r="D74" s="127"/>
      <c r="E74" s="127"/>
      <c r="F74" s="127"/>
      <c r="G74" s="127"/>
      <c r="H74" s="127"/>
      <c r="I74" s="127"/>
      <c r="J74" s="127"/>
      <c r="K74" s="127"/>
      <c r="L74" s="127"/>
      <c r="M74" s="128"/>
      <c r="N74" s="128"/>
      <c r="O74" s="128"/>
    </row>
    <row r="75" spans="2:15" s="101" customFormat="1" x14ac:dyDescent="0.2">
      <c r="B75" s="127"/>
      <c r="C75" s="127"/>
      <c r="D75" s="127"/>
      <c r="E75" s="127"/>
      <c r="F75" s="127"/>
      <c r="G75" s="127"/>
      <c r="H75" s="127"/>
      <c r="I75" s="127"/>
      <c r="J75" s="127"/>
      <c r="K75" s="127"/>
      <c r="L75" s="127"/>
      <c r="M75" s="128"/>
      <c r="N75" s="128"/>
      <c r="O75" s="128"/>
    </row>
    <row r="76" spans="2:15" s="101" customFormat="1" x14ac:dyDescent="0.2">
      <c r="B76" s="127"/>
      <c r="C76" s="127"/>
      <c r="D76" s="127"/>
      <c r="E76" s="127"/>
      <c r="F76" s="127"/>
      <c r="G76" s="127"/>
      <c r="H76" s="127"/>
      <c r="I76" s="127"/>
      <c r="J76" s="127"/>
      <c r="K76" s="127"/>
      <c r="L76" s="127"/>
      <c r="M76" s="128"/>
      <c r="N76" s="128"/>
      <c r="O76" s="128"/>
    </row>
    <row r="77" spans="2:15" s="101" customFormat="1" x14ac:dyDescent="0.2">
      <c r="B77" s="127"/>
      <c r="C77" s="127"/>
      <c r="D77" s="127"/>
      <c r="E77" s="127"/>
      <c r="F77" s="127"/>
      <c r="G77" s="127"/>
      <c r="H77" s="127"/>
      <c r="I77" s="127"/>
      <c r="J77" s="127"/>
      <c r="K77" s="127"/>
      <c r="L77" s="127"/>
      <c r="M77" s="128"/>
      <c r="N77" s="128"/>
      <c r="O77" s="128"/>
    </row>
    <row r="78" spans="2:15" s="101" customFormat="1" x14ac:dyDescent="0.2">
      <c r="B78" s="127"/>
      <c r="C78" s="127"/>
      <c r="D78" s="127"/>
      <c r="E78" s="127"/>
      <c r="F78" s="127"/>
      <c r="G78" s="127"/>
      <c r="H78" s="127"/>
      <c r="I78" s="127"/>
      <c r="J78" s="127"/>
      <c r="K78" s="127"/>
      <c r="L78" s="127"/>
      <c r="M78" s="128"/>
      <c r="N78" s="128"/>
      <c r="O78" s="128"/>
    </row>
    <row r="79" spans="2:15" s="101" customFormat="1" x14ac:dyDescent="0.2">
      <c r="B79" s="127"/>
      <c r="C79" s="127"/>
      <c r="D79" s="127"/>
      <c r="E79" s="127"/>
      <c r="F79" s="127"/>
      <c r="G79" s="127"/>
      <c r="H79" s="127"/>
      <c r="I79" s="127"/>
      <c r="J79" s="127"/>
      <c r="K79" s="127"/>
      <c r="L79" s="127"/>
      <c r="M79" s="128"/>
      <c r="N79" s="128"/>
      <c r="O79" s="128"/>
    </row>
    <row r="80" spans="2:15" s="101" customFormat="1" x14ac:dyDescent="0.2">
      <c r="B80" s="127"/>
      <c r="C80" s="127"/>
      <c r="D80" s="127"/>
      <c r="E80" s="127"/>
      <c r="F80" s="127"/>
      <c r="G80" s="127"/>
      <c r="H80" s="127"/>
      <c r="I80" s="127"/>
      <c r="J80" s="127"/>
      <c r="K80" s="127"/>
      <c r="L80" s="127"/>
      <c r="M80" s="128"/>
      <c r="N80" s="128"/>
      <c r="O80" s="128"/>
    </row>
    <row r="81" spans="2:15" s="101" customFormat="1" x14ac:dyDescent="0.2">
      <c r="B81" s="127"/>
      <c r="C81" s="127"/>
      <c r="D81" s="127"/>
      <c r="E81" s="127"/>
      <c r="F81" s="127"/>
      <c r="G81" s="127"/>
      <c r="H81" s="127"/>
      <c r="I81" s="127"/>
      <c r="J81" s="127"/>
      <c r="K81" s="127"/>
      <c r="L81" s="127"/>
      <c r="M81" s="128"/>
      <c r="N81" s="128"/>
      <c r="O81" s="128"/>
    </row>
    <row r="82" spans="2:15" s="101" customFormat="1" x14ac:dyDescent="0.2">
      <c r="B82" s="127"/>
      <c r="C82" s="127"/>
      <c r="D82" s="127"/>
      <c r="E82" s="127"/>
      <c r="F82" s="127"/>
      <c r="G82" s="127"/>
      <c r="H82" s="127"/>
      <c r="I82" s="127"/>
      <c r="J82" s="127"/>
      <c r="K82" s="127"/>
      <c r="L82" s="127"/>
      <c r="M82" s="128"/>
      <c r="N82" s="128"/>
      <c r="O82" s="128"/>
    </row>
    <row r="83" spans="2:15" s="101" customFormat="1" x14ac:dyDescent="0.2">
      <c r="B83" s="127"/>
      <c r="C83" s="127"/>
      <c r="D83" s="127"/>
      <c r="E83" s="127"/>
      <c r="F83" s="127"/>
      <c r="G83" s="127"/>
      <c r="H83" s="127"/>
      <c r="I83" s="127"/>
      <c r="J83" s="127"/>
      <c r="K83" s="127"/>
      <c r="L83" s="127"/>
      <c r="M83" s="128"/>
      <c r="N83" s="128"/>
      <c r="O83" s="128"/>
    </row>
    <row r="84" spans="2:15" s="101" customFormat="1" x14ac:dyDescent="0.2">
      <c r="B84" s="127"/>
      <c r="C84" s="127"/>
      <c r="D84" s="127"/>
      <c r="E84" s="127"/>
      <c r="F84" s="127"/>
      <c r="G84" s="127"/>
      <c r="H84" s="127"/>
      <c r="I84" s="127"/>
      <c r="J84" s="127"/>
      <c r="K84" s="127"/>
      <c r="L84" s="127"/>
      <c r="M84" s="128"/>
      <c r="N84" s="128"/>
      <c r="O84" s="128"/>
    </row>
    <row r="85" spans="2:15" s="101" customFormat="1" x14ac:dyDescent="0.2">
      <c r="B85" s="127"/>
      <c r="C85" s="127"/>
      <c r="D85" s="127"/>
      <c r="E85" s="127"/>
      <c r="F85" s="127"/>
      <c r="G85" s="127"/>
      <c r="H85" s="127"/>
      <c r="I85" s="127"/>
      <c r="J85" s="127"/>
      <c r="K85" s="127"/>
      <c r="L85" s="127"/>
      <c r="M85" s="128"/>
      <c r="N85" s="128"/>
      <c r="O85" s="128"/>
    </row>
    <row r="86" spans="2:15" s="101" customFormat="1" x14ac:dyDescent="0.2">
      <c r="B86" s="127"/>
      <c r="C86" s="127"/>
      <c r="D86" s="127"/>
      <c r="E86" s="127"/>
      <c r="F86" s="127"/>
      <c r="G86" s="127"/>
      <c r="H86" s="127"/>
      <c r="I86" s="127"/>
      <c r="J86" s="127"/>
      <c r="K86" s="127"/>
      <c r="L86" s="127"/>
      <c r="M86" s="128"/>
      <c r="N86" s="128"/>
      <c r="O86" s="128"/>
    </row>
    <row r="87" spans="2:15" s="101" customFormat="1" x14ac:dyDescent="0.2">
      <c r="B87" s="127"/>
      <c r="C87" s="127"/>
      <c r="D87" s="127"/>
      <c r="E87" s="127"/>
      <c r="F87" s="127"/>
      <c r="G87" s="127"/>
      <c r="H87" s="127"/>
      <c r="I87" s="127"/>
      <c r="J87" s="127"/>
      <c r="K87" s="127"/>
      <c r="L87" s="127"/>
      <c r="M87" s="128"/>
      <c r="N87" s="128"/>
      <c r="O87" s="128"/>
    </row>
    <row r="88" spans="2:15" s="101" customFormat="1" ht="66" customHeight="1" x14ac:dyDescent="0.2">
      <c r="B88" s="127"/>
      <c r="C88" s="127"/>
      <c r="D88" s="127"/>
      <c r="E88" s="127"/>
      <c r="F88" s="127"/>
      <c r="G88" s="127"/>
      <c r="H88" s="127"/>
      <c r="I88" s="127"/>
      <c r="J88" s="127"/>
      <c r="K88" s="127"/>
      <c r="L88" s="127"/>
      <c r="M88" s="128"/>
      <c r="N88" s="128"/>
      <c r="O88" s="128"/>
    </row>
    <row r="89" spans="2:15" s="101" customFormat="1" x14ac:dyDescent="0.2">
      <c r="B89" s="127"/>
      <c r="C89" s="127"/>
      <c r="D89" s="127"/>
      <c r="E89" s="127"/>
      <c r="F89" s="127"/>
      <c r="G89" s="127"/>
      <c r="H89" s="127"/>
      <c r="I89" s="127"/>
      <c r="J89" s="127"/>
      <c r="K89" s="127"/>
      <c r="L89" s="127"/>
      <c r="M89" s="128"/>
      <c r="N89" s="128"/>
      <c r="O89" s="128"/>
    </row>
    <row r="90" spans="2:15" s="101" customFormat="1" x14ac:dyDescent="0.2">
      <c r="B90" s="127"/>
      <c r="C90" s="127"/>
      <c r="D90" s="127"/>
      <c r="E90" s="127"/>
      <c r="F90" s="127"/>
      <c r="G90" s="127"/>
      <c r="H90" s="127"/>
      <c r="I90" s="127"/>
      <c r="J90" s="127"/>
      <c r="K90" s="127"/>
      <c r="L90" s="127"/>
      <c r="M90" s="128"/>
      <c r="N90" s="128"/>
      <c r="O90" s="128"/>
    </row>
    <row r="91" spans="2:15" s="101" customFormat="1" x14ac:dyDescent="0.2">
      <c r="B91" s="127"/>
      <c r="C91" s="127"/>
      <c r="D91" s="127"/>
      <c r="E91" s="127"/>
      <c r="F91" s="127"/>
      <c r="G91" s="127"/>
      <c r="H91" s="127"/>
      <c r="I91" s="127"/>
      <c r="J91" s="127"/>
      <c r="K91" s="127"/>
      <c r="L91" s="127"/>
      <c r="M91" s="128"/>
      <c r="N91" s="128"/>
      <c r="O91" s="128"/>
    </row>
    <row r="92" spans="2:15" s="101" customFormat="1" x14ac:dyDescent="0.2">
      <c r="B92" s="127"/>
      <c r="C92" s="127"/>
      <c r="D92" s="127"/>
      <c r="E92" s="127"/>
      <c r="F92" s="127"/>
      <c r="G92" s="127"/>
      <c r="H92" s="127"/>
      <c r="I92" s="127"/>
      <c r="J92" s="127"/>
      <c r="K92" s="127"/>
      <c r="L92" s="127"/>
      <c r="M92" s="128"/>
      <c r="N92" s="128"/>
      <c r="O92" s="128"/>
    </row>
    <row r="93" spans="2:15" s="101" customFormat="1" x14ac:dyDescent="0.2">
      <c r="B93" s="127"/>
      <c r="C93" s="127"/>
      <c r="D93" s="127"/>
      <c r="E93" s="127"/>
      <c r="F93" s="127"/>
      <c r="G93" s="127"/>
      <c r="H93" s="127"/>
      <c r="I93" s="127"/>
      <c r="J93" s="127"/>
      <c r="K93" s="127"/>
      <c r="L93" s="127"/>
      <c r="M93" s="128"/>
      <c r="N93" s="128"/>
      <c r="O93" s="128"/>
    </row>
    <row r="94" spans="2:15" s="101" customFormat="1" x14ac:dyDescent="0.2">
      <c r="B94" s="127"/>
      <c r="C94" s="127"/>
      <c r="D94" s="127"/>
      <c r="E94" s="127"/>
      <c r="F94" s="127"/>
      <c r="G94" s="127"/>
      <c r="H94" s="127"/>
      <c r="I94" s="127"/>
      <c r="J94" s="127"/>
      <c r="K94" s="127"/>
      <c r="L94" s="127"/>
      <c r="M94" s="128"/>
      <c r="N94" s="128"/>
      <c r="O94" s="128"/>
    </row>
    <row r="95" spans="2:15" s="101" customFormat="1" x14ac:dyDescent="0.2">
      <c r="B95" s="127"/>
      <c r="C95" s="127"/>
      <c r="D95" s="127"/>
      <c r="E95" s="127"/>
      <c r="F95" s="127"/>
      <c r="G95" s="127"/>
      <c r="H95" s="127"/>
      <c r="I95" s="127"/>
      <c r="J95" s="127"/>
      <c r="K95" s="127"/>
      <c r="L95" s="127"/>
      <c r="M95" s="128"/>
      <c r="N95" s="128"/>
      <c r="O95" s="128"/>
    </row>
    <row r="96" spans="2:15" s="101" customFormat="1" x14ac:dyDescent="0.2">
      <c r="B96" s="127"/>
      <c r="C96" s="127"/>
      <c r="D96" s="127"/>
      <c r="E96" s="127"/>
      <c r="F96" s="127"/>
      <c r="G96" s="127"/>
      <c r="H96" s="127"/>
      <c r="I96" s="127"/>
      <c r="J96" s="127"/>
      <c r="K96" s="127"/>
      <c r="L96" s="127"/>
      <c r="M96" s="128"/>
      <c r="N96" s="128"/>
      <c r="O96" s="128"/>
    </row>
    <row r="97" spans="2:15" s="101" customFormat="1" x14ac:dyDescent="0.2">
      <c r="B97" s="127"/>
      <c r="C97" s="127"/>
      <c r="D97" s="127"/>
      <c r="E97" s="127"/>
      <c r="F97" s="127"/>
      <c r="G97" s="127"/>
      <c r="H97" s="127"/>
      <c r="I97" s="127"/>
      <c r="J97" s="127"/>
      <c r="K97" s="127"/>
      <c r="L97" s="127"/>
      <c r="M97" s="128"/>
      <c r="N97" s="128"/>
      <c r="O97" s="128"/>
    </row>
    <row r="98" spans="2:15" s="101" customFormat="1" x14ac:dyDescent="0.2">
      <c r="B98" s="127"/>
      <c r="C98" s="127"/>
      <c r="D98" s="127"/>
      <c r="E98" s="127"/>
      <c r="F98" s="127"/>
      <c r="G98" s="127"/>
      <c r="H98" s="127"/>
      <c r="I98" s="127"/>
      <c r="J98" s="127"/>
      <c r="K98" s="127"/>
      <c r="L98" s="127"/>
      <c r="M98" s="128"/>
      <c r="N98" s="128"/>
      <c r="O98" s="128"/>
    </row>
    <row r="99" spans="2:15" s="101" customFormat="1" x14ac:dyDescent="0.2">
      <c r="B99" s="127"/>
      <c r="C99" s="127"/>
      <c r="D99" s="127"/>
      <c r="E99" s="127"/>
      <c r="F99" s="127"/>
      <c r="G99" s="127"/>
      <c r="H99" s="127"/>
      <c r="I99" s="127"/>
      <c r="J99" s="127"/>
      <c r="K99" s="127"/>
      <c r="L99" s="127"/>
      <c r="M99" s="128"/>
      <c r="N99" s="128"/>
      <c r="O99" s="128"/>
    </row>
    <row r="100" spans="2:15" s="101" customFormat="1" x14ac:dyDescent="0.2">
      <c r="B100" s="127"/>
      <c r="C100" s="127"/>
      <c r="D100" s="127"/>
      <c r="E100" s="127"/>
      <c r="F100" s="127"/>
      <c r="G100" s="127"/>
      <c r="H100" s="127"/>
      <c r="I100" s="127"/>
      <c r="J100" s="127"/>
      <c r="K100" s="127"/>
      <c r="L100" s="127"/>
      <c r="M100" s="128"/>
      <c r="N100" s="128"/>
      <c r="O100" s="128"/>
    </row>
    <row r="101" spans="2:15" s="101" customFormat="1" x14ac:dyDescent="0.2">
      <c r="B101" s="127"/>
      <c r="C101" s="127"/>
      <c r="D101" s="127"/>
      <c r="E101" s="127"/>
      <c r="F101" s="127"/>
      <c r="G101" s="127"/>
      <c r="H101" s="127"/>
      <c r="I101" s="127"/>
      <c r="J101" s="127"/>
      <c r="K101" s="127"/>
      <c r="L101" s="127"/>
      <c r="M101" s="128"/>
      <c r="N101" s="128"/>
      <c r="O101" s="128"/>
    </row>
    <row r="102" spans="2:15" s="101" customFormat="1" x14ac:dyDescent="0.2">
      <c r="B102" s="127"/>
      <c r="C102" s="127"/>
      <c r="D102" s="127"/>
      <c r="E102" s="127"/>
      <c r="F102" s="127"/>
      <c r="G102" s="127"/>
      <c r="H102" s="127"/>
      <c r="I102" s="127"/>
      <c r="J102" s="127"/>
      <c r="K102" s="127"/>
      <c r="L102" s="127"/>
      <c r="M102" s="128"/>
      <c r="N102" s="128"/>
      <c r="O102" s="128"/>
    </row>
    <row r="103" spans="2:15" s="101" customFormat="1" x14ac:dyDescent="0.2">
      <c r="B103" s="127"/>
      <c r="C103" s="127"/>
      <c r="D103" s="127"/>
      <c r="E103" s="127"/>
      <c r="F103" s="127"/>
      <c r="G103" s="127"/>
      <c r="H103" s="127"/>
      <c r="I103" s="127"/>
      <c r="J103" s="127"/>
      <c r="K103" s="127"/>
      <c r="L103" s="127"/>
      <c r="M103" s="128"/>
      <c r="N103" s="128"/>
      <c r="O103" s="128"/>
    </row>
    <row r="104" spans="2:15" s="101" customFormat="1" x14ac:dyDescent="0.2">
      <c r="B104" s="127"/>
      <c r="C104" s="127"/>
      <c r="D104" s="127"/>
      <c r="E104" s="127"/>
      <c r="F104" s="127"/>
      <c r="G104" s="127"/>
      <c r="H104" s="127"/>
      <c r="I104" s="127"/>
      <c r="J104" s="127"/>
      <c r="K104" s="127"/>
      <c r="L104" s="127"/>
      <c r="M104" s="128"/>
      <c r="N104" s="128"/>
      <c r="O104" s="128"/>
    </row>
    <row r="105" spans="2:15" s="101" customFormat="1" x14ac:dyDescent="0.2">
      <c r="B105" s="127"/>
      <c r="C105" s="127"/>
      <c r="D105" s="127"/>
      <c r="E105" s="127"/>
      <c r="F105" s="127"/>
      <c r="G105" s="127"/>
      <c r="H105" s="127"/>
      <c r="I105" s="127"/>
      <c r="J105" s="127"/>
      <c r="K105" s="127"/>
      <c r="L105" s="127"/>
      <c r="M105" s="128"/>
      <c r="N105" s="128"/>
      <c r="O105" s="128"/>
    </row>
    <row r="106" spans="2:15" s="101" customFormat="1" x14ac:dyDescent="0.2">
      <c r="B106" s="127"/>
      <c r="C106" s="127"/>
      <c r="D106" s="127"/>
      <c r="E106" s="127"/>
      <c r="F106" s="127"/>
      <c r="G106" s="127"/>
      <c r="H106" s="127"/>
      <c r="I106" s="127"/>
      <c r="J106" s="127"/>
      <c r="K106" s="127"/>
      <c r="L106" s="127"/>
      <c r="M106" s="128"/>
      <c r="N106" s="128"/>
      <c r="O106" s="128"/>
    </row>
    <row r="107" spans="2:15" s="101" customFormat="1" x14ac:dyDescent="0.2">
      <c r="B107" s="127"/>
      <c r="C107" s="127"/>
      <c r="D107" s="127"/>
      <c r="E107" s="127"/>
      <c r="F107" s="127"/>
      <c r="G107" s="127"/>
      <c r="H107" s="127"/>
      <c r="I107" s="127"/>
      <c r="J107" s="127"/>
      <c r="K107" s="127"/>
      <c r="L107" s="127"/>
      <c r="M107" s="128"/>
      <c r="N107" s="128"/>
      <c r="O107" s="128"/>
    </row>
    <row r="108" spans="2:15" s="101" customFormat="1" x14ac:dyDescent="0.2">
      <c r="B108" s="127"/>
      <c r="C108" s="127"/>
      <c r="D108" s="127"/>
      <c r="E108" s="127"/>
      <c r="F108" s="127"/>
      <c r="G108" s="127"/>
      <c r="H108" s="127"/>
      <c r="I108" s="127"/>
      <c r="J108" s="127"/>
      <c r="K108" s="127"/>
      <c r="L108" s="127"/>
      <c r="M108" s="128"/>
      <c r="N108" s="128"/>
      <c r="O108" s="128"/>
    </row>
    <row r="109" spans="2:15" s="101" customFormat="1" x14ac:dyDescent="0.2">
      <c r="B109" s="127"/>
      <c r="C109" s="127"/>
      <c r="D109" s="127"/>
      <c r="E109" s="127"/>
      <c r="F109" s="127"/>
      <c r="G109" s="127"/>
      <c r="H109" s="127"/>
      <c r="I109" s="127"/>
      <c r="J109" s="127"/>
      <c r="K109" s="127"/>
      <c r="L109" s="127"/>
      <c r="M109" s="128"/>
      <c r="N109" s="128"/>
      <c r="O109" s="128"/>
    </row>
    <row r="110" spans="2:15" s="101" customFormat="1" x14ac:dyDescent="0.2">
      <c r="B110" s="127"/>
      <c r="C110" s="127"/>
      <c r="D110" s="127"/>
      <c r="E110" s="127"/>
      <c r="F110" s="127"/>
      <c r="G110" s="127"/>
      <c r="H110" s="127"/>
      <c r="I110" s="127"/>
      <c r="J110" s="127"/>
      <c r="K110" s="127"/>
      <c r="L110" s="127"/>
      <c r="M110" s="128"/>
      <c r="N110" s="128"/>
      <c r="O110" s="128"/>
    </row>
    <row r="111" spans="2:15" s="101" customFormat="1" x14ac:dyDescent="0.2">
      <c r="B111" s="127"/>
      <c r="C111" s="127"/>
      <c r="D111" s="127"/>
      <c r="E111" s="127"/>
      <c r="F111" s="127"/>
      <c r="G111" s="127"/>
      <c r="H111" s="127"/>
      <c r="I111" s="127"/>
      <c r="J111" s="127"/>
      <c r="K111" s="127"/>
      <c r="L111" s="127"/>
      <c r="M111" s="128"/>
      <c r="N111" s="128"/>
      <c r="O111" s="128"/>
    </row>
    <row r="112" spans="2:15" s="101" customFormat="1" x14ac:dyDescent="0.2">
      <c r="B112" s="127"/>
      <c r="C112" s="127"/>
      <c r="D112" s="127"/>
      <c r="E112" s="127"/>
      <c r="F112" s="127"/>
      <c r="G112" s="127"/>
      <c r="H112" s="127"/>
      <c r="I112" s="127"/>
      <c r="J112" s="127"/>
      <c r="K112" s="127"/>
      <c r="L112" s="127"/>
      <c r="M112" s="128"/>
      <c r="N112" s="128"/>
      <c r="O112" s="128"/>
    </row>
    <row r="113" spans="2:15" s="101" customFormat="1" x14ac:dyDescent="0.2">
      <c r="B113" s="127"/>
      <c r="C113" s="127"/>
      <c r="D113" s="127"/>
      <c r="E113" s="127"/>
      <c r="F113" s="127"/>
      <c r="G113" s="127"/>
      <c r="H113" s="127"/>
      <c r="I113" s="127"/>
      <c r="J113" s="127"/>
      <c r="K113" s="127"/>
      <c r="L113" s="127"/>
      <c r="M113" s="128"/>
      <c r="N113" s="128"/>
      <c r="O113" s="128"/>
    </row>
    <row r="114" spans="2:15" s="101" customFormat="1" x14ac:dyDescent="0.2">
      <c r="B114" s="127"/>
      <c r="C114" s="127"/>
      <c r="D114" s="127"/>
      <c r="E114" s="127"/>
      <c r="F114" s="127"/>
      <c r="G114" s="127"/>
      <c r="H114" s="127"/>
      <c r="I114" s="127"/>
      <c r="J114" s="127"/>
      <c r="K114" s="127"/>
      <c r="L114" s="127"/>
      <c r="M114" s="128"/>
      <c r="N114" s="128"/>
      <c r="O114" s="128"/>
    </row>
    <row r="115" spans="2:15" s="101" customFormat="1" x14ac:dyDescent="0.2">
      <c r="B115" s="127"/>
      <c r="C115" s="127"/>
      <c r="D115" s="127"/>
      <c r="E115" s="127"/>
      <c r="F115" s="127"/>
      <c r="G115" s="127"/>
      <c r="H115" s="127"/>
      <c r="I115" s="127"/>
      <c r="J115" s="127"/>
      <c r="K115" s="127"/>
      <c r="L115" s="127"/>
      <c r="M115" s="128"/>
      <c r="N115" s="128"/>
      <c r="O115" s="128"/>
    </row>
    <row r="116" spans="2:15" s="101" customFormat="1" x14ac:dyDescent="0.2">
      <c r="B116" s="127"/>
      <c r="C116" s="127"/>
      <c r="D116" s="127"/>
      <c r="E116" s="127"/>
      <c r="F116" s="127"/>
      <c r="G116" s="127"/>
      <c r="H116" s="127"/>
      <c r="I116" s="127"/>
      <c r="J116" s="127"/>
      <c r="K116" s="127"/>
      <c r="L116" s="127"/>
      <c r="M116" s="128"/>
      <c r="N116" s="128"/>
      <c r="O116" s="128"/>
    </row>
    <row r="117" spans="2:15" s="101" customFormat="1" x14ac:dyDescent="0.2">
      <c r="B117" s="127"/>
      <c r="C117" s="127"/>
      <c r="D117" s="127"/>
      <c r="E117" s="127"/>
      <c r="F117" s="127"/>
      <c r="G117" s="127"/>
      <c r="H117" s="127"/>
      <c r="I117" s="127"/>
      <c r="J117" s="127"/>
      <c r="K117" s="127"/>
      <c r="L117" s="127"/>
      <c r="M117" s="128"/>
      <c r="N117" s="128"/>
      <c r="O117" s="128"/>
    </row>
    <row r="118" spans="2:15" s="101" customFormat="1" x14ac:dyDescent="0.2">
      <c r="B118" s="127"/>
      <c r="C118" s="127"/>
      <c r="D118" s="127"/>
      <c r="E118" s="127"/>
      <c r="F118" s="127"/>
      <c r="G118" s="127"/>
      <c r="H118" s="127"/>
      <c r="I118" s="127"/>
      <c r="J118" s="127"/>
      <c r="K118" s="127"/>
      <c r="L118" s="127"/>
      <c r="M118" s="128"/>
      <c r="N118" s="128"/>
      <c r="O118" s="128"/>
    </row>
    <row r="119" spans="2:15" s="101" customFormat="1" x14ac:dyDescent="0.2">
      <c r="B119" s="127"/>
      <c r="C119" s="127"/>
      <c r="D119" s="127"/>
      <c r="E119" s="127"/>
      <c r="F119" s="127"/>
      <c r="G119" s="127"/>
      <c r="H119" s="127"/>
      <c r="I119" s="127"/>
      <c r="J119" s="127"/>
      <c r="K119" s="127"/>
      <c r="L119" s="127"/>
      <c r="M119" s="128"/>
      <c r="N119" s="128"/>
      <c r="O119" s="128"/>
    </row>
    <row r="120" spans="2:15" s="101" customFormat="1" x14ac:dyDescent="0.2">
      <c r="B120" s="127"/>
      <c r="C120" s="127"/>
      <c r="D120" s="127"/>
      <c r="E120" s="127"/>
      <c r="F120" s="127"/>
      <c r="G120" s="127"/>
      <c r="H120" s="127"/>
      <c r="I120" s="127"/>
      <c r="J120" s="127"/>
      <c r="K120" s="127"/>
      <c r="L120" s="127"/>
      <c r="M120" s="128"/>
      <c r="N120" s="128"/>
      <c r="O120" s="128"/>
    </row>
    <row r="121" spans="2:15" s="101" customFormat="1" x14ac:dyDescent="0.2">
      <c r="B121" s="127"/>
      <c r="C121" s="127"/>
      <c r="D121" s="127"/>
      <c r="E121" s="127"/>
      <c r="F121" s="127"/>
      <c r="G121" s="127"/>
      <c r="H121" s="127"/>
      <c r="I121" s="127"/>
      <c r="J121" s="127"/>
      <c r="K121" s="127"/>
      <c r="L121" s="127"/>
      <c r="M121" s="128"/>
      <c r="N121" s="128"/>
      <c r="O121" s="128"/>
    </row>
    <row r="122" spans="2:15" s="101" customFormat="1" x14ac:dyDescent="0.2">
      <c r="B122" s="127"/>
      <c r="C122" s="127"/>
      <c r="D122" s="127"/>
      <c r="E122" s="127"/>
      <c r="F122" s="127"/>
      <c r="G122" s="127"/>
      <c r="H122" s="127"/>
      <c r="I122" s="127"/>
      <c r="J122" s="127"/>
      <c r="K122" s="127"/>
      <c r="L122" s="127"/>
      <c r="M122" s="128"/>
      <c r="N122" s="128"/>
      <c r="O122" s="128"/>
    </row>
    <row r="123" spans="2:15" s="101" customFormat="1" x14ac:dyDescent="0.2">
      <c r="B123" s="127"/>
      <c r="C123" s="127"/>
      <c r="D123" s="127"/>
      <c r="E123" s="127"/>
      <c r="F123" s="127"/>
      <c r="G123" s="127"/>
      <c r="H123" s="127"/>
      <c r="I123" s="127"/>
      <c r="J123" s="127"/>
      <c r="K123" s="127"/>
      <c r="L123" s="127"/>
      <c r="M123" s="128"/>
      <c r="N123" s="128"/>
      <c r="O123" s="128"/>
    </row>
    <row r="124" spans="2:15" s="101" customFormat="1" x14ac:dyDescent="0.2">
      <c r="B124" s="127"/>
      <c r="C124" s="127"/>
      <c r="D124" s="127"/>
      <c r="E124" s="127"/>
      <c r="F124" s="127"/>
      <c r="G124" s="127"/>
      <c r="H124" s="127"/>
      <c r="I124" s="127"/>
      <c r="J124" s="127"/>
      <c r="K124" s="127"/>
      <c r="L124" s="127"/>
      <c r="M124" s="128"/>
      <c r="N124" s="128"/>
      <c r="O124" s="128"/>
    </row>
    <row r="125" spans="2:15" s="101" customFormat="1" x14ac:dyDescent="0.2">
      <c r="B125" s="127"/>
      <c r="C125" s="127"/>
      <c r="D125" s="127"/>
      <c r="E125" s="127"/>
      <c r="F125" s="127"/>
      <c r="G125" s="127"/>
      <c r="H125" s="127"/>
      <c r="I125" s="127"/>
      <c r="J125" s="127"/>
      <c r="K125" s="127"/>
      <c r="L125" s="127"/>
      <c r="M125" s="128"/>
      <c r="N125" s="128"/>
      <c r="O125" s="128"/>
    </row>
    <row r="126" spans="2:15" s="101" customFormat="1" x14ac:dyDescent="0.2">
      <c r="B126" s="127"/>
      <c r="C126" s="127"/>
      <c r="D126" s="127"/>
      <c r="E126" s="127"/>
      <c r="F126" s="127"/>
      <c r="G126" s="127"/>
      <c r="H126" s="127"/>
      <c r="I126" s="127"/>
      <c r="J126" s="127"/>
      <c r="K126" s="127"/>
      <c r="L126" s="127"/>
      <c r="M126" s="128"/>
      <c r="N126" s="128"/>
      <c r="O126" s="128"/>
    </row>
    <row r="127" spans="2:15" s="101" customFormat="1" x14ac:dyDescent="0.2">
      <c r="B127" s="127"/>
      <c r="C127" s="127"/>
      <c r="D127" s="127"/>
      <c r="E127" s="127"/>
      <c r="F127" s="127"/>
      <c r="G127" s="127"/>
      <c r="H127" s="127"/>
      <c r="I127" s="127"/>
      <c r="J127" s="127"/>
      <c r="K127" s="127"/>
      <c r="L127" s="127"/>
      <c r="M127" s="128"/>
      <c r="N127" s="128"/>
      <c r="O127" s="128"/>
    </row>
    <row r="128" spans="2:15" s="101" customFormat="1" ht="66" customHeight="1" x14ac:dyDescent="0.2">
      <c r="B128" s="127"/>
      <c r="C128" s="127"/>
      <c r="D128" s="127"/>
      <c r="E128" s="127"/>
      <c r="F128" s="127"/>
      <c r="G128" s="127"/>
      <c r="H128" s="127"/>
      <c r="I128" s="127"/>
      <c r="J128" s="127"/>
      <c r="K128" s="127"/>
      <c r="L128" s="127"/>
      <c r="M128" s="128"/>
      <c r="N128" s="128"/>
      <c r="O128" s="128"/>
    </row>
    <row r="129" spans="2:12" s="101" customFormat="1" x14ac:dyDescent="0.2">
      <c r="B129" s="125"/>
      <c r="C129" s="125"/>
      <c r="D129" s="125"/>
      <c r="E129" s="125"/>
      <c r="F129" s="125"/>
      <c r="G129" s="125"/>
      <c r="H129" s="125"/>
      <c r="I129" s="125"/>
      <c r="J129" s="125"/>
      <c r="K129" s="125"/>
      <c r="L129" s="125"/>
    </row>
    <row r="130" spans="2:12" s="101" customFormat="1" x14ac:dyDescent="0.2">
      <c r="B130" s="125"/>
      <c r="C130" s="125"/>
      <c r="D130" s="125"/>
      <c r="E130" s="125"/>
      <c r="F130" s="125"/>
      <c r="G130" s="125"/>
      <c r="H130" s="125"/>
      <c r="I130" s="125"/>
      <c r="J130" s="125"/>
      <c r="K130" s="125"/>
      <c r="L130" s="125"/>
    </row>
    <row r="131" spans="2:12" s="101" customFormat="1" x14ac:dyDescent="0.2">
      <c r="B131" s="125"/>
      <c r="C131" s="125"/>
      <c r="D131" s="125"/>
      <c r="E131" s="125"/>
      <c r="F131" s="125"/>
      <c r="G131" s="125"/>
      <c r="H131" s="125"/>
      <c r="I131" s="125"/>
      <c r="J131" s="125"/>
      <c r="K131" s="125"/>
      <c r="L131" s="125"/>
    </row>
    <row r="132" spans="2:12" s="101" customFormat="1" x14ac:dyDescent="0.2">
      <c r="B132" s="125"/>
      <c r="C132" s="125"/>
      <c r="D132" s="125"/>
      <c r="E132" s="125"/>
      <c r="F132" s="125"/>
      <c r="G132" s="125"/>
      <c r="H132" s="125"/>
      <c r="I132" s="125"/>
      <c r="J132" s="125"/>
      <c r="K132" s="125"/>
      <c r="L132" s="125"/>
    </row>
    <row r="133" spans="2:12" s="101" customFormat="1" x14ac:dyDescent="0.2">
      <c r="B133" s="125"/>
      <c r="C133" s="125"/>
      <c r="D133" s="125"/>
      <c r="E133" s="125"/>
      <c r="F133" s="125"/>
      <c r="G133" s="125"/>
      <c r="H133" s="125"/>
      <c r="I133" s="125"/>
      <c r="J133" s="125"/>
      <c r="K133" s="125"/>
      <c r="L133" s="125"/>
    </row>
    <row r="134" spans="2:12" s="101" customFormat="1" x14ac:dyDescent="0.2">
      <c r="B134" s="125"/>
      <c r="C134" s="125"/>
      <c r="D134" s="125"/>
      <c r="E134" s="125"/>
      <c r="F134" s="125"/>
      <c r="G134" s="125"/>
      <c r="H134" s="125"/>
      <c r="I134" s="125"/>
      <c r="J134" s="125"/>
      <c r="K134" s="125"/>
      <c r="L134" s="125"/>
    </row>
    <row r="135" spans="2:12" s="101" customFormat="1" x14ac:dyDescent="0.2">
      <c r="B135" s="125"/>
      <c r="C135" s="125"/>
      <c r="D135" s="125"/>
      <c r="E135" s="125"/>
      <c r="F135" s="125"/>
      <c r="G135" s="125"/>
      <c r="H135" s="125"/>
      <c r="I135" s="125"/>
      <c r="J135" s="125"/>
      <c r="K135" s="125"/>
      <c r="L135" s="125"/>
    </row>
    <row r="136" spans="2:12" s="101" customFormat="1" x14ac:dyDescent="0.2">
      <c r="B136" s="125"/>
      <c r="C136" s="125"/>
      <c r="D136" s="125"/>
      <c r="E136" s="125"/>
      <c r="F136" s="125"/>
      <c r="G136" s="125"/>
      <c r="H136" s="125"/>
      <c r="I136" s="125"/>
      <c r="J136" s="125"/>
      <c r="K136" s="125"/>
      <c r="L136" s="125"/>
    </row>
    <row r="137" spans="2:12" s="101" customFormat="1" x14ac:dyDescent="0.2">
      <c r="B137" s="125"/>
      <c r="C137" s="125"/>
      <c r="D137" s="125"/>
      <c r="E137" s="125"/>
      <c r="F137" s="125"/>
      <c r="G137" s="125"/>
      <c r="H137" s="125"/>
      <c r="I137" s="125"/>
      <c r="J137" s="125"/>
      <c r="K137" s="125"/>
      <c r="L137" s="125"/>
    </row>
    <row r="138" spans="2:12" s="101" customFormat="1" x14ac:dyDescent="0.2">
      <c r="B138" s="125"/>
      <c r="C138" s="125"/>
      <c r="D138" s="125"/>
      <c r="E138" s="125"/>
      <c r="F138" s="125"/>
      <c r="G138" s="125"/>
      <c r="H138" s="125"/>
      <c r="I138" s="125"/>
      <c r="J138" s="125"/>
      <c r="K138" s="125"/>
      <c r="L138" s="125"/>
    </row>
    <row r="139" spans="2:12" s="101" customFormat="1" x14ac:dyDescent="0.2">
      <c r="B139" s="125"/>
      <c r="C139" s="125"/>
      <c r="D139" s="125"/>
      <c r="E139" s="125"/>
      <c r="F139" s="125"/>
      <c r="G139" s="125"/>
      <c r="H139" s="125"/>
      <c r="I139" s="125"/>
      <c r="J139" s="125"/>
      <c r="K139" s="125"/>
      <c r="L139" s="125"/>
    </row>
    <row r="140" spans="2:12" s="101" customFormat="1" x14ac:dyDescent="0.2">
      <c r="B140" s="125"/>
      <c r="C140" s="125"/>
      <c r="D140" s="125"/>
      <c r="E140" s="125"/>
      <c r="F140" s="125"/>
      <c r="G140" s="125"/>
      <c r="H140" s="125"/>
      <c r="I140" s="125"/>
      <c r="J140" s="125"/>
      <c r="K140" s="125"/>
      <c r="L140" s="125"/>
    </row>
    <row r="141" spans="2:12" s="101" customFormat="1" x14ac:dyDescent="0.2">
      <c r="B141" s="125"/>
      <c r="C141" s="125"/>
      <c r="D141" s="125"/>
      <c r="E141" s="125"/>
      <c r="F141" s="125"/>
      <c r="G141" s="125"/>
      <c r="H141" s="125"/>
      <c r="I141" s="125"/>
      <c r="J141" s="125"/>
      <c r="K141" s="125"/>
      <c r="L141" s="125"/>
    </row>
    <row r="142" spans="2:12" s="101" customFormat="1" x14ac:dyDescent="0.2">
      <c r="B142" s="125"/>
      <c r="C142" s="125"/>
      <c r="D142" s="125"/>
      <c r="E142" s="125"/>
      <c r="F142" s="125"/>
      <c r="G142" s="125"/>
      <c r="H142" s="125"/>
      <c r="I142" s="125"/>
      <c r="J142" s="125"/>
      <c r="K142" s="125"/>
      <c r="L142" s="125"/>
    </row>
    <row r="143" spans="2:12" s="101" customFormat="1" x14ac:dyDescent="0.2">
      <c r="B143" s="125"/>
      <c r="C143" s="125"/>
      <c r="D143" s="125"/>
      <c r="E143" s="125"/>
      <c r="F143" s="125"/>
      <c r="G143" s="125"/>
      <c r="H143" s="125"/>
      <c r="I143" s="125"/>
      <c r="J143" s="125"/>
      <c r="K143" s="125"/>
      <c r="L143" s="125"/>
    </row>
    <row r="144" spans="2:12" s="101" customFormat="1" x14ac:dyDescent="0.2">
      <c r="B144" s="125"/>
      <c r="C144" s="125"/>
      <c r="D144" s="125"/>
      <c r="E144" s="125"/>
      <c r="F144" s="125"/>
      <c r="G144" s="125"/>
      <c r="H144" s="125"/>
      <c r="I144" s="125"/>
      <c r="J144" s="125"/>
      <c r="K144" s="125"/>
      <c r="L144" s="125"/>
    </row>
    <row r="145" spans="2:12" s="101" customFormat="1" x14ac:dyDescent="0.2">
      <c r="B145" s="125"/>
      <c r="C145" s="125"/>
      <c r="D145" s="125"/>
      <c r="E145" s="125"/>
      <c r="F145" s="125"/>
      <c r="G145" s="125"/>
      <c r="H145" s="125"/>
      <c r="I145" s="125"/>
      <c r="J145" s="125"/>
      <c r="K145" s="125"/>
      <c r="L145" s="125"/>
    </row>
    <row r="146" spans="2:12" s="101" customFormat="1" x14ac:dyDescent="0.2">
      <c r="B146" s="125"/>
      <c r="C146" s="125"/>
      <c r="D146" s="125"/>
      <c r="E146" s="125"/>
      <c r="F146" s="125"/>
      <c r="G146" s="125"/>
      <c r="H146" s="125"/>
      <c r="I146" s="125"/>
      <c r="J146" s="125"/>
      <c r="K146" s="125"/>
      <c r="L146" s="125"/>
    </row>
    <row r="147" spans="2:12" s="101" customFormat="1" x14ac:dyDescent="0.2">
      <c r="B147" s="125"/>
      <c r="C147" s="125"/>
      <c r="D147" s="125"/>
      <c r="E147" s="125"/>
      <c r="F147" s="125"/>
      <c r="G147" s="125"/>
      <c r="H147" s="125"/>
      <c r="I147" s="125"/>
      <c r="J147" s="125"/>
      <c r="K147" s="125"/>
      <c r="L147" s="125"/>
    </row>
    <row r="148" spans="2:12" s="101" customFormat="1" x14ac:dyDescent="0.2">
      <c r="B148" s="125"/>
      <c r="C148" s="125"/>
      <c r="D148" s="125"/>
      <c r="E148" s="125"/>
      <c r="F148" s="125"/>
      <c r="G148" s="125"/>
      <c r="H148" s="125"/>
      <c r="I148" s="125"/>
      <c r="J148" s="125"/>
      <c r="K148" s="125"/>
      <c r="L148" s="125"/>
    </row>
    <row r="149" spans="2:12" s="101" customFormat="1" x14ac:dyDescent="0.2">
      <c r="B149" s="125"/>
      <c r="C149" s="125"/>
      <c r="D149" s="125"/>
      <c r="E149" s="125"/>
      <c r="F149" s="125"/>
      <c r="G149" s="125"/>
      <c r="H149" s="125"/>
      <c r="I149" s="125"/>
      <c r="J149" s="125"/>
      <c r="K149" s="125"/>
      <c r="L149" s="125"/>
    </row>
    <row r="150" spans="2:12" s="101" customFormat="1" x14ac:dyDescent="0.2">
      <c r="B150" s="125"/>
      <c r="C150" s="125"/>
      <c r="D150" s="125"/>
      <c r="E150" s="125"/>
      <c r="F150" s="125"/>
      <c r="G150" s="125"/>
      <c r="H150" s="125"/>
      <c r="I150" s="125"/>
      <c r="J150" s="125"/>
      <c r="K150" s="125"/>
      <c r="L150" s="125"/>
    </row>
    <row r="151" spans="2:12" s="101" customFormat="1" x14ac:dyDescent="0.2">
      <c r="B151" s="125"/>
      <c r="C151" s="125"/>
      <c r="D151" s="125"/>
      <c r="E151" s="125"/>
      <c r="F151" s="125"/>
      <c r="G151" s="125"/>
      <c r="H151" s="125"/>
      <c r="I151" s="125"/>
      <c r="J151" s="125"/>
      <c r="K151" s="125"/>
      <c r="L151" s="125"/>
    </row>
    <row r="152" spans="2:12" s="101" customFormat="1" x14ac:dyDescent="0.2">
      <c r="B152" s="125"/>
      <c r="C152" s="125"/>
      <c r="D152" s="125"/>
      <c r="E152" s="125"/>
      <c r="F152" s="125"/>
      <c r="G152" s="125"/>
      <c r="H152" s="125"/>
      <c r="I152" s="125"/>
      <c r="J152" s="125"/>
      <c r="K152" s="125"/>
      <c r="L152" s="125"/>
    </row>
    <row r="153" spans="2:12" s="101" customFormat="1" x14ac:dyDescent="0.2">
      <c r="B153" s="125"/>
      <c r="C153" s="125"/>
      <c r="D153" s="125"/>
      <c r="E153" s="125"/>
      <c r="F153" s="125"/>
      <c r="G153" s="125"/>
      <c r="H153" s="125"/>
      <c r="I153" s="125"/>
      <c r="J153" s="125"/>
      <c r="K153" s="125"/>
      <c r="L153" s="125"/>
    </row>
    <row r="154" spans="2:12" s="101" customFormat="1" x14ac:dyDescent="0.2">
      <c r="B154" s="125"/>
      <c r="C154" s="125"/>
      <c r="D154" s="125"/>
      <c r="E154" s="125"/>
      <c r="F154" s="125"/>
      <c r="G154" s="125"/>
      <c r="H154" s="125"/>
      <c r="I154" s="125"/>
      <c r="J154" s="125"/>
      <c r="K154" s="125"/>
      <c r="L154" s="125"/>
    </row>
    <row r="155" spans="2:12" s="101" customFormat="1" x14ac:dyDescent="0.2">
      <c r="B155" s="125"/>
      <c r="C155" s="125"/>
      <c r="D155" s="125"/>
      <c r="E155" s="125"/>
      <c r="F155" s="125"/>
      <c r="G155" s="125"/>
      <c r="H155" s="125"/>
      <c r="I155" s="125"/>
      <c r="J155" s="125"/>
      <c r="K155" s="125"/>
      <c r="L155" s="125"/>
    </row>
    <row r="156" spans="2:12" s="101" customFormat="1" x14ac:dyDescent="0.2">
      <c r="B156" s="125"/>
      <c r="C156" s="125"/>
      <c r="D156" s="125"/>
      <c r="E156" s="125"/>
      <c r="F156" s="125"/>
      <c r="G156" s="125"/>
      <c r="H156" s="125"/>
      <c r="I156" s="125"/>
      <c r="J156" s="125"/>
      <c r="K156" s="125"/>
      <c r="L156" s="125"/>
    </row>
    <row r="157" spans="2:12" s="101" customFormat="1" x14ac:dyDescent="0.2">
      <c r="B157" s="125"/>
      <c r="C157" s="125"/>
      <c r="D157" s="125"/>
      <c r="E157" s="125"/>
      <c r="F157" s="125"/>
      <c r="G157" s="125"/>
      <c r="H157" s="125"/>
      <c r="I157" s="125"/>
      <c r="J157" s="125"/>
      <c r="K157" s="125"/>
      <c r="L157" s="125"/>
    </row>
    <row r="158" spans="2:12" s="101" customFormat="1" x14ac:dyDescent="0.2">
      <c r="B158" s="125"/>
      <c r="C158" s="125"/>
      <c r="D158" s="125"/>
      <c r="E158" s="125"/>
      <c r="F158" s="125"/>
      <c r="G158" s="125"/>
      <c r="H158" s="125"/>
      <c r="I158" s="125"/>
      <c r="J158" s="125"/>
      <c r="K158" s="125"/>
      <c r="L158" s="125"/>
    </row>
    <row r="159" spans="2:12" s="101" customFormat="1" x14ac:dyDescent="0.2">
      <c r="B159" s="125"/>
      <c r="C159" s="125"/>
      <c r="D159" s="125"/>
      <c r="E159" s="125"/>
      <c r="F159" s="125"/>
      <c r="G159" s="125"/>
      <c r="H159" s="125"/>
      <c r="I159" s="125"/>
      <c r="J159" s="125"/>
      <c r="K159" s="125"/>
      <c r="L159" s="125"/>
    </row>
    <row r="160" spans="2:12" s="101" customFormat="1" x14ac:dyDescent="0.2">
      <c r="B160" s="125"/>
      <c r="C160" s="125"/>
      <c r="D160" s="125"/>
      <c r="E160" s="125"/>
      <c r="F160" s="125"/>
      <c r="G160" s="125"/>
      <c r="H160" s="125"/>
      <c r="I160" s="125"/>
      <c r="J160" s="125"/>
      <c r="K160" s="125"/>
      <c r="L160" s="125"/>
    </row>
    <row r="161" spans="2:12" s="101" customFormat="1" x14ac:dyDescent="0.2">
      <c r="B161" s="125"/>
      <c r="C161" s="125"/>
      <c r="D161" s="125"/>
      <c r="E161" s="125"/>
      <c r="F161" s="125"/>
      <c r="G161" s="125"/>
      <c r="H161" s="125"/>
      <c r="I161" s="125"/>
      <c r="J161" s="125"/>
      <c r="K161" s="125"/>
      <c r="L161" s="125"/>
    </row>
    <row r="162" spans="2:12" s="101" customFormat="1" x14ac:dyDescent="0.2">
      <c r="B162" s="125"/>
      <c r="C162" s="125"/>
      <c r="D162" s="125"/>
      <c r="E162" s="125"/>
      <c r="F162" s="125"/>
      <c r="G162" s="125"/>
      <c r="H162" s="125"/>
      <c r="I162" s="125"/>
      <c r="J162" s="125"/>
      <c r="K162" s="125"/>
      <c r="L162" s="125"/>
    </row>
    <row r="163" spans="2:12" s="101" customFormat="1" x14ac:dyDescent="0.2">
      <c r="B163" s="125"/>
      <c r="C163" s="125"/>
      <c r="D163" s="125"/>
      <c r="E163" s="125"/>
      <c r="F163" s="125"/>
      <c r="G163" s="125"/>
      <c r="H163" s="125"/>
      <c r="I163" s="125"/>
      <c r="J163" s="125"/>
      <c r="K163" s="125"/>
      <c r="L163" s="125"/>
    </row>
    <row r="164" spans="2:12" s="101" customFormat="1" x14ac:dyDescent="0.2">
      <c r="B164" s="125"/>
      <c r="C164" s="125"/>
      <c r="D164" s="125"/>
      <c r="E164" s="125"/>
      <c r="F164" s="125"/>
      <c r="G164" s="125"/>
      <c r="H164" s="125"/>
      <c r="I164" s="125"/>
      <c r="J164" s="125"/>
      <c r="K164" s="125"/>
      <c r="L164" s="125"/>
    </row>
    <row r="165" spans="2:12" s="101" customFormat="1" x14ac:dyDescent="0.2">
      <c r="B165" s="125"/>
      <c r="C165" s="125"/>
      <c r="D165" s="125"/>
      <c r="E165" s="125"/>
      <c r="F165" s="125"/>
      <c r="G165" s="125"/>
      <c r="H165" s="125"/>
      <c r="I165" s="125"/>
      <c r="J165" s="125"/>
      <c r="K165" s="125"/>
      <c r="L165" s="125"/>
    </row>
    <row r="166" spans="2:12" s="101" customFormat="1" x14ac:dyDescent="0.2">
      <c r="B166" s="125"/>
      <c r="C166" s="125"/>
      <c r="D166" s="125"/>
      <c r="E166" s="125"/>
      <c r="F166" s="125"/>
      <c r="G166" s="125"/>
      <c r="H166" s="125"/>
      <c r="I166" s="125"/>
      <c r="J166" s="125"/>
      <c r="K166" s="125"/>
      <c r="L166" s="125"/>
    </row>
    <row r="167" spans="2:12" s="101" customFormat="1" x14ac:dyDescent="0.2">
      <c r="B167" s="125"/>
      <c r="C167" s="125"/>
      <c r="D167" s="125"/>
      <c r="E167" s="125"/>
      <c r="F167" s="125"/>
      <c r="G167" s="125"/>
      <c r="H167" s="125"/>
      <c r="I167" s="125"/>
      <c r="J167" s="125"/>
      <c r="K167" s="125"/>
      <c r="L167" s="125"/>
    </row>
    <row r="168" spans="2:12" s="101" customFormat="1" x14ac:dyDescent="0.2">
      <c r="B168" s="125"/>
      <c r="C168" s="125"/>
      <c r="D168" s="125"/>
      <c r="E168" s="125"/>
      <c r="F168" s="125"/>
      <c r="G168" s="125"/>
      <c r="H168" s="125"/>
      <c r="I168" s="125"/>
      <c r="J168" s="125"/>
      <c r="K168" s="125"/>
      <c r="L168" s="125"/>
    </row>
    <row r="169" spans="2:12" s="101" customFormat="1" x14ac:dyDescent="0.2">
      <c r="B169" s="125"/>
      <c r="C169" s="125"/>
      <c r="D169" s="125"/>
      <c r="E169" s="125"/>
      <c r="F169" s="125"/>
      <c r="G169" s="125"/>
      <c r="H169" s="125"/>
      <c r="I169" s="125"/>
      <c r="J169" s="125"/>
      <c r="K169" s="125"/>
      <c r="L169" s="125"/>
    </row>
    <row r="170" spans="2:12" s="101" customFormat="1" x14ac:dyDescent="0.2">
      <c r="B170" s="125"/>
      <c r="C170" s="125"/>
      <c r="D170" s="125"/>
      <c r="E170" s="125"/>
      <c r="F170" s="125"/>
      <c r="G170" s="125"/>
      <c r="H170" s="125"/>
      <c r="I170" s="125"/>
      <c r="J170" s="125"/>
      <c r="K170" s="125"/>
      <c r="L170" s="125"/>
    </row>
    <row r="171" spans="2:12" s="101" customFormat="1" x14ac:dyDescent="0.2">
      <c r="B171" s="125"/>
      <c r="C171" s="125"/>
      <c r="D171" s="125"/>
      <c r="E171" s="125"/>
      <c r="F171" s="125"/>
      <c r="G171" s="125"/>
      <c r="H171" s="125"/>
      <c r="I171" s="125"/>
      <c r="J171" s="125"/>
      <c r="K171" s="125"/>
      <c r="L171" s="125"/>
    </row>
    <row r="172" spans="2:12" s="101" customFormat="1" x14ac:dyDescent="0.2">
      <c r="B172" s="125"/>
      <c r="C172" s="125"/>
      <c r="D172" s="125"/>
      <c r="E172" s="125"/>
      <c r="F172" s="125"/>
      <c r="G172" s="125"/>
      <c r="H172" s="125"/>
      <c r="I172" s="125"/>
      <c r="J172" s="125"/>
      <c r="K172" s="125"/>
      <c r="L172" s="125"/>
    </row>
    <row r="173" spans="2:12" s="101" customFormat="1" x14ac:dyDescent="0.2">
      <c r="B173" s="125"/>
      <c r="C173" s="125"/>
      <c r="D173" s="125"/>
      <c r="E173" s="125"/>
      <c r="F173" s="125"/>
      <c r="G173" s="125"/>
      <c r="H173" s="125"/>
      <c r="I173" s="125"/>
      <c r="J173" s="125"/>
      <c r="K173" s="125"/>
      <c r="L173" s="125"/>
    </row>
    <row r="174" spans="2:12" s="101" customFormat="1" x14ac:dyDescent="0.2">
      <c r="B174" s="125"/>
      <c r="C174" s="125"/>
      <c r="D174" s="125"/>
      <c r="E174" s="125"/>
      <c r="F174" s="125"/>
      <c r="G174" s="125"/>
      <c r="H174" s="125"/>
      <c r="I174" s="125"/>
      <c r="J174" s="125"/>
      <c r="K174" s="125"/>
      <c r="L174" s="125"/>
    </row>
    <row r="175" spans="2:12" s="101" customFormat="1" x14ac:dyDescent="0.2">
      <c r="B175" s="125"/>
      <c r="C175" s="125"/>
      <c r="D175" s="125"/>
      <c r="E175" s="125"/>
      <c r="F175" s="125"/>
      <c r="G175" s="125"/>
      <c r="H175" s="125"/>
      <c r="I175" s="125"/>
      <c r="J175" s="125"/>
      <c r="K175" s="125"/>
      <c r="L175" s="125"/>
    </row>
    <row r="176" spans="2:12" s="101" customFormat="1" x14ac:dyDescent="0.2">
      <c r="B176" s="125"/>
      <c r="C176" s="125"/>
      <c r="D176" s="125"/>
      <c r="E176" s="125"/>
      <c r="F176" s="125"/>
      <c r="G176" s="125"/>
      <c r="H176" s="125"/>
      <c r="I176" s="125"/>
      <c r="J176" s="125"/>
      <c r="K176" s="125"/>
      <c r="L176" s="125"/>
    </row>
    <row r="177" spans="2:12" s="101" customFormat="1" x14ac:dyDescent="0.2">
      <c r="B177" s="125"/>
      <c r="C177" s="125"/>
      <c r="D177" s="125"/>
      <c r="E177" s="125"/>
      <c r="F177" s="125"/>
      <c r="G177" s="125"/>
      <c r="H177" s="125"/>
      <c r="I177" s="125"/>
      <c r="J177" s="125"/>
      <c r="K177" s="125"/>
      <c r="L177" s="125"/>
    </row>
    <row r="178" spans="2:12" s="101" customFormat="1" x14ac:dyDescent="0.2">
      <c r="B178" s="125"/>
      <c r="C178" s="125"/>
      <c r="D178" s="125"/>
      <c r="E178" s="125"/>
      <c r="F178" s="125"/>
      <c r="G178" s="125"/>
      <c r="H178" s="125"/>
      <c r="I178" s="125"/>
      <c r="J178" s="125"/>
      <c r="K178" s="125"/>
      <c r="L178" s="125"/>
    </row>
    <row r="179" spans="2:12" s="101" customFormat="1" x14ac:dyDescent="0.2">
      <c r="B179" s="125"/>
      <c r="C179" s="125"/>
      <c r="D179" s="125"/>
      <c r="E179" s="125"/>
      <c r="F179" s="125"/>
      <c r="G179" s="125"/>
      <c r="H179" s="125"/>
      <c r="I179" s="125"/>
      <c r="J179" s="125"/>
      <c r="K179" s="125"/>
      <c r="L179" s="125"/>
    </row>
    <row r="180" spans="2:12" s="101" customFormat="1" x14ac:dyDescent="0.2">
      <c r="B180" s="125"/>
      <c r="C180" s="125"/>
      <c r="D180" s="125"/>
      <c r="E180" s="125"/>
      <c r="F180" s="125"/>
      <c r="G180" s="125"/>
      <c r="H180" s="125"/>
      <c r="I180" s="125"/>
      <c r="J180" s="125"/>
      <c r="K180" s="125"/>
      <c r="L180" s="125"/>
    </row>
  </sheetData>
  <autoFilter ref="B2:L59" xr:uid="{85B947FD-98C2-42CC-BC6A-AE5670D4F10B}"/>
  <phoneticPr fontId="8" type="noConversion"/>
  <conditionalFormatting sqref="B3:F6 G7:G10 G12:H14 B7:D16 H9:H10 G17:H18 G23:H23 G36:H37 G25:H34 G20:H20 G40:H41 G43:H59 B18:D22 B17:C17 B24:D26 B23:C23 B28:D36 B27:C27 B38:D49 B37:C37 B51:D59 B50:C50">
    <cfRule type="expression" dxfId="149" priority="77">
      <formula>AND(OR($F3="No",$F3=""), $E3= "Yes",$G3&lt;&gt;"",$H3&lt;&gt;"")</formula>
    </cfRule>
  </conditionalFormatting>
  <conditionalFormatting sqref="H7">
    <cfRule type="expression" dxfId="148" priority="76">
      <formula>AND(OR($F7="No",$F7=""), $E7= "Yes",$G7&lt;&gt;"",$H7&lt;&gt;"")</formula>
    </cfRule>
  </conditionalFormatting>
  <conditionalFormatting sqref="H8">
    <cfRule type="expression" dxfId="147" priority="75">
      <formula>AND(OR($F8="No",$F8=""), $E8= "Yes",$G8&lt;&gt;"",$H8&lt;&gt;"")</formula>
    </cfRule>
  </conditionalFormatting>
  <conditionalFormatting sqref="G3:H6">
    <cfRule type="expression" dxfId="146" priority="74">
      <formula>AND(OR($F3="No",$F3=""), $E3= "Yes",$G3&lt;&gt;"",$H3&lt;&gt;"")</formula>
    </cfRule>
  </conditionalFormatting>
  <conditionalFormatting sqref="E7:F7 E12:F14 E11 E17:F18 E23:F23 E36:F37 E25:F34 E20:F20 E40:F41 E43:F59 E42:H42">
    <cfRule type="expression" dxfId="145" priority="72">
      <formula>AND(OR($F7="No",$F7=""), $E7= "Yes",$G7&lt;&gt;"",$H7&lt;&gt;"")</formula>
    </cfRule>
    <cfRule type="expression" dxfId="144" priority="73">
      <formula>AND(OR($E7="No",$E7=""), $F7= "Yes",$G7&lt;&gt;"",$H7&lt;&gt;"")</formula>
    </cfRule>
  </conditionalFormatting>
  <conditionalFormatting sqref="E8:F10">
    <cfRule type="expression" dxfId="143" priority="70">
      <formula>AND(OR($F8="No",$F8=""), $E8= "Yes",$G8&lt;&gt;"",$H8&lt;&gt;"")</formula>
    </cfRule>
    <cfRule type="expression" dxfId="142" priority="71">
      <formula>AND(OR($E8="No",$E8=""), $F8= "Yes",$G8&lt;&gt;"",$H8&lt;&gt;"")</formula>
    </cfRule>
  </conditionalFormatting>
  <conditionalFormatting sqref="I3:M59">
    <cfRule type="expression" dxfId="141" priority="69">
      <formula>AND(OR($F4="No",$F4=""), $E3= "Yes",$G3&lt;&gt;"",$H3&lt;&gt;"")</formula>
    </cfRule>
  </conditionalFormatting>
  <conditionalFormatting sqref="G11:H11">
    <cfRule type="expression" dxfId="140" priority="56">
      <formula>AND(OR($F11="No",$F11=""), $E11= "Yes",$G11&lt;&gt;"",$H11&lt;&gt;"")</formula>
    </cfRule>
  </conditionalFormatting>
  <conditionalFormatting sqref="F11">
    <cfRule type="expression" dxfId="139" priority="54">
      <formula>AND(OR($F11="No",$F11=""), $E11= "Yes",$G11&lt;&gt;"",$H11&lt;&gt;"")</formula>
    </cfRule>
    <cfRule type="expression" dxfId="138" priority="55">
      <formula>AND(OR($E11="No",$E11=""), $F11= "Yes",$G11&lt;&gt;"",$H11&lt;&gt;"")</formula>
    </cfRule>
  </conditionalFormatting>
  <conditionalFormatting sqref="G16:H16">
    <cfRule type="expression" dxfId="137" priority="53">
      <formula>AND(OR($F16="No",$F16=""), $E16= "Yes",$G16&lt;&gt;"",$H16&lt;&gt;"")</formula>
    </cfRule>
  </conditionalFormatting>
  <conditionalFormatting sqref="E16:F16">
    <cfRule type="expression" dxfId="136" priority="51">
      <formula>AND(OR($F16="No",$F16=""), $E16= "Yes",$G16&lt;&gt;"",$H16&lt;&gt;"")</formula>
    </cfRule>
    <cfRule type="expression" dxfId="135" priority="52">
      <formula>AND(OR($E16="No",$E16=""), $F16= "Yes",$G16&lt;&gt;"",$H16&lt;&gt;"")</formula>
    </cfRule>
  </conditionalFormatting>
  <conditionalFormatting sqref="G15:H15">
    <cfRule type="expression" dxfId="134" priority="50">
      <formula>AND(OR($F15="No",$F15=""), $E15= "Yes",$G15&lt;&gt;"",$H15&lt;&gt;"")</formula>
    </cfRule>
  </conditionalFormatting>
  <conditionalFormatting sqref="E15:F15">
    <cfRule type="expression" dxfId="133" priority="48">
      <formula>AND(OR($F15="No",$F15=""), $E15= "Yes",$G15&lt;&gt;"",$H15&lt;&gt;"")</formula>
    </cfRule>
    <cfRule type="expression" dxfId="132" priority="49">
      <formula>AND(OR($E15="No",$E15=""), $F15= "Yes",$G15&lt;&gt;"",$H15&lt;&gt;"")</formula>
    </cfRule>
  </conditionalFormatting>
  <conditionalFormatting sqref="G22:H22">
    <cfRule type="expression" dxfId="131" priority="47">
      <formula>AND(OR($F22="No",$F22=""), $E22= "Yes",$G22&lt;&gt;"",$H22&lt;&gt;"")</formula>
    </cfRule>
  </conditionalFormatting>
  <conditionalFormatting sqref="E22:F22">
    <cfRule type="expression" dxfId="130" priority="45">
      <formula>AND(OR($F22="No",$F22=""), $E22= "Yes",$G22&lt;&gt;"",$H22&lt;&gt;"")</formula>
    </cfRule>
    <cfRule type="expression" dxfId="129" priority="46">
      <formula>AND(OR($E22="No",$E22=""), $F22= "Yes",$G22&lt;&gt;"",$H22&lt;&gt;"")</formula>
    </cfRule>
  </conditionalFormatting>
  <conditionalFormatting sqref="G35:H35">
    <cfRule type="expression" dxfId="128" priority="38">
      <formula>AND(OR($F35="No",$F35=""), $E35= "Yes",$G35&lt;&gt;"",$H35&lt;&gt;"")</formula>
    </cfRule>
  </conditionalFormatting>
  <conditionalFormatting sqref="E35:F35">
    <cfRule type="expression" dxfId="127" priority="36">
      <formula>AND(OR($F35="No",$F35=""), $E35= "Yes",$G35&lt;&gt;"",$H35&lt;&gt;"")</formula>
    </cfRule>
    <cfRule type="expression" dxfId="126" priority="37">
      <formula>AND(OR($E35="No",$E35=""), $F35= "Yes",$G35&lt;&gt;"",$H35&lt;&gt;"")</formula>
    </cfRule>
  </conditionalFormatting>
  <conditionalFormatting sqref="G21:H21">
    <cfRule type="expression" dxfId="125" priority="25">
      <formula>AND(OR($F21="No",$F21=""), $E21= "Yes",$G21&lt;&gt;"",$H21&lt;&gt;"")</formula>
    </cfRule>
  </conditionalFormatting>
  <conditionalFormatting sqref="E21:F21">
    <cfRule type="expression" dxfId="124" priority="23">
      <formula>AND(OR($F21="No",$F21=""), $E21= "Yes",$G21&lt;&gt;"",$H21&lt;&gt;"")</formula>
    </cfRule>
    <cfRule type="expression" dxfId="123" priority="24">
      <formula>AND(OR($E21="No",$E21=""), $F21= "Yes",$G21&lt;&gt;"",$H21&lt;&gt;"")</formula>
    </cfRule>
  </conditionalFormatting>
  <conditionalFormatting sqref="G19:H19">
    <cfRule type="expression" dxfId="122" priority="22">
      <formula>AND(OR($F19="No",$F19=""), $E19= "Yes",$G19&lt;&gt;"",$H19&lt;&gt;"")</formula>
    </cfRule>
  </conditionalFormatting>
  <conditionalFormatting sqref="E19:F19">
    <cfRule type="expression" dxfId="121" priority="20">
      <formula>AND(OR($F19="No",$F19=""), $E19= "Yes",$G19&lt;&gt;"",$H19&lt;&gt;"")</formula>
    </cfRule>
    <cfRule type="expression" dxfId="120" priority="21">
      <formula>AND(OR($E19="No",$E19=""), $F19= "Yes",$G19&lt;&gt;"",$H19&lt;&gt;"")</formula>
    </cfRule>
  </conditionalFormatting>
  <conditionalFormatting sqref="G24:H24">
    <cfRule type="expression" dxfId="119" priority="19">
      <formula>AND(OR($F24="No",$F24=""), $E24= "Yes",$G24&lt;&gt;"",$H24&lt;&gt;"")</formula>
    </cfRule>
  </conditionalFormatting>
  <conditionalFormatting sqref="E24:F24">
    <cfRule type="expression" dxfId="118" priority="17">
      <formula>AND(OR($F24="No",$F24=""), $E24= "Yes",$G24&lt;&gt;"",$H24&lt;&gt;"")</formula>
    </cfRule>
    <cfRule type="expression" dxfId="117" priority="18">
      <formula>AND(OR($E24="No",$E24=""), $F24= "Yes",$G24&lt;&gt;"",$H24&lt;&gt;"")</formula>
    </cfRule>
  </conditionalFormatting>
  <conditionalFormatting sqref="G39:H39">
    <cfRule type="expression" dxfId="116" priority="16">
      <formula>AND(OR($F39="No",$F39=""), $E39= "Yes",$G39&lt;&gt;"",$H39&lt;&gt;"")</formula>
    </cfRule>
  </conditionalFormatting>
  <conditionalFormatting sqref="E39:F39">
    <cfRule type="expression" dxfId="115" priority="14">
      <formula>AND(OR($F39="No",$F39=""), $E39= "Yes",$G39&lt;&gt;"",$H39&lt;&gt;"")</formula>
    </cfRule>
    <cfRule type="expression" dxfId="114" priority="15">
      <formula>AND(OR($E39="No",$E39=""), $F39= "Yes",$G39&lt;&gt;"",$H39&lt;&gt;"")</formula>
    </cfRule>
  </conditionalFormatting>
  <conditionalFormatting sqref="G38:H38">
    <cfRule type="expression" dxfId="113" priority="13">
      <formula>AND(OR($F38="No",$F38=""), $E38= "Yes",$G38&lt;&gt;"",$H38&lt;&gt;"")</formula>
    </cfRule>
  </conditionalFormatting>
  <conditionalFormatting sqref="E38:F38">
    <cfRule type="expression" dxfId="112" priority="11">
      <formula>AND(OR($F38="No",$F38=""), $E38= "Yes",$G38&lt;&gt;"",$H38&lt;&gt;"")</formula>
    </cfRule>
    <cfRule type="expression" dxfId="111" priority="12">
      <formula>AND(OR($E38="No",$E38=""), $F38= "Yes",$G38&lt;&gt;"",$H38&lt;&gt;"")</formula>
    </cfRule>
  </conditionalFormatting>
  <conditionalFormatting sqref="A2">
    <cfRule type="expression" dxfId="110" priority="9">
      <formula>AND(OR(#REF!="No",#REF!=""), #REF!= "Yes",#REF!&lt;&gt;"",#REF!&lt;&gt;"")</formula>
    </cfRule>
    <cfRule type="expression" dxfId="109" priority="10">
      <formula>AND(OR(#REF!="No",#REF!=""), #REF!= "Yes",#REF!&lt;&gt;"",#REF!&lt;&gt;"")</formula>
    </cfRule>
  </conditionalFormatting>
  <conditionalFormatting sqref="N3:O13 N59:O59 N15:O57">
    <cfRule type="expression" dxfId="108" priority="8">
      <formula>AND(OR($F3="No",$F3=""), $E3= "Yes",$G3&lt;&gt;"",$H3&lt;&gt;"")</formula>
    </cfRule>
  </conditionalFormatting>
  <conditionalFormatting sqref="N58:O58">
    <cfRule type="expression" dxfId="107" priority="7">
      <formula>AND(OR($E58="No",$E58=""), $D58= "Yes",$F58&lt;&gt;"",$G58&lt;&gt;"")</formula>
    </cfRule>
  </conditionalFormatting>
  <conditionalFormatting sqref="N14:O14">
    <cfRule type="expression" dxfId="106" priority="6">
      <formula>AND(OR($F14="No",$F14=""), $E14= "Yes",$G14&lt;&gt;"",$H14&lt;&gt;"")</formula>
    </cfRule>
  </conditionalFormatting>
  <conditionalFormatting sqref="D17">
    <cfRule type="expression" dxfId="105" priority="5">
      <formula>AND(OR($F17="No",$F17=""), $E17= "Yes",$G17&lt;&gt;"",$H17&lt;&gt;"")</formula>
    </cfRule>
  </conditionalFormatting>
  <conditionalFormatting sqref="D23">
    <cfRule type="expression" dxfId="104" priority="4">
      <formula>AND(OR($F23="No",$F23=""), $E23= "Yes",$G23&lt;&gt;"",$H23&lt;&gt;"")</formula>
    </cfRule>
  </conditionalFormatting>
  <conditionalFormatting sqref="D27">
    <cfRule type="expression" dxfId="103" priority="3">
      <formula>AND(OR($F27="No",$F27=""), $E27= "Yes",$G27&lt;&gt;"",$H27&lt;&gt;"")</formula>
    </cfRule>
  </conditionalFormatting>
  <conditionalFormatting sqref="D37">
    <cfRule type="expression" dxfId="102" priority="2">
      <formula>AND(OR($F37="No",$F37=""), $E37= "Yes",$G37&lt;&gt;"",$H37&lt;&gt;"")</formula>
    </cfRule>
  </conditionalFormatting>
  <conditionalFormatting sqref="D50">
    <cfRule type="expression" dxfId="101" priority="1">
      <formula>AND(OR($F50="No",$F50=""), $E50= "Yes",$G50&lt;&gt;"",$H50&lt;&gt;"")</formula>
    </cfRule>
  </conditionalFormatting>
  <dataValidations count="2">
    <dataValidation type="list" allowBlank="1" showInputMessage="1" showErrorMessage="1" sqref="B3:B43" xr:uid="{D23CC8F3-4F5A-4351-A0F2-A35F28562222}">
      <formula1>"Phase 1, Phase 2, Phase 3, Phase 4, "</formula1>
    </dataValidation>
    <dataValidation type="list" allowBlank="1" showInputMessage="1" showErrorMessage="1" sqref="E3:E6 E7:F41 E43:F59" xr:uid="{683EDFB9-D5FF-4226-A0F9-B0D32E5CEB84}">
      <formula1>"Yes, No"</formula1>
    </dataValidation>
  </dataValidations>
  <pageMargins left="0.7" right="0.7" top="0.75" bottom="0.75" header="0.3" footer="0.3"/>
  <pageSetup paperSize="9" scale="40"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C406C-4D90-4E19-84BD-6ED882AB24B3}">
  <sheetPr codeName="Sheet4"/>
  <dimension ref="A1:BT180"/>
  <sheetViews>
    <sheetView showWhiteSpace="0" zoomScale="60" zoomScaleNormal="60" workbookViewId="0">
      <pane ySplit="2" topLeftCell="A3" activePane="bottomLeft" state="frozen"/>
      <selection pane="bottomLeft" activeCell="G146" sqref="G146"/>
    </sheetView>
  </sheetViews>
  <sheetFormatPr defaultColWidth="8.88671875" defaultRowHeight="15" x14ac:dyDescent="0.2"/>
  <cols>
    <col min="1" max="1" width="8.88671875" style="3" customWidth="1"/>
    <col min="2" max="2" width="7.77734375" style="22" customWidth="1"/>
    <col min="3" max="3" width="60.77734375" style="22" customWidth="1"/>
    <col min="4" max="4" width="38.77734375" style="22" customWidth="1"/>
    <col min="5" max="5" width="8" style="22" customWidth="1"/>
    <col min="6" max="6" width="7.5546875" style="22" customWidth="1"/>
    <col min="7" max="7" width="38.77734375" style="22" customWidth="1"/>
    <col min="8" max="8" width="14.77734375" style="22" customWidth="1"/>
    <col min="9" max="10" width="10.33203125" style="22" customWidth="1"/>
    <col min="11" max="11" width="10.77734375" style="22" customWidth="1"/>
    <col min="12" max="12" width="16.109375" style="22" customWidth="1"/>
    <col min="13" max="13" width="8.88671875" style="3" customWidth="1"/>
    <col min="14" max="14" width="10.21875" style="3" customWidth="1"/>
    <col min="15" max="17" width="8.88671875" style="3" customWidth="1"/>
    <col min="18" max="16384" width="8.88671875" style="3"/>
  </cols>
  <sheetData>
    <row r="1" spans="1:72" ht="21" customHeight="1" thickBot="1" x14ac:dyDescent="0.25">
      <c r="B1" s="88" t="s">
        <v>44</v>
      </c>
      <c r="C1" s="62" t="s">
        <v>775</v>
      </c>
      <c r="D1" s="23"/>
      <c r="E1" s="23"/>
      <c r="F1" s="23"/>
      <c r="G1" s="23"/>
      <c r="H1" s="23"/>
      <c r="I1" s="23"/>
      <c r="J1" s="23"/>
      <c r="L1" s="23"/>
    </row>
    <row r="2" spans="1:72" s="10" customFormat="1" ht="87.95" customHeight="1" thickBot="1" x14ac:dyDescent="0.25">
      <c r="A2" s="50" t="s">
        <v>38</v>
      </c>
      <c r="B2" s="64" t="s">
        <v>39</v>
      </c>
      <c r="C2" s="65" t="s">
        <v>40</v>
      </c>
      <c r="D2" s="66" t="s">
        <v>41</v>
      </c>
      <c r="E2" s="67" t="s">
        <v>24</v>
      </c>
      <c r="F2" s="67" t="s">
        <v>20</v>
      </c>
      <c r="G2" s="68" t="s">
        <v>42</v>
      </c>
      <c r="H2" s="68" t="s">
        <v>43</v>
      </c>
      <c r="I2" s="63" t="s">
        <v>46</v>
      </c>
      <c r="J2" s="63" t="s">
        <v>47</v>
      </c>
      <c r="K2" s="63" t="s">
        <v>48</v>
      </c>
      <c r="L2" s="63" t="s">
        <v>49</v>
      </c>
      <c r="M2" s="63" t="s">
        <v>50</v>
      </c>
      <c r="N2" s="63" t="s">
        <v>51</v>
      </c>
      <c r="O2" s="63" t="s">
        <v>52</v>
      </c>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row>
    <row r="3" spans="1:72" s="101" customFormat="1" ht="54" customHeight="1" thickTop="1" thickBot="1" x14ac:dyDescent="0.25">
      <c r="A3" s="72"/>
      <c r="B3" s="92" t="s">
        <v>11</v>
      </c>
      <c r="C3" s="93" t="s">
        <v>53</v>
      </c>
      <c r="D3" s="93" t="s">
        <v>54</v>
      </c>
      <c r="E3" s="94" t="s">
        <v>12</v>
      </c>
      <c r="F3" s="94" t="s">
        <v>22</v>
      </c>
      <c r="G3" s="93" t="s">
        <v>55</v>
      </c>
      <c r="H3" s="95" t="s">
        <v>55</v>
      </c>
      <c r="I3" s="94" t="s">
        <v>56</v>
      </c>
      <c r="J3" s="94" t="s">
        <v>57</v>
      </c>
      <c r="K3" s="94">
        <v>0</v>
      </c>
      <c r="L3" s="94" t="s">
        <v>58</v>
      </c>
      <c r="M3" s="94" t="s">
        <v>59</v>
      </c>
      <c r="N3" s="93">
        <v>1</v>
      </c>
      <c r="O3" s="96">
        <v>5.2083333333333333E-4</v>
      </c>
    </row>
    <row r="4" spans="1:72" s="101" customFormat="1" ht="54" customHeight="1" thickTop="1" thickBot="1" x14ac:dyDescent="0.25">
      <c r="A4" s="72"/>
      <c r="B4" s="73" t="s">
        <v>11</v>
      </c>
      <c r="C4" s="89" t="s">
        <v>60</v>
      </c>
      <c r="D4" s="74" t="s">
        <v>61</v>
      </c>
      <c r="E4" s="75" t="s">
        <v>12</v>
      </c>
      <c r="F4" s="75" t="s">
        <v>22</v>
      </c>
      <c r="G4" s="74" t="s">
        <v>55</v>
      </c>
      <c r="H4" s="85" t="s">
        <v>55</v>
      </c>
      <c r="I4" s="94" t="s">
        <v>56</v>
      </c>
      <c r="J4" s="94" t="s">
        <v>57</v>
      </c>
      <c r="K4" s="94">
        <v>0</v>
      </c>
      <c r="L4" s="94" t="s">
        <v>62</v>
      </c>
      <c r="M4" s="94" t="s">
        <v>63</v>
      </c>
      <c r="N4" s="74">
        <v>1</v>
      </c>
      <c r="O4" s="77">
        <v>3.4722222222222224E-4</v>
      </c>
    </row>
    <row r="5" spans="1:72" s="101" customFormat="1" ht="54" customHeight="1" thickTop="1" thickBot="1" x14ac:dyDescent="0.25">
      <c r="A5" s="72"/>
      <c r="B5" s="73" t="s">
        <v>11</v>
      </c>
      <c r="C5" s="74" t="s">
        <v>64</v>
      </c>
      <c r="D5" s="74" t="s">
        <v>61</v>
      </c>
      <c r="E5" s="75" t="s">
        <v>12</v>
      </c>
      <c r="F5" s="75" t="s">
        <v>22</v>
      </c>
      <c r="G5" s="74" t="s">
        <v>55</v>
      </c>
      <c r="H5" s="85" t="s">
        <v>55</v>
      </c>
      <c r="I5" s="94" t="s">
        <v>56</v>
      </c>
      <c r="J5" s="94" t="s">
        <v>57</v>
      </c>
      <c r="K5" s="94">
        <v>0</v>
      </c>
      <c r="L5" s="94" t="s">
        <v>62</v>
      </c>
      <c r="M5" s="94" t="s">
        <v>63</v>
      </c>
      <c r="N5" s="74">
        <v>1</v>
      </c>
      <c r="O5" s="77">
        <v>3.4722222222222224E-4</v>
      </c>
    </row>
    <row r="6" spans="1:72" s="101" customFormat="1" ht="54" customHeight="1" thickTop="1" thickBot="1" x14ac:dyDescent="0.25">
      <c r="A6" s="72"/>
      <c r="B6" s="73" t="s">
        <v>11</v>
      </c>
      <c r="C6" s="74" t="s">
        <v>65</v>
      </c>
      <c r="D6" s="74" t="s">
        <v>66</v>
      </c>
      <c r="E6" s="75" t="s">
        <v>12</v>
      </c>
      <c r="F6" s="75" t="s">
        <v>22</v>
      </c>
      <c r="G6" s="74" t="s">
        <v>55</v>
      </c>
      <c r="H6" s="85" t="s">
        <v>55</v>
      </c>
      <c r="I6" s="94" t="s">
        <v>56</v>
      </c>
      <c r="J6" s="94" t="s">
        <v>57</v>
      </c>
      <c r="K6" s="94">
        <v>0</v>
      </c>
      <c r="L6" s="94" t="s">
        <v>62</v>
      </c>
      <c r="M6" s="94" t="s">
        <v>63</v>
      </c>
      <c r="N6" s="74">
        <v>1</v>
      </c>
      <c r="O6" s="77">
        <v>1.3888888888888889E-3</v>
      </c>
    </row>
    <row r="7" spans="1:72" s="101" customFormat="1" ht="54" customHeight="1" thickTop="1" thickBot="1" x14ac:dyDescent="0.25">
      <c r="A7" s="72"/>
      <c r="B7" s="73" t="s">
        <v>11</v>
      </c>
      <c r="C7" s="74" t="s">
        <v>67</v>
      </c>
      <c r="D7" s="74" t="s">
        <v>68</v>
      </c>
      <c r="E7" s="75" t="s">
        <v>12</v>
      </c>
      <c r="F7" s="75" t="s">
        <v>22</v>
      </c>
      <c r="G7" s="74" t="s">
        <v>55</v>
      </c>
      <c r="H7" s="85" t="s">
        <v>55</v>
      </c>
      <c r="I7" s="94" t="s">
        <v>56</v>
      </c>
      <c r="J7" s="94" t="s">
        <v>57</v>
      </c>
      <c r="K7" s="94">
        <v>0</v>
      </c>
      <c r="L7" s="94" t="s">
        <v>69</v>
      </c>
      <c r="M7" s="94" t="s">
        <v>70</v>
      </c>
      <c r="N7" s="74">
        <v>1</v>
      </c>
      <c r="O7" s="77">
        <v>1.2152777777777778E-3</v>
      </c>
    </row>
    <row r="8" spans="1:72" s="101" customFormat="1" ht="54" customHeight="1" thickTop="1" thickBot="1" x14ac:dyDescent="0.25">
      <c r="A8" s="72"/>
      <c r="B8" s="73" t="s">
        <v>11</v>
      </c>
      <c r="C8" s="74" t="s">
        <v>71</v>
      </c>
      <c r="D8" s="74" t="s">
        <v>72</v>
      </c>
      <c r="E8" s="75" t="s">
        <v>12</v>
      </c>
      <c r="F8" s="75" t="s">
        <v>22</v>
      </c>
      <c r="G8" s="74" t="s">
        <v>55</v>
      </c>
      <c r="H8" s="85" t="s">
        <v>55</v>
      </c>
      <c r="I8" s="94" t="s">
        <v>56</v>
      </c>
      <c r="J8" s="94" t="s">
        <v>57</v>
      </c>
      <c r="K8" s="94">
        <v>0</v>
      </c>
      <c r="L8" s="94" t="s">
        <v>69</v>
      </c>
      <c r="M8" s="94" t="s">
        <v>70</v>
      </c>
      <c r="N8" s="74">
        <v>1</v>
      </c>
      <c r="O8" s="77">
        <v>3.4722222222222224E-4</v>
      </c>
    </row>
    <row r="9" spans="1:72" s="101" customFormat="1" ht="54" customHeight="1" thickTop="1" thickBot="1" x14ac:dyDescent="0.25">
      <c r="A9" s="72"/>
      <c r="B9" s="73" t="s">
        <v>11</v>
      </c>
      <c r="C9" s="74" t="s">
        <v>73</v>
      </c>
      <c r="D9" s="74" t="s">
        <v>74</v>
      </c>
      <c r="E9" s="75" t="s">
        <v>12</v>
      </c>
      <c r="F9" s="75" t="s">
        <v>22</v>
      </c>
      <c r="G9" s="74" t="s">
        <v>776</v>
      </c>
      <c r="H9" s="85">
        <v>45676</v>
      </c>
      <c r="I9" s="94" t="s">
        <v>56</v>
      </c>
      <c r="J9" s="94" t="s">
        <v>57</v>
      </c>
      <c r="K9" s="94">
        <v>0</v>
      </c>
      <c r="L9" s="94" t="s">
        <v>75</v>
      </c>
      <c r="M9" s="94" t="s">
        <v>59</v>
      </c>
      <c r="N9" s="74">
        <v>2</v>
      </c>
      <c r="O9" s="77">
        <v>3.4722222222222224E-4</v>
      </c>
    </row>
    <row r="10" spans="1:72" s="101" customFormat="1" ht="54" customHeight="1" thickTop="1" thickBot="1" x14ac:dyDescent="0.25">
      <c r="A10" s="72"/>
      <c r="B10" s="73" t="s">
        <v>11</v>
      </c>
      <c r="C10" s="74" t="s">
        <v>76</v>
      </c>
      <c r="D10" s="74" t="s">
        <v>77</v>
      </c>
      <c r="E10" s="75" t="s">
        <v>12</v>
      </c>
      <c r="F10" s="75" t="s">
        <v>22</v>
      </c>
      <c r="G10" s="74" t="s">
        <v>55</v>
      </c>
      <c r="H10" s="85" t="s">
        <v>55</v>
      </c>
      <c r="I10" s="94" t="s">
        <v>56</v>
      </c>
      <c r="J10" s="94" t="s">
        <v>57</v>
      </c>
      <c r="K10" s="94">
        <v>0</v>
      </c>
      <c r="L10" s="94" t="s">
        <v>78</v>
      </c>
      <c r="M10" s="94" t="s">
        <v>59</v>
      </c>
      <c r="N10" s="74">
        <v>1</v>
      </c>
      <c r="O10" s="77">
        <v>1.3888888888888889E-3</v>
      </c>
    </row>
    <row r="11" spans="1:72" s="101" customFormat="1" ht="54" customHeight="1" thickTop="1" thickBot="1" x14ac:dyDescent="0.25">
      <c r="A11" s="72"/>
      <c r="B11" s="73" t="s">
        <v>11</v>
      </c>
      <c r="C11" s="74" t="s">
        <v>79</v>
      </c>
      <c r="D11" s="74" t="s">
        <v>80</v>
      </c>
      <c r="E11" s="75" t="s">
        <v>12</v>
      </c>
      <c r="F11" s="75" t="s">
        <v>22</v>
      </c>
      <c r="G11" s="74" t="s">
        <v>55</v>
      </c>
      <c r="H11" s="85" t="s">
        <v>55</v>
      </c>
      <c r="I11" s="94" t="s">
        <v>56</v>
      </c>
      <c r="J11" s="94" t="s">
        <v>57</v>
      </c>
      <c r="K11" s="94">
        <v>0</v>
      </c>
      <c r="L11" s="94" t="s">
        <v>81</v>
      </c>
      <c r="M11" s="94" t="s">
        <v>59</v>
      </c>
      <c r="N11" s="74">
        <v>1</v>
      </c>
      <c r="O11" s="77">
        <v>3.4722222222222224E-4</v>
      </c>
    </row>
    <row r="12" spans="1:72" s="101" customFormat="1" ht="54" customHeight="1" thickTop="1" thickBot="1" x14ac:dyDescent="0.25">
      <c r="A12" s="72"/>
      <c r="B12" s="73" t="s">
        <v>11</v>
      </c>
      <c r="C12" s="74" t="s">
        <v>82</v>
      </c>
      <c r="D12" s="74" t="s">
        <v>83</v>
      </c>
      <c r="E12" s="75" t="s">
        <v>12</v>
      </c>
      <c r="F12" s="75" t="s">
        <v>22</v>
      </c>
      <c r="G12" s="74" t="s">
        <v>55</v>
      </c>
      <c r="H12" s="85" t="s">
        <v>55</v>
      </c>
      <c r="I12" s="94" t="s">
        <v>84</v>
      </c>
      <c r="J12" s="94" t="s">
        <v>57</v>
      </c>
      <c r="K12" s="94">
        <v>0</v>
      </c>
      <c r="L12" s="94" t="s">
        <v>85</v>
      </c>
      <c r="M12" s="94" t="s">
        <v>807</v>
      </c>
      <c r="N12" s="74">
        <v>1</v>
      </c>
      <c r="O12" s="77">
        <v>3.4722222222222224E-4</v>
      </c>
    </row>
    <row r="13" spans="1:72" s="101" customFormat="1" ht="54" customHeight="1" thickTop="1" thickBot="1" x14ac:dyDescent="0.25">
      <c r="A13" s="72"/>
      <c r="B13" s="73" t="s">
        <v>11</v>
      </c>
      <c r="C13" s="74" t="s">
        <v>86</v>
      </c>
      <c r="D13" s="74" t="s">
        <v>87</v>
      </c>
      <c r="E13" s="75" t="s">
        <v>12</v>
      </c>
      <c r="F13" s="75" t="s">
        <v>22</v>
      </c>
      <c r="G13" s="74" t="s">
        <v>55</v>
      </c>
      <c r="H13" s="85" t="s">
        <v>55</v>
      </c>
      <c r="I13" s="94" t="s">
        <v>56</v>
      </c>
      <c r="J13" s="94" t="s">
        <v>57</v>
      </c>
      <c r="K13" s="94">
        <v>0</v>
      </c>
      <c r="L13" s="94" t="s">
        <v>88</v>
      </c>
      <c r="M13" s="94" t="s">
        <v>59</v>
      </c>
      <c r="N13" s="74">
        <v>1</v>
      </c>
      <c r="O13" s="77">
        <v>1.3888888888888889E-3</v>
      </c>
    </row>
    <row r="14" spans="1:72" s="101" customFormat="1" ht="54" customHeight="1" thickTop="1" thickBot="1" x14ac:dyDescent="0.25">
      <c r="A14" s="72"/>
      <c r="B14" s="73" t="s">
        <v>11</v>
      </c>
      <c r="C14" s="74" t="s">
        <v>89</v>
      </c>
      <c r="D14" s="74" t="s">
        <v>90</v>
      </c>
      <c r="E14" s="75" t="s">
        <v>12</v>
      </c>
      <c r="F14" s="75" t="s">
        <v>22</v>
      </c>
      <c r="G14" s="74" t="s">
        <v>55</v>
      </c>
      <c r="H14" s="85" t="s">
        <v>55</v>
      </c>
      <c r="I14" s="94" t="s">
        <v>56</v>
      </c>
      <c r="J14" s="94" t="s">
        <v>57</v>
      </c>
      <c r="K14" s="94">
        <v>0</v>
      </c>
      <c r="L14" s="94" t="s">
        <v>88</v>
      </c>
      <c r="M14" s="94" t="s">
        <v>59</v>
      </c>
      <c r="N14" s="74">
        <v>1</v>
      </c>
      <c r="O14" s="77">
        <v>1.3888888888888889E-3</v>
      </c>
    </row>
    <row r="15" spans="1:72" s="101" customFormat="1" ht="54" customHeight="1" thickTop="1" thickBot="1" x14ac:dyDescent="0.25">
      <c r="A15" s="72"/>
      <c r="B15" s="73" t="s">
        <v>11</v>
      </c>
      <c r="C15" s="74" t="s">
        <v>91</v>
      </c>
      <c r="D15" s="74" t="s">
        <v>92</v>
      </c>
      <c r="E15" s="75" t="s">
        <v>12</v>
      </c>
      <c r="F15" s="75" t="s">
        <v>22</v>
      </c>
      <c r="G15" s="74" t="s">
        <v>55</v>
      </c>
      <c r="H15" s="85" t="s">
        <v>55</v>
      </c>
      <c r="I15" s="94" t="s">
        <v>56</v>
      </c>
      <c r="J15" s="94" t="s">
        <v>57</v>
      </c>
      <c r="K15" s="94">
        <v>0</v>
      </c>
      <c r="L15" s="94" t="s">
        <v>93</v>
      </c>
      <c r="M15" s="94" t="s">
        <v>59</v>
      </c>
      <c r="N15" s="74">
        <v>1</v>
      </c>
      <c r="O15" s="77">
        <v>5.2083333333333333E-4</v>
      </c>
    </row>
    <row r="16" spans="1:72" s="101" customFormat="1" ht="54" customHeight="1" thickTop="1" thickBot="1" x14ac:dyDescent="0.25">
      <c r="A16" s="72"/>
      <c r="B16" s="73" t="s">
        <v>11</v>
      </c>
      <c r="C16" s="74" t="s">
        <v>94</v>
      </c>
      <c r="D16" s="74" t="s">
        <v>95</v>
      </c>
      <c r="E16" s="75" t="s">
        <v>12</v>
      </c>
      <c r="F16" s="75" t="s">
        <v>22</v>
      </c>
      <c r="G16" s="74" t="s">
        <v>55</v>
      </c>
      <c r="H16" s="85" t="s">
        <v>55</v>
      </c>
      <c r="I16" s="94" t="s">
        <v>56</v>
      </c>
      <c r="J16" s="94" t="s">
        <v>57</v>
      </c>
      <c r="K16" s="94">
        <v>0</v>
      </c>
      <c r="L16" s="94" t="s">
        <v>93</v>
      </c>
      <c r="M16" s="94" t="s">
        <v>59</v>
      </c>
      <c r="N16" s="74">
        <v>1</v>
      </c>
      <c r="O16" s="77">
        <v>5.2083333333333333E-4</v>
      </c>
    </row>
    <row r="17" spans="1:15" s="101" customFormat="1" ht="54" customHeight="1" thickTop="1" thickBot="1" x14ac:dyDescent="0.25">
      <c r="A17" s="72"/>
      <c r="B17" s="73" t="s">
        <v>11</v>
      </c>
      <c r="C17" s="74" t="s">
        <v>96</v>
      </c>
      <c r="D17" s="74" t="s">
        <v>97</v>
      </c>
      <c r="E17" s="75" t="s">
        <v>12</v>
      </c>
      <c r="F17" s="75" t="s">
        <v>22</v>
      </c>
      <c r="G17" s="74" t="s">
        <v>55</v>
      </c>
      <c r="H17" s="85" t="s">
        <v>55</v>
      </c>
      <c r="I17" s="94" t="s">
        <v>56</v>
      </c>
      <c r="J17" s="94" t="s">
        <v>57</v>
      </c>
      <c r="K17" s="94">
        <v>0</v>
      </c>
      <c r="L17" s="94" t="s">
        <v>93</v>
      </c>
      <c r="M17" s="94" t="s">
        <v>59</v>
      </c>
      <c r="N17" s="74">
        <v>1</v>
      </c>
      <c r="O17" s="77">
        <v>3.4722222222222224E-4</v>
      </c>
    </row>
    <row r="18" spans="1:15" s="101" customFormat="1" ht="54" customHeight="1" thickTop="1" thickBot="1" x14ac:dyDescent="0.25">
      <c r="A18" s="72"/>
      <c r="B18" s="73" t="s">
        <v>11</v>
      </c>
      <c r="C18" s="74" t="s">
        <v>98</v>
      </c>
      <c r="D18" s="74" t="s">
        <v>99</v>
      </c>
      <c r="E18" s="75" t="s">
        <v>12</v>
      </c>
      <c r="F18" s="75" t="s">
        <v>22</v>
      </c>
      <c r="G18" s="74" t="s">
        <v>55</v>
      </c>
      <c r="H18" s="85" t="s">
        <v>55</v>
      </c>
      <c r="I18" s="94" t="s">
        <v>84</v>
      </c>
      <c r="J18" s="94" t="s">
        <v>57</v>
      </c>
      <c r="K18" s="94">
        <v>0</v>
      </c>
      <c r="L18" s="94" t="s">
        <v>100</v>
      </c>
      <c r="M18" s="94" t="s">
        <v>101</v>
      </c>
      <c r="N18" s="74">
        <v>1</v>
      </c>
      <c r="O18" s="77">
        <v>6.9444444444444447E-4</v>
      </c>
    </row>
    <row r="19" spans="1:15" s="101" customFormat="1" ht="54" customHeight="1" thickTop="1" thickBot="1" x14ac:dyDescent="0.25">
      <c r="A19" s="72"/>
      <c r="B19" s="73" t="s">
        <v>11</v>
      </c>
      <c r="C19" s="74" t="s">
        <v>102</v>
      </c>
      <c r="D19" s="74" t="s">
        <v>103</v>
      </c>
      <c r="E19" s="75" t="s">
        <v>12</v>
      </c>
      <c r="F19" s="75" t="s">
        <v>22</v>
      </c>
      <c r="G19" s="74" t="s">
        <v>55</v>
      </c>
      <c r="H19" s="85" t="s">
        <v>55</v>
      </c>
      <c r="I19" s="94" t="s">
        <v>84</v>
      </c>
      <c r="J19" s="94" t="s">
        <v>57</v>
      </c>
      <c r="K19" s="94">
        <v>0</v>
      </c>
      <c r="L19" s="94" t="s">
        <v>104</v>
      </c>
      <c r="M19" s="94" t="s">
        <v>101</v>
      </c>
      <c r="N19" s="74">
        <v>1</v>
      </c>
      <c r="O19" s="77">
        <v>6.9444444444444447E-4</v>
      </c>
    </row>
    <row r="20" spans="1:15" s="101" customFormat="1" ht="54" customHeight="1" thickTop="1" thickBot="1" x14ac:dyDescent="0.25">
      <c r="A20" s="72"/>
      <c r="B20" s="73" t="s">
        <v>11</v>
      </c>
      <c r="C20" s="74" t="s">
        <v>105</v>
      </c>
      <c r="D20" s="74" t="s">
        <v>106</v>
      </c>
      <c r="E20" s="75" t="s">
        <v>12</v>
      </c>
      <c r="F20" s="75" t="s">
        <v>22</v>
      </c>
      <c r="G20" s="90" t="s">
        <v>55</v>
      </c>
      <c r="H20" s="91" t="s">
        <v>55</v>
      </c>
      <c r="I20" s="94" t="s">
        <v>56</v>
      </c>
      <c r="J20" s="94" t="s">
        <v>57</v>
      </c>
      <c r="K20" s="94">
        <v>0</v>
      </c>
      <c r="L20" s="94">
        <v>0</v>
      </c>
      <c r="M20" s="94" t="s">
        <v>59</v>
      </c>
      <c r="N20" s="74">
        <v>2</v>
      </c>
      <c r="O20" s="77">
        <v>5.2083333333333333E-4</v>
      </c>
    </row>
    <row r="21" spans="1:15" s="101" customFormat="1" ht="54" customHeight="1" thickTop="1" thickBot="1" x14ac:dyDescent="0.25">
      <c r="A21" s="72"/>
      <c r="B21" s="73" t="s">
        <v>11</v>
      </c>
      <c r="C21" s="74" t="s">
        <v>107</v>
      </c>
      <c r="D21" s="74" t="s">
        <v>108</v>
      </c>
      <c r="E21" s="75" t="s">
        <v>12</v>
      </c>
      <c r="F21" s="75" t="s">
        <v>22</v>
      </c>
      <c r="G21" s="90" t="s">
        <v>55</v>
      </c>
      <c r="H21" s="91" t="s">
        <v>55</v>
      </c>
      <c r="I21" s="94" t="s">
        <v>84</v>
      </c>
      <c r="J21" s="94" t="s">
        <v>57</v>
      </c>
      <c r="K21" s="94">
        <v>0</v>
      </c>
      <c r="L21" s="94" t="s">
        <v>109</v>
      </c>
      <c r="M21" s="94" t="s">
        <v>101</v>
      </c>
      <c r="N21" s="74">
        <v>2</v>
      </c>
      <c r="O21" s="77">
        <v>45.000520833333333</v>
      </c>
    </row>
    <row r="22" spans="1:15" s="101" customFormat="1" ht="54" customHeight="1" thickTop="1" thickBot="1" x14ac:dyDescent="0.25">
      <c r="A22" s="72"/>
      <c r="B22" s="73" t="s">
        <v>11</v>
      </c>
      <c r="C22" s="74" t="s">
        <v>110</v>
      </c>
      <c r="D22" s="74" t="s">
        <v>111</v>
      </c>
      <c r="E22" s="75" t="s">
        <v>12</v>
      </c>
      <c r="F22" s="75" t="s">
        <v>22</v>
      </c>
      <c r="G22" s="90" t="s">
        <v>55</v>
      </c>
      <c r="H22" s="91" t="s">
        <v>55</v>
      </c>
      <c r="I22" s="94" t="s">
        <v>84</v>
      </c>
      <c r="J22" s="94" t="s">
        <v>57</v>
      </c>
      <c r="K22" s="94">
        <v>0</v>
      </c>
      <c r="L22" s="94" t="s">
        <v>112</v>
      </c>
      <c r="M22" s="94" t="s">
        <v>101</v>
      </c>
      <c r="N22" s="74">
        <v>2</v>
      </c>
      <c r="O22" s="77">
        <v>45.042187499999997</v>
      </c>
    </row>
    <row r="23" spans="1:15" s="101" customFormat="1" ht="54" customHeight="1" thickTop="1" thickBot="1" x14ac:dyDescent="0.25">
      <c r="A23" s="72"/>
      <c r="B23" s="73" t="s">
        <v>11</v>
      </c>
      <c r="C23" s="74" t="s">
        <v>113</v>
      </c>
      <c r="D23" s="74" t="s">
        <v>114</v>
      </c>
      <c r="E23" s="75" t="s">
        <v>12</v>
      </c>
      <c r="F23" s="75" t="s">
        <v>22</v>
      </c>
      <c r="G23" s="75" t="s">
        <v>115</v>
      </c>
      <c r="H23" s="76" t="s">
        <v>55</v>
      </c>
      <c r="I23" s="94" t="s">
        <v>84</v>
      </c>
      <c r="J23" s="94" t="s">
        <v>57</v>
      </c>
      <c r="K23" s="94">
        <v>0</v>
      </c>
      <c r="L23" s="94" t="s">
        <v>116</v>
      </c>
      <c r="M23" s="94" t="s">
        <v>804</v>
      </c>
      <c r="N23" s="74">
        <v>1</v>
      </c>
      <c r="O23" s="77">
        <v>5.2083333333333333E-4</v>
      </c>
    </row>
    <row r="24" spans="1:15" s="101" customFormat="1" ht="54" customHeight="1" thickTop="1" thickBot="1" x14ac:dyDescent="0.25">
      <c r="A24" s="72"/>
      <c r="B24" s="73" t="s">
        <v>11</v>
      </c>
      <c r="C24" s="74" t="s">
        <v>118</v>
      </c>
      <c r="D24" s="74" t="s">
        <v>119</v>
      </c>
      <c r="E24" s="75" t="s">
        <v>12</v>
      </c>
      <c r="F24" s="75" t="s">
        <v>22</v>
      </c>
      <c r="G24" s="75" t="s">
        <v>115</v>
      </c>
      <c r="H24" s="76" t="s">
        <v>55</v>
      </c>
      <c r="I24" s="94" t="s">
        <v>84</v>
      </c>
      <c r="J24" s="94" t="s">
        <v>57</v>
      </c>
      <c r="K24" s="94">
        <v>0</v>
      </c>
      <c r="L24" s="94" t="s">
        <v>120</v>
      </c>
      <c r="M24" s="94" t="s">
        <v>804</v>
      </c>
      <c r="N24" s="74">
        <v>2</v>
      </c>
      <c r="O24" s="77">
        <v>6.9444444444444447E-4</v>
      </c>
    </row>
    <row r="25" spans="1:15" s="101" customFormat="1" ht="54" customHeight="1" thickTop="1" thickBot="1" x14ac:dyDescent="0.25">
      <c r="A25" s="72"/>
      <c r="B25" s="78" t="s">
        <v>11</v>
      </c>
      <c r="C25" s="79" t="s">
        <v>121</v>
      </c>
      <c r="D25" s="79" t="s">
        <v>122</v>
      </c>
      <c r="E25" s="80" t="s">
        <v>12</v>
      </c>
      <c r="F25" s="80" t="s">
        <v>22</v>
      </c>
      <c r="G25" s="80" t="s">
        <v>123</v>
      </c>
      <c r="H25" s="81" t="s">
        <v>55</v>
      </c>
      <c r="I25" s="94" t="s">
        <v>84</v>
      </c>
      <c r="J25" s="94" t="s">
        <v>57</v>
      </c>
      <c r="K25" s="94">
        <v>0</v>
      </c>
      <c r="L25" s="94">
        <v>0</v>
      </c>
      <c r="M25" s="94" t="s">
        <v>101</v>
      </c>
      <c r="N25" s="79"/>
      <c r="O25" s="83"/>
    </row>
    <row r="26" spans="1:15" s="101" customFormat="1" ht="54" customHeight="1" thickTop="1" thickBot="1" x14ac:dyDescent="0.25">
      <c r="A26" s="72"/>
      <c r="B26" s="92" t="s">
        <v>14</v>
      </c>
      <c r="C26" s="93" t="s">
        <v>124</v>
      </c>
      <c r="D26" s="93" t="s">
        <v>125</v>
      </c>
      <c r="E26" s="94" t="s">
        <v>12</v>
      </c>
      <c r="F26" s="94" t="s">
        <v>22</v>
      </c>
      <c r="G26" s="94" t="s">
        <v>126</v>
      </c>
      <c r="H26" s="98">
        <v>45671</v>
      </c>
      <c r="I26" s="94" t="s">
        <v>127</v>
      </c>
      <c r="J26" s="94" t="s">
        <v>128</v>
      </c>
      <c r="K26" s="94">
        <v>0</v>
      </c>
      <c r="L26" s="94" t="s">
        <v>129</v>
      </c>
      <c r="M26" s="94" t="s">
        <v>101</v>
      </c>
      <c r="N26" s="93">
        <v>4</v>
      </c>
      <c r="O26" s="96">
        <v>1.736111111111111E-3</v>
      </c>
    </row>
    <row r="27" spans="1:15" s="101" customFormat="1" ht="54" customHeight="1" thickTop="1" thickBot="1" x14ac:dyDescent="0.25">
      <c r="A27" s="72"/>
      <c r="B27" s="73" t="s">
        <v>14</v>
      </c>
      <c r="C27" s="74" t="s">
        <v>130</v>
      </c>
      <c r="D27" s="74" t="s">
        <v>131</v>
      </c>
      <c r="E27" s="75" t="s">
        <v>12</v>
      </c>
      <c r="F27" s="75" t="s">
        <v>22</v>
      </c>
      <c r="G27" s="75" t="s">
        <v>593</v>
      </c>
      <c r="H27" s="76">
        <v>45674</v>
      </c>
      <c r="I27" s="94" t="s">
        <v>127</v>
      </c>
      <c r="J27" s="94" t="s">
        <v>128</v>
      </c>
      <c r="K27" s="94">
        <v>0</v>
      </c>
      <c r="L27" s="94" t="s">
        <v>129</v>
      </c>
      <c r="M27" s="94" t="s">
        <v>101</v>
      </c>
      <c r="N27" s="74">
        <v>4</v>
      </c>
      <c r="O27" s="77">
        <v>1.736111111111111E-3</v>
      </c>
    </row>
    <row r="28" spans="1:15" s="101" customFormat="1" ht="54" customHeight="1" thickTop="1" thickBot="1" x14ac:dyDescent="0.25">
      <c r="A28" s="72"/>
      <c r="B28" s="73" t="s">
        <v>14</v>
      </c>
      <c r="C28" s="74" t="s">
        <v>133</v>
      </c>
      <c r="D28" s="74" t="s">
        <v>134</v>
      </c>
      <c r="E28" s="75" t="s">
        <v>12</v>
      </c>
      <c r="F28" s="75" t="s">
        <v>22</v>
      </c>
      <c r="G28" s="75" t="s">
        <v>126</v>
      </c>
      <c r="H28" s="76">
        <v>45671</v>
      </c>
      <c r="I28" s="94" t="s">
        <v>127</v>
      </c>
      <c r="J28" s="94" t="s">
        <v>128</v>
      </c>
      <c r="K28" s="94">
        <v>0</v>
      </c>
      <c r="L28" s="94" t="s">
        <v>129</v>
      </c>
      <c r="M28" s="94" t="s">
        <v>101</v>
      </c>
      <c r="N28" s="74">
        <v>4</v>
      </c>
      <c r="O28" s="77">
        <v>1.736111111111111E-3</v>
      </c>
    </row>
    <row r="29" spans="1:15" s="101" customFormat="1" ht="54" customHeight="1" thickTop="1" thickBot="1" x14ac:dyDescent="0.25">
      <c r="A29" s="72"/>
      <c r="B29" s="73" t="s">
        <v>14</v>
      </c>
      <c r="C29" s="74" t="s">
        <v>135</v>
      </c>
      <c r="D29" s="74" t="s">
        <v>136</v>
      </c>
      <c r="E29" s="75" t="s">
        <v>12</v>
      </c>
      <c r="F29" s="75" t="s">
        <v>22</v>
      </c>
      <c r="G29" s="75" t="s">
        <v>233</v>
      </c>
      <c r="H29" s="76">
        <v>45709</v>
      </c>
      <c r="I29" s="94" t="s">
        <v>127</v>
      </c>
      <c r="J29" s="94" t="s">
        <v>128</v>
      </c>
      <c r="K29" s="94">
        <v>0</v>
      </c>
      <c r="L29" s="94" t="s">
        <v>129</v>
      </c>
      <c r="M29" s="94" t="s">
        <v>101</v>
      </c>
      <c r="N29" s="74">
        <v>4</v>
      </c>
      <c r="O29" s="77">
        <v>1.736111111111111E-3</v>
      </c>
    </row>
    <row r="30" spans="1:15" s="101" customFormat="1" ht="54" customHeight="1" thickTop="1" thickBot="1" x14ac:dyDescent="0.25">
      <c r="A30" s="72"/>
      <c r="B30" s="73" t="s">
        <v>14</v>
      </c>
      <c r="C30" s="74" t="s">
        <v>137</v>
      </c>
      <c r="D30" s="74" t="s">
        <v>138</v>
      </c>
      <c r="E30" s="75" t="s">
        <v>12</v>
      </c>
      <c r="F30" s="75" t="s">
        <v>22</v>
      </c>
      <c r="G30" s="75" t="s">
        <v>139</v>
      </c>
      <c r="H30" s="76">
        <v>45674</v>
      </c>
      <c r="I30" s="94" t="s">
        <v>127</v>
      </c>
      <c r="J30" s="94" t="s">
        <v>57</v>
      </c>
      <c r="K30" s="94">
        <v>0</v>
      </c>
      <c r="L30" s="94" t="s">
        <v>140</v>
      </c>
      <c r="M30" s="94" t="s">
        <v>117</v>
      </c>
      <c r="N30" s="74">
        <v>2</v>
      </c>
      <c r="O30" s="77">
        <v>5.2083333333333333E-4</v>
      </c>
    </row>
    <row r="31" spans="1:15" s="101" customFormat="1" ht="54" customHeight="1" thickTop="1" thickBot="1" x14ac:dyDescent="0.25">
      <c r="A31" s="72"/>
      <c r="B31" s="73" t="s">
        <v>14</v>
      </c>
      <c r="C31" s="74" t="s">
        <v>141</v>
      </c>
      <c r="D31" s="74" t="s">
        <v>138</v>
      </c>
      <c r="E31" s="75" t="s">
        <v>12</v>
      </c>
      <c r="F31" s="75" t="s">
        <v>22</v>
      </c>
      <c r="G31" s="75" t="s">
        <v>139</v>
      </c>
      <c r="H31" s="76">
        <v>45674</v>
      </c>
      <c r="I31" s="94" t="s">
        <v>127</v>
      </c>
      <c r="J31" s="94" t="s">
        <v>57</v>
      </c>
      <c r="K31" s="94">
        <v>0</v>
      </c>
      <c r="L31" s="94" t="s">
        <v>140</v>
      </c>
      <c r="M31" s="94" t="s">
        <v>117</v>
      </c>
      <c r="N31" s="74">
        <v>2</v>
      </c>
      <c r="O31" s="77">
        <v>5.2083333333333333E-4</v>
      </c>
    </row>
    <row r="32" spans="1:15" s="101" customFormat="1" ht="54" customHeight="1" thickTop="1" thickBot="1" x14ac:dyDescent="0.25">
      <c r="A32" s="72"/>
      <c r="B32" s="73" t="s">
        <v>14</v>
      </c>
      <c r="C32" s="74" t="s">
        <v>142</v>
      </c>
      <c r="D32" s="74" t="s">
        <v>143</v>
      </c>
      <c r="E32" s="75" t="s">
        <v>12</v>
      </c>
      <c r="F32" s="75" t="s">
        <v>22</v>
      </c>
      <c r="G32" s="75" t="s">
        <v>139</v>
      </c>
      <c r="H32" s="76">
        <v>45674</v>
      </c>
      <c r="I32" s="94" t="s">
        <v>127</v>
      </c>
      <c r="J32" s="94" t="s">
        <v>57</v>
      </c>
      <c r="K32" s="94">
        <v>0</v>
      </c>
      <c r="L32" s="94" t="s">
        <v>144</v>
      </c>
      <c r="M32" s="94" t="s">
        <v>117</v>
      </c>
      <c r="N32" s="74">
        <v>1</v>
      </c>
      <c r="O32" s="77">
        <v>2.3148148148148146E-4</v>
      </c>
    </row>
    <row r="33" spans="1:15" s="101" customFormat="1" ht="54" customHeight="1" thickTop="1" thickBot="1" x14ac:dyDescent="0.25">
      <c r="A33" s="72"/>
      <c r="B33" s="73" t="s">
        <v>14</v>
      </c>
      <c r="C33" s="74" t="s">
        <v>145</v>
      </c>
      <c r="D33" s="74" t="s">
        <v>146</v>
      </c>
      <c r="E33" s="75" t="s">
        <v>12</v>
      </c>
      <c r="F33" s="75" t="s">
        <v>22</v>
      </c>
      <c r="G33" s="75" t="s">
        <v>139</v>
      </c>
      <c r="H33" s="76">
        <v>45674</v>
      </c>
      <c r="I33" s="94" t="s">
        <v>127</v>
      </c>
      <c r="J33" s="94" t="s">
        <v>57</v>
      </c>
      <c r="K33" s="94">
        <v>0</v>
      </c>
      <c r="L33" s="94" t="s">
        <v>147</v>
      </c>
      <c r="M33" s="94" t="s">
        <v>117</v>
      </c>
      <c r="N33" s="74">
        <v>2</v>
      </c>
      <c r="O33" s="77">
        <v>2.3148148148148146E-4</v>
      </c>
    </row>
    <row r="34" spans="1:15" s="101" customFormat="1" ht="54" customHeight="1" thickTop="1" thickBot="1" x14ac:dyDescent="0.25">
      <c r="B34" s="107" t="s">
        <v>14</v>
      </c>
      <c r="C34" s="100" t="s">
        <v>148</v>
      </c>
      <c r="D34" s="100" t="s">
        <v>149</v>
      </c>
      <c r="E34" s="108" t="s">
        <v>22</v>
      </c>
      <c r="F34" s="108" t="s">
        <v>22</v>
      </c>
      <c r="G34" s="108"/>
      <c r="H34" s="111"/>
      <c r="I34" s="94" t="s">
        <v>127</v>
      </c>
      <c r="J34" s="94" t="s">
        <v>57</v>
      </c>
      <c r="K34" s="94">
        <v>0</v>
      </c>
      <c r="L34" s="94" t="s">
        <v>150</v>
      </c>
      <c r="M34" s="94" t="s">
        <v>117</v>
      </c>
      <c r="N34" s="100">
        <v>2</v>
      </c>
      <c r="O34" s="110">
        <v>3.4722222222222224E-4</v>
      </c>
    </row>
    <row r="35" spans="1:15" s="101" customFormat="1" ht="54" customHeight="1" thickTop="1" thickBot="1" x14ac:dyDescent="0.25">
      <c r="A35" s="72"/>
      <c r="B35" s="73" t="s">
        <v>14</v>
      </c>
      <c r="C35" s="74" t="s">
        <v>151</v>
      </c>
      <c r="D35" s="74" t="s">
        <v>152</v>
      </c>
      <c r="E35" s="75" t="s">
        <v>12</v>
      </c>
      <c r="F35" s="75" t="s">
        <v>22</v>
      </c>
      <c r="G35" s="75" t="s">
        <v>593</v>
      </c>
      <c r="H35" s="76">
        <v>45674</v>
      </c>
      <c r="I35" s="94" t="s">
        <v>56</v>
      </c>
      <c r="J35" s="94" t="s">
        <v>128</v>
      </c>
      <c r="K35" s="94">
        <v>0</v>
      </c>
      <c r="L35" s="94" t="s">
        <v>153</v>
      </c>
      <c r="M35" s="94" t="s">
        <v>154</v>
      </c>
      <c r="N35" s="74">
        <v>2</v>
      </c>
      <c r="O35" s="77">
        <v>4.6296296296296293E-4</v>
      </c>
    </row>
    <row r="36" spans="1:15" s="101" customFormat="1" ht="54" customHeight="1" thickTop="1" thickBot="1" x14ac:dyDescent="0.25">
      <c r="A36" s="72"/>
      <c r="B36" s="73" t="s">
        <v>14</v>
      </c>
      <c r="C36" s="74" t="s">
        <v>155</v>
      </c>
      <c r="D36" s="74" t="s">
        <v>156</v>
      </c>
      <c r="E36" s="75" t="s">
        <v>12</v>
      </c>
      <c r="F36" s="75" t="s">
        <v>22</v>
      </c>
      <c r="G36" s="75" t="s">
        <v>593</v>
      </c>
      <c r="H36" s="76">
        <v>45674</v>
      </c>
      <c r="I36" s="94" t="s">
        <v>56</v>
      </c>
      <c r="J36" s="94" t="s">
        <v>128</v>
      </c>
      <c r="K36" s="94">
        <v>0</v>
      </c>
      <c r="L36" s="94" t="s">
        <v>153</v>
      </c>
      <c r="M36" s="94" t="s">
        <v>154</v>
      </c>
      <c r="N36" s="74">
        <v>2</v>
      </c>
      <c r="O36" s="77">
        <v>4.6296296296296293E-4</v>
      </c>
    </row>
    <row r="37" spans="1:15" s="101" customFormat="1" ht="54" customHeight="1" thickTop="1" thickBot="1" x14ac:dyDescent="0.25">
      <c r="A37" s="72"/>
      <c r="B37" s="73" t="s">
        <v>14</v>
      </c>
      <c r="C37" s="74" t="s">
        <v>157</v>
      </c>
      <c r="D37" s="74" t="s">
        <v>158</v>
      </c>
      <c r="E37" s="75" t="s">
        <v>12</v>
      </c>
      <c r="F37" s="75" t="s">
        <v>22</v>
      </c>
      <c r="G37" s="75" t="s">
        <v>593</v>
      </c>
      <c r="H37" s="76">
        <v>45674</v>
      </c>
      <c r="I37" s="94" t="s">
        <v>56</v>
      </c>
      <c r="J37" s="94" t="s">
        <v>128</v>
      </c>
      <c r="K37" s="94">
        <v>0</v>
      </c>
      <c r="L37" s="94" t="s">
        <v>159</v>
      </c>
      <c r="M37" s="94" t="s">
        <v>154</v>
      </c>
      <c r="N37" s="74">
        <v>1</v>
      </c>
      <c r="O37" s="77">
        <v>4.6296296296296293E-4</v>
      </c>
    </row>
    <row r="38" spans="1:15" s="101" customFormat="1" ht="54" customHeight="1" thickTop="1" thickBot="1" x14ac:dyDescent="0.25">
      <c r="A38" s="72"/>
      <c r="B38" s="73" t="s">
        <v>14</v>
      </c>
      <c r="C38" s="74" t="s">
        <v>160</v>
      </c>
      <c r="D38" s="74" t="s">
        <v>161</v>
      </c>
      <c r="E38" s="75" t="s">
        <v>12</v>
      </c>
      <c r="F38" s="75" t="s">
        <v>22</v>
      </c>
      <c r="G38" s="75" t="s">
        <v>593</v>
      </c>
      <c r="H38" s="76">
        <v>45674</v>
      </c>
      <c r="I38" s="94" t="s">
        <v>56</v>
      </c>
      <c r="J38" s="94" t="s">
        <v>128</v>
      </c>
      <c r="K38" s="94">
        <v>0</v>
      </c>
      <c r="L38" s="94" t="s">
        <v>159</v>
      </c>
      <c r="M38" s="94" t="s">
        <v>154</v>
      </c>
      <c r="N38" s="74">
        <v>1</v>
      </c>
      <c r="O38" s="77">
        <v>4.6296296296296293E-4</v>
      </c>
    </row>
    <row r="39" spans="1:15" s="101" customFormat="1" ht="54" customHeight="1" thickTop="1" thickBot="1" x14ac:dyDescent="0.25">
      <c r="A39" s="72"/>
      <c r="B39" s="73" t="s">
        <v>14</v>
      </c>
      <c r="C39" s="74" t="s">
        <v>162</v>
      </c>
      <c r="D39" s="74" t="s">
        <v>163</v>
      </c>
      <c r="E39" s="75" t="s">
        <v>12</v>
      </c>
      <c r="F39" s="75" t="s">
        <v>22</v>
      </c>
      <c r="G39" s="75" t="s">
        <v>593</v>
      </c>
      <c r="H39" s="76">
        <v>45674</v>
      </c>
      <c r="I39" s="94" t="s">
        <v>56</v>
      </c>
      <c r="J39" s="94" t="s">
        <v>128</v>
      </c>
      <c r="K39" s="94">
        <v>0</v>
      </c>
      <c r="L39" s="94" t="s">
        <v>159</v>
      </c>
      <c r="M39" s="94" t="s">
        <v>154</v>
      </c>
      <c r="N39" s="74">
        <v>1</v>
      </c>
      <c r="O39" s="77">
        <v>4.6296296296296293E-4</v>
      </c>
    </row>
    <row r="40" spans="1:15" s="101" customFormat="1" ht="54" customHeight="1" thickTop="1" thickBot="1" x14ac:dyDescent="0.25">
      <c r="A40" s="72"/>
      <c r="B40" s="73" t="s">
        <v>14</v>
      </c>
      <c r="C40" s="74" t="s">
        <v>164</v>
      </c>
      <c r="D40" s="74" t="s">
        <v>152</v>
      </c>
      <c r="E40" s="75" t="s">
        <v>12</v>
      </c>
      <c r="F40" s="75" t="s">
        <v>22</v>
      </c>
      <c r="G40" s="75" t="s">
        <v>233</v>
      </c>
      <c r="H40" s="76">
        <v>45709</v>
      </c>
      <c r="I40" s="94" t="s">
        <v>56</v>
      </c>
      <c r="J40" s="94" t="s">
        <v>128</v>
      </c>
      <c r="K40" s="94">
        <v>0</v>
      </c>
      <c r="L40" s="94" t="s">
        <v>153</v>
      </c>
      <c r="M40" s="94" t="s">
        <v>154</v>
      </c>
      <c r="N40" s="74">
        <v>2</v>
      </c>
      <c r="O40" s="77">
        <v>4.6296296296296293E-4</v>
      </c>
    </row>
    <row r="41" spans="1:15" s="101" customFormat="1" ht="54" customHeight="1" thickTop="1" thickBot="1" x14ac:dyDescent="0.25">
      <c r="A41" s="72"/>
      <c r="B41" s="73" t="s">
        <v>14</v>
      </c>
      <c r="C41" s="74" t="s">
        <v>165</v>
      </c>
      <c r="D41" s="74" t="s">
        <v>156</v>
      </c>
      <c r="E41" s="75" t="s">
        <v>12</v>
      </c>
      <c r="F41" s="75" t="s">
        <v>22</v>
      </c>
      <c r="G41" s="75" t="s">
        <v>233</v>
      </c>
      <c r="H41" s="76">
        <v>45709</v>
      </c>
      <c r="I41" s="94" t="s">
        <v>56</v>
      </c>
      <c r="J41" s="94" t="s">
        <v>128</v>
      </c>
      <c r="K41" s="94">
        <v>0</v>
      </c>
      <c r="L41" s="94" t="s">
        <v>153</v>
      </c>
      <c r="M41" s="94" t="s">
        <v>154</v>
      </c>
      <c r="N41" s="74">
        <v>2</v>
      </c>
      <c r="O41" s="77">
        <v>4.6296296296296293E-4</v>
      </c>
    </row>
    <row r="42" spans="1:15" s="101" customFormat="1" ht="54" customHeight="1" thickTop="1" thickBot="1" x14ac:dyDescent="0.25">
      <c r="A42" s="72"/>
      <c r="B42" s="73" t="s">
        <v>14</v>
      </c>
      <c r="C42" s="74" t="s">
        <v>166</v>
      </c>
      <c r="D42" s="74" t="s">
        <v>167</v>
      </c>
      <c r="E42" s="75" t="s">
        <v>12</v>
      </c>
      <c r="F42" s="75" t="s">
        <v>22</v>
      </c>
      <c r="G42" s="75" t="s">
        <v>168</v>
      </c>
      <c r="H42" s="76">
        <v>45675</v>
      </c>
      <c r="I42" s="94" t="s">
        <v>84</v>
      </c>
      <c r="J42" s="94" t="s">
        <v>57</v>
      </c>
      <c r="K42" s="94">
        <v>0</v>
      </c>
      <c r="L42" s="94" t="s">
        <v>169</v>
      </c>
      <c r="M42" s="94" t="s">
        <v>101</v>
      </c>
      <c r="N42" s="74">
        <v>1</v>
      </c>
      <c r="O42" s="77">
        <v>6.9444444444444447E-4</v>
      </c>
    </row>
    <row r="43" spans="1:15" s="101" customFormat="1" ht="54" customHeight="1" thickTop="1" thickBot="1" x14ac:dyDescent="0.25">
      <c r="B43" s="112" t="s">
        <v>14</v>
      </c>
      <c r="C43" s="113" t="s">
        <v>170</v>
      </c>
      <c r="D43" s="113" t="s">
        <v>171</v>
      </c>
      <c r="E43" s="114" t="s">
        <v>22</v>
      </c>
      <c r="F43" s="114" t="s">
        <v>22</v>
      </c>
      <c r="G43" s="114"/>
      <c r="H43" s="117"/>
      <c r="I43" s="94" t="s">
        <v>56</v>
      </c>
      <c r="J43" s="94" t="s">
        <v>57</v>
      </c>
      <c r="K43" s="94">
        <v>0</v>
      </c>
      <c r="L43" s="94" t="s">
        <v>172</v>
      </c>
      <c r="M43" s="94" t="s">
        <v>117</v>
      </c>
      <c r="N43" s="113">
        <v>2</v>
      </c>
      <c r="O43" s="115">
        <v>6.9444444444444447E-4</v>
      </c>
    </row>
    <row r="44" spans="1:15" s="101" customFormat="1" ht="54" customHeight="1" thickTop="1" thickBot="1" x14ac:dyDescent="0.25">
      <c r="B44" s="102" t="s">
        <v>17</v>
      </c>
      <c r="C44" s="103" t="s">
        <v>173</v>
      </c>
      <c r="D44" s="103" t="s">
        <v>174</v>
      </c>
      <c r="E44" s="104" t="s">
        <v>22</v>
      </c>
      <c r="F44" s="104" t="s">
        <v>22</v>
      </c>
      <c r="G44" s="104"/>
      <c r="H44" s="116"/>
      <c r="I44" s="94" t="s">
        <v>127</v>
      </c>
      <c r="J44" s="94" t="s">
        <v>57</v>
      </c>
      <c r="K44" s="94">
        <v>0</v>
      </c>
      <c r="L44" s="94" t="s">
        <v>175</v>
      </c>
      <c r="M44" s="94" t="s">
        <v>176</v>
      </c>
      <c r="N44" s="103">
        <v>2</v>
      </c>
      <c r="O44" s="106">
        <v>1.0416666666666667E-3</v>
      </c>
    </row>
    <row r="45" spans="1:15" s="101" customFormat="1" ht="54" customHeight="1" thickTop="1" thickBot="1" x14ac:dyDescent="0.25">
      <c r="A45" s="72"/>
      <c r="B45" s="73" t="s">
        <v>17</v>
      </c>
      <c r="C45" s="74" t="s">
        <v>177</v>
      </c>
      <c r="D45" s="74" t="s">
        <v>178</v>
      </c>
      <c r="E45" s="75" t="s">
        <v>12</v>
      </c>
      <c r="F45" s="75" t="s">
        <v>22</v>
      </c>
      <c r="G45" s="74" t="s">
        <v>614</v>
      </c>
      <c r="H45" s="76">
        <v>45671</v>
      </c>
      <c r="I45" s="94" t="s">
        <v>127</v>
      </c>
      <c r="J45" s="94" t="s">
        <v>57</v>
      </c>
      <c r="K45" s="94">
        <v>0</v>
      </c>
      <c r="L45" s="94" t="s">
        <v>180</v>
      </c>
      <c r="M45" s="94" t="s">
        <v>117</v>
      </c>
      <c r="N45" s="74">
        <v>2</v>
      </c>
      <c r="O45" s="77">
        <v>1.5624999999999999E-3</v>
      </c>
    </row>
    <row r="46" spans="1:15" s="101" customFormat="1" ht="54" customHeight="1" thickTop="1" thickBot="1" x14ac:dyDescent="0.25">
      <c r="A46" s="72"/>
      <c r="B46" s="73" t="s">
        <v>17</v>
      </c>
      <c r="C46" s="74" t="s">
        <v>181</v>
      </c>
      <c r="D46" s="74" t="s">
        <v>182</v>
      </c>
      <c r="E46" s="75" t="s">
        <v>12</v>
      </c>
      <c r="F46" s="75" t="s">
        <v>22</v>
      </c>
      <c r="G46" s="75" t="s">
        <v>777</v>
      </c>
      <c r="H46" s="76">
        <v>45675</v>
      </c>
      <c r="I46" s="94" t="s">
        <v>127</v>
      </c>
      <c r="J46" s="94" t="s">
        <v>57</v>
      </c>
      <c r="K46" s="94">
        <v>0</v>
      </c>
      <c r="L46" s="94" t="s">
        <v>184</v>
      </c>
      <c r="M46" s="94" t="s">
        <v>117</v>
      </c>
      <c r="N46" s="74">
        <v>2</v>
      </c>
      <c r="O46" s="77">
        <v>6.9444444444444447E-4</v>
      </c>
    </row>
    <row r="47" spans="1:15" s="101" customFormat="1" ht="54" customHeight="1" thickTop="1" thickBot="1" x14ac:dyDescent="0.25">
      <c r="A47" s="72"/>
      <c r="B47" s="73" t="s">
        <v>17</v>
      </c>
      <c r="C47" s="74" t="s">
        <v>185</v>
      </c>
      <c r="D47" s="74" t="s">
        <v>186</v>
      </c>
      <c r="E47" s="75" t="s">
        <v>12</v>
      </c>
      <c r="F47" s="75" t="s">
        <v>22</v>
      </c>
      <c r="G47" s="75" t="s">
        <v>777</v>
      </c>
      <c r="H47" s="76">
        <v>45675</v>
      </c>
      <c r="I47" s="94" t="s">
        <v>127</v>
      </c>
      <c r="J47" s="94" t="s">
        <v>57</v>
      </c>
      <c r="K47" s="94">
        <v>0</v>
      </c>
      <c r="L47" s="94" t="s">
        <v>187</v>
      </c>
      <c r="M47" s="94" t="s">
        <v>117</v>
      </c>
      <c r="N47" s="74">
        <v>2</v>
      </c>
      <c r="O47" s="77">
        <v>6.9444444444444447E-4</v>
      </c>
    </row>
    <row r="48" spans="1:15" s="101" customFormat="1" ht="54" customHeight="1" thickTop="1" thickBot="1" x14ac:dyDescent="0.25">
      <c r="A48" s="72"/>
      <c r="B48" s="73" t="s">
        <v>17</v>
      </c>
      <c r="C48" s="74" t="s">
        <v>188</v>
      </c>
      <c r="D48" s="74" t="s">
        <v>189</v>
      </c>
      <c r="E48" s="75" t="s">
        <v>12</v>
      </c>
      <c r="F48" s="75" t="s">
        <v>22</v>
      </c>
      <c r="G48" s="74" t="s">
        <v>614</v>
      </c>
      <c r="H48" s="76">
        <v>45671</v>
      </c>
      <c r="I48" s="94" t="s">
        <v>127</v>
      </c>
      <c r="J48" s="94" t="s">
        <v>128</v>
      </c>
      <c r="K48" s="94">
        <v>0</v>
      </c>
      <c r="L48" s="94" t="s">
        <v>190</v>
      </c>
      <c r="M48" s="94" t="s">
        <v>117</v>
      </c>
      <c r="N48" s="74">
        <v>2</v>
      </c>
      <c r="O48" s="77">
        <v>5.2083333333333333E-4</v>
      </c>
    </row>
    <row r="49" spans="1:15" s="101" customFormat="1" ht="54" customHeight="1" thickTop="1" thickBot="1" x14ac:dyDescent="0.25">
      <c r="A49" s="72"/>
      <c r="B49" s="73" t="s">
        <v>17</v>
      </c>
      <c r="C49" s="74" t="s">
        <v>191</v>
      </c>
      <c r="D49" s="74" t="s">
        <v>192</v>
      </c>
      <c r="E49" s="75" t="s">
        <v>12</v>
      </c>
      <c r="F49" s="75" t="s">
        <v>22</v>
      </c>
      <c r="G49" s="75" t="s">
        <v>778</v>
      </c>
      <c r="H49" s="76">
        <v>45673</v>
      </c>
      <c r="I49" s="94" t="s">
        <v>127</v>
      </c>
      <c r="J49" s="94" t="s">
        <v>57</v>
      </c>
      <c r="K49" s="94">
        <v>0</v>
      </c>
      <c r="L49" s="94" t="s">
        <v>194</v>
      </c>
      <c r="M49" s="94" t="s">
        <v>195</v>
      </c>
      <c r="N49" s="74">
        <v>2</v>
      </c>
      <c r="O49" s="77">
        <v>6.9444444444444447E-4</v>
      </c>
    </row>
    <row r="50" spans="1:15" s="101" customFormat="1" ht="54" customHeight="1" thickTop="1" thickBot="1" x14ac:dyDescent="0.25">
      <c r="A50" s="72"/>
      <c r="B50" s="73" t="s">
        <v>17</v>
      </c>
      <c r="C50" s="74" t="s">
        <v>196</v>
      </c>
      <c r="D50" s="74" t="s">
        <v>197</v>
      </c>
      <c r="E50" s="75" t="s">
        <v>12</v>
      </c>
      <c r="F50" s="75" t="s">
        <v>22</v>
      </c>
      <c r="G50" s="75" t="s">
        <v>198</v>
      </c>
      <c r="H50" s="76">
        <v>45673</v>
      </c>
      <c r="I50" s="94" t="s">
        <v>127</v>
      </c>
      <c r="J50" s="94" t="s">
        <v>128</v>
      </c>
      <c r="K50" s="94">
        <v>0</v>
      </c>
      <c r="L50" s="94" t="s">
        <v>199</v>
      </c>
      <c r="M50" s="94" t="s">
        <v>195</v>
      </c>
      <c r="N50" s="74">
        <v>1</v>
      </c>
      <c r="O50" s="77">
        <v>3.4722222222222224E-4</v>
      </c>
    </row>
    <row r="51" spans="1:15" s="101" customFormat="1" ht="54" customHeight="1" thickTop="1" thickBot="1" x14ac:dyDescent="0.25">
      <c r="A51" s="72"/>
      <c r="B51" s="73" t="s">
        <v>17</v>
      </c>
      <c r="C51" s="74" t="s">
        <v>200</v>
      </c>
      <c r="D51" s="74" t="s">
        <v>197</v>
      </c>
      <c r="E51" s="75" t="s">
        <v>12</v>
      </c>
      <c r="F51" s="75" t="s">
        <v>22</v>
      </c>
      <c r="G51" s="75" t="s">
        <v>198</v>
      </c>
      <c r="H51" s="76">
        <v>45673</v>
      </c>
      <c r="I51" s="94" t="s">
        <v>127</v>
      </c>
      <c r="J51" s="94" t="s">
        <v>128</v>
      </c>
      <c r="K51" s="94">
        <v>0</v>
      </c>
      <c r="L51" s="94" t="s">
        <v>199</v>
      </c>
      <c r="M51" s="94" t="s">
        <v>195</v>
      </c>
      <c r="N51" s="74">
        <v>1</v>
      </c>
      <c r="O51" s="77">
        <v>3.4722222222222224E-4</v>
      </c>
    </row>
    <row r="52" spans="1:15" s="101" customFormat="1" ht="54" customHeight="1" thickTop="1" thickBot="1" x14ac:dyDescent="0.25">
      <c r="A52" s="72"/>
      <c r="B52" s="73" t="s">
        <v>17</v>
      </c>
      <c r="C52" s="74" t="s">
        <v>201</v>
      </c>
      <c r="D52" s="74" t="s">
        <v>700</v>
      </c>
      <c r="E52" s="75" t="s">
        <v>12</v>
      </c>
      <c r="F52" s="75" t="s">
        <v>22</v>
      </c>
      <c r="G52" s="75" t="s">
        <v>202</v>
      </c>
      <c r="H52" s="76">
        <v>45672</v>
      </c>
      <c r="I52" s="94" t="s">
        <v>84</v>
      </c>
      <c r="J52" s="94" t="s">
        <v>128</v>
      </c>
      <c r="K52" s="94">
        <v>0</v>
      </c>
      <c r="L52" s="94" t="s">
        <v>203</v>
      </c>
      <c r="M52" s="94" t="s">
        <v>806</v>
      </c>
      <c r="N52" s="74">
        <v>1</v>
      </c>
      <c r="O52" s="77">
        <v>3.4722222222222224E-4</v>
      </c>
    </row>
    <row r="53" spans="1:15" s="101" customFormat="1" ht="54" customHeight="1" thickTop="1" thickBot="1" x14ac:dyDescent="0.25">
      <c r="A53" s="72"/>
      <c r="B53" s="73" t="s">
        <v>17</v>
      </c>
      <c r="C53" s="74" t="s">
        <v>204</v>
      </c>
      <c r="D53" s="74" t="s">
        <v>205</v>
      </c>
      <c r="E53" s="75" t="s">
        <v>12</v>
      </c>
      <c r="F53" s="75" t="s">
        <v>22</v>
      </c>
      <c r="G53" s="75" t="s">
        <v>701</v>
      </c>
      <c r="H53" s="76">
        <v>45673</v>
      </c>
      <c r="I53" s="94" t="s">
        <v>127</v>
      </c>
      <c r="J53" s="94" t="s">
        <v>128</v>
      </c>
      <c r="K53" s="94">
        <v>0</v>
      </c>
      <c r="L53" s="94" t="s">
        <v>207</v>
      </c>
      <c r="M53" s="94" t="s">
        <v>195</v>
      </c>
      <c r="N53" s="74">
        <v>1</v>
      </c>
      <c r="O53" s="77">
        <v>5.7870370370370378E-4</v>
      </c>
    </row>
    <row r="54" spans="1:15" s="101" customFormat="1" ht="54" customHeight="1" thickTop="1" thickBot="1" x14ac:dyDescent="0.25">
      <c r="A54" s="72"/>
      <c r="B54" s="73" t="s">
        <v>17</v>
      </c>
      <c r="C54" s="74" t="s">
        <v>208</v>
      </c>
      <c r="D54" s="74" t="s">
        <v>209</v>
      </c>
      <c r="E54" s="75" t="s">
        <v>12</v>
      </c>
      <c r="F54" s="75" t="s">
        <v>22</v>
      </c>
      <c r="G54" s="75" t="s">
        <v>702</v>
      </c>
      <c r="H54" s="76">
        <v>45673</v>
      </c>
      <c r="I54" s="94" t="s">
        <v>127</v>
      </c>
      <c r="J54" s="94" t="s">
        <v>128</v>
      </c>
      <c r="K54" s="94">
        <v>0</v>
      </c>
      <c r="L54" s="94" t="s">
        <v>211</v>
      </c>
      <c r="M54" s="94" t="s">
        <v>195</v>
      </c>
      <c r="N54" s="74">
        <v>2</v>
      </c>
      <c r="O54" s="77">
        <v>6.9444444444444447E-4</v>
      </c>
    </row>
    <row r="55" spans="1:15" s="101" customFormat="1" ht="54" customHeight="1" thickTop="1" thickBot="1" x14ac:dyDescent="0.25">
      <c r="A55" s="72"/>
      <c r="B55" s="73" t="s">
        <v>17</v>
      </c>
      <c r="C55" s="74" t="s">
        <v>212</v>
      </c>
      <c r="D55" s="74" t="s">
        <v>213</v>
      </c>
      <c r="E55" s="75" t="s">
        <v>12</v>
      </c>
      <c r="F55" s="75" t="s">
        <v>22</v>
      </c>
      <c r="G55" s="75" t="s">
        <v>214</v>
      </c>
      <c r="H55" s="76">
        <v>45672</v>
      </c>
      <c r="I55" s="94" t="s">
        <v>56</v>
      </c>
      <c r="J55" s="94" t="s">
        <v>128</v>
      </c>
      <c r="K55" s="94">
        <v>0</v>
      </c>
      <c r="L55" s="94" t="s">
        <v>215</v>
      </c>
      <c r="M55" s="94" t="s">
        <v>195</v>
      </c>
      <c r="N55" s="74">
        <v>1</v>
      </c>
      <c r="O55" s="77">
        <v>3.4722222222222224E-4</v>
      </c>
    </row>
    <row r="56" spans="1:15" s="101" customFormat="1" ht="54" customHeight="1" thickTop="1" thickBot="1" x14ac:dyDescent="0.25">
      <c r="A56" s="72"/>
      <c r="B56" s="73" t="s">
        <v>17</v>
      </c>
      <c r="C56" s="74" t="s">
        <v>216</v>
      </c>
      <c r="D56" s="74" t="s">
        <v>217</v>
      </c>
      <c r="E56" s="75" t="s">
        <v>12</v>
      </c>
      <c r="F56" s="75" t="s">
        <v>22</v>
      </c>
      <c r="G56" s="75" t="s">
        <v>702</v>
      </c>
      <c r="H56" s="76">
        <v>45673</v>
      </c>
      <c r="I56" s="94" t="s">
        <v>127</v>
      </c>
      <c r="J56" s="94" t="s">
        <v>57</v>
      </c>
      <c r="K56" s="94">
        <v>0</v>
      </c>
      <c r="L56" s="94" t="s">
        <v>207</v>
      </c>
      <c r="M56" s="94" t="s">
        <v>195</v>
      </c>
      <c r="N56" s="74">
        <v>1</v>
      </c>
      <c r="O56" s="77">
        <v>1.0416666666666667E-3</v>
      </c>
    </row>
    <row r="57" spans="1:15" s="101" customFormat="1" ht="54" customHeight="1" thickTop="1" thickBot="1" x14ac:dyDescent="0.25">
      <c r="A57" s="72"/>
      <c r="B57" s="73" t="s">
        <v>17</v>
      </c>
      <c r="C57" s="74" t="s">
        <v>218</v>
      </c>
      <c r="D57" s="74" t="s">
        <v>219</v>
      </c>
      <c r="E57" s="75" t="s">
        <v>12</v>
      </c>
      <c r="F57" s="75" t="s">
        <v>22</v>
      </c>
      <c r="G57" s="75" t="s">
        <v>220</v>
      </c>
      <c r="H57" s="76">
        <v>45673</v>
      </c>
      <c r="I57" s="94" t="s">
        <v>127</v>
      </c>
      <c r="J57" s="94" t="s">
        <v>128</v>
      </c>
      <c r="K57" s="94">
        <v>0</v>
      </c>
      <c r="L57" s="94" t="s">
        <v>221</v>
      </c>
      <c r="M57" s="94" t="s">
        <v>195</v>
      </c>
      <c r="N57" s="74">
        <v>1</v>
      </c>
      <c r="O57" s="77">
        <v>1.1574074074074073E-4</v>
      </c>
    </row>
    <row r="58" spans="1:15" s="101" customFormat="1" ht="54" customHeight="1" thickTop="1" thickBot="1" x14ac:dyDescent="0.25">
      <c r="A58" s="72"/>
      <c r="B58" s="73" t="s">
        <v>17</v>
      </c>
      <c r="C58" s="74" t="s">
        <v>222</v>
      </c>
      <c r="D58" s="74" t="s">
        <v>223</v>
      </c>
      <c r="E58" s="75" t="s">
        <v>12</v>
      </c>
      <c r="F58" s="75" t="s">
        <v>22</v>
      </c>
      <c r="G58" s="75" t="s">
        <v>224</v>
      </c>
      <c r="H58" s="76">
        <v>45672</v>
      </c>
      <c r="I58" s="94" t="s">
        <v>127</v>
      </c>
      <c r="J58" s="94" t="s">
        <v>128</v>
      </c>
      <c r="K58" s="94">
        <v>0</v>
      </c>
      <c r="L58" s="94" t="s">
        <v>225</v>
      </c>
      <c r="M58" s="94" t="s">
        <v>226</v>
      </c>
      <c r="N58" s="74">
        <v>2</v>
      </c>
      <c r="O58" s="77">
        <v>3.4722222222222224E-4</v>
      </c>
    </row>
    <row r="59" spans="1:15" s="101" customFormat="1" ht="54" customHeight="1" thickTop="1" thickBot="1" x14ac:dyDescent="0.25">
      <c r="A59" s="72"/>
      <c r="B59" s="73" t="s">
        <v>17</v>
      </c>
      <c r="C59" s="74" t="s">
        <v>227</v>
      </c>
      <c r="D59" s="74" t="s">
        <v>228</v>
      </c>
      <c r="E59" s="75" t="s">
        <v>12</v>
      </c>
      <c r="F59" s="75" t="s">
        <v>22</v>
      </c>
      <c r="G59" s="75" t="s">
        <v>229</v>
      </c>
      <c r="H59" s="76">
        <v>45673</v>
      </c>
      <c r="I59" s="94" t="s">
        <v>127</v>
      </c>
      <c r="J59" s="94" t="s">
        <v>128</v>
      </c>
      <c r="K59" s="94">
        <v>0</v>
      </c>
      <c r="L59" s="94" t="s">
        <v>230</v>
      </c>
      <c r="M59" s="94" t="s">
        <v>195</v>
      </c>
      <c r="N59" s="74">
        <v>2</v>
      </c>
      <c r="O59" s="77">
        <v>6.9444444444444447E-4</v>
      </c>
    </row>
    <row r="60" spans="1:15" s="101" customFormat="1" ht="54" customHeight="1" thickTop="1" thickBot="1" x14ac:dyDescent="0.25">
      <c r="A60" s="72"/>
      <c r="B60" s="73" t="s">
        <v>17</v>
      </c>
      <c r="C60" s="74" t="s">
        <v>231</v>
      </c>
      <c r="D60" s="74" t="s">
        <v>232</v>
      </c>
      <c r="E60" s="75" t="s">
        <v>12</v>
      </c>
      <c r="F60" s="75" t="s">
        <v>22</v>
      </c>
      <c r="G60" s="75" t="s">
        <v>233</v>
      </c>
      <c r="H60" s="76">
        <v>45672</v>
      </c>
      <c r="I60" s="94" t="s">
        <v>127</v>
      </c>
      <c r="J60" s="94" t="s">
        <v>128</v>
      </c>
      <c r="K60" s="94">
        <v>0</v>
      </c>
      <c r="L60" s="94" t="s">
        <v>234</v>
      </c>
      <c r="M60" s="94" t="s">
        <v>195</v>
      </c>
      <c r="N60" s="74">
        <v>1</v>
      </c>
      <c r="O60" s="77">
        <v>6.9444444444444447E-4</v>
      </c>
    </row>
    <row r="61" spans="1:15" s="101" customFormat="1" ht="54" customHeight="1" thickTop="1" thickBot="1" x14ac:dyDescent="0.25">
      <c r="A61" s="72"/>
      <c r="B61" s="73" t="s">
        <v>17</v>
      </c>
      <c r="C61" s="74" t="s">
        <v>235</v>
      </c>
      <c r="D61" s="74" t="s">
        <v>236</v>
      </c>
      <c r="E61" s="75" t="s">
        <v>12</v>
      </c>
      <c r="F61" s="75" t="s">
        <v>22</v>
      </c>
      <c r="G61" s="75" t="s">
        <v>224</v>
      </c>
      <c r="H61" s="76">
        <v>45672</v>
      </c>
      <c r="I61" s="94" t="s">
        <v>127</v>
      </c>
      <c r="J61" s="94" t="s">
        <v>128</v>
      </c>
      <c r="K61" s="94">
        <v>0</v>
      </c>
      <c r="L61" s="94" t="s">
        <v>237</v>
      </c>
      <c r="M61" s="94" t="s">
        <v>226</v>
      </c>
      <c r="N61" s="74">
        <v>1</v>
      </c>
      <c r="O61" s="77">
        <v>6.9444444444444447E-4</v>
      </c>
    </row>
    <row r="62" spans="1:15" s="101" customFormat="1" ht="54" customHeight="1" thickTop="1" thickBot="1" x14ac:dyDescent="0.25">
      <c r="A62" s="72"/>
      <c r="B62" s="73" t="s">
        <v>17</v>
      </c>
      <c r="C62" s="74" t="s">
        <v>238</v>
      </c>
      <c r="D62" s="74" t="s">
        <v>239</v>
      </c>
      <c r="E62" s="75" t="s">
        <v>12</v>
      </c>
      <c r="F62" s="75" t="s">
        <v>22</v>
      </c>
      <c r="G62" s="75" t="s">
        <v>247</v>
      </c>
      <c r="H62" s="76">
        <v>45672</v>
      </c>
      <c r="I62" s="94" t="s">
        <v>56</v>
      </c>
      <c r="J62" s="94" t="s">
        <v>128</v>
      </c>
      <c r="K62" s="94">
        <v>0</v>
      </c>
      <c r="L62" s="94" t="s">
        <v>241</v>
      </c>
      <c r="M62" s="94" t="s">
        <v>195</v>
      </c>
      <c r="N62" s="74">
        <v>1</v>
      </c>
      <c r="O62" s="77">
        <v>3.4722222222222224E-4</v>
      </c>
    </row>
    <row r="63" spans="1:15" s="101" customFormat="1" ht="54" customHeight="1" thickTop="1" thickBot="1" x14ac:dyDescent="0.25">
      <c r="A63" s="72"/>
      <c r="B63" s="73" t="s">
        <v>17</v>
      </c>
      <c r="C63" s="74" t="s">
        <v>242</v>
      </c>
      <c r="D63" s="133" t="s">
        <v>792</v>
      </c>
      <c r="E63" s="75" t="s">
        <v>12</v>
      </c>
      <c r="F63" s="75" t="s">
        <v>22</v>
      </c>
      <c r="G63" s="75" t="s">
        <v>779</v>
      </c>
      <c r="H63" s="76">
        <v>45672</v>
      </c>
      <c r="I63" s="94" t="s">
        <v>56</v>
      </c>
      <c r="J63" s="94" t="s">
        <v>128</v>
      </c>
      <c r="K63" s="94">
        <v>0</v>
      </c>
      <c r="L63" s="94" t="s">
        <v>244</v>
      </c>
      <c r="M63" s="94" t="s">
        <v>195</v>
      </c>
      <c r="N63" s="74">
        <v>2</v>
      </c>
      <c r="O63" s="77">
        <v>3.4722222222222224E-4</v>
      </c>
    </row>
    <row r="64" spans="1:15" s="101" customFormat="1" ht="54" customHeight="1" thickTop="1" thickBot="1" x14ac:dyDescent="0.25">
      <c r="A64" s="72"/>
      <c r="B64" s="73" t="s">
        <v>17</v>
      </c>
      <c r="C64" s="74" t="s">
        <v>245</v>
      </c>
      <c r="D64" s="74" t="s">
        <v>246</v>
      </c>
      <c r="E64" s="75" t="s">
        <v>12</v>
      </c>
      <c r="F64" s="75" t="s">
        <v>22</v>
      </c>
      <c r="G64" s="75" t="s">
        <v>247</v>
      </c>
      <c r="H64" s="76">
        <v>45672</v>
      </c>
      <c r="I64" s="94" t="s">
        <v>56</v>
      </c>
      <c r="J64" s="94" t="s">
        <v>128</v>
      </c>
      <c r="K64" s="94">
        <v>0</v>
      </c>
      <c r="L64" s="94" t="s">
        <v>244</v>
      </c>
      <c r="M64" s="94" t="s">
        <v>195</v>
      </c>
      <c r="N64" s="74">
        <v>1</v>
      </c>
      <c r="O64" s="77">
        <v>3.4722222222222224E-4</v>
      </c>
    </row>
    <row r="65" spans="1:15" s="101" customFormat="1" ht="54" customHeight="1" thickTop="1" thickBot="1" x14ac:dyDescent="0.25">
      <c r="A65" s="72"/>
      <c r="B65" s="73" t="s">
        <v>17</v>
      </c>
      <c r="C65" s="74" t="s">
        <v>248</v>
      </c>
      <c r="D65" s="74" t="s">
        <v>249</v>
      </c>
      <c r="E65" s="75" t="s">
        <v>12</v>
      </c>
      <c r="F65" s="75" t="s">
        <v>22</v>
      </c>
      <c r="G65" s="75" t="s">
        <v>247</v>
      </c>
      <c r="H65" s="76">
        <v>45672</v>
      </c>
      <c r="I65" s="94" t="s">
        <v>56</v>
      </c>
      <c r="J65" s="94" t="s">
        <v>128</v>
      </c>
      <c r="K65" s="94">
        <v>0</v>
      </c>
      <c r="L65" s="94" t="s">
        <v>250</v>
      </c>
      <c r="M65" s="94" t="s">
        <v>195</v>
      </c>
      <c r="N65" s="74">
        <v>1</v>
      </c>
      <c r="O65" s="77">
        <v>3.4722222222222224E-4</v>
      </c>
    </row>
    <row r="66" spans="1:15" s="101" customFormat="1" ht="54" customHeight="1" thickTop="1" thickBot="1" x14ac:dyDescent="0.25">
      <c r="A66" s="72"/>
      <c r="B66" s="73" t="s">
        <v>17</v>
      </c>
      <c r="C66" s="74" t="s">
        <v>251</v>
      </c>
      <c r="D66" s="74" t="s">
        <v>252</v>
      </c>
      <c r="E66" s="75" t="s">
        <v>12</v>
      </c>
      <c r="F66" s="75" t="s">
        <v>22</v>
      </c>
      <c r="G66" s="75" t="s">
        <v>253</v>
      </c>
      <c r="H66" s="76">
        <v>45672</v>
      </c>
      <c r="I66" s="94" t="s">
        <v>56</v>
      </c>
      <c r="J66" s="94" t="s">
        <v>128</v>
      </c>
      <c r="K66" s="94">
        <v>0</v>
      </c>
      <c r="L66" s="94" t="s">
        <v>254</v>
      </c>
      <c r="M66" s="94" t="s">
        <v>195</v>
      </c>
      <c r="N66" s="74">
        <v>1</v>
      </c>
      <c r="O66" s="77">
        <v>3.4722222222222224E-4</v>
      </c>
    </row>
    <row r="67" spans="1:15" s="101" customFormat="1" ht="54" customHeight="1" thickTop="1" thickBot="1" x14ac:dyDescent="0.25">
      <c r="A67" s="72"/>
      <c r="B67" s="73" t="s">
        <v>17</v>
      </c>
      <c r="C67" s="74" t="s">
        <v>255</v>
      </c>
      <c r="D67" s="74" t="s">
        <v>256</v>
      </c>
      <c r="E67" s="75" t="s">
        <v>12</v>
      </c>
      <c r="F67" s="75" t="s">
        <v>22</v>
      </c>
      <c r="G67" s="75" t="s">
        <v>257</v>
      </c>
      <c r="H67" s="76">
        <v>45672</v>
      </c>
      <c r="I67" s="94" t="s">
        <v>56</v>
      </c>
      <c r="J67" s="94" t="s">
        <v>128</v>
      </c>
      <c r="K67" s="94">
        <v>0</v>
      </c>
      <c r="L67" s="94" t="s">
        <v>258</v>
      </c>
      <c r="M67" s="94" t="s">
        <v>195</v>
      </c>
      <c r="N67" s="74">
        <v>1</v>
      </c>
      <c r="O67" s="77">
        <v>3.4722222222222224E-4</v>
      </c>
    </row>
    <row r="68" spans="1:15" s="101" customFormat="1" ht="54" customHeight="1" thickTop="1" thickBot="1" x14ac:dyDescent="0.25">
      <c r="A68" s="72"/>
      <c r="B68" s="73" t="s">
        <v>17</v>
      </c>
      <c r="C68" s="74" t="s">
        <v>259</v>
      </c>
      <c r="D68" s="74" t="s">
        <v>260</v>
      </c>
      <c r="E68" s="75" t="s">
        <v>12</v>
      </c>
      <c r="F68" s="75" t="s">
        <v>22</v>
      </c>
      <c r="G68" s="75" t="s">
        <v>261</v>
      </c>
      <c r="H68" s="76">
        <v>45672</v>
      </c>
      <c r="I68" s="94" t="s">
        <v>56</v>
      </c>
      <c r="J68" s="94" t="s">
        <v>128</v>
      </c>
      <c r="K68" s="94">
        <v>0</v>
      </c>
      <c r="L68" s="94" t="s">
        <v>262</v>
      </c>
      <c r="M68" s="94" t="s">
        <v>195</v>
      </c>
      <c r="N68" s="74">
        <v>1</v>
      </c>
      <c r="O68" s="77">
        <v>3.4722222222222224E-4</v>
      </c>
    </row>
    <row r="69" spans="1:15" s="101" customFormat="1" ht="54" customHeight="1" thickTop="1" thickBot="1" x14ac:dyDescent="0.25">
      <c r="A69" s="72"/>
      <c r="B69" s="73" t="s">
        <v>17</v>
      </c>
      <c r="C69" s="74" t="s">
        <v>263</v>
      </c>
      <c r="D69" s="74" t="s">
        <v>264</v>
      </c>
      <c r="E69" s="75" t="s">
        <v>12</v>
      </c>
      <c r="F69" s="75" t="s">
        <v>22</v>
      </c>
      <c r="G69" s="75" t="s">
        <v>253</v>
      </c>
      <c r="H69" s="76">
        <v>45672</v>
      </c>
      <c r="I69" s="94" t="s">
        <v>56</v>
      </c>
      <c r="J69" s="94" t="s">
        <v>128</v>
      </c>
      <c r="K69" s="94">
        <v>0</v>
      </c>
      <c r="L69" s="94" t="s">
        <v>265</v>
      </c>
      <c r="M69" s="94" t="s">
        <v>195</v>
      </c>
      <c r="N69" s="74">
        <v>1</v>
      </c>
      <c r="O69" s="77">
        <v>5.2083333333333333E-4</v>
      </c>
    </row>
    <row r="70" spans="1:15" s="101" customFormat="1" ht="54" customHeight="1" thickTop="1" thickBot="1" x14ac:dyDescent="0.25">
      <c r="A70" s="72"/>
      <c r="B70" s="73" t="s">
        <v>17</v>
      </c>
      <c r="C70" s="74" t="s">
        <v>266</v>
      </c>
      <c r="D70" s="74" t="s">
        <v>267</v>
      </c>
      <c r="E70" s="75" t="s">
        <v>12</v>
      </c>
      <c r="F70" s="75" t="s">
        <v>22</v>
      </c>
      <c r="G70" s="75" t="s">
        <v>202</v>
      </c>
      <c r="H70" s="76">
        <v>45672</v>
      </c>
      <c r="I70" s="94" t="s">
        <v>84</v>
      </c>
      <c r="J70" s="94" t="s">
        <v>128</v>
      </c>
      <c r="K70" s="94">
        <v>0</v>
      </c>
      <c r="L70" s="94" t="s">
        <v>269</v>
      </c>
      <c r="M70" s="94" t="s">
        <v>806</v>
      </c>
      <c r="N70" s="74">
        <v>1</v>
      </c>
      <c r="O70" s="77">
        <v>6.9444444444444447E-4</v>
      </c>
    </row>
    <row r="71" spans="1:15" s="101" customFormat="1" ht="54" customHeight="1" thickTop="1" thickBot="1" x14ac:dyDescent="0.25">
      <c r="A71" s="72"/>
      <c r="B71" s="73" t="s">
        <v>17</v>
      </c>
      <c r="C71" s="74" t="s">
        <v>270</v>
      </c>
      <c r="D71" s="74" t="s">
        <v>271</v>
      </c>
      <c r="E71" s="75" t="s">
        <v>12</v>
      </c>
      <c r="F71" s="75" t="s">
        <v>22</v>
      </c>
      <c r="G71" s="75" t="s">
        <v>202</v>
      </c>
      <c r="H71" s="76">
        <v>45672</v>
      </c>
      <c r="I71" s="94" t="s">
        <v>84</v>
      </c>
      <c r="J71" s="94" t="s">
        <v>128</v>
      </c>
      <c r="K71" s="94">
        <v>0</v>
      </c>
      <c r="L71" s="94" t="s">
        <v>272</v>
      </c>
      <c r="M71" s="94" t="s">
        <v>806</v>
      </c>
      <c r="N71" s="74">
        <v>1</v>
      </c>
      <c r="O71" s="77">
        <v>3.4722222222222224E-4</v>
      </c>
    </row>
    <row r="72" spans="1:15" s="101" customFormat="1" ht="54" customHeight="1" thickTop="1" thickBot="1" x14ac:dyDescent="0.25">
      <c r="A72" s="72"/>
      <c r="B72" s="73" t="s">
        <v>17</v>
      </c>
      <c r="C72" s="74" t="s">
        <v>273</v>
      </c>
      <c r="D72" s="74" t="s">
        <v>274</v>
      </c>
      <c r="E72" s="75" t="s">
        <v>12</v>
      </c>
      <c r="F72" s="75" t="s">
        <v>22</v>
      </c>
      <c r="G72" s="75" t="s">
        <v>202</v>
      </c>
      <c r="H72" s="76">
        <v>45672</v>
      </c>
      <c r="I72" s="94" t="s">
        <v>84</v>
      </c>
      <c r="J72" s="94" t="s">
        <v>128</v>
      </c>
      <c r="K72" s="94">
        <v>0</v>
      </c>
      <c r="L72" s="94" t="s">
        <v>275</v>
      </c>
      <c r="M72" s="94" t="s">
        <v>806</v>
      </c>
      <c r="N72" s="74">
        <v>1</v>
      </c>
      <c r="O72" s="77">
        <v>6.9444444444444447E-4</v>
      </c>
    </row>
    <row r="73" spans="1:15" s="101" customFormat="1" ht="54" customHeight="1" thickTop="1" thickBot="1" x14ac:dyDescent="0.25">
      <c r="A73" s="72"/>
      <c r="B73" s="73" t="s">
        <v>17</v>
      </c>
      <c r="C73" s="74" t="s">
        <v>276</v>
      </c>
      <c r="D73" s="74" t="s">
        <v>277</v>
      </c>
      <c r="E73" s="75" t="s">
        <v>12</v>
      </c>
      <c r="F73" s="75" t="s">
        <v>22</v>
      </c>
      <c r="G73" s="75" t="s">
        <v>704</v>
      </c>
      <c r="H73" s="76">
        <v>45672</v>
      </c>
      <c r="I73" s="94" t="s">
        <v>56</v>
      </c>
      <c r="J73" s="94" t="s">
        <v>128</v>
      </c>
      <c r="K73" s="94">
        <v>0</v>
      </c>
      <c r="L73" s="94" t="s">
        <v>278</v>
      </c>
      <c r="M73" s="94" t="s">
        <v>195</v>
      </c>
      <c r="N73" s="74">
        <v>1</v>
      </c>
      <c r="O73" s="77">
        <v>1.3888888888888889E-3</v>
      </c>
    </row>
    <row r="74" spans="1:15" s="101" customFormat="1" ht="54" customHeight="1" thickTop="1" thickBot="1" x14ac:dyDescent="0.25">
      <c r="A74" s="72"/>
      <c r="B74" s="73" t="s">
        <v>17</v>
      </c>
      <c r="C74" s="74" t="s">
        <v>279</v>
      </c>
      <c r="D74" s="74" t="s">
        <v>280</v>
      </c>
      <c r="E74" s="75" t="s">
        <v>12</v>
      </c>
      <c r="F74" s="75" t="s">
        <v>22</v>
      </c>
      <c r="G74" s="74" t="s">
        <v>705</v>
      </c>
      <c r="H74" s="85">
        <v>45673</v>
      </c>
      <c r="I74" s="94" t="s">
        <v>127</v>
      </c>
      <c r="J74" s="94" t="s">
        <v>128</v>
      </c>
      <c r="K74" s="94">
        <v>0</v>
      </c>
      <c r="L74" s="94" t="s">
        <v>282</v>
      </c>
      <c r="M74" s="94" t="s">
        <v>195</v>
      </c>
      <c r="N74" s="74">
        <v>1</v>
      </c>
      <c r="O74" s="77">
        <v>3.4722222222222224E-4</v>
      </c>
    </row>
    <row r="75" spans="1:15" s="101" customFormat="1" ht="54" customHeight="1" thickTop="1" thickBot="1" x14ac:dyDescent="0.25">
      <c r="A75" s="72"/>
      <c r="B75" s="73" t="s">
        <v>17</v>
      </c>
      <c r="C75" s="74" t="s">
        <v>283</v>
      </c>
      <c r="D75" s="74" t="s">
        <v>284</v>
      </c>
      <c r="E75" s="75" t="s">
        <v>12</v>
      </c>
      <c r="F75" s="75" t="s">
        <v>22</v>
      </c>
      <c r="G75" s="74" t="s">
        <v>705</v>
      </c>
      <c r="H75" s="85">
        <v>45673</v>
      </c>
      <c r="I75" s="94" t="s">
        <v>127</v>
      </c>
      <c r="J75" s="94" t="s">
        <v>128</v>
      </c>
      <c r="K75" s="94">
        <v>0</v>
      </c>
      <c r="L75" s="94" t="s">
        <v>285</v>
      </c>
      <c r="M75" s="94" t="s">
        <v>195</v>
      </c>
      <c r="N75" s="74">
        <v>1</v>
      </c>
      <c r="O75" s="77">
        <v>3.4722222222222224E-4</v>
      </c>
    </row>
    <row r="76" spans="1:15" s="101" customFormat="1" ht="54" customHeight="1" thickTop="1" thickBot="1" x14ac:dyDescent="0.25">
      <c r="A76" s="72"/>
      <c r="B76" s="73" t="s">
        <v>17</v>
      </c>
      <c r="C76" s="74" t="s">
        <v>286</v>
      </c>
      <c r="D76" s="74" t="s">
        <v>287</v>
      </c>
      <c r="E76" s="75" t="s">
        <v>12</v>
      </c>
      <c r="F76" s="75" t="s">
        <v>22</v>
      </c>
      <c r="G76" s="74" t="s">
        <v>705</v>
      </c>
      <c r="H76" s="85">
        <v>45673</v>
      </c>
      <c r="I76" s="94" t="s">
        <v>127</v>
      </c>
      <c r="J76" s="94" t="s">
        <v>128</v>
      </c>
      <c r="K76" s="94">
        <v>0</v>
      </c>
      <c r="L76" s="94" t="s">
        <v>285</v>
      </c>
      <c r="M76" s="94" t="s">
        <v>195</v>
      </c>
      <c r="N76" s="74">
        <v>1</v>
      </c>
      <c r="O76" s="77">
        <v>3.4722222222222224E-4</v>
      </c>
    </row>
    <row r="77" spans="1:15" s="101" customFormat="1" ht="54" customHeight="1" thickTop="1" thickBot="1" x14ac:dyDescent="0.25">
      <c r="A77" s="72"/>
      <c r="B77" s="73" t="s">
        <v>17</v>
      </c>
      <c r="C77" s="74" t="s">
        <v>288</v>
      </c>
      <c r="D77" s="74" t="s">
        <v>289</v>
      </c>
      <c r="E77" s="75" t="s">
        <v>12</v>
      </c>
      <c r="F77" s="75" t="s">
        <v>22</v>
      </c>
      <c r="G77" s="74" t="s">
        <v>705</v>
      </c>
      <c r="H77" s="85">
        <v>45673</v>
      </c>
      <c r="I77" s="94" t="s">
        <v>127</v>
      </c>
      <c r="J77" s="94" t="s">
        <v>128</v>
      </c>
      <c r="K77" s="94">
        <v>0</v>
      </c>
      <c r="L77" s="94" t="s">
        <v>285</v>
      </c>
      <c r="M77" s="94" t="s">
        <v>195</v>
      </c>
      <c r="N77" s="74">
        <v>1</v>
      </c>
      <c r="O77" s="77">
        <v>6.9444444444444447E-4</v>
      </c>
    </row>
    <row r="78" spans="1:15" s="101" customFormat="1" ht="54" customHeight="1" thickTop="1" thickBot="1" x14ac:dyDescent="0.25">
      <c r="A78" s="72"/>
      <c r="B78" s="73" t="s">
        <v>17</v>
      </c>
      <c r="C78" s="74" t="s">
        <v>290</v>
      </c>
      <c r="D78" s="74" t="s">
        <v>291</v>
      </c>
      <c r="E78" s="75" t="s">
        <v>12</v>
      </c>
      <c r="F78" s="75" t="s">
        <v>22</v>
      </c>
      <c r="G78" s="75" t="s">
        <v>247</v>
      </c>
      <c r="H78" s="76">
        <v>45672</v>
      </c>
      <c r="I78" s="94" t="s">
        <v>56</v>
      </c>
      <c r="J78" s="94" t="s">
        <v>128</v>
      </c>
      <c r="K78" s="94">
        <v>0</v>
      </c>
      <c r="L78" s="94" t="s">
        <v>292</v>
      </c>
      <c r="M78" s="94" t="s">
        <v>195</v>
      </c>
      <c r="N78" s="74">
        <v>1</v>
      </c>
      <c r="O78" s="77">
        <v>3.4722222222222224E-4</v>
      </c>
    </row>
    <row r="79" spans="1:15" s="101" customFormat="1" ht="54" customHeight="1" thickTop="1" thickBot="1" x14ac:dyDescent="0.25">
      <c r="A79" s="72"/>
      <c r="B79" s="73" t="s">
        <v>17</v>
      </c>
      <c r="C79" s="74" t="s">
        <v>293</v>
      </c>
      <c r="D79" s="74" t="s">
        <v>794</v>
      </c>
      <c r="E79" s="75" t="s">
        <v>12</v>
      </c>
      <c r="F79" s="75" t="s">
        <v>22</v>
      </c>
      <c r="G79" s="75" t="s">
        <v>202</v>
      </c>
      <c r="H79" s="76">
        <v>45672</v>
      </c>
      <c r="I79" s="94" t="s">
        <v>84</v>
      </c>
      <c r="J79" s="94" t="s">
        <v>128</v>
      </c>
      <c r="K79" s="94">
        <v>0</v>
      </c>
      <c r="L79" s="94" t="s">
        <v>203</v>
      </c>
      <c r="M79" s="94" t="s">
        <v>806</v>
      </c>
      <c r="N79" s="74">
        <v>1</v>
      </c>
      <c r="O79" s="77">
        <v>8.6805555555555551E-4</v>
      </c>
    </row>
    <row r="80" spans="1:15" s="101" customFormat="1" ht="54" customHeight="1" thickTop="1" thickBot="1" x14ac:dyDescent="0.25">
      <c r="A80" s="72"/>
      <c r="B80" s="73" t="s">
        <v>17</v>
      </c>
      <c r="C80" s="74" t="s">
        <v>294</v>
      </c>
      <c r="D80" s="74" t="s">
        <v>295</v>
      </c>
      <c r="E80" s="75" t="s">
        <v>12</v>
      </c>
      <c r="F80" s="75" t="s">
        <v>22</v>
      </c>
      <c r="G80" s="75" t="s">
        <v>707</v>
      </c>
      <c r="H80" s="76">
        <v>45672</v>
      </c>
      <c r="I80" s="94" t="s">
        <v>56</v>
      </c>
      <c r="J80" s="94" t="s">
        <v>128</v>
      </c>
      <c r="K80" s="94">
        <v>0</v>
      </c>
      <c r="L80" s="94" t="s">
        <v>297</v>
      </c>
      <c r="M80" s="94" t="s">
        <v>195</v>
      </c>
      <c r="N80" s="74">
        <v>1</v>
      </c>
      <c r="O80" s="77">
        <v>6.9444444444444447E-4</v>
      </c>
    </row>
    <row r="81" spans="1:15" s="101" customFormat="1" ht="54" customHeight="1" thickTop="1" thickBot="1" x14ac:dyDescent="0.25">
      <c r="A81" s="72"/>
      <c r="B81" s="73" t="s">
        <v>17</v>
      </c>
      <c r="C81" s="74" t="s">
        <v>298</v>
      </c>
      <c r="D81" s="74" t="s">
        <v>299</v>
      </c>
      <c r="E81" s="75" t="s">
        <v>12</v>
      </c>
      <c r="F81" s="75" t="s">
        <v>22</v>
      </c>
      <c r="G81" s="75" t="s">
        <v>233</v>
      </c>
      <c r="H81" s="76">
        <v>45672</v>
      </c>
      <c r="I81" s="94" t="s">
        <v>127</v>
      </c>
      <c r="J81" s="94" t="s">
        <v>128</v>
      </c>
      <c r="K81" s="94">
        <v>0</v>
      </c>
      <c r="L81" s="94" t="s">
        <v>300</v>
      </c>
      <c r="M81" s="94" t="s">
        <v>195</v>
      </c>
      <c r="N81" s="74">
        <v>1</v>
      </c>
      <c r="O81" s="77">
        <v>6.9444444444444447E-4</v>
      </c>
    </row>
    <row r="82" spans="1:15" s="101" customFormat="1" ht="54" customHeight="1" thickTop="1" thickBot="1" x14ac:dyDescent="0.25">
      <c r="A82" s="72"/>
      <c r="B82" s="73" t="s">
        <v>17</v>
      </c>
      <c r="C82" s="74" t="s">
        <v>301</v>
      </c>
      <c r="D82" s="74" t="s">
        <v>302</v>
      </c>
      <c r="E82" s="75" t="s">
        <v>12</v>
      </c>
      <c r="F82" s="75" t="s">
        <v>22</v>
      </c>
      <c r="G82" s="75" t="s">
        <v>303</v>
      </c>
      <c r="H82" s="76">
        <v>45672</v>
      </c>
      <c r="I82" s="94" t="s">
        <v>56</v>
      </c>
      <c r="J82" s="94" t="s">
        <v>128</v>
      </c>
      <c r="K82" s="94">
        <v>0</v>
      </c>
      <c r="L82" s="94" t="s">
        <v>304</v>
      </c>
      <c r="M82" s="94" t="s">
        <v>195</v>
      </c>
      <c r="N82" s="74">
        <v>1</v>
      </c>
      <c r="O82" s="77">
        <v>6.9444444444444447E-4</v>
      </c>
    </row>
    <row r="83" spans="1:15" s="101" customFormat="1" ht="54" customHeight="1" thickTop="1" thickBot="1" x14ac:dyDescent="0.25">
      <c r="A83" s="72"/>
      <c r="B83" s="73" t="s">
        <v>17</v>
      </c>
      <c r="C83" s="74" t="s">
        <v>305</v>
      </c>
      <c r="D83" s="74" t="s">
        <v>306</v>
      </c>
      <c r="E83" s="75" t="s">
        <v>12</v>
      </c>
      <c r="F83" s="75" t="s">
        <v>22</v>
      </c>
      <c r="G83" s="75" t="s">
        <v>233</v>
      </c>
      <c r="H83" s="76">
        <v>45672</v>
      </c>
      <c r="I83" s="94" t="s">
        <v>127</v>
      </c>
      <c r="J83" s="94" t="s">
        <v>128</v>
      </c>
      <c r="K83" s="94">
        <v>0</v>
      </c>
      <c r="L83" s="94" t="s">
        <v>300</v>
      </c>
      <c r="M83" s="94" t="s">
        <v>195</v>
      </c>
      <c r="N83" s="74">
        <v>1</v>
      </c>
      <c r="O83" s="77">
        <v>1.7361111111111112E-4</v>
      </c>
    </row>
    <row r="84" spans="1:15" s="101" customFormat="1" ht="54" customHeight="1" thickTop="1" thickBot="1" x14ac:dyDescent="0.25">
      <c r="A84" s="72"/>
      <c r="B84" s="73" t="s">
        <v>17</v>
      </c>
      <c r="C84" s="74" t="s">
        <v>307</v>
      </c>
      <c r="D84" s="74" t="s">
        <v>308</v>
      </c>
      <c r="E84" s="75" t="s">
        <v>12</v>
      </c>
      <c r="F84" s="75" t="s">
        <v>22</v>
      </c>
      <c r="G84" s="75" t="s">
        <v>309</v>
      </c>
      <c r="H84" s="76">
        <v>45673</v>
      </c>
      <c r="I84" s="94" t="s">
        <v>56</v>
      </c>
      <c r="J84" s="94" t="s">
        <v>57</v>
      </c>
      <c r="K84" s="94">
        <v>0</v>
      </c>
      <c r="L84" s="94" t="s">
        <v>310</v>
      </c>
      <c r="M84" s="94" t="s">
        <v>117</v>
      </c>
      <c r="N84" s="74">
        <v>2</v>
      </c>
      <c r="O84" s="77">
        <v>5.2083333333333333E-4</v>
      </c>
    </row>
    <row r="85" spans="1:15" s="101" customFormat="1" ht="54" customHeight="1" thickTop="1" thickBot="1" x14ac:dyDescent="0.25">
      <c r="B85" s="107" t="s">
        <v>17</v>
      </c>
      <c r="C85" s="100" t="s">
        <v>311</v>
      </c>
      <c r="D85" s="100" t="s">
        <v>312</v>
      </c>
      <c r="E85" s="108" t="s">
        <v>22</v>
      </c>
      <c r="F85" s="108" t="s">
        <v>22</v>
      </c>
      <c r="G85" s="108"/>
      <c r="H85" s="111"/>
      <c r="I85" s="94" t="s">
        <v>56</v>
      </c>
      <c r="J85" s="94" t="s">
        <v>128</v>
      </c>
      <c r="K85" s="94">
        <v>0</v>
      </c>
      <c r="L85" s="94" t="s">
        <v>313</v>
      </c>
      <c r="M85" s="94" t="s">
        <v>226</v>
      </c>
      <c r="N85" s="100">
        <v>3</v>
      </c>
      <c r="O85" s="110">
        <v>5.2083333333333333E-4</v>
      </c>
    </row>
    <row r="86" spans="1:15" s="101" customFormat="1" ht="54" customHeight="1" thickTop="1" thickBot="1" x14ac:dyDescent="0.25">
      <c r="A86" s="72"/>
      <c r="B86" s="73" t="s">
        <v>17</v>
      </c>
      <c r="C86" s="74" t="s">
        <v>314</v>
      </c>
      <c r="D86" s="74" t="s">
        <v>315</v>
      </c>
      <c r="E86" s="75" t="s">
        <v>12</v>
      </c>
      <c r="F86" s="75" t="s">
        <v>22</v>
      </c>
      <c r="G86" s="75" t="s">
        <v>309</v>
      </c>
      <c r="H86" s="76">
        <v>45673</v>
      </c>
      <c r="I86" s="94" t="s">
        <v>56</v>
      </c>
      <c r="J86" s="94" t="s">
        <v>57</v>
      </c>
      <c r="K86" s="94">
        <v>0</v>
      </c>
      <c r="L86" s="94">
        <v>0</v>
      </c>
      <c r="M86" s="94" t="s">
        <v>117</v>
      </c>
      <c r="N86" s="74">
        <v>4</v>
      </c>
      <c r="O86" s="77">
        <v>5.2083333333333333E-4</v>
      </c>
    </row>
    <row r="87" spans="1:15" s="101" customFormat="1" ht="54" customHeight="1" thickTop="1" thickBot="1" x14ac:dyDescent="0.25">
      <c r="A87" s="72"/>
      <c r="B87" s="78" t="s">
        <v>17</v>
      </c>
      <c r="C87" s="79" t="s">
        <v>316</v>
      </c>
      <c r="D87" s="79" t="s">
        <v>317</v>
      </c>
      <c r="E87" s="82" t="s">
        <v>12</v>
      </c>
      <c r="F87" s="82" t="s">
        <v>22</v>
      </c>
      <c r="G87" s="82" t="s">
        <v>318</v>
      </c>
      <c r="H87" s="99">
        <v>45671</v>
      </c>
      <c r="I87" s="94" t="s">
        <v>56</v>
      </c>
      <c r="J87" s="94" t="s">
        <v>57</v>
      </c>
      <c r="K87" s="94">
        <v>0</v>
      </c>
      <c r="L87" s="94">
        <v>0</v>
      </c>
      <c r="M87" s="94" t="s">
        <v>117</v>
      </c>
      <c r="N87" s="79">
        <v>2</v>
      </c>
      <c r="O87" s="83">
        <v>3.4722222222222224E-4</v>
      </c>
    </row>
    <row r="88" spans="1:15" s="101" customFormat="1" ht="66" customHeight="1" thickTop="1" thickBot="1" x14ac:dyDescent="0.25">
      <c r="B88" s="102" t="s">
        <v>21</v>
      </c>
      <c r="C88" s="103" t="s">
        <v>319</v>
      </c>
      <c r="D88" s="103" t="s">
        <v>320</v>
      </c>
      <c r="E88" s="104" t="s">
        <v>22</v>
      </c>
      <c r="F88" s="104" t="s">
        <v>22</v>
      </c>
      <c r="G88" s="104"/>
      <c r="H88" s="116"/>
      <c r="I88" s="94" t="s">
        <v>127</v>
      </c>
      <c r="J88" s="94" t="s">
        <v>128</v>
      </c>
      <c r="K88" s="94">
        <v>0</v>
      </c>
      <c r="L88" s="94" t="s">
        <v>321</v>
      </c>
      <c r="M88" s="94" t="s">
        <v>322</v>
      </c>
      <c r="N88" s="103">
        <v>4</v>
      </c>
      <c r="O88" s="106" t="s">
        <v>323</v>
      </c>
    </row>
    <row r="89" spans="1:15" s="101" customFormat="1" ht="54" customHeight="1" thickTop="1" thickBot="1" x14ac:dyDescent="0.25">
      <c r="B89" s="107" t="s">
        <v>21</v>
      </c>
      <c r="C89" s="74" t="s">
        <v>795</v>
      </c>
      <c r="D89" s="74" t="s">
        <v>796</v>
      </c>
      <c r="E89" s="108" t="s">
        <v>22</v>
      </c>
      <c r="F89" s="108" t="s">
        <v>22</v>
      </c>
      <c r="G89" s="108"/>
      <c r="H89" s="111"/>
      <c r="I89" s="94" t="s">
        <v>127</v>
      </c>
      <c r="J89" s="94" t="s">
        <v>128</v>
      </c>
      <c r="K89" s="94">
        <v>0</v>
      </c>
      <c r="L89" s="94" t="s">
        <v>324</v>
      </c>
      <c r="M89" s="94" t="s">
        <v>322</v>
      </c>
      <c r="N89" s="100">
        <v>4</v>
      </c>
      <c r="O89" s="110">
        <v>1.3888888888888889E-3</v>
      </c>
    </row>
    <row r="90" spans="1:15" s="101" customFormat="1" ht="54" customHeight="1" thickTop="1" thickBot="1" x14ac:dyDescent="0.25">
      <c r="B90" s="107" t="s">
        <v>21</v>
      </c>
      <c r="C90" s="100" t="s">
        <v>325</v>
      </c>
      <c r="D90" s="100" t="s">
        <v>326</v>
      </c>
      <c r="E90" s="108" t="s">
        <v>22</v>
      </c>
      <c r="F90" s="108" t="s">
        <v>22</v>
      </c>
      <c r="G90" s="108"/>
      <c r="H90" s="111"/>
      <c r="I90" s="94" t="s">
        <v>127</v>
      </c>
      <c r="J90" s="94" t="s">
        <v>128</v>
      </c>
      <c r="K90" s="94">
        <v>0</v>
      </c>
      <c r="L90" s="94" t="s">
        <v>327</v>
      </c>
      <c r="M90" s="94" t="s">
        <v>328</v>
      </c>
      <c r="N90" s="100">
        <v>2</v>
      </c>
      <c r="O90" s="110">
        <v>2.0833333333333333E-3</v>
      </c>
    </row>
    <row r="91" spans="1:15" s="101" customFormat="1" ht="54" customHeight="1" thickTop="1" thickBot="1" x14ac:dyDescent="0.25">
      <c r="B91" s="107" t="s">
        <v>21</v>
      </c>
      <c r="C91" s="100" t="s">
        <v>329</v>
      </c>
      <c r="D91" s="100" t="s">
        <v>330</v>
      </c>
      <c r="E91" s="108" t="s">
        <v>22</v>
      </c>
      <c r="F91" s="108" t="s">
        <v>22</v>
      </c>
      <c r="G91" s="108"/>
      <c r="H91" s="111"/>
      <c r="I91" s="94" t="s">
        <v>127</v>
      </c>
      <c r="J91" s="94" t="s">
        <v>128</v>
      </c>
      <c r="K91" s="94">
        <v>0</v>
      </c>
      <c r="L91" s="94" t="s">
        <v>331</v>
      </c>
      <c r="M91" s="94" t="s">
        <v>328</v>
      </c>
      <c r="N91" s="100">
        <v>2</v>
      </c>
      <c r="O91" s="110">
        <v>2.0833333333333333E-3</v>
      </c>
    </row>
    <row r="92" spans="1:15" s="101" customFormat="1" ht="54" customHeight="1" thickTop="1" thickBot="1" x14ac:dyDescent="0.25">
      <c r="A92" s="72"/>
      <c r="B92" s="73" t="s">
        <v>21</v>
      </c>
      <c r="C92" s="74" t="s">
        <v>332</v>
      </c>
      <c r="D92" s="74" t="s">
        <v>333</v>
      </c>
      <c r="E92" s="75" t="s">
        <v>12</v>
      </c>
      <c r="F92" s="75" t="s">
        <v>22</v>
      </c>
      <c r="G92" s="75" t="s">
        <v>309</v>
      </c>
      <c r="H92" s="76">
        <v>45673</v>
      </c>
      <c r="I92" s="94" t="s">
        <v>56</v>
      </c>
      <c r="J92" s="94" t="s">
        <v>57</v>
      </c>
      <c r="K92" s="94">
        <v>0</v>
      </c>
      <c r="L92" s="94" t="s">
        <v>334</v>
      </c>
      <c r="M92" s="94" t="s">
        <v>117</v>
      </c>
      <c r="N92" s="74">
        <v>2</v>
      </c>
      <c r="O92" s="77">
        <v>6.9444444444444447E-4</v>
      </c>
    </row>
    <row r="93" spans="1:15" s="101" customFormat="1" ht="54" customHeight="1" thickTop="1" thickBot="1" x14ac:dyDescent="0.25">
      <c r="B93" s="107" t="s">
        <v>21</v>
      </c>
      <c r="C93" s="100" t="s">
        <v>335</v>
      </c>
      <c r="D93" s="100" t="s">
        <v>336</v>
      </c>
      <c r="E93" s="108" t="s">
        <v>22</v>
      </c>
      <c r="F93" s="108" t="s">
        <v>22</v>
      </c>
      <c r="G93" s="108"/>
      <c r="H93" s="111"/>
      <c r="I93" s="94" t="s">
        <v>127</v>
      </c>
      <c r="J93" s="94" t="s">
        <v>128</v>
      </c>
      <c r="K93" s="94">
        <v>0</v>
      </c>
      <c r="L93" s="94" t="s">
        <v>337</v>
      </c>
      <c r="M93" s="94" t="s">
        <v>338</v>
      </c>
      <c r="N93" s="100">
        <v>1</v>
      </c>
      <c r="O93" s="110">
        <v>1.2152777777777778E-3</v>
      </c>
    </row>
    <row r="94" spans="1:15" s="101" customFormat="1" ht="54" customHeight="1" thickTop="1" thickBot="1" x14ac:dyDescent="0.25">
      <c r="B94" s="107" t="s">
        <v>21</v>
      </c>
      <c r="C94" s="100" t="s">
        <v>339</v>
      </c>
      <c r="D94" s="100" t="s">
        <v>340</v>
      </c>
      <c r="E94" s="108" t="s">
        <v>22</v>
      </c>
      <c r="F94" s="108" t="s">
        <v>22</v>
      </c>
      <c r="G94" s="108"/>
      <c r="H94" s="111"/>
      <c r="I94" s="94" t="s">
        <v>127</v>
      </c>
      <c r="J94" s="94" t="s">
        <v>128</v>
      </c>
      <c r="K94" s="94">
        <v>0</v>
      </c>
      <c r="L94" s="94" t="s">
        <v>341</v>
      </c>
      <c r="M94" s="94" t="s">
        <v>338</v>
      </c>
      <c r="N94" s="100">
        <v>2</v>
      </c>
      <c r="O94" s="110">
        <v>2.7777777777777779E-3</v>
      </c>
    </row>
    <row r="95" spans="1:15" s="101" customFormat="1" ht="54" customHeight="1" thickTop="1" thickBot="1" x14ac:dyDescent="0.25">
      <c r="B95" s="107" t="s">
        <v>21</v>
      </c>
      <c r="C95" s="100" t="s">
        <v>342</v>
      </c>
      <c r="D95" s="100" t="s">
        <v>343</v>
      </c>
      <c r="E95" s="108" t="s">
        <v>22</v>
      </c>
      <c r="F95" s="108" t="s">
        <v>22</v>
      </c>
      <c r="G95" s="108"/>
      <c r="H95" s="111"/>
      <c r="I95" s="94" t="s">
        <v>127</v>
      </c>
      <c r="J95" s="94" t="s">
        <v>128</v>
      </c>
      <c r="K95" s="94">
        <v>0</v>
      </c>
      <c r="L95" s="94" t="s">
        <v>344</v>
      </c>
      <c r="M95" s="94" t="s">
        <v>338</v>
      </c>
      <c r="N95" s="100">
        <v>2</v>
      </c>
      <c r="O95" s="110">
        <v>6.9444444444444447E-4</v>
      </c>
    </row>
    <row r="96" spans="1:15" s="101" customFormat="1" ht="54" customHeight="1" thickTop="1" thickBot="1" x14ac:dyDescent="0.25">
      <c r="B96" s="107" t="s">
        <v>21</v>
      </c>
      <c r="C96" s="100" t="s">
        <v>345</v>
      </c>
      <c r="D96" s="100" t="s">
        <v>346</v>
      </c>
      <c r="E96" s="108" t="s">
        <v>22</v>
      </c>
      <c r="F96" s="108" t="s">
        <v>22</v>
      </c>
      <c r="G96" s="108"/>
      <c r="H96" s="111"/>
      <c r="I96" s="94" t="s">
        <v>127</v>
      </c>
      <c r="J96" s="94" t="s">
        <v>128</v>
      </c>
      <c r="K96" s="94">
        <v>0</v>
      </c>
      <c r="L96" s="94" t="s">
        <v>347</v>
      </c>
      <c r="M96" s="94" t="s">
        <v>195</v>
      </c>
      <c r="N96" s="100">
        <v>2</v>
      </c>
      <c r="O96" s="110">
        <v>3.4722222222222224E-4</v>
      </c>
    </row>
    <row r="97" spans="1:15" s="101" customFormat="1" ht="54" customHeight="1" thickTop="1" thickBot="1" x14ac:dyDescent="0.25">
      <c r="B97" s="107" t="s">
        <v>21</v>
      </c>
      <c r="C97" s="100" t="s">
        <v>348</v>
      </c>
      <c r="D97" s="100" t="s">
        <v>349</v>
      </c>
      <c r="E97" s="108" t="s">
        <v>22</v>
      </c>
      <c r="F97" s="108" t="s">
        <v>22</v>
      </c>
      <c r="G97" s="108"/>
      <c r="H97" s="111"/>
      <c r="I97" s="94" t="s">
        <v>127</v>
      </c>
      <c r="J97" s="94" t="s">
        <v>128</v>
      </c>
      <c r="K97" s="94">
        <v>0</v>
      </c>
      <c r="L97" s="94" t="s">
        <v>350</v>
      </c>
      <c r="M97" s="94" t="s">
        <v>154</v>
      </c>
      <c r="N97" s="100">
        <v>2</v>
      </c>
      <c r="O97" s="110">
        <v>5.2083333333333333E-4</v>
      </c>
    </row>
    <row r="98" spans="1:15" s="101" customFormat="1" ht="54" customHeight="1" thickTop="1" thickBot="1" x14ac:dyDescent="0.25">
      <c r="B98" s="107" t="s">
        <v>21</v>
      </c>
      <c r="C98" s="100" t="s">
        <v>351</v>
      </c>
      <c r="D98" s="100" t="s">
        <v>352</v>
      </c>
      <c r="E98" s="108" t="s">
        <v>22</v>
      </c>
      <c r="F98" s="108" t="s">
        <v>22</v>
      </c>
      <c r="G98" s="108"/>
      <c r="H98" s="111"/>
      <c r="I98" s="94" t="s">
        <v>56</v>
      </c>
      <c r="J98" s="94" t="s">
        <v>128</v>
      </c>
      <c r="K98" s="94">
        <v>0</v>
      </c>
      <c r="L98" s="94" t="s">
        <v>353</v>
      </c>
      <c r="M98" s="94" t="s">
        <v>154</v>
      </c>
      <c r="N98" s="100">
        <v>1</v>
      </c>
      <c r="O98" s="110">
        <v>9.2592592592592585E-4</v>
      </c>
    </row>
    <row r="99" spans="1:15" s="101" customFormat="1" ht="54" customHeight="1" thickTop="1" thickBot="1" x14ac:dyDescent="0.25">
      <c r="B99" s="107" t="s">
        <v>21</v>
      </c>
      <c r="C99" s="100" t="s">
        <v>354</v>
      </c>
      <c r="D99" s="100" t="s">
        <v>355</v>
      </c>
      <c r="E99" s="108" t="s">
        <v>22</v>
      </c>
      <c r="F99" s="108" t="s">
        <v>22</v>
      </c>
      <c r="G99" s="108"/>
      <c r="H99" s="111"/>
      <c r="I99" s="94" t="s">
        <v>56</v>
      </c>
      <c r="J99" s="94" t="s">
        <v>57</v>
      </c>
      <c r="K99" s="94">
        <v>0</v>
      </c>
      <c r="L99" s="94" t="s">
        <v>356</v>
      </c>
      <c r="M99" s="94" t="s">
        <v>338</v>
      </c>
      <c r="N99" s="100">
        <v>1</v>
      </c>
      <c r="O99" s="110">
        <v>1.1574074074074073E-4</v>
      </c>
    </row>
    <row r="100" spans="1:15" s="101" customFormat="1" ht="54" customHeight="1" thickTop="1" thickBot="1" x14ac:dyDescent="0.25">
      <c r="B100" s="107" t="s">
        <v>21</v>
      </c>
      <c r="C100" s="100" t="s">
        <v>357</v>
      </c>
      <c r="D100" s="100" t="s">
        <v>358</v>
      </c>
      <c r="E100" s="108" t="s">
        <v>22</v>
      </c>
      <c r="F100" s="108" t="s">
        <v>22</v>
      </c>
      <c r="G100" s="108"/>
      <c r="H100" s="111"/>
      <c r="I100" s="94" t="s">
        <v>84</v>
      </c>
      <c r="J100" s="94" t="s">
        <v>57</v>
      </c>
      <c r="K100" s="94">
        <v>0</v>
      </c>
      <c r="L100" s="94" t="s">
        <v>359</v>
      </c>
      <c r="M100" s="94" t="s">
        <v>804</v>
      </c>
      <c r="N100" s="100">
        <v>1</v>
      </c>
      <c r="O100" s="110">
        <v>6.9444444444444447E-4</v>
      </c>
    </row>
    <row r="101" spans="1:15" s="101" customFormat="1" ht="54" customHeight="1" thickTop="1" thickBot="1" x14ac:dyDescent="0.25">
      <c r="B101" s="107" t="s">
        <v>21</v>
      </c>
      <c r="C101" s="100" t="s">
        <v>360</v>
      </c>
      <c r="D101" s="100" t="s">
        <v>361</v>
      </c>
      <c r="E101" s="108" t="s">
        <v>22</v>
      </c>
      <c r="F101" s="108" t="s">
        <v>22</v>
      </c>
      <c r="G101" s="108"/>
      <c r="H101" s="111"/>
      <c r="I101" s="94" t="s">
        <v>56</v>
      </c>
      <c r="J101" s="94" t="s">
        <v>128</v>
      </c>
      <c r="K101" s="94">
        <v>0</v>
      </c>
      <c r="L101" s="94" t="s">
        <v>362</v>
      </c>
      <c r="M101" s="94" t="s">
        <v>101</v>
      </c>
      <c r="N101" s="100">
        <v>1</v>
      </c>
      <c r="O101" s="110">
        <v>6.9444444444444447E-4</v>
      </c>
    </row>
    <row r="102" spans="1:15" s="101" customFormat="1" ht="54" customHeight="1" thickTop="1" thickBot="1" x14ac:dyDescent="0.25">
      <c r="B102" s="107" t="s">
        <v>21</v>
      </c>
      <c r="C102" s="100" t="s">
        <v>363</v>
      </c>
      <c r="D102" s="100" t="s">
        <v>364</v>
      </c>
      <c r="E102" s="108" t="s">
        <v>22</v>
      </c>
      <c r="F102" s="108" t="s">
        <v>22</v>
      </c>
      <c r="G102" s="108"/>
      <c r="H102" s="111"/>
      <c r="I102" s="94" t="s">
        <v>56</v>
      </c>
      <c r="J102" s="94" t="s">
        <v>128</v>
      </c>
      <c r="K102" s="94">
        <v>0</v>
      </c>
      <c r="L102" s="94" t="s">
        <v>365</v>
      </c>
      <c r="M102" s="94" t="s">
        <v>101</v>
      </c>
      <c r="N102" s="100">
        <v>1</v>
      </c>
      <c r="O102" s="110">
        <v>4.0509259259259258E-4</v>
      </c>
    </row>
    <row r="103" spans="1:15" s="101" customFormat="1" ht="54" customHeight="1" thickTop="1" thickBot="1" x14ac:dyDescent="0.25">
      <c r="B103" s="107" t="s">
        <v>21</v>
      </c>
      <c r="C103" s="100" t="s">
        <v>366</v>
      </c>
      <c r="D103" s="100" t="s">
        <v>367</v>
      </c>
      <c r="E103" s="108" t="s">
        <v>22</v>
      </c>
      <c r="F103" s="108" t="s">
        <v>22</v>
      </c>
      <c r="G103" s="108"/>
      <c r="H103" s="111"/>
      <c r="I103" s="94" t="s">
        <v>127</v>
      </c>
      <c r="J103" s="94" t="s">
        <v>57</v>
      </c>
      <c r="K103" s="94">
        <v>0</v>
      </c>
      <c r="L103" s="94" t="s">
        <v>368</v>
      </c>
      <c r="M103" s="94" t="s">
        <v>117</v>
      </c>
      <c r="N103" s="100">
        <v>2</v>
      </c>
      <c r="O103" s="110">
        <v>1.3888888888888889E-3</v>
      </c>
    </row>
    <row r="104" spans="1:15" s="101" customFormat="1" ht="54" customHeight="1" thickTop="1" thickBot="1" x14ac:dyDescent="0.25">
      <c r="B104" s="107" t="s">
        <v>21</v>
      </c>
      <c r="C104" s="100" t="s">
        <v>369</v>
      </c>
      <c r="D104" s="100" t="s">
        <v>370</v>
      </c>
      <c r="E104" s="108" t="s">
        <v>22</v>
      </c>
      <c r="F104" s="108" t="s">
        <v>22</v>
      </c>
      <c r="G104" s="108"/>
      <c r="H104" s="111"/>
      <c r="I104" s="94" t="s">
        <v>127</v>
      </c>
      <c r="J104" s="94" t="s">
        <v>57</v>
      </c>
      <c r="K104" s="94">
        <v>0</v>
      </c>
      <c r="L104" s="94" t="s">
        <v>371</v>
      </c>
      <c r="M104" s="94" t="s">
        <v>805</v>
      </c>
      <c r="N104" s="100">
        <v>2</v>
      </c>
      <c r="O104" s="110">
        <v>1.736111111111111E-3</v>
      </c>
    </row>
    <row r="105" spans="1:15" s="101" customFormat="1" ht="54" customHeight="1" thickTop="1" thickBot="1" x14ac:dyDescent="0.25">
      <c r="A105" s="72"/>
      <c r="B105" s="73" t="s">
        <v>21</v>
      </c>
      <c r="C105" s="74" t="s">
        <v>372</v>
      </c>
      <c r="D105" s="74" t="s">
        <v>373</v>
      </c>
      <c r="E105" s="75" t="s">
        <v>12</v>
      </c>
      <c r="F105" s="75" t="s">
        <v>22</v>
      </c>
      <c r="G105" s="75" t="s">
        <v>374</v>
      </c>
      <c r="H105" s="76">
        <v>45674</v>
      </c>
      <c r="I105" s="94" t="s">
        <v>56</v>
      </c>
      <c r="J105" s="94" t="s">
        <v>57</v>
      </c>
      <c r="K105" s="94">
        <v>0</v>
      </c>
      <c r="L105" s="94" t="s">
        <v>375</v>
      </c>
      <c r="M105" s="94" t="s">
        <v>117</v>
      </c>
      <c r="N105" s="74">
        <v>1</v>
      </c>
      <c r="O105" s="77">
        <v>6.9444444444444447E-4</v>
      </c>
    </row>
    <row r="106" spans="1:15" s="101" customFormat="1" ht="54" customHeight="1" thickTop="1" thickBot="1" x14ac:dyDescent="0.25">
      <c r="B106" s="107" t="s">
        <v>21</v>
      </c>
      <c r="C106" s="100" t="s">
        <v>376</v>
      </c>
      <c r="D106" s="134" t="s">
        <v>797</v>
      </c>
      <c r="E106" s="108" t="s">
        <v>22</v>
      </c>
      <c r="F106" s="108" t="s">
        <v>22</v>
      </c>
      <c r="G106" s="108"/>
      <c r="H106" s="111"/>
      <c r="I106" s="94" t="s">
        <v>56</v>
      </c>
      <c r="J106" s="94" t="s">
        <v>57</v>
      </c>
      <c r="K106" s="94">
        <v>0</v>
      </c>
      <c r="L106" s="94" t="s">
        <v>377</v>
      </c>
      <c r="M106" s="94" t="s">
        <v>117</v>
      </c>
      <c r="N106" s="100">
        <v>2</v>
      </c>
      <c r="O106" s="110">
        <v>3.4722222222222224E-4</v>
      </c>
    </row>
    <row r="107" spans="1:15" s="101" customFormat="1" ht="54" customHeight="1" thickTop="1" thickBot="1" x14ac:dyDescent="0.25">
      <c r="B107" s="107" t="s">
        <v>21</v>
      </c>
      <c r="C107" s="100" t="s">
        <v>378</v>
      </c>
      <c r="D107" s="100" t="s">
        <v>379</v>
      </c>
      <c r="E107" s="108" t="s">
        <v>22</v>
      </c>
      <c r="F107" s="108" t="s">
        <v>22</v>
      </c>
      <c r="G107" s="108"/>
      <c r="H107" s="111"/>
      <c r="I107" s="94" t="s">
        <v>84</v>
      </c>
      <c r="J107" s="94" t="s">
        <v>57</v>
      </c>
      <c r="K107" s="94">
        <v>0</v>
      </c>
      <c r="L107" s="94" t="s">
        <v>380</v>
      </c>
      <c r="M107" s="94" t="s">
        <v>804</v>
      </c>
      <c r="N107" s="100">
        <v>2</v>
      </c>
      <c r="O107" s="110">
        <v>6.9444444444444447E-4</v>
      </c>
    </row>
    <row r="108" spans="1:15" s="101" customFormat="1" ht="54" customHeight="1" thickTop="1" thickBot="1" x14ac:dyDescent="0.25">
      <c r="A108" s="72"/>
      <c r="B108" s="73" t="s">
        <v>21</v>
      </c>
      <c r="C108" s="74" t="s">
        <v>381</v>
      </c>
      <c r="D108" s="74" t="s">
        <v>382</v>
      </c>
      <c r="E108" s="75" t="s">
        <v>12</v>
      </c>
      <c r="F108" s="75" t="s">
        <v>22</v>
      </c>
      <c r="G108" s="75" t="s">
        <v>318</v>
      </c>
      <c r="H108" s="76">
        <v>45671</v>
      </c>
      <c r="I108" s="94" t="s">
        <v>56</v>
      </c>
      <c r="J108" s="94" t="s">
        <v>57</v>
      </c>
      <c r="K108" s="94">
        <v>0</v>
      </c>
      <c r="L108" s="94" t="s">
        <v>383</v>
      </c>
      <c r="M108" s="94" t="s">
        <v>117</v>
      </c>
      <c r="N108" s="74">
        <v>2</v>
      </c>
      <c r="O108" s="77">
        <v>6.9444444444444447E-4</v>
      </c>
    </row>
    <row r="109" spans="1:15" s="101" customFormat="1" ht="54" customHeight="1" thickTop="1" thickBot="1" x14ac:dyDescent="0.25">
      <c r="B109" s="107" t="s">
        <v>21</v>
      </c>
      <c r="C109" s="100" t="s">
        <v>384</v>
      </c>
      <c r="D109" s="100" t="s">
        <v>385</v>
      </c>
      <c r="E109" s="108" t="s">
        <v>22</v>
      </c>
      <c r="F109" s="108" t="s">
        <v>22</v>
      </c>
      <c r="G109" s="108"/>
      <c r="H109" s="111"/>
      <c r="I109" s="94" t="s">
        <v>84</v>
      </c>
      <c r="J109" s="94" t="s">
        <v>57</v>
      </c>
      <c r="K109" s="94">
        <v>0</v>
      </c>
      <c r="L109" s="94" t="s">
        <v>386</v>
      </c>
      <c r="M109" s="94" t="s">
        <v>101</v>
      </c>
      <c r="N109" s="100">
        <v>4</v>
      </c>
      <c r="O109" s="110">
        <v>2.0833333333333333E-3</v>
      </c>
    </row>
    <row r="110" spans="1:15" s="101" customFormat="1" ht="54" customHeight="1" thickTop="1" thickBot="1" x14ac:dyDescent="0.25">
      <c r="B110" s="107" t="s">
        <v>21</v>
      </c>
      <c r="C110" s="100" t="s">
        <v>387</v>
      </c>
      <c r="D110" s="100" t="s">
        <v>388</v>
      </c>
      <c r="E110" s="108" t="s">
        <v>22</v>
      </c>
      <c r="F110" s="108" t="s">
        <v>22</v>
      </c>
      <c r="G110" s="108"/>
      <c r="H110" s="111"/>
      <c r="I110" s="94" t="s">
        <v>56</v>
      </c>
      <c r="J110" s="94" t="s">
        <v>57</v>
      </c>
      <c r="K110" s="94">
        <v>0</v>
      </c>
      <c r="L110" s="94" t="s">
        <v>389</v>
      </c>
      <c r="M110" s="94" t="s">
        <v>101</v>
      </c>
      <c r="N110" s="100">
        <v>2</v>
      </c>
      <c r="O110" s="110">
        <v>6.9444444444444447E-4</v>
      </c>
    </row>
    <row r="111" spans="1:15" s="101" customFormat="1" ht="54" customHeight="1" thickTop="1" thickBot="1" x14ac:dyDescent="0.25">
      <c r="A111" s="72"/>
      <c r="B111" s="73" t="s">
        <v>21</v>
      </c>
      <c r="C111" s="74" t="s">
        <v>390</v>
      </c>
      <c r="D111" s="74" t="s">
        <v>391</v>
      </c>
      <c r="E111" s="75" t="s">
        <v>12</v>
      </c>
      <c r="F111" s="75" t="s">
        <v>22</v>
      </c>
      <c r="G111" s="75" t="s">
        <v>318</v>
      </c>
      <c r="H111" s="76">
        <v>45671</v>
      </c>
      <c r="I111" s="94" t="s">
        <v>56</v>
      </c>
      <c r="J111" s="94" t="s">
        <v>57</v>
      </c>
      <c r="K111" s="94">
        <v>0</v>
      </c>
      <c r="L111" s="94" t="s">
        <v>392</v>
      </c>
      <c r="M111" s="94" t="s">
        <v>117</v>
      </c>
      <c r="N111" s="74">
        <v>2</v>
      </c>
      <c r="O111" s="77">
        <v>6.9444444444444447E-4</v>
      </c>
    </row>
    <row r="112" spans="1:15" s="101" customFormat="1" ht="54" customHeight="1" thickTop="1" thickBot="1" x14ac:dyDescent="0.25">
      <c r="B112" s="107" t="s">
        <v>21</v>
      </c>
      <c r="C112" s="100" t="s">
        <v>393</v>
      </c>
      <c r="D112" s="100" t="s">
        <v>394</v>
      </c>
      <c r="E112" s="108" t="s">
        <v>22</v>
      </c>
      <c r="F112" s="108" t="s">
        <v>22</v>
      </c>
      <c r="G112" s="108"/>
      <c r="H112" s="111"/>
      <c r="I112" s="94" t="s">
        <v>84</v>
      </c>
      <c r="J112" s="94" t="s">
        <v>128</v>
      </c>
      <c r="K112" s="94">
        <v>0</v>
      </c>
      <c r="L112" s="94" t="s">
        <v>803</v>
      </c>
      <c r="M112" s="94" t="s">
        <v>101</v>
      </c>
      <c r="N112" s="100">
        <v>2</v>
      </c>
      <c r="O112" s="110">
        <v>1.3888888888888889E-3</v>
      </c>
    </row>
    <row r="113" spans="2:16" s="101" customFormat="1" ht="54" customHeight="1" thickTop="1" thickBot="1" x14ac:dyDescent="0.25">
      <c r="B113" s="112" t="s">
        <v>21</v>
      </c>
      <c r="C113" s="113" t="s">
        <v>395</v>
      </c>
      <c r="D113" s="135" t="s">
        <v>385</v>
      </c>
      <c r="E113" s="114" t="s">
        <v>22</v>
      </c>
      <c r="F113" s="114" t="s">
        <v>22</v>
      </c>
      <c r="G113" s="114"/>
      <c r="H113" s="117"/>
      <c r="I113" s="94" t="s">
        <v>84</v>
      </c>
      <c r="J113" s="94" t="s">
        <v>57</v>
      </c>
      <c r="K113" s="94">
        <v>0</v>
      </c>
      <c r="L113" s="94" t="s">
        <v>386</v>
      </c>
      <c r="M113" s="94" t="s">
        <v>101</v>
      </c>
      <c r="N113" s="113">
        <v>2</v>
      </c>
      <c r="O113" s="115">
        <v>6.9444444444444447E-4</v>
      </c>
    </row>
    <row r="114" spans="2:16" s="101" customFormat="1" ht="54" customHeight="1" thickTop="1" thickBot="1" x14ac:dyDescent="0.25">
      <c r="B114" s="102" t="s">
        <v>25</v>
      </c>
      <c r="C114" s="103" t="s">
        <v>398</v>
      </c>
      <c r="D114" s="103" t="s">
        <v>399</v>
      </c>
      <c r="E114" s="104" t="s">
        <v>22</v>
      </c>
      <c r="F114" s="104" t="s">
        <v>22</v>
      </c>
      <c r="G114" s="104"/>
      <c r="H114" s="116"/>
      <c r="I114" s="94" t="s">
        <v>127</v>
      </c>
      <c r="J114" s="94" t="s">
        <v>57</v>
      </c>
      <c r="K114" s="94">
        <v>0</v>
      </c>
      <c r="L114" s="94" t="s">
        <v>400</v>
      </c>
      <c r="M114" s="94" t="s">
        <v>101</v>
      </c>
      <c r="N114" s="103">
        <v>1</v>
      </c>
      <c r="O114" s="106">
        <v>6.9444444444444447E-4</v>
      </c>
    </row>
    <row r="115" spans="2:16" s="101" customFormat="1" ht="54" customHeight="1" thickTop="1" thickBot="1" x14ac:dyDescent="0.25">
      <c r="B115" s="107" t="s">
        <v>25</v>
      </c>
      <c r="C115" s="100" t="s">
        <v>401</v>
      </c>
      <c r="D115" s="100" t="s">
        <v>402</v>
      </c>
      <c r="E115" s="108" t="s">
        <v>22</v>
      </c>
      <c r="F115" s="108" t="s">
        <v>22</v>
      </c>
      <c r="G115" s="108"/>
      <c r="H115" s="111"/>
      <c r="I115" s="94" t="s">
        <v>127</v>
      </c>
      <c r="J115" s="94" t="s">
        <v>57</v>
      </c>
      <c r="K115" s="94">
        <v>0</v>
      </c>
      <c r="L115" s="94" t="s">
        <v>403</v>
      </c>
      <c r="M115" s="94" t="s">
        <v>226</v>
      </c>
      <c r="N115" s="100">
        <v>1</v>
      </c>
      <c r="O115" s="110">
        <v>4.6296296296296293E-4</v>
      </c>
    </row>
    <row r="116" spans="2:16" s="101" customFormat="1" ht="54" customHeight="1" thickTop="1" thickBot="1" x14ac:dyDescent="0.25">
      <c r="B116" s="107" t="s">
        <v>25</v>
      </c>
      <c r="C116" s="100" t="s">
        <v>404</v>
      </c>
      <c r="D116" s="100" t="s">
        <v>405</v>
      </c>
      <c r="E116" s="108" t="s">
        <v>22</v>
      </c>
      <c r="F116" s="108" t="s">
        <v>22</v>
      </c>
      <c r="G116" s="108"/>
      <c r="H116" s="111"/>
      <c r="I116" s="94" t="s">
        <v>127</v>
      </c>
      <c r="J116" s="94" t="s">
        <v>57</v>
      </c>
      <c r="K116" s="94">
        <v>0</v>
      </c>
      <c r="L116" s="94" t="s">
        <v>406</v>
      </c>
      <c r="M116" s="94" t="s">
        <v>226</v>
      </c>
      <c r="N116" s="100">
        <v>1</v>
      </c>
      <c r="O116" s="110">
        <v>6.9444444444444447E-4</v>
      </c>
    </row>
    <row r="117" spans="2:16" s="101" customFormat="1" ht="54" customHeight="1" thickTop="1" thickBot="1" x14ac:dyDescent="0.25">
      <c r="B117" s="107" t="s">
        <v>25</v>
      </c>
      <c r="C117" s="100" t="s">
        <v>407</v>
      </c>
      <c r="D117" s="100" t="s">
        <v>408</v>
      </c>
      <c r="E117" s="108" t="s">
        <v>22</v>
      </c>
      <c r="F117" s="108" t="s">
        <v>22</v>
      </c>
      <c r="G117" s="108"/>
      <c r="H117" s="111"/>
      <c r="I117" s="94" t="s">
        <v>127</v>
      </c>
      <c r="J117" s="94" t="s">
        <v>57</v>
      </c>
      <c r="K117" s="94">
        <v>0</v>
      </c>
      <c r="L117" s="94" t="s">
        <v>409</v>
      </c>
      <c r="M117" s="94" t="s">
        <v>802</v>
      </c>
      <c r="N117" s="100">
        <v>1</v>
      </c>
      <c r="O117" s="110">
        <v>6.9444444444444447E-4</v>
      </c>
    </row>
    <row r="118" spans="2:16" s="101" customFormat="1" ht="54" customHeight="1" thickTop="1" thickBot="1" x14ac:dyDescent="0.25">
      <c r="B118" s="107" t="s">
        <v>25</v>
      </c>
      <c r="C118" s="100" t="s">
        <v>410</v>
      </c>
      <c r="D118" s="100" t="s">
        <v>411</v>
      </c>
      <c r="E118" s="108" t="s">
        <v>22</v>
      </c>
      <c r="F118" s="108" t="s">
        <v>22</v>
      </c>
      <c r="G118" s="108"/>
      <c r="H118" s="111"/>
      <c r="I118" s="94" t="s">
        <v>127</v>
      </c>
      <c r="J118" s="94" t="s">
        <v>57</v>
      </c>
      <c r="K118" s="94">
        <v>0</v>
      </c>
      <c r="L118" s="94" t="s">
        <v>412</v>
      </c>
      <c r="M118" s="94" t="s">
        <v>802</v>
      </c>
      <c r="N118" s="100">
        <v>1</v>
      </c>
      <c r="O118" s="110">
        <v>6.9444444444444447E-4</v>
      </c>
    </row>
    <row r="119" spans="2:16" s="101" customFormat="1" ht="54" customHeight="1" thickTop="1" thickBot="1" x14ac:dyDescent="0.25">
      <c r="B119" s="107" t="s">
        <v>25</v>
      </c>
      <c r="C119" s="100" t="s">
        <v>413</v>
      </c>
      <c r="D119" s="100" t="s">
        <v>414</v>
      </c>
      <c r="E119" s="108" t="s">
        <v>22</v>
      </c>
      <c r="F119" s="108" t="s">
        <v>22</v>
      </c>
      <c r="G119" s="108"/>
      <c r="H119" s="111"/>
      <c r="I119" s="94" t="s">
        <v>127</v>
      </c>
      <c r="J119" s="94" t="s">
        <v>57</v>
      </c>
      <c r="K119" s="94">
        <v>0</v>
      </c>
      <c r="L119" s="94" t="s">
        <v>415</v>
      </c>
      <c r="M119" s="94" t="s">
        <v>802</v>
      </c>
      <c r="N119" s="100">
        <v>1</v>
      </c>
      <c r="O119" s="110">
        <v>3.4722222222222224E-4</v>
      </c>
    </row>
    <row r="120" spans="2:16" s="101" customFormat="1" ht="54" customHeight="1" thickTop="1" thickBot="1" x14ac:dyDescent="0.25">
      <c r="B120" s="107" t="s">
        <v>25</v>
      </c>
      <c r="C120" s="100" t="s">
        <v>416</v>
      </c>
      <c r="D120" s="100" t="s">
        <v>417</v>
      </c>
      <c r="E120" s="108" t="s">
        <v>22</v>
      </c>
      <c r="F120" s="108" t="s">
        <v>22</v>
      </c>
      <c r="G120" s="108"/>
      <c r="H120" s="111"/>
      <c r="I120" s="94" t="s">
        <v>127</v>
      </c>
      <c r="J120" s="94" t="s">
        <v>57</v>
      </c>
      <c r="K120" s="94">
        <v>0</v>
      </c>
      <c r="L120" s="94" t="s">
        <v>418</v>
      </c>
      <c r="M120" s="94" t="s">
        <v>226</v>
      </c>
      <c r="N120" s="100">
        <v>1</v>
      </c>
      <c r="O120" s="110">
        <v>6.9444444444444447E-4</v>
      </c>
    </row>
    <row r="121" spans="2:16" s="101" customFormat="1" ht="54" customHeight="1" thickTop="1" thickBot="1" x14ac:dyDescent="0.25">
      <c r="B121" s="107" t="s">
        <v>25</v>
      </c>
      <c r="C121" s="100" t="s">
        <v>419</v>
      </c>
      <c r="D121" s="100" t="s">
        <v>420</v>
      </c>
      <c r="E121" s="108" t="s">
        <v>22</v>
      </c>
      <c r="F121" s="108" t="s">
        <v>22</v>
      </c>
      <c r="G121" s="108"/>
      <c r="H121" s="111"/>
      <c r="I121" s="94" t="s">
        <v>127</v>
      </c>
      <c r="J121" s="94" t="s">
        <v>57</v>
      </c>
      <c r="K121" s="94">
        <v>0</v>
      </c>
      <c r="L121" s="94" t="s">
        <v>421</v>
      </c>
      <c r="M121" s="94" t="s">
        <v>226</v>
      </c>
      <c r="N121" s="100">
        <v>2</v>
      </c>
      <c r="O121" s="110">
        <v>1.0416666666666667E-3</v>
      </c>
    </row>
    <row r="122" spans="2:16" s="101" customFormat="1" ht="54" customHeight="1" thickTop="1" thickBot="1" x14ac:dyDescent="0.25">
      <c r="B122" s="107" t="s">
        <v>25</v>
      </c>
      <c r="C122" s="100" t="s">
        <v>422</v>
      </c>
      <c r="D122" s="100" t="s">
        <v>423</v>
      </c>
      <c r="E122" s="108" t="s">
        <v>22</v>
      </c>
      <c r="F122" s="108" t="s">
        <v>22</v>
      </c>
      <c r="G122" s="108"/>
      <c r="H122" s="111"/>
      <c r="I122" s="94" t="s">
        <v>127</v>
      </c>
      <c r="J122" s="94" t="s">
        <v>57</v>
      </c>
      <c r="K122" s="94">
        <v>0</v>
      </c>
      <c r="L122" s="94" t="s">
        <v>424</v>
      </c>
      <c r="M122" s="94" t="s">
        <v>226</v>
      </c>
      <c r="N122" s="100">
        <v>1</v>
      </c>
      <c r="O122" s="110">
        <v>1.0416666666666667E-3</v>
      </c>
    </row>
    <row r="123" spans="2:16" s="101" customFormat="1" ht="54" customHeight="1" thickTop="1" thickBot="1" x14ac:dyDescent="0.25">
      <c r="B123" s="107" t="s">
        <v>25</v>
      </c>
      <c r="C123" s="100" t="s">
        <v>425</v>
      </c>
      <c r="D123" s="100" t="s">
        <v>426</v>
      </c>
      <c r="E123" s="108" t="s">
        <v>22</v>
      </c>
      <c r="F123" s="108" t="s">
        <v>22</v>
      </c>
      <c r="G123" s="108"/>
      <c r="H123" s="111"/>
      <c r="I123" s="94" t="s">
        <v>127</v>
      </c>
      <c r="J123" s="94" t="s">
        <v>57</v>
      </c>
      <c r="K123" s="94">
        <v>0</v>
      </c>
      <c r="L123" s="94" t="s">
        <v>427</v>
      </c>
      <c r="M123" s="94" t="s">
        <v>117</v>
      </c>
      <c r="N123" s="100">
        <v>1</v>
      </c>
      <c r="O123" s="110">
        <v>1.0416666666666667E-3</v>
      </c>
    </row>
    <row r="124" spans="2:16" s="101" customFormat="1" ht="54" customHeight="1" thickTop="1" thickBot="1" x14ac:dyDescent="0.25">
      <c r="B124" s="107" t="s">
        <v>25</v>
      </c>
      <c r="C124" s="100" t="s">
        <v>428</v>
      </c>
      <c r="D124" s="100" t="s">
        <v>429</v>
      </c>
      <c r="E124" s="108" t="s">
        <v>22</v>
      </c>
      <c r="F124" s="108" t="s">
        <v>22</v>
      </c>
      <c r="G124" s="108"/>
      <c r="H124" s="111"/>
      <c r="I124" s="94" t="s">
        <v>84</v>
      </c>
      <c r="J124" s="94" t="s">
        <v>57</v>
      </c>
      <c r="K124" s="94">
        <v>0</v>
      </c>
      <c r="L124" s="94" t="s">
        <v>430</v>
      </c>
      <c r="M124" s="94" t="s">
        <v>801</v>
      </c>
      <c r="N124" s="100">
        <v>2</v>
      </c>
      <c r="O124" s="110">
        <v>6.9444444444444447E-4</v>
      </c>
    </row>
    <row r="125" spans="2:16" s="101" customFormat="1" ht="54" customHeight="1" thickTop="1" thickBot="1" x14ac:dyDescent="0.25">
      <c r="B125" s="107" t="s">
        <v>25</v>
      </c>
      <c r="C125" s="100" t="s">
        <v>431</v>
      </c>
      <c r="D125" s="100" t="s">
        <v>432</v>
      </c>
      <c r="E125" s="108" t="s">
        <v>22</v>
      </c>
      <c r="F125" s="108" t="s">
        <v>22</v>
      </c>
      <c r="G125" s="108"/>
      <c r="H125" s="111"/>
      <c r="I125" s="94" t="s">
        <v>84</v>
      </c>
      <c r="J125" s="94" t="s">
        <v>128</v>
      </c>
      <c r="K125" s="94">
        <v>0</v>
      </c>
      <c r="L125" s="94" t="s">
        <v>365</v>
      </c>
      <c r="M125" s="94" t="s">
        <v>101</v>
      </c>
      <c r="N125" s="100">
        <v>3</v>
      </c>
      <c r="O125" s="110">
        <v>1.736111111111111E-3</v>
      </c>
    </row>
    <row r="126" spans="2:16" s="101" customFormat="1" ht="54" customHeight="1" thickTop="1" thickBot="1" x14ac:dyDescent="0.25">
      <c r="B126" s="107" t="s">
        <v>25</v>
      </c>
      <c r="C126" s="100" t="s">
        <v>780</v>
      </c>
      <c r="D126" s="136" t="s">
        <v>434</v>
      </c>
      <c r="E126" s="108" t="s">
        <v>22</v>
      </c>
      <c r="F126" s="108" t="s">
        <v>22</v>
      </c>
      <c r="G126" s="108"/>
      <c r="H126" s="111"/>
      <c r="I126" s="94" t="s">
        <v>56</v>
      </c>
      <c r="J126" s="94" t="s">
        <v>57</v>
      </c>
      <c r="K126" s="94">
        <v>0</v>
      </c>
      <c r="L126" s="94">
        <v>0</v>
      </c>
      <c r="M126" s="94" t="s">
        <v>117</v>
      </c>
      <c r="N126" s="100">
        <v>2</v>
      </c>
      <c r="O126" s="110">
        <v>6.9444444444444447E-4</v>
      </c>
    </row>
    <row r="127" spans="2:16" s="101" customFormat="1" ht="54" customHeight="1" thickTop="1" thickBot="1" x14ac:dyDescent="0.25">
      <c r="B127" s="112" t="s">
        <v>25</v>
      </c>
      <c r="C127" s="113" t="s">
        <v>436</v>
      </c>
      <c r="D127" s="113" t="s">
        <v>437</v>
      </c>
      <c r="E127" s="114" t="s">
        <v>22</v>
      </c>
      <c r="F127" s="114" t="s">
        <v>22</v>
      </c>
      <c r="G127" s="113"/>
      <c r="H127" s="119"/>
      <c r="I127" s="94" t="s">
        <v>56</v>
      </c>
      <c r="J127" s="94" t="s">
        <v>57</v>
      </c>
      <c r="K127" s="94">
        <v>0</v>
      </c>
      <c r="L127" s="94" t="s">
        <v>438</v>
      </c>
      <c r="M127" s="94" t="s">
        <v>800</v>
      </c>
      <c r="N127" s="113">
        <v>2</v>
      </c>
      <c r="O127" s="115">
        <v>6.9444444444444447E-4</v>
      </c>
    </row>
    <row r="128" spans="2:16" s="101" customFormat="1" ht="66" customHeight="1" thickTop="1" thickBot="1" x14ac:dyDescent="0.3">
      <c r="B128" s="120" t="s">
        <v>439</v>
      </c>
      <c r="C128" s="121" t="s">
        <v>440</v>
      </c>
      <c r="D128" s="121" t="s">
        <v>441</v>
      </c>
      <c r="E128" s="121" t="s">
        <v>22</v>
      </c>
      <c r="F128" s="121"/>
      <c r="G128" s="121"/>
      <c r="H128" s="121"/>
      <c r="I128" s="94" t="s">
        <v>84</v>
      </c>
      <c r="J128" s="94" t="s">
        <v>128</v>
      </c>
      <c r="K128" s="94">
        <v>0</v>
      </c>
      <c r="L128" s="94" t="s">
        <v>799</v>
      </c>
      <c r="M128" s="94" t="s">
        <v>798</v>
      </c>
      <c r="N128" s="122">
        <v>2</v>
      </c>
      <c r="O128" s="129">
        <v>2.0013888888888891</v>
      </c>
      <c r="P128" s="124"/>
    </row>
    <row r="129" spans="2:12" s="101" customFormat="1" ht="15.75" thickTop="1" x14ac:dyDescent="0.2">
      <c r="B129" s="125"/>
      <c r="C129" s="125"/>
      <c r="D129" s="125"/>
      <c r="E129" s="125"/>
      <c r="F129" s="125"/>
      <c r="G129" s="125"/>
      <c r="H129" s="125"/>
      <c r="I129" s="125"/>
      <c r="J129" s="125"/>
      <c r="K129" s="125"/>
      <c r="L129" s="125"/>
    </row>
    <row r="130" spans="2:12" s="101" customFormat="1" x14ac:dyDescent="0.2">
      <c r="B130" s="125"/>
      <c r="C130" s="125"/>
      <c r="D130" s="125"/>
      <c r="E130" s="125"/>
      <c r="F130" s="125"/>
      <c r="G130" s="125"/>
      <c r="H130" s="125"/>
      <c r="I130" s="125"/>
      <c r="J130" s="125"/>
      <c r="K130" s="125"/>
      <c r="L130" s="125"/>
    </row>
    <row r="131" spans="2:12" s="101" customFormat="1" x14ac:dyDescent="0.2">
      <c r="B131" s="125"/>
      <c r="C131" s="125"/>
      <c r="D131" s="125"/>
      <c r="E131" s="125"/>
      <c r="F131" s="125"/>
      <c r="G131" s="125"/>
      <c r="H131" s="125"/>
      <c r="I131" s="125"/>
      <c r="J131" s="125"/>
      <c r="K131" s="125"/>
      <c r="L131" s="125"/>
    </row>
    <row r="132" spans="2:12" s="101" customFormat="1" x14ac:dyDescent="0.2">
      <c r="B132" s="125"/>
      <c r="C132" s="125"/>
      <c r="D132" s="125"/>
      <c r="E132" s="125"/>
      <c r="F132" s="125"/>
      <c r="G132" s="125"/>
      <c r="H132" s="125"/>
      <c r="I132" s="125"/>
      <c r="J132" s="125"/>
      <c r="K132" s="125"/>
      <c r="L132" s="125"/>
    </row>
    <row r="133" spans="2:12" s="101" customFormat="1" x14ac:dyDescent="0.2">
      <c r="B133" s="125"/>
      <c r="C133" s="125"/>
      <c r="D133" s="125"/>
      <c r="E133" s="125"/>
      <c r="F133" s="125"/>
      <c r="G133" s="125"/>
      <c r="H133" s="125"/>
      <c r="I133" s="125"/>
      <c r="J133" s="125"/>
      <c r="K133" s="125"/>
      <c r="L133" s="125"/>
    </row>
    <row r="134" spans="2:12" s="101" customFormat="1" x14ac:dyDescent="0.2">
      <c r="B134" s="125"/>
      <c r="C134" s="125"/>
      <c r="D134" s="125"/>
      <c r="E134" s="125"/>
      <c r="F134" s="125"/>
      <c r="G134" s="125"/>
      <c r="H134" s="125"/>
      <c r="I134" s="125"/>
      <c r="J134" s="125"/>
      <c r="K134" s="125"/>
      <c r="L134" s="125"/>
    </row>
    <row r="135" spans="2:12" s="101" customFormat="1" x14ac:dyDescent="0.2">
      <c r="B135" s="125"/>
      <c r="C135" s="125"/>
      <c r="D135" s="125"/>
      <c r="E135" s="125"/>
      <c r="F135" s="125"/>
      <c r="G135" s="125"/>
      <c r="H135" s="125"/>
      <c r="I135" s="125"/>
      <c r="J135" s="125"/>
      <c r="K135" s="125"/>
      <c r="L135" s="125"/>
    </row>
    <row r="136" spans="2:12" s="101" customFormat="1" x14ac:dyDescent="0.2">
      <c r="B136" s="125"/>
      <c r="C136" s="125"/>
      <c r="D136" s="125"/>
      <c r="E136" s="125"/>
      <c r="F136" s="125"/>
      <c r="G136" s="125"/>
      <c r="H136" s="125"/>
      <c r="I136" s="125"/>
      <c r="J136" s="125"/>
      <c r="K136" s="125"/>
      <c r="L136" s="125"/>
    </row>
    <row r="137" spans="2:12" s="101" customFormat="1" x14ac:dyDescent="0.2">
      <c r="B137" s="125"/>
      <c r="C137" s="125"/>
      <c r="D137" s="125"/>
      <c r="E137" s="125"/>
      <c r="F137" s="125"/>
      <c r="G137" s="125"/>
      <c r="H137" s="125"/>
      <c r="I137" s="125"/>
      <c r="J137" s="125"/>
      <c r="K137" s="125"/>
      <c r="L137" s="125"/>
    </row>
    <row r="138" spans="2:12" s="101" customFormat="1" x14ac:dyDescent="0.2">
      <c r="B138" s="125"/>
      <c r="C138" s="125"/>
      <c r="D138" s="125"/>
      <c r="E138" s="125"/>
      <c r="F138" s="125"/>
      <c r="G138" s="125"/>
      <c r="H138" s="125"/>
      <c r="I138" s="125"/>
      <c r="J138" s="125"/>
      <c r="K138" s="125"/>
      <c r="L138" s="125"/>
    </row>
    <row r="139" spans="2:12" s="101" customFormat="1" x14ac:dyDescent="0.2">
      <c r="B139" s="125"/>
      <c r="C139" s="125"/>
      <c r="D139" s="125"/>
      <c r="E139" s="125"/>
      <c r="F139" s="125"/>
      <c r="G139" s="125"/>
      <c r="H139" s="125"/>
      <c r="I139" s="125"/>
      <c r="J139" s="125"/>
      <c r="K139" s="125"/>
      <c r="L139" s="125"/>
    </row>
    <row r="140" spans="2:12" s="101" customFormat="1" x14ac:dyDescent="0.2">
      <c r="B140" s="125"/>
      <c r="C140" s="125"/>
      <c r="D140" s="125"/>
      <c r="E140" s="125"/>
      <c r="F140" s="125"/>
      <c r="G140" s="125"/>
      <c r="H140" s="125"/>
      <c r="I140" s="125"/>
      <c r="J140" s="125"/>
      <c r="K140" s="125"/>
      <c r="L140" s="125"/>
    </row>
    <row r="141" spans="2:12" s="101" customFormat="1" x14ac:dyDescent="0.2">
      <c r="B141" s="125"/>
      <c r="C141" s="125"/>
      <c r="D141" s="125"/>
      <c r="E141" s="125"/>
      <c r="F141" s="125"/>
      <c r="G141" s="125"/>
      <c r="H141" s="125"/>
      <c r="I141" s="125"/>
      <c r="J141" s="125"/>
      <c r="K141" s="125"/>
      <c r="L141" s="125"/>
    </row>
    <row r="142" spans="2:12" s="101" customFormat="1" x14ac:dyDescent="0.2">
      <c r="B142" s="125"/>
      <c r="C142" s="125"/>
      <c r="D142" s="125"/>
      <c r="E142" s="125"/>
      <c r="F142" s="125"/>
      <c r="G142" s="125"/>
      <c r="H142" s="125"/>
      <c r="I142" s="125"/>
      <c r="J142" s="125"/>
      <c r="K142" s="125"/>
      <c r="L142" s="125"/>
    </row>
    <row r="143" spans="2:12" s="101" customFormat="1" x14ac:dyDescent="0.2">
      <c r="B143" s="125"/>
      <c r="C143" s="125"/>
      <c r="D143" s="125"/>
      <c r="E143" s="125"/>
      <c r="F143" s="125"/>
      <c r="G143" s="125"/>
      <c r="H143" s="125"/>
      <c r="I143" s="125"/>
      <c r="J143" s="125"/>
      <c r="K143" s="125"/>
      <c r="L143" s="125"/>
    </row>
    <row r="144" spans="2:12" s="101" customFormat="1" x14ac:dyDescent="0.2">
      <c r="B144" s="125"/>
      <c r="C144" s="125"/>
      <c r="D144" s="125"/>
      <c r="E144" s="125"/>
      <c r="F144" s="125"/>
      <c r="G144" s="125"/>
      <c r="H144" s="125"/>
      <c r="I144" s="125"/>
      <c r="J144" s="125"/>
      <c r="K144" s="125"/>
      <c r="L144" s="125"/>
    </row>
    <row r="145" spans="2:12" s="101" customFormat="1" x14ac:dyDescent="0.2">
      <c r="B145" s="125"/>
      <c r="C145" s="125"/>
      <c r="D145" s="125"/>
      <c r="E145" s="125"/>
      <c r="F145" s="125"/>
      <c r="G145" s="125"/>
      <c r="H145" s="125"/>
      <c r="I145" s="125"/>
      <c r="J145" s="125"/>
      <c r="K145" s="125"/>
      <c r="L145" s="125"/>
    </row>
    <row r="146" spans="2:12" s="101" customFormat="1" x14ac:dyDescent="0.2">
      <c r="B146" s="125"/>
      <c r="C146" s="125"/>
      <c r="D146" s="125"/>
      <c r="E146" s="125"/>
      <c r="F146" s="125"/>
      <c r="G146" s="125"/>
      <c r="H146" s="125"/>
      <c r="I146" s="125"/>
      <c r="J146" s="125"/>
      <c r="K146" s="125"/>
      <c r="L146" s="125"/>
    </row>
    <row r="147" spans="2:12" s="101" customFormat="1" x14ac:dyDescent="0.2">
      <c r="B147" s="125"/>
      <c r="C147" s="125"/>
      <c r="D147" s="125"/>
      <c r="E147" s="125"/>
      <c r="F147" s="125"/>
      <c r="G147" s="125"/>
      <c r="H147" s="125"/>
      <c r="I147" s="125"/>
      <c r="J147" s="125"/>
      <c r="K147" s="125"/>
      <c r="L147" s="125"/>
    </row>
    <row r="148" spans="2:12" s="101" customFormat="1" x14ac:dyDescent="0.2">
      <c r="B148" s="125"/>
      <c r="C148" s="125"/>
      <c r="D148" s="125"/>
      <c r="E148" s="125"/>
      <c r="F148" s="125"/>
      <c r="G148" s="125"/>
      <c r="H148" s="125"/>
      <c r="I148" s="125"/>
      <c r="J148" s="125"/>
      <c r="K148" s="125"/>
      <c r="L148" s="125"/>
    </row>
    <row r="149" spans="2:12" s="101" customFormat="1" x14ac:dyDescent="0.2">
      <c r="B149" s="125"/>
      <c r="C149" s="125"/>
      <c r="D149" s="125"/>
      <c r="E149" s="125"/>
      <c r="F149" s="125"/>
      <c r="G149" s="125"/>
      <c r="H149" s="125"/>
      <c r="I149" s="125"/>
      <c r="J149" s="125"/>
      <c r="K149" s="125"/>
      <c r="L149" s="125"/>
    </row>
    <row r="150" spans="2:12" s="101" customFormat="1" x14ac:dyDescent="0.2">
      <c r="B150" s="125"/>
      <c r="C150" s="125"/>
      <c r="D150" s="125"/>
      <c r="E150" s="125"/>
      <c r="F150" s="125"/>
      <c r="G150" s="125"/>
      <c r="H150" s="125"/>
      <c r="I150" s="125"/>
      <c r="J150" s="125"/>
      <c r="K150" s="125"/>
      <c r="L150" s="125"/>
    </row>
    <row r="151" spans="2:12" s="101" customFormat="1" x14ac:dyDescent="0.2">
      <c r="B151" s="125"/>
      <c r="C151" s="125"/>
      <c r="D151" s="125"/>
      <c r="E151" s="125"/>
      <c r="F151" s="125"/>
      <c r="G151" s="125"/>
      <c r="H151" s="125"/>
      <c r="I151" s="125"/>
      <c r="J151" s="125"/>
      <c r="K151" s="125"/>
      <c r="L151" s="125"/>
    </row>
    <row r="152" spans="2:12" s="101" customFormat="1" x14ac:dyDescent="0.2">
      <c r="B152" s="125"/>
      <c r="C152" s="125"/>
      <c r="D152" s="125"/>
      <c r="E152" s="125"/>
      <c r="F152" s="125"/>
      <c r="G152" s="125"/>
      <c r="H152" s="125"/>
      <c r="I152" s="125"/>
      <c r="J152" s="125"/>
      <c r="K152" s="125"/>
      <c r="L152" s="125"/>
    </row>
    <row r="153" spans="2:12" s="101" customFormat="1" x14ac:dyDescent="0.2">
      <c r="B153" s="125"/>
      <c r="C153" s="125"/>
      <c r="D153" s="125"/>
      <c r="E153" s="125"/>
      <c r="F153" s="125"/>
      <c r="G153" s="125"/>
      <c r="H153" s="125"/>
      <c r="I153" s="125"/>
      <c r="J153" s="125"/>
      <c r="K153" s="125"/>
      <c r="L153" s="125"/>
    </row>
    <row r="154" spans="2:12" s="101" customFormat="1" x14ac:dyDescent="0.2">
      <c r="B154" s="125"/>
      <c r="C154" s="125"/>
      <c r="D154" s="125"/>
      <c r="E154" s="125"/>
      <c r="F154" s="125"/>
      <c r="G154" s="125"/>
      <c r="H154" s="125"/>
      <c r="I154" s="125"/>
      <c r="J154" s="125"/>
      <c r="K154" s="125"/>
      <c r="L154" s="125"/>
    </row>
    <row r="155" spans="2:12" s="101" customFormat="1" x14ac:dyDescent="0.2">
      <c r="B155" s="125"/>
      <c r="C155" s="125"/>
      <c r="D155" s="125"/>
      <c r="E155" s="125"/>
      <c r="F155" s="125"/>
      <c r="G155" s="125"/>
      <c r="H155" s="125"/>
      <c r="I155" s="125"/>
      <c r="J155" s="125"/>
      <c r="K155" s="125"/>
      <c r="L155" s="125"/>
    </row>
    <row r="156" spans="2:12" s="101" customFormat="1" x14ac:dyDescent="0.2">
      <c r="B156" s="125"/>
      <c r="C156" s="125"/>
      <c r="D156" s="125"/>
      <c r="E156" s="125"/>
      <c r="F156" s="125"/>
      <c r="G156" s="125"/>
      <c r="H156" s="125"/>
      <c r="I156" s="125"/>
      <c r="J156" s="125"/>
      <c r="K156" s="125"/>
      <c r="L156" s="125"/>
    </row>
    <row r="157" spans="2:12" s="101" customFormat="1" x14ac:dyDescent="0.2">
      <c r="B157" s="125"/>
      <c r="C157" s="125"/>
      <c r="D157" s="125"/>
      <c r="E157" s="125"/>
      <c r="F157" s="125"/>
      <c r="G157" s="125"/>
      <c r="H157" s="125"/>
      <c r="I157" s="125"/>
      <c r="J157" s="125"/>
      <c r="K157" s="125"/>
      <c r="L157" s="125"/>
    </row>
    <row r="158" spans="2:12" s="101" customFormat="1" x14ac:dyDescent="0.2">
      <c r="B158" s="125"/>
      <c r="C158" s="125"/>
      <c r="D158" s="125"/>
      <c r="E158" s="125"/>
      <c r="F158" s="125"/>
      <c r="G158" s="125"/>
      <c r="H158" s="125"/>
      <c r="I158" s="125"/>
      <c r="J158" s="125"/>
      <c r="K158" s="125"/>
      <c r="L158" s="125"/>
    </row>
    <row r="159" spans="2:12" s="101" customFormat="1" x14ac:dyDescent="0.2">
      <c r="B159" s="125"/>
      <c r="C159" s="125"/>
      <c r="D159" s="125"/>
      <c r="E159" s="125"/>
      <c r="F159" s="125"/>
      <c r="G159" s="125"/>
      <c r="H159" s="125"/>
      <c r="I159" s="125"/>
      <c r="J159" s="125"/>
      <c r="K159" s="125"/>
      <c r="L159" s="125"/>
    </row>
    <row r="160" spans="2:12" s="101" customFormat="1" x14ac:dyDescent="0.2">
      <c r="B160" s="125"/>
      <c r="C160" s="125"/>
      <c r="D160" s="125"/>
      <c r="E160" s="125"/>
      <c r="F160" s="125"/>
      <c r="G160" s="125"/>
      <c r="H160" s="125"/>
      <c r="I160" s="125"/>
      <c r="J160" s="125"/>
      <c r="K160" s="125"/>
      <c r="L160" s="125"/>
    </row>
    <row r="161" spans="2:12" s="101" customFormat="1" x14ac:dyDescent="0.2">
      <c r="B161" s="125"/>
      <c r="C161" s="125"/>
      <c r="D161" s="125"/>
      <c r="E161" s="125"/>
      <c r="F161" s="125"/>
      <c r="G161" s="125"/>
      <c r="H161" s="125"/>
      <c r="I161" s="125"/>
      <c r="J161" s="125"/>
      <c r="K161" s="125"/>
      <c r="L161" s="125"/>
    </row>
    <row r="162" spans="2:12" s="101" customFormat="1" x14ac:dyDescent="0.2">
      <c r="B162" s="125"/>
      <c r="C162" s="125"/>
      <c r="D162" s="125"/>
      <c r="E162" s="125"/>
      <c r="F162" s="125"/>
      <c r="G162" s="125"/>
      <c r="H162" s="125"/>
      <c r="I162" s="125"/>
      <c r="J162" s="125"/>
      <c r="K162" s="125"/>
      <c r="L162" s="125"/>
    </row>
    <row r="163" spans="2:12" s="101" customFormat="1" x14ac:dyDescent="0.2">
      <c r="B163" s="125"/>
      <c r="C163" s="125"/>
      <c r="D163" s="125"/>
      <c r="E163" s="125"/>
      <c r="F163" s="125"/>
      <c r="G163" s="125"/>
      <c r="H163" s="125"/>
      <c r="I163" s="125"/>
      <c r="J163" s="125"/>
      <c r="K163" s="125"/>
      <c r="L163" s="125"/>
    </row>
    <row r="164" spans="2:12" s="101" customFormat="1" x14ac:dyDescent="0.2">
      <c r="B164" s="125"/>
      <c r="C164" s="125"/>
      <c r="D164" s="125"/>
      <c r="E164" s="125"/>
      <c r="F164" s="125"/>
      <c r="G164" s="125"/>
      <c r="H164" s="125"/>
      <c r="I164" s="125"/>
      <c r="J164" s="125"/>
      <c r="K164" s="125"/>
      <c r="L164" s="125"/>
    </row>
    <row r="165" spans="2:12" s="101" customFormat="1" x14ac:dyDescent="0.2">
      <c r="B165" s="125"/>
      <c r="C165" s="125"/>
      <c r="D165" s="125"/>
      <c r="E165" s="125"/>
      <c r="F165" s="125"/>
      <c r="G165" s="125"/>
      <c r="H165" s="125"/>
      <c r="I165" s="125"/>
      <c r="J165" s="125"/>
      <c r="K165" s="125"/>
      <c r="L165" s="125"/>
    </row>
    <row r="166" spans="2:12" s="101" customFormat="1" x14ac:dyDescent="0.2">
      <c r="B166" s="125"/>
      <c r="C166" s="125"/>
      <c r="D166" s="125"/>
      <c r="E166" s="125"/>
      <c r="F166" s="125"/>
      <c r="G166" s="125"/>
      <c r="H166" s="125"/>
      <c r="I166" s="125"/>
      <c r="J166" s="125"/>
      <c r="K166" s="125"/>
      <c r="L166" s="125"/>
    </row>
    <row r="167" spans="2:12" s="101" customFormat="1" x14ac:dyDescent="0.2">
      <c r="B167" s="125"/>
      <c r="C167" s="125"/>
      <c r="D167" s="125"/>
      <c r="E167" s="125"/>
      <c r="F167" s="125"/>
      <c r="G167" s="125"/>
      <c r="H167" s="125"/>
      <c r="I167" s="125"/>
      <c r="J167" s="125"/>
      <c r="K167" s="125"/>
      <c r="L167" s="125"/>
    </row>
    <row r="168" spans="2:12" s="101" customFormat="1" x14ac:dyDescent="0.2">
      <c r="B168" s="125"/>
      <c r="C168" s="125"/>
      <c r="D168" s="125"/>
      <c r="E168" s="125"/>
      <c r="F168" s="125"/>
      <c r="G168" s="125"/>
      <c r="H168" s="125"/>
      <c r="I168" s="125"/>
      <c r="J168" s="125"/>
      <c r="K168" s="125"/>
      <c r="L168" s="125"/>
    </row>
    <row r="169" spans="2:12" s="101" customFormat="1" x14ac:dyDescent="0.2">
      <c r="B169" s="125"/>
      <c r="C169" s="125"/>
      <c r="D169" s="125"/>
      <c r="E169" s="125"/>
      <c r="F169" s="125"/>
      <c r="G169" s="125"/>
      <c r="H169" s="125"/>
      <c r="I169" s="125"/>
      <c r="J169" s="125"/>
      <c r="K169" s="125"/>
      <c r="L169" s="125"/>
    </row>
    <row r="170" spans="2:12" s="101" customFormat="1" x14ac:dyDescent="0.2">
      <c r="B170" s="125"/>
      <c r="C170" s="125"/>
      <c r="D170" s="125"/>
      <c r="E170" s="125"/>
      <c r="F170" s="125"/>
      <c r="G170" s="125"/>
      <c r="H170" s="125"/>
      <c r="I170" s="125"/>
      <c r="J170" s="125"/>
      <c r="K170" s="125"/>
      <c r="L170" s="125"/>
    </row>
    <row r="171" spans="2:12" s="101" customFormat="1" x14ac:dyDescent="0.2">
      <c r="B171" s="125"/>
      <c r="C171" s="125"/>
      <c r="D171" s="125"/>
      <c r="E171" s="125"/>
      <c r="F171" s="125"/>
      <c r="G171" s="125"/>
      <c r="H171" s="125"/>
      <c r="I171" s="125"/>
      <c r="J171" s="125"/>
      <c r="K171" s="125"/>
      <c r="L171" s="125"/>
    </row>
    <row r="172" spans="2:12" s="101" customFormat="1" x14ac:dyDescent="0.2">
      <c r="B172" s="125"/>
      <c r="C172" s="125"/>
      <c r="D172" s="125"/>
      <c r="E172" s="125"/>
      <c r="F172" s="125"/>
      <c r="G172" s="125"/>
      <c r="H172" s="125"/>
      <c r="I172" s="125"/>
      <c r="J172" s="125"/>
      <c r="K172" s="125"/>
      <c r="L172" s="125"/>
    </row>
    <row r="173" spans="2:12" s="101" customFormat="1" x14ac:dyDescent="0.2">
      <c r="B173" s="125"/>
      <c r="C173" s="125"/>
      <c r="D173" s="125"/>
      <c r="E173" s="125"/>
      <c r="F173" s="125"/>
      <c r="G173" s="125"/>
      <c r="H173" s="125"/>
      <c r="I173" s="125"/>
      <c r="J173" s="125"/>
      <c r="K173" s="125"/>
      <c r="L173" s="125"/>
    </row>
    <row r="174" spans="2:12" s="101" customFormat="1" x14ac:dyDescent="0.2">
      <c r="B174" s="125"/>
      <c r="C174" s="125"/>
      <c r="D174" s="125"/>
      <c r="E174" s="125"/>
      <c r="F174" s="125"/>
      <c r="G174" s="125"/>
      <c r="H174" s="125"/>
      <c r="I174" s="125"/>
      <c r="J174" s="125"/>
      <c r="K174" s="125"/>
      <c r="L174" s="125"/>
    </row>
    <row r="175" spans="2:12" s="101" customFormat="1" x14ac:dyDescent="0.2">
      <c r="B175" s="125"/>
      <c r="C175" s="125"/>
      <c r="D175" s="125"/>
      <c r="E175" s="125"/>
      <c r="F175" s="125"/>
      <c r="G175" s="125"/>
      <c r="H175" s="125"/>
      <c r="I175" s="125"/>
      <c r="J175" s="125"/>
      <c r="K175" s="125"/>
      <c r="L175" s="125"/>
    </row>
    <row r="176" spans="2:12" s="101" customFormat="1" x14ac:dyDescent="0.2">
      <c r="B176" s="125"/>
      <c r="C176" s="125"/>
      <c r="D176" s="125"/>
      <c r="E176" s="125"/>
      <c r="F176" s="125"/>
      <c r="G176" s="125"/>
      <c r="H176" s="125"/>
      <c r="I176" s="125"/>
      <c r="J176" s="125"/>
      <c r="K176" s="125"/>
      <c r="L176" s="125"/>
    </row>
    <row r="177" spans="2:12" s="101" customFormat="1" x14ac:dyDescent="0.2">
      <c r="B177" s="125"/>
      <c r="C177" s="125"/>
      <c r="D177" s="125"/>
      <c r="E177" s="125"/>
      <c r="F177" s="125"/>
      <c r="G177" s="125"/>
      <c r="H177" s="125"/>
      <c r="I177" s="125"/>
      <c r="J177" s="125"/>
      <c r="K177" s="125"/>
      <c r="L177" s="125"/>
    </row>
    <row r="178" spans="2:12" s="101" customFormat="1" x14ac:dyDescent="0.2">
      <c r="B178" s="125"/>
      <c r="C178" s="125"/>
      <c r="D178" s="125"/>
      <c r="E178" s="125"/>
      <c r="F178" s="125"/>
      <c r="G178" s="125"/>
      <c r="H178" s="125"/>
      <c r="I178" s="125"/>
      <c r="J178" s="125"/>
      <c r="K178" s="125"/>
      <c r="L178" s="125"/>
    </row>
    <row r="179" spans="2:12" s="101" customFormat="1" x14ac:dyDescent="0.2">
      <c r="B179" s="125"/>
      <c r="C179" s="125"/>
      <c r="D179" s="125"/>
      <c r="E179" s="125"/>
      <c r="F179" s="125"/>
      <c r="G179" s="125"/>
      <c r="H179" s="125"/>
      <c r="I179" s="125"/>
      <c r="J179" s="125"/>
      <c r="K179" s="125"/>
      <c r="L179" s="125"/>
    </row>
    <row r="180" spans="2:12" s="101" customFormat="1" x14ac:dyDescent="0.2">
      <c r="B180" s="125"/>
      <c r="C180" s="125"/>
      <c r="D180" s="125"/>
      <c r="E180" s="125"/>
      <c r="F180" s="125"/>
      <c r="G180" s="125"/>
      <c r="H180" s="125"/>
      <c r="I180" s="125"/>
      <c r="J180" s="125"/>
      <c r="K180" s="125"/>
      <c r="L180" s="125"/>
    </row>
  </sheetData>
  <autoFilter ref="B2:L128" xr:uid="{F5BC406C-4D90-4E19-84BD-6ED882AB24B3}"/>
  <phoneticPr fontId="8" type="noConversion"/>
  <conditionalFormatting sqref="C3:F19 C20:D22 G49:H49 G52:H53 G61:H73 G58:H58 G82:H82 G85:H85 G78:H80 G55:H55 G112:H127 G88:H91 G109:H110 G34:H44 G26:H29 C41:D51 G93:H107 N26:O127 G4:H22 G3:M3 I4:M128 C127:D127 C126 C114:D125 C113 C107:D112 C106 C90:D105 C80:D88 C79 C64:D78 C63 C53:D62 C52">
    <cfRule type="expression" dxfId="100" priority="113">
      <formula>AND(OR($F3="No",$F3=""), $E3= "Yes",$G3&lt;&gt;"",$H3&lt;&gt;"")</formula>
    </cfRule>
  </conditionalFormatting>
  <conditionalFormatting sqref="C26:D26 C35:D40 E21:F21">
    <cfRule type="expression" dxfId="99" priority="114">
      <formula>AND(OR($F22="No",$F22=""), $E21= "Yes",$G21&lt;&gt;"",$H21&lt;&gt;"")</formula>
    </cfRule>
  </conditionalFormatting>
  <conditionalFormatting sqref="C27:D34">
    <cfRule type="expression" dxfId="98" priority="112">
      <formula>AND(OR($F28="No",$F28=""), $E27= "Yes",$G27&lt;&gt;"",$H27&lt;&gt;"")</formula>
    </cfRule>
  </conditionalFormatting>
  <conditionalFormatting sqref="E26:F29 E49:F49 E46:E47 E52:F53 E61:F73 E58:F58 E82:F82 E85:F85 E78:F80 E55:F55 E112:F127 E88:F91 E109:F110 E34:F44 E93:F107">
    <cfRule type="expression" dxfId="97" priority="110">
      <formula>AND(OR($F26="No",$F26=""), $E26= "Yes",$G26&lt;&gt;"",$H26&lt;&gt;"")</formula>
    </cfRule>
    <cfRule type="expression" dxfId="96" priority="111">
      <formula>AND(OR($E26="No",$E26=""), $F26= "Yes",$G26&lt;&gt;"",$H26&lt;&gt;"")</formula>
    </cfRule>
  </conditionalFormatting>
  <conditionalFormatting sqref="E20:F20">
    <cfRule type="expression" dxfId="95" priority="109">
      <formula>AND(OR($F21="No",$F21=""), $E20= "Yes",$G20&lt;&gt;"",$H20&lt;&gt;"")</formula>
    </cfRule>
  </conditionalFormatting>
  <conditionalFormatting sqref="G46:H47">
    <cfRule type="expression" dxfId="94" priority="105">
      <formula>AND(OR($F46="No",$F46=""), $E46= "Yes",$G46&lt;&gt;"",$H46&lt;&gt;"")</formula>
    </cfRule>
  </conditionalFormatting>
  <conditionalFormatting sqref="F46:F47">
    <cfRule type="expression" dxfId="93" priority="103">
      <formula>AND(OR($F46="No",$F46=""), $E46= "Yes",$G46&lt;&gt;"",$H46&lt;&gt;"")</formula>
    </cfRule>
    <cfRule type="expression" dxfId="92" priority="104">
      <formula>AND(OR($E46="No",$E46=""), $F46= "Yes",$G46&lt;&gt;"",$H46&lt;&gt;"")</formula>
    </cfRule>
  </conditionalFormatting>
  <conditionalFormatting sqref="G50:H50">
    <cfRule type="expression" dxfId="91" priority="100">
      <formula>AND(OR($F50="No",$F50=""), $E50= "Yes",$G50&lt;&gt;"",$H50&lt;&gt;"")</formula>
    </cfRule>
  </conditionalFormatting>
  <conditionalFormatting sqref="E50:F50">
    <cfRule type="expression" dxfId="90" priority="98">
      <formula>AND(OR($F50="No",$F50=""), $E50= "Yes",$G50&lt;&gt;"",$H50&lt;&gt;"")</formula>
    </cfRule>
    <cfRule type="expression" dxfId="89" priority="99">
      <formula>AND(OR($E50="No",$E50=""), $F50= "Yes",$G50&lt;&gt;"",$H50&lt;&gt;"")</formula>
    </cfRule>
  </conditionalFormatting>
  <conditionalFormatting sqref="G51:H51">
    <cfRule type="expression" dxfId="88" priority="97">
      <formula>AND(OR($F51="No",$F51=""), $E51= "Yes",$G51&lt;&gt;"",$H51&lt;&gt;"")</formula>
    </cfRule>
  </conditionalFormatting>
  <conditionalFormatting sqref="G59:H59">
    <cfRule type="expression" dxfId="87" priority="94">
      <formula>AND(OR($F59="No",$F59=""), $E59= "Yes",$G59&lt;&gt;"",$H59&lt;&gt;"")</formula>
    </cfRule>
  </conditionalFormatting>
  <conditionalFormatting sqref="E59:F59">
    <cfRule type="expression" dxfId="86" priority="92">
      <formula>AND(OR($F59="No",$F59=""), $E59= "Yes",$G59&lt;&gt;"",$H59&lt;&gt;"")</formula>
    </cfRule>
    <cfRule type="expression" dxfId="85" priority="93">
      <formula>AND(OR($E59="No",$E59=""), $F59= "Yes",$G59&lt;&gt;"",$H59&lt;&gt;"")</formula>
    </cfRule>
  </conditionalFormatting>
  <conditionalFormatting sqref="G57:H57">
    <cfRule type="expression" dxfId="84" priority="91">
      <formula>AND(OR($F57="No",$F57=""), $E57= "Yes",$G57&lt;&gt;"",$H57&lt;&gt;"")</formula>
    </cfRule>
  </conditionalFormatting>
  <conditionalFormatting sqref="E57:F57">
    <cfRule type="expression" dxfId="83" priority="89">
      <formula>AND(OR($F57="No",$F57=""), $E57= "Yes",$G57&lt;&gt;"",$H57&lt;&gt;"")</formula>
    </cfRule>
    <cfRule type="expression" dxfId="82" priority="90">
      <formula>AND(OR($E57="No",$E57=""), $F57= "Yes",$G57&lt;&gt;"",$H57&lt;&gt;"")</formula>
    </cfRule>
  </conditionalFormatting>
  <conditionalFormatting sqref="G77:H77">
    <cfRule type="expression" dxfId="81" priority="82">
      <formula>AND(OR($F77="No",$F77=""), $E77= "Yes",$G77&lt;&gt;"",$H77&lt;&gt;"")</formula>
    </cfRule>
  </conditionalFormatting>
  <conditionalFormatting sqref="G76:H76">
    <cfRule type="expression" dxfId="80" priority="79">
      <formula>AND(OR($F76="No",$F76=""), $E76= "Yes",$G76&lt;&gt;"",$H76&lt;&gt;"")</formula>
    </cfRule>
  </conditionalFormatting>
  <conditionalFormatting sqref="G75:H75">
    <cfRule type="expression" dxfId="79" priority="76">
      <formula>AND(OR($F75="No",$F75=""), $E75= "Yes",$G75&lt;&gt;"",$H75&lt;&gt;"")</formula>
    </cfRule>
  </conditionalFormatting>
  <conditionalFormatting sqref="G74:H74">
    <cfRule type="expression" dxfId="78" priority="73">
      <formula>AND(OR($F74="No",$F74=""), $E74= "Yes",$G74&lt;&gt;"",$H74&lt;&gt;"")</formula>
    </cfRule>
  </conditionalFormatting>
  <conditionalFormatting sqref="G56:H56">
    <cfRule type="expression" dxfId="77" priority="60">
      <formula>AND(OR($F56="No",$F56=""), $E56= "Yes",$G56&lt;&gt;"",$H56&lt;&gt;"")</formula>
    </cfRule>
  </conditionalFormatting>
  <conditionalFormatting sqref="E56:F56">
    <cfRule type="expression" dxfId="76" priority="58">
      <formula>AND(OR($F56="No",$F56=""), $E56= "Yes",$G56&lt;&gt;"",$H56&lt;&gt;"")</formula>
    </cfRule>
    <cfRule type="expression" dxfId="75" priority="59">
      <formula>AND(OR($E56="No",$E56=""), $F56= "Yes",$G56&lt;&gt;"",$H56&lt;&gt;"")</formula>
    </cfRule>
  </conditionalFormatting>
  <conditionalFormatting sqref="G54:H54">
    <cfRule type="expression" dxfId="74" priority="57">
      <formula>AND(OR($F54="No",$F54=""), $E54= "Yes",$G54&lt;&gt;"",$H54&lt;&gt;"")</formula>
    </cfRule>
  </conditionalFormatting>
  <conditionalFormatting sqref="E54:F54">
    <cfRule type="expression" dxfId="73" priority="55">
      <formula>AND(OR($F54="No",$F54=""), $E54= "Yes",$G54&lt;&gt;"",$H54&lt;&gt;"")</formula>
    </cfRule>
    <cfRule type="expression" dxfId="72" priority="56">
      <formula>AND(OR($E54="No",$E54=""), $F54= "Yes",$G54&lt;&gt;"",$H54&lt;&gt;"")</formula>
    </cfRule>
  </conditionalFormatting>
  <conditionalFormatting sqref="G111:H111">
    <cfRule type="expression" dxfId="71" priority="54">
      <formula>AND(OR($F111="No",$F111=""), $E111= "Yes",$G111&lt;&gt;"",$H111&lt;&gt;"")</formula>
    </cfRule>
  </conditionalFormatting>
  <conditionalFormatting sqref="E111:F111">
    <cfRule type="expression" dxfId="70" priority="52">
      <formula>AND(OR($F111="No",$F111=""), $E111= "Yes",$G111&lt;&gt;"",$H111&lt;&gt;"")</formula>
    </cfRule>
    <cfRule type="expression" dxfId="69" priority="53">
      <formula>AND(OR($E111="No",$E111=""), $F111= "Yes",$G111&lt;&gt;"",$H111&lt;&gt;"")</formula>
    </cfRule>
  </conditionalFormatting>
  <conditionalFormatting sqref="G87:H87">
    <cfRule type="expression" dxfId="68" priority="51">
      <formula>AND(OR($F87="No",$F87=""), $E87= "Yes",$G87&lt;&gt;"",$H87&lt;&gt;"")</formula>
    </cfRule>
  </conditionalFormatting>
  <conditionalFormatting sqref="E87:F87">
    <cfRule type="expression" dxfId="67" priority="49">
      <formula>AND(OR($F87="No",$F87=""), $E87= "Yes",$G87&lt;&gt;"",$H87&lt;&gt;"")</formula>
    </cfRule>
    <cfRule type="expression" dxfId="66" priority="50">
      <formula>AND(OR($E87="No",$E87=""), $F87= "Yes",$G87&lt;&gt;"",$H87&lt;&gt;"")</formula>
    </cfRule>
  </conditionalFormatting>
  <conditionalFormatting sqref="G108:H108">
    <cfRule type="expression" dxfId="65" priority="48">
      <formula>AND(OR($F108="No",$F108=""), $E108= "Yes",$G108&lt;&gt;"",$H108&lt;&gt;"")</formula>
    </cfRule>
  </conditionalFormatting>
  <conditionalFormatting sqref="E108:F108">
    <cfRule type="expression" dxfId="64" priority="46">
      <formula>AND(OR($F108="No",$F108=""), $E108= "Yes",$G108&lt;&gt;"",$H108&lt;&gt;"")</formula>
    </cfRule>
    <cfRule type="expression" dxfId="63" priority="47">
      <formula>AND(OR($E108="No",$E108=""), $F108= "Yes",$G108&lt;&gt;"",$H108&lt;&gt;"")</formula>
    </cfRule>
  </conditionalFormatting>
  <conditionalFormatting sqref="E51:F51">
    <cfRule type="expression" dxfId="62" priority="44">
      <formula>AND(OR($F51="No",$F51=""), $E51= "Yes",$G51&lt;&gt;"",$H51&lt;&gt;"")</formula>
    </cfRule>
    <cfRule type="expression" dxfId="61" priority="45">
      <formula>AND(OR($E51="No",$E51=""), $F51= "Yes",$G51&lt;&gt;"",$H51&lt;&gt;"")</formula>
    </cfRule>
  </conditionalFormatting>
  <conditionalFormatting sqref="E74:F77">
    <cfRule type="expression" dxfId="60" priority="42">
      <formula>AND(OR($F74="No",$F74=""), $E74= "Yes",$G74&lt;&gt;"",$H74&lt;&gt;"")</formula>
    </cfRule>
    <cfRule type="expression" dxfId="59" priority="43">
      <formula>AND(OR($E74="No",$E74=""), $F74= "Yes",$G74&lt;&gt;"",$H74&lt;&gt;"")</formula>
    </cfRule>
  </conditionalFormatting>
  <conditionalFormatting sqref="G84:H84">
    <cfRule type="expression" dxfId="58" priority="41">
      <formula>AND(OR($F84="No",$F84=""), $E84= "Yes",$G84&lt;&gt;"",$H84&lt;&gt;"")</formula>
    </cfRule>
  </conditionalFormatting>
  <conditionalFormatting sqref="E84:F84">
    <cfRule type="expression" dxfId="57" priority="39">
      <formula>AND(OR($F84="No",$F84=""), $E84= "Yes",$G84&lt;&gt;"",$H84&lt;&gt;"")</formula>
    </cfRule>
    <cfRule type="expression" dxfId="56" priority="40">
      <formula>AND(OR($E84="No",$E84=""), $F84= "Yes",$G84&lt;&gt;"",$H84&lt;&gt;"")</formula>
    </cfRule>
  </conditionalFormatting>
  <conditionalFormatting sqref="G86:H86">
    <cfRule type="expression" dxfId="55" priority="38">
      <formula>AND(OR($F86="No",$F86=""), $E86= "Yes",$G86&lt;&gt;"",$H86&lt;&gt;"")</formula>
    </cfRule>
  </conditionalFormatting>
  <conditionalFormatting sqref="E86:F86">
    <cfRule type="expression" dxfId="54" priority="36">
      <formula>AND(OR($F86="No",$F86=""), $E86= "Yes",$G86&lt;&gt;"",$H86&lt;&gt;"")</formula>
    </cfRule>
    <cfRule type="expression" dxfId="53" priority="37">
      <formula>AND(OR($E86="No",$E86=""), $F86= "Yes",$G86&lt;&gt;"",$H86&lt;&gt;"")</formula>
    </cfRule>
  </conditionalFormatting>
  <conditionalFormatting sqref="G83:H83">
    <cfRule type="expression" dxfId="52" priority="35">
      <formula>AND(OR($F83="No",$F83=""), $E83= "Yes",$G83&lt;&gt;"",$H83&lt;&gt;"")</formula>
    </cfRule>
  </conditionalFormatting>
  <conditionalFormatting sqref="E83:F83">
    <cfRule type="expression" dxfId="51" priority="33">
      <formula>AND(OR($F83="No",$F83=""), $E83= "Yes",$G83&lt;&gt;"",$H83&lt;&gt;"")</formula>
    </cfRule>
    <cfRule type="expression" dxfId="50" priority="34">
      <formula>AND(OR($E83="No",$E83=""), $F83= "Yes",$G83&lt;&gt;"",$H83&lt;&gt;"")</formula>
    </cfRule>
  </conditionalFormatting>
  <conditionalFormatting sqref="G81:H81">
    <cfRule type="expression" dxfId="49" priority="32">
      <formula>AND(OR($F81="No",$F81=""), $E81= "Yes",$G81&lt;&gt;"",$H81&lt;&gt;"")</formula>
    </cfRule>
  </conditionalFormatting>
  <conditionalFormatting sqref="E81:F81">
    <cfRule type="expression" dxfId="48" priority="30">
      <formula>AND(OR($F81="No",$F81=""), $E81= "Yes",$G81&lt;&gt;"",$H81&lt;&gt;"")</formula>
    </cfRule>
    <cfRule type="expression" dxfId="47" priority="31">
      <formula>AND(OR($E81="No",$E81=""), $F81= "Yes",$G81&lt;&gt;"",$H81&lt;&gt;"")</formula>
    </cfRule>
  </conditionalFormatting>
  <conditionalFormatting sqref="G60:H60">
    <cfRule type="expression" dxfId="46" priority="29">
      <formula>AND(OR($F60="No",$F60=""), $E60= "Yes",$G60&lt;&gt;"",$H60&lt;&gt;"")</formula>
    </cfRule>
  </conditionalFormatting>
  <conditionalFormatting sqref="E60:F60">
    <cfRule type="expression" dxfId="45" priority="27">
      <formula>AND(OR($F60="No",$F60=""), $E60= "Yes",$G60&lt;&gt;"",$H60&lt;&gt;"")</formula>
    </cfRule>
    <cfRule type="expression" dxfId="44" priority="28">
      <formula>AND(OR($E60="No",$E60=""), $F60= "Yes",$G60&lt;&gt;"",$H60&lt;&gt;"")</formula>
    </cfRule>
  </conditionalFormatting>
  <conditionalFormatting sqref="G92:H92">
    <cfRule type="expression" dxfId="43" priority="26">
      <formula>AND(OR($F92="No",$F92=""), $E92= "Yes",$G92&lt;&gt;"",$H92&lt;&gt;"")</formula>
    </cfRule>
  </conditionalFormatting>
  <conditionalFormatting sqref="E92:F92">
    <cfRule type="expression" dxfId="42" priority="24">
      <formula>AND(OR($F92="No",$F92=""), $E92= "Yes",$G92&lt;&gt;"",$H92&lt;&gt;"")</formula>
    </cfRule>
    <cfRule type="expression" dxfId="41" priority="25">
      <formula>AND(OR($E92="No",$E92=""), $F92= "Yes",$G92&lt;&gt;"",$H92&lt;&gt;"")</formula>
    </cfRule>
  </conditionalFormatting>
  <conditionalFormatting sqref="G30:H33">
    <cfRule type="expression" dxfId="40" priority="23">
      <formula>AND(OR($F30="No",$F30=""), $E30= "Yes",$G30&lt;&gt;"",$H30&lt;&gt;"")</formula>
    </cfRule>
  </conditionalFormatting>
  <conditionalFormatting sqref="E30:F33">
    <cfRule type="expression" dxfId="39" priority="21">
      <formula>AND(OR($F30="No",$F30=""), $E30= "Yes",$G30&lt;&gt;"",$H30&lt;&gt;"")</formula>
    </cfRule>
    <cfRule type="expression" dxfId="38" priority="22">
      <formula>AND(OR($E30="No",$E30=""), $F30= "Yes",$G30&lt;&gt;"",$H30&lt;&gt;"")</formula>
    </cfRule>
  </conditionalFormatting>
  <conditionalFormatting sqref="G45">
    <cfRule type="expression" dxfId="37" priority="20">
      <formula>AND(OR($F45="No",$F45=""), $E45= "Yes",$G45&lt;&gt;"",$H45&lt;&gt;"")</formula>
    </cfRule>
  </conditionalFormatting>
  <conditionalFormatting sqref="E45:F45">
    <cfRule type="expression" dxfId="36" priority="18">
      <formula>AND(OR($F45="No",$F45=""), $E45= "Yes",$G45&lt;&gt;"",$H45&lt;&gt;"")</formula>
    </cfRule>
    <cfRule type="expression" dxfId="35" priority="19">
      <formula>AND(OR($E45="No",$E45=""), $F45= "Yes",$G45&lt;&gt;"",$H45&lt;&gt;"")</formula>
    </cfRule>
  </conditionalFormatting>
  <conditionalFormatting sqref="H45">
    <cfRule type="expression" dxfId="34" priority="17">
      <formula>AND(OR($F45="No",$F45=""), $E45= "Yes",$G45&lt;&gt;"",$H45&lt;&gt;"")</formula>
    </cfRule>
  </conditionalFormatting>
  <conditionalFormatting sqref="G48">
    <cfRule type="expression" dxfId="33" priority="16">
      <formula>AND(OR($F48="No",$F48=""), $E48= "Yes",$G48&lt;&gt;"",$H48&lt;&gt;"")</formula>
    </cfRule>
  </conditionalFormatting>
  <conditionalFormatting sqref="E48:F48">
    <cfRule type="expression" dxfId="32" priority="14">
      <formula>AND(OR($F48="No",$F48=""), $E48= "Yes",$G48&lt;&gt;"",$H48&lt;&gt;"")</formula>
    </cfRule>
    <cfRule type="expression" dxfId="31" priority="15">
      <formula>AND(OR($E48="No",$E48=""), $F48= "Yes",$G48&lt;&gt;"",$H48&lt;&gt;"")</formula>
    </cfRule>
  </conditionalFormatting>
  <conditionalFormatting sqref="H48">
    <cfRule type="expression" dxfId="30" priority="13">
      <formula>AND(OR($F48="No",$F48=""), $E48= "Yes",$G48&lt;&gt;"",$H48&lt;&gt;"")</formula>
    </cfRule>
  </conditionalFormatting>
  <conditionalFormatting sqref="A2">
    <cfRule type="expression" dxfId="29" priority="11">
      <formula>AND(OR(#REF!="No",#REF!=""), #REF!= "Yes",#REF!&lt;&gt;"",#REF!&lt;&gt;"")</formula>
    </cfRule>
    <cfRule type="expression" dxfId="28" priority="12">
      <formula>AND(OR(#REF!="No",#REF!=""), #REF!= "Yes",#REF!&lt;&gt;"",#REF!&lt;&gt;"")</formula>
    </cfRule>
  </conditionalFormatting>
  <conditionalFormatting sqref="N3:O22">
    <cfRule type="expression" dxfId="27" priority="10">
      <formula>AND(OR($F3="No",$F3=""), $E3= "Yes",$G3&lt;&gt;"",$H3&lt;&gt;"")</formula>
    </cfRule>
  </conditionalFormatting>
  <conditionalFormatting sqref="N23:O25 C23:H24">
    <cfRule type="expression" dxfId="26" priority="7">
      <formula>AND(OR($E23="No",$E23=""), $D23= "Yes",$F23&lt;&gt;"",$G23&lt;&gt;"")</formula>
    </cfRule>
  </conditionalFormatting>
  <conditionalFormatting sqref="C25:D25">
    <cfRule type="expression" dxfId="25" priority="6">
      <formula>AND(OR($E25="No",$E25=""), $D25= "Yes",$F25&lt;&gt;"",$G25&lt;&gt;"")</formula>
    </cfRule>
  </conditionalFormatting>
  <conditionalFormatting sqref="E22:F22">
    <cfRule type="expression" dxfId="24" priority="257">
      <formula>AND(OR($F112="No",$F112=""), $E22= "Yes",$G22&lt;&gt;"",$H22&lt;&gt;"")</formula>
    </cfRule>
  </conditionalFormatting>
  <conditionalFormatting sqref="N128:O128">
    <cfRule type="expression" dxfId="23" priority="259">
      <formula>AND(OR($F128="No",$F128=""), $D128= "Yes",$G128&lt;&gt;"",$H128&lt;&gt;"")</formula>
    </cfRule>
  </conditionalFormatting>
  <conditionalFormatting sqref="D113">
    <cfRule type="expression" dxfId="22" priority="5">
      <formula>AND(OR($F113="No",$F113=""), $E113= "Yes",$G113&lt;&gt;"",$H113&lt;&gt;"")</formula>
    </cfRule>
  </conditionalFormatting>
  <conditionalFormatting sqref="D106">
    <cfRule type="expression" dxfId="21" priority="4">
      <formula>AND(OR($F106="No",$F106=""), $E106= "Yes",$G106&lt;&gt;"",$H106&lt;&gt;"")</formula>
    </cfRule>
  </conditionalFormatting>
  <conditionalFormatting sqref="C89:D89">
    <cfRule type="expression" dxfId="20" priority="3">
      <formula>AND(OR($F89="No",$F89=""), $E89= "Yes",$G89&lt;&gt;"",$H89&lt;&gt;"")</formula>
    </cfRule>
  </conditionalFormatting>
  <conditionalFormatting sqref="D79">
    <cfRule type="expression" dxfId="19" priority="2">
      <formula>AND(OR($F79="No",$F79=""), $E79= "Yes",$G79&lt;&gt;"",$H79&lt;&gt;"")</formula>
    </cfRule>
  </conditionalFormatting>
  <conditionalFormatting sqref="D52">
    <cfRule type="expression" dxfId="18" priority="1">
      <formula>AND(OR($F52="No",$F52=""), $E52= "Yes",$G52&lt;&gt;"",$H52&lt;&gt;"")</formula>
    </cfRule>
  </conditionalFormatting>
  <dataValidations count="1">
    <dataValidation type="list" allowBlank="1" showInputMessage="1" showErrorMessage="1" sqref="E1:F24 E26:F127" xr:uid="{477F23C0-1A49-4AE5-A936-2D546FF951C1}">
      <formula1>"Yes, No"</formula1>
    </dataValidation>
  </dataValidations>
  <pageMargins left="0.25" right="0.25" top="0.75" bottom="0.75" header="0.3" footer="0.3"/>
  <pageSetup paperSize="8"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A2" sqref="A2"/>
    </sheetView>
  </sheetViews>
  <sheetFormatPr defaultRowHeight="15" x14ac:dyDescent="0.2"/>
  <cols>
    <col min="3" max="4" width="36.21875" bestFit="1" customWidth="1"/>
    <col min="5" max="5" width="11.33203125" customWidth="1"/>
    <col min="6" max="6" width="9.6640625" customWidth="1"/>
    <col min="8" max="8" width="9.88671875" bestFit="1" customWidth="1"/>
  </cols>
  <sheetData>
    <row r="1" spans="1:9" s="3" customFormat="1" ht="20.25" customHeight="1" thickBot="1" x14ac:dyDescent="0.3">
      <c r="B1" s="24"/>
      <c r="C1" s="8" t="s">
        <v>781</v>
      </c>
      <c r="D1" s="9"/>
      <c r="E1" s="9"/>
      <c r="F1" s="9"/>
      <c r="G1" s="9"/>
      <c r="H1" s="9"/>
      <c r="I1" s="9"/>
    </row>
    <row r="2" spans="1:9" s="10" customFormat="1" ht="78.75" customHeight="1" thickBot="1" x14ac:dyDescent="0.25">
      <c r="A2" s="50" t="s">
        <v>38</v>
      </c>
      <c r="B2" s="50" t="s">
        <v>39</v>
      </c>
      <c r="C2" s="51" t="s">
        <v>40</v>
      </c>
      <c r="D2" s="52" t="s">
        <v>41</v>
      </c>
      <c r="E2" s="53" t="s">
        <v>24</v>
      </c>
      <c r="F2" s="53" t="s">
        <v>20</v>
      </c>
      <c r="G2" s="54" t="s">
        <v>42</v>
      </c>
      <c r="H2" s="55" t="s">
        <v>43</v>
      </c>
      <c r="I2" s="9"/>
    </row>
    <row r="3" spans="1:9" s="3" customFormat="1" ht="15.75" x14ac:dyDescent="0.25">
      <c r="A3" s="5">
        <v>6770</v>
      </c>
      <c r="B3" s="5" t="s">
        <v>14</v>
      </c>
      <c r="C3" s="58" t="s">
        <v>782</v>
      </c>
      <c r="D3" s="57" t="s">
        <v>782</v>
      </c>
      <c r="H3" s="21"/>
    </row>
    <row r="4" spans="1:9" s="3" customFormat="1" ht="15.75" x14ac:dyDescent="0.25">
      <c r="A4" s="5">
        <v>6800</v>
      </c>
      <c r="B4" s="5" t="s">
        <v>14</v>
      </c>
      <c r="C4" s="6" t="s">
        <v>783</v>
      </c>
      <c r="D4" s="56" t="s">
        <v>783</v>
      </c>
    </row>
    <row r="5" spans="1:9" s="3" customFormat="1" ht="15.75" x14ac:dyDescent="0.25">
      <c r="A5" s="5">
        <v>6790</v>
      </c>
      <c r="B5" s="5"/>
      <c r="C5" s="58" t="s">
        <v>784</v>
      </c>
      <c r="D5" s="57" t="s">
        <v>784</v>
      </c>
    </row>
    <row r="6" spans="1:9" s="3" customFormat="1" ht="15.75" x14ac:dyDescent="0.25">
      <c r="A6" s="5">
        <v>6820</v>
      </c>
      <c r="B6" s="5"/>
      <c r="C6" s="6" t="s">
        <v>785</v>
      </c>
      <c r="D6" s="56" t="s">
        <v>785</v>
      </c>
    </row>
    <row r="7" spans="1:9" s="3" customFormat="1" ht="15.75" x14ac:dyDescent="0.25">
      <c r="A7" s="5">
        <v>6830</v>
      </c>
      <c r="B7" s="5"/>
      <c r="C7" s="6" t="s">
        <v>786</v>
      </c>
      <c r="D7" s="56" t="s">
        <v>786</v>
      </c>
    </row>
    <row r="8" spans="1:9" s="3" customFormat="1" ht="15.75" x14ac:dyDescent="0.25">
      <c r="A8" s="5">
        <v>6850</v>
      </c>
      <c r="B8" s="5"/>
      <c r="C8" s="6" t="s">
        <v>787</v>
      </c>
      <c r="D8" s="56" t="s">
        <v>787</v>
      </c>
    </row>
    <row r="9" spans="1:9" x14ac:dyDescent="0.2">
      <c r="B9" s="4"/>
    </row>
    <row r="10" spans="1:9" x14ac:dyDescent="0.2">
      <c r="B10" s="4"/>
    </row>
    <row r="11" spans="1:9" x14ac:dyDescent="0.2">
      <c r="B11" s="4"/>
    </row>
    <row r="12" spans="1:9" x14ac:dyDescent="0.2">
      <c r="B12" s="2"/>
    </row>
    <row r="13" spans="1:9" x14ac:dyDescent="0.2">
      <c r="B13" s="2"/>
    </row>
    <row r="14" spans="1:9" x14ac:dyDescent="0.2">
      <c r="B14" s="4"/>
    </row>
    <row r="15" spans="1:9" x14ac:dyDescent="0.2">
      <c r="B15" s="4"/>
    </row>
    <row r="16" spans="1:9" x14ac:dyDescent="0.2">
      <c r="B16" s="2"/>
    </row>
    <row r="17" spans="2:2" x14ac:dyDescent="0.2">
      <c r="B17" s="4"/>
    </row>
    <row r="18" spans="2:2" x14ac:dyDescent="0.2">
      <c r="B18" s="4"/>
    </row>
    <row r="19" spans="2:2" x14ac:dyDescent="0.2">
      <c r="B19" s="4"/>
    </row>
    <row r="20" spans="2:2" x14ac:dyDescent="0.2">
      <c r="B20" s="4"/>
    </row>
    <row r="21" spans="2:2" x14ac:dyDescent="0.2">
      <c r="B21" s="4"/>
    </row>
    <row r="22" spans="2:2" x14ac:dyDescent="0.2">
      <c r="B22" s="4"/>
    </row>
    <row r="23" spans="2:2" x14ac:dyDescent="0.2">
      <c r="B23" s="4"/>
    </row>
    <row r="24" spans="2:2" x14ac:dyDescent="0.2">
      <c r="B24" s="4"/>
    </row>
    <row r="25" spans="2:2" x14ac:dyDescent="0.2">
      <c r="B25" s="4"/>
    </row>
    <row r="26" spans="2:2" x14ac:dyDescent="0.2">
      <c r="B26" s="4"/>
    </row>
    <row r="27" spans="2:2" x14ac:dyDescent="0.2">
      <c r="B27" s="4"/>
    </row>
    <row r="28" spans="2:2" x14ac:dyDescent="0.2">
      <c r="B28" s="4"/>
    </row>
    <row r="29" spans="2:2" x14ac:dyDescent="0.2">
      <c r="B29" s="4"/>
    </row>
    <row r="30" spans="2:2" x14ac:dyDescent="0.2">
      <c r="B30" s="2"/>
    </row>
    <row r="31" spans="2:2" x14ac:dyDescent="0.2">
      <c r="B31" s="2"/>
    </row>
    <row r="32" spans="2:2" x14ac:dyDescent="0.2">
      <c r="B32" s="2"/>
    </row>
    <row r="33" spans="2:2" x14ac:dyDescent="0.2">
      <c r="B33" s="4"/>
    </row>
    <row r="34" spans="2:2" x14ac:dyDescent="0.2">
      <c r="B34" s="4"/>
    </row>
    <row r="35" spans="2:2" x14ac:dyDescent="0.2">
      <c r="B35" s="4"/>
    </row>
    <row r="36" spans="2:2" x14ac:dyDescent="0.2">
      <c r="B36" s="4"/>
    </row>
    <row r="37" spans="2:2" x14ac:dyDescent="0.2">
      <c r="B37" s="4"/>
    </row>
    <row r="38" spans="2:2" x14ac:dyDescent="0.2">
      <c r="B38" s="4"/>
    </row>
    <row r="39" spans="2:2" x14ac:dyDescent="0.2">
      <c r="B39" s="4"/>
    </row>
    <row r="40" spans="2:2" x14ac:dyDescent="0.2">
      <c r="B40" s="4"/>
    </row>
    <row r="41" spans="2:2" x14ac:dyDescent="0.2">
      <c r="B41" s="4"/>
    </row>
    <row r="42" spans="2:2" x14ac:dyDescent="0.2">
      <c r="B42" s="4"/>
    </row>
    <row r="43" spans="2:2" x14ac:dyDescent="0.2">
      <c r="B43" s="4"/>
    </row>
    <row r="44" spans="2:2" x14ac:dyDescent="0.2">
      <c r="B44" s="2"/>
    </row>
    <row r="45" spans="2:2" x14ac:dyDescent="0.2">
      <c r="B45" s="4"/>
    </row>
    <row r="46" spans="2:2" x14ac:dyDescent="0.2">
      <c r="B46" s="4"/>
    </row>
    <row r="47" spans="2:2" x14ac:dyDescent="0.2">
      <c r="B47" s="4"/>
    </row>
    <row r="48" spans="2:2" x14ac:dyDescent="0.2">
      <c r="B48" s="2"/>
    </row>
    <row r="49" spans="2:2" x14ac:dyDescent="0.2">
      <c r="B49" s="2"/>
    </row>
    <row r="50" spans="2:2" x14ac:dyDescent="0.2">
      <c r="B50" s="2"/>
    </row>
    <row r="51" spans="2:2" x14ac:dyDescent="0.2">
      <c r="B51" s="2"/>
    </row>
    <row r="52" spans="2:2" x14ac:dyDescent="0.2">
      <c r="B52" s="2"/>
    </row>
    <row r="53" spans="2:2" x14ac:dyDescent="0.2">
      <c r="B53" s="2"/>
    </row>
    <row r="54" spans="2:2" x14ac:dyDescent="0.2">
      <c r="B54" s="2"/>
    </row>
    <row r="55" spans="2:2" x14ac:dyDescent="0.2">
      <c r="B55" s="2"/>
    </row>
    <row r="56" spans="2:2" x14ac:dyDescent="0.2">
      <c r="B56" s="2"/>
    </row>
    <row r="57" spans="2:2" x14ac:dyDescent="0.2">
      <c r="B57" s="2"/>
    </row>
    <row r="58" spans="2:2" x14ac:dyDescent="0.2">
      <c r="B58" s="2"/>
    </row>
    <row r="59" spans="2:2" x14ac:dyDescent="0.2">
      <c r="B59" s="2"/>
    </row>
    <row r="60" spans="2:2" x14ac:dyDescent="0.2">
      <c r="B60" s="2"/>
    </row>
    <row r="61" spans="2:2" x14ac:dyDescent="0.2">
      <c r="B61" s="2"/>
    </row>
    <row r="62" spans="2:2" x14ac:dyDescent="0.2">
      <c r="B62" s="2"/>
    </row>
    <row r="63" spans="2:2" x14ac:dyDescent="0.2">
      <c r="B63" s="2"/>
    </row>
    <row r="64" spans="2:2" x14ac:dyDescent="0.2">
      <c r="B64" s="2"/>
    </row>
    <row r="65" spans="2:2" x14ac:dyDescent="0.2">
      <c r="B65" s="2"/>
    </row>
    <row r="66" spans="2:2" x14ac:dyDescent="0.2">
      <c r="B66" s="2"/>
    </row>
    <row r="67" spans="2:2" x14ac:dyDescent="0.2">
      <c r="B67" s="2"/>
    </row>
    <row r="68" spans="2:2" x14ac:dyDescent="0.2">
      <c r="B68" s="2"/>
    </row>
    <row r="69" spans="2:2" x14ac:dyDescent="0.2">
      <c r="B69" s="2"/>
    </row>
    <row r="70" spans="2:2" x14ac:dyDescent="0.2">
      <c r="B70" s="4"/>
    </row>
    <row r="71" spans="2:2" x14ac:dyDescent="0.2">
      <c r="B71" s="4"/>
    </row>
    <row r="72" spans="2:2" x14ac:dyDescent="0.2">
      <c r="B72" s="4"/>
    </row>
    <row r="73" spans="2:2" x14ac:dyDescent="0.2">
      <c r="B73" s="4"/>
    </row>
    <row r="74" spans="2:2" x14ac:dyDescent="0.2">
      <c r="B74" s="4"/>
    </row>
    <row r="75" spans="2:2" x14ac:dyDescent="0.2">
      <c r="B75" s="4"/>
    </row>
    <row r="76" spans="2:2" x14ac:dyDescent="0.2">
      <c r="B76" s="4"/>
    </row>
    <row r="77" spans="2:2" x14ac:dyDescent="0.2">
      <c r="B77" s="4"/>
    </row>
    <row r="78" spans="2:2" x14ac:dyDescent="0.2">
      <c r="B78" s="4"/>
    </row>
    <row r="79" spans="2:2" x14ac:dyDescent="0.2">
      <c r="B79" s="4"/>
    </row>
    <row r="80" spans="2:2" x14ac:dyDescent="0.2">
      <c r="B80" s="4"/>
    </row>
    <row r="81" spans="2:2" x14ac:dyDescent="0.2">
      <c r="B81" s="4"/>
    </row>
    <row r="82" spans="2:2" x14ac:dyDescent="0.2">
      <c r="B82" s="4"/>
    </row>
    <row r="83" spans="2:2" x14ac:dyDescent="0.2">
      <c r="B83" s="4"/>
    </row>
    <row r="84" spans="2:2" x14ac:dyDescent="0.2">
      <c r="B84" s="4"/>
    </row>
    <row r="85" spans="2:2" x14ac:dyDescent="0.2">
      <c r="B85" s="4"/>
    </row>
    <row r="86" spans="2:2" x14ac:dyDescent="0.2">
      <c r="B86" s="4"/>
    </row>
    <row r="87" spans="2:2" x14ac:dyDescent="0.2">
      <c r="B87" s="4"/>
    </row>
    <row r="88" spans="2:2" x14ac:dyDescent="0.2">
      <c r="B88" s="4"/>
    </row>
    <row r="89" spans="2:2" x14ac:dyDescent="0.2">
      <c r="B89" s="4"/>
    </row>
    <row r="90" spans="2:2" x14ac:dyDescent="0.2">
      <c r="B90" s="4"/>
    </row>
    <row r="91" spans="2:2" x14ac:dyDescent="0.2">
      <c r="B91" s="4"/>
    </row>
    <row r="92" spans="2:2" x14ac:dyDescent="0.2">
      <c r="B92" s="4"/>
    </row>
    <row r="93" spans="2:2" x14ac:dyDescent="0.2">
      <c r="B93" s="4"/>
    </row>
    <row r="94" spans="2:2" x14ac:dyDescent="0.2">
      <c r="B94" s="4"/>
    </row>
  </sheetData>
  <autoFilter ref="A2:G2" xr:uid="{F2235893-BC3A-4B55-9412-E1C6071DB78D}">
    <sortState xmlns:xlrd2="http://schemas.microsoft.com/office/spreadsheetml/2017/richdata2" ref="A3:G11">
      <sortCondition ref="B2"/>
    </sortState>
  </autoFilter>
  <conditionalFormatting sqref="B81">
    <cfRule type="expression" dxfId="17" priority="21">
      <formula>AND(OR($E81="No",$E81=""),$F81="Yes",$G81&lt;&gt;"")</formula>
    </cfRule>
    <cfRule type="expression" dxfId="16" priority="22">
      <formula>AND($E81="Yes",$F81="No",$G81&lt;&gt;"")</formula>
    </cfRule>
  </conditionalFormatting>
  <conditionalFormatting sqref="B82:B90">
    <cfRule type="expression" dxfId="15" priority="19">
      <formula>AND(OR($E82="No",$E82=""),$F82="Yes",$G82&lt;&gt;"")</formula>
    </cfRule>
    <cfRule type="expression" dxfId="14" priority="20">
      <formula>AND($E82="Yes",$F82="No",$G82&lt;&gt;"")</formula>
    </cfRule>
  </conditionalFormatting>
  <conditionalFormatting sqref="B91">
    <cfRule type="expression" dxfId="13" priority="17">
      <formula>AND(OR($E91="No",$E91=""),$F91="Yes",$G91&lt;&gt;"")</formula>
    </cfRule>
    <cfRule type="expression" dxfId="12" priority="18">
      <formula>AND($E91="Yes",$F91="No",$G91&lt;&gt;"")</formula>
    </cfRule>
  </conditionalFormatting>
  <conditionalFormatting sqref="B92">
    <cfRule type="expression" dxfId="11" priority="15">
      <formula>AND(OR($E92="No",$E92=""),$F92="Yes",$G92&lt;&gt;"")</formula>
    </cfRule>
    <cfRule type="expression" dxfId="10" priority="16">
      <formula>AND($E92="Yes",$F92="No",$G92&lt;&gt;"")</formula>
    </cfRule>
  </conditionalFormatting>
  <conditionalFormatting sqref="B93">
    <cfRule type="expression" dxfId="9" priority="13">
      <formula>AND(OR($E93="No",$E93=""),$F93="Yes",$G93&lt;&gt;"")</formula>
    </cfRule>
    <cfRule type="expression" dxfId="8" priority="14">
      <formula>AND($E93="Yes",$F93="No",$G93&lt;&gt;"")</formula>
    </cfRule>
  </conditionalFormatting>
  <conditionalFormatting sqref="B94">
    <cfRule type="expression" dxfId="7" priority="11">
      <formula>AND(OR($E94="No",$E94=""),$F94="Yes",$G94&lt;&gt;"")</formula>
    </cfRule>
    <cfRule type="expression" dxfId="6" priority="12">
      <formula>AND($E94="Yes",$F94="No",$G94&lt;&gt;"")</formula>
    </cfRule>
  </conditionalFormatting>
  <conditionalFormatting sqref="B51:B69">
    <cfRule type="expression" dxfId="5" priority="7">
      <formula>AND(OR($E51="No",$E51=""),$F51="Yes",$G51&lt;&gt;"")</formula>
    </cfRule>
    <cfRule type="expression" dxfId="4" priority="8">
      <formula>AND($E51="Yes",$F51="No",$G51&lt;&gt;"")</formula>
    </cfRule>
  </conditionalFormatting>
  <conditionalFormatting sqref="A2:D2">
    <cfRule type="expression" dxfId="3" priority="25">
      <formula>AND(OR(#REF!="No",#REF!=""), #REF!= "Yes",#REF!&lt;&gt;"",#REF!&lt;&gt;"")</formula>
    </cfRule>
    <cfRule type="expression" dxfId="2" priority="26">
      <formula>AND(OR(#REF!="No",#REF!=""), #REF!= "Yes",#REF!&lt;&gt;"",#REF!&lt;&gt;"")</formula>
    </cfRule>
  </conditionalFormatting>
  <conditionalFormatting sqref="A3:H8">
    <cfRule type="expression" dxfId="1" priority="1">
      <formula>AND(OR($E3="No",$E3=""), $F3= "Yes",$G3&lt;&gt;"",$H3&lt;&gt;"")</formula>
    </cfRule>
    <cfRule type="expression" dxfId="0"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54A8573-210B-47A2-B593-A8A41125B9E9}">
  <ds:schemaRefs>
    <ds:schemaRef ds:uri="http://schemas.microsoft.com/sharepoint/v3/contenttype/forms"/>
  </ds:schemaRefs>
</ds:datastoreItem>
</file>

<file path=customXml/itemProps2.xml><?xml version="1.0" encoding="utf-8"?>
<ds:datastoreItem xmlns:ds="http://schemas.openxmlformats.org/officeDocument/2006/customXml" ds:itemID="{F270890B-8AB7-4E04-A6EE-F77CD441719E}">
  <ds:schemaRefs>
    <ds:schemaRef ds:uri="http://schemas.microsoft.com/office/infopath/2007/PartnerControls"/>
    <ds:schemaRef ds:uri="http://purl.org/dc/elements/1.1/"/>
    <ds:schemaRef ds:uri="aa12a5a9-6d4c-4ce8-9ebd-fc4098eff306"/>
    <ds:schemaRef ds:uri="http://schemas.microsoft.com/office/2006/metadata/properties"/>
    <ds:schemaRef ds:uri="http://purl.org/dc/terms/"/>
    <ds:schemaRef ds:uri="http://schemas.openxmlformats.org/package/2006/metadata/core-properties"/>
    <ds:schemaRef ds:uri="801ea4e6-356c-4d90-aef9-664fc2866395"/>
    <ds:schemaRef ds:uri="http://schemas.microsoft.com/office/2006/documentManagement/types"/>
    <ds:schemaRef ds:uri="98fadb18-abe0-4def-b0b0-9b672b1d5a2b"/>
    <ds:schemaRef ds:uri="http://www.w3.org/XML/1998/namespace"/>
    <ds:schemaRef ds:uri="http://purl.org/dc/dcmitype/"/>
  </ds:schemaRefs>
</ds:datastoreItem>
</file>

<file path=customXml/itemProps3.xml><?xml version="1.0" encoding="utf-8"?>
<ds:datastoreItem xmlns:ds="http://schemas.openxmlformats.org/officeDocument/2006/customXml" ds:itemID="{35076B19-EDBD-46C2-A833-29E879AADD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12a5a9-6d4c-4ce8-9ebd-fc4098eff306"/>
    <ds:schemaRef ds:uri="98fadb18-abe0-4def-b0b0-9b672b1d5a2b"/>
    <ds:schemaRef ds:uri="801ea4e6-356c-4d90-aef9-664fc28663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Summary</vt:lpstr>
      <vt:lpstr>TaskPrint</vt:lpstr>
      <vt:lpstr>De-Icer DM</vt:lpstr>
      <vt:lpstr>De-Icer Trailer</vt:lpstr>
      <vt:lpstr>DE-Icer UNDM</vt:lpstr>
      <vt:lpstr>UNDM 4 Car</vt:lpstr>
      <vt:lpstr>Special Trailer 4 Car</vt:lpstr>
      <vt:lpstr>Trailer 4 Car</vt:lpstr>
      <vt:lpstr>DM 4 Car</vt:lpstr>
      <vt:lpstr>Train Tests</vt:lpstr>
    </vt:vector>
  </TitlesOfParts>
  <Manager/>
  <Company>Transport for London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Taha Deghyes</cp:lastModifiedBy>
  <cp:revision/>
  <dcterms:created xsi:type="dcterms:W3CDTF">2022-11-22T16:28:06Z</dcterms:created>
  <dcterms:modified xsi:type="dcterms:W3CDTF">2025-10-07T10:49:27Z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