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60 - (Units 96080 and 96091) - DeIcer/05 Work To Sheets TFOS/"/>
    </mc:Choice>
  </mc:AlternateContent>
  <xr:revisionPtr revIDLastSave="1006" documentId="13_ncr:1_{422FD6D8-C10D-4F38-87A7-DD40C9C0E33A}" xr6:coauthVersionLast="47" xr6:coauthVersionMax="47" xr10:uidLastSave="{9D06BC97-E637-40A2-BCAE-89C54A06A10D}"/>
  <bookViews>
    <workbookView xWindow="-120" yWindow="-120" windowWidth="25440" windowHeight="15390" firstSheet="2" activeTab="8" xr2:uid="{2DAC63F3-FB17-4143-A7E7-F1A7BBA96BF5}"/>
  </bookViews>
  <sheets>
    <sheet name="Summary" sheetId="1" r:id="rId1"/>
    <sheet name="TaskPrint" sheetId="115" r:id="rId2"/>
    <sheet name="De-Icer DM" sheetId="2" r:id="rId3"/>
    <sheet name="De-Icer Trailer" sheetId="3" r:id="rId4"/>
    <sheet name="DE-Icer UNDM"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UNDM'!$B$2:$J$88</definedName>
    <definedName name="_xlnm._FilterDatabase" localSheetId="8" hidden="1">'DM 4 Car'!$B$2:$L$128</definedName>
    <definedName name="_xlnm._FilterDatabase" localSheetId="6" hidden="1">'Special Trailer 4 Car'!$A$2:$O$41</definedName>
    <definedName name="_xlnm._FilterDatabase" localSheetId="7" hidden="1">'Trailer 4 Car'!$B$2:$L$59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3" i="3"/>
  <c r="G43" i="3"/>
  <c r="H43" i="3"/>
  <c r="E43" i="3"/>
  <c r="F41" i="3"/>
  <c r="G41" i="3"/>
  <c r="H41" i="3"/>
  <c r="E41" i="3"/>
  <c r="F9" i="1"/>
  <c r="F8" i="1"/>
  <c r="F7" i="1"/>
  <c r="F6" i="1"/>
  <c r="F5" i="1"/>
  <c r="E24" i="1"/>
  <c r="E23" i="1"/>
  <c r="E22" i="1" a="1"/>
  <c r="E22" i="1"/>
  <c r="E21" i="1"/>
  <c r="D24" i="1"/>
  <c r="D23" i="1"/>
  <c r="D22" i="1" a="1"/>
  <c r="D22" i="1"/>
  <c r="D21" i="1"/>
  <c r="G9" i="1" l="1"/>
  <c r="G8" i="1"/>
  <c r="G7" i="1"/>
  <c r="G6" i="1"/>
  <c r="G5" i="1"/>
  <c r="H23" i="1"/>
  <c r="H24" i="1"/>
  <c r="K24" i="1"/>
  <c r="K23" i="1"/>
  <c r="K22" i="1" a="1"/>
  <c r="K22" i="1" s="1"/>
  <c r="J24" i="1"/>
  <c r="J23" i="1"/>
  <c r="J22" i="1" a="1"/>
  <c r="J22" i="1" s="1"/>
  <c r="G24" i="1"/>
  <c r="G23" i="1"/>
  <c r="G22" i="1" a="1"/>
  <c r="G22" i="1" s="1"/>
  <c r="F24" i="1"/>
  <c r="F23" i="1"/>
  <c r="F22" i="1" a="1"/>
  <c r="F22" i="1" s="1"/>
  <c r="H22" i="1" l="1" a="1"/>
  <c r="H22" i="1" s="1"/>
  <c r="C24" i="1"/>
  <c r="C23" i="1"/>
  <c r="C22" i="1" a="1"/>
  <c r="C22" i="1" s="1"/>
  <c r="B24" i="1"/>
  <c r="B23" i="1"/>
  <c r="B22" i="1" a="1"/>
  <c r="B22" i="1" s="1"/>
  <c r="K21" i="1"/>
  <c r="J21" i="1"/>
  <c r="H21" i="1"/>
  <c r="G21" i="1"/>
  <c r="F21" i="1"/>
  <c r="C21" i="1"/>
  <c r="B21" i="1"/>
  <c r="L21" i="1"/>
  <c r="H6" i="1"/>
  <c r="H5" i="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Green</author>
    <author>William Paiva</author>
  </authors>
  <commentList>
    <comment ref="G30" authorId="0" shapeId="0" xr:uid="{4153F771-1DA7-4379-80FE-1A521BC55CAA}">
      <text>
        <r>
          <rPr>
            <sz val="12"/>
            <color theme="1"/>
            <rFont val="Arial"/>
            <family val="2"/>
          </rPr>
          <t>Christopher Green:
Robbed by fleet</t>
        </r>
      </text>
    </comment>
    <comment ref="G31" authorId="0" shapeId="0" xr:uid="{99D1C49D-4C09-4E67-B910-DFC0CC5A59C8}">
      <text>
        <r>
          <rPr>
            <sz val="12"/>
            <color theme="1"/>
            <rFont val="Arial"/>
            <family val="2"/>
          </rPr>
          <t>Christopher Green:
Robbed by fleet</t>
        </r>
      </text>
    </comment>
    <comment ref="G34" authorId="0" shapeId="0" xr:uid="{69B095AA-A9F8-4343-B573-9FCF73107EEA}">
      <text>
        <r>
          <rPr>
            <sz val="12"/>
            <color theme="1"/>
            <rFont val="Arial"/>
            <family val="2"/>
          </rPr>
          <t xml:space="preserve">Christopher Green:
Robbed by fleet. </t>
        </r>
      </text>
    </comment>
    <comment ref="G44" authorId="1" shapeId="0" xr:uid="{29A7591B-7446-4A16-A770-80A47962B7D0}">
      <text>
        <t>William Paiva:
Not tested due to state of unit - robbed by fleet 31/10/2025</t>
      </text>
    </comment>
    <comment ref="G45" authorId="0" shapeId="0" xr:uid="{9F33D375-8CE5-41A5-9EC5-46408A02EEF5}">
      <text>
        <r>
          <rPr>
            <sz val="12"/>
            <color theme="1"/>
            <rFont val="Arial"/>
            <family val="2"/>
          </rPr>
          <t xml:space="preserve">Christopher Green:
Robbed by fleet. </t>
        </r>
      </text>
    </comment>
    <comment ref="G48" authorId="0" shapeId="0" xr:uid="{EE43EDC9-4115-41F5-9109-A21D10CEE6BA}">
      <text>
        <r>
          <rPr>
            <sz val="12"/>
            <color theme="1"/>
            <rFont val="Arial"/>
            <family val="2"/>
          </rPr>
          <t xml:space="preserve">Christopher Green:
Robbed by fleet. </t>
        </r>
      </text>
    </comment>
    <comment ref="G49" authorId="0" shapeId="0" xr:uid="{156D764F-56C0-4D94-BC66-FDF03BEE2C7C}">
      <text>
        <r>
          <rPr>
            <sz val="12"/>
            <color theme="1"/>
            <rFont val="Arial"/>
            <family val="2"/>
          </rPr>
          <t xml:space="preserve">Christopher Green:
Robbed by fleet.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tc={3976DD39-C89C-4C9E-A702-BEFA5101E1BD}</author>
  </authors>
  <commentList>
    <comment ref="C41" authorId="0" shapeId="0" xr:uid="{3976DD39-C89C-4C9E-A702-BEFA5101E1BD}">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Christopher Green</author>
    <author>William Paiva</author>
  </authors>
  <commentList>
    <comment ref="G19" authorId="0" shapeId="0" xr:uid="{A974B865-265E-4BE0-9586-9A54373EB6BB}">
      <text>
        <r>
          <rPr>
            <sz val="12"/>
            <color theme="1"/>
            <rFont val="Arial"/>
            <family val="2"/>
          </rPr>
          <t>Christopher Green:
Robbed by fleet</t>
        </r>
      </text>
    </comment>
    <comment ref="G20" authorId="0" shapeId="0" xr:uid="{0AEF5DF8-2706-41BD-8CBF-1AD4E20BA175}">
      <text>
        <r>
          <rPr>
            <sz val="12"/>
            <color theme="1"/>
            <rFont val="Arial"/>
            <family val="2"/>
          </rPr>
          <t>Christopher Green:
Robbed by fleet</t>
        </r>
      </text>
    </comment>
    <comment ref="G29" authorId="1" shapeId="0" xr:uid="{6683582A-5A51-4C3C-8587-B85BB4E7FE58}">
      <text>
        <t>William Paiva:
Not tested due to state of unit - robbed by fleet 31/10/2025</t>
      </text>
    </comment>
    <comment ref="G30" authorId="0" shapeId="0" xr:uid="{13C5EAEB-D47A-4FB3-AC6D-50FFD28CB76E}">
      <text>
        <r>
          <rPr>
            <sz val="12"/>
            <color theme="1"/>
            <rFont val="Arial"/>
            <family val="2"/>
          </rPr>
          <t>Christopher Green:
Robbed by fleet</t>
        </r>
      </text>
    </comment>
    <comment ref="G31" authorId="0" shapeId="0" xr:uid="{31DA5EAF-A561-4FFB-921B-84EA4B5DF6D9}">
      <text>
        <r>
          <rPr>
            <sz val="12"/>
            <color theme="1"/>
            <rFont val="Arial"/>
            <family val="2"/>
          </rPr>
          <t>Christopher Green:
Robbed by fleet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Green</author>
    <author>William Paiva</author>
  </authors>
  <commentList>
    <comment ref="G19" authorId="0" shapeId="0" xr:uid="{C50BC1A1-2747-4977-881F-1D465D63D7FD}">
      <text>
        <r>
          <rPr>
            <sz val="12"/>
            <color theme="1"/>
            <rFont val="Arial"/>
            <family val="2"/>
          </rPr>
          <t>Christopher Green:
Robbed by fleet</t>
        </r>
      </text>
    </comment>
    <comment ref="G20" authorId="0" shapeId="0" xr:uid="{1D49FB11-5857-4CF5-8377-79A4E9BB0E3A}">
      <text>
        <r>
          <rPr>
            <sz val="12"/>
            <color theme="1"/>
            <rFont val="Arial"/>
            <family val="2"/>
          </rPr>
          <t>Christopher Green:
Robbed by fleet</t>
        </r>
      </text>
    </comment>
    <comment ref="G29" authorId="1" shapeId="0" xr:uid="{E49901E9-9747-4963-9A7B-9D4CC1980FC2}">
      <text>
        <t>William Paiva:
Not tested due to state of unit - robbed by fleet 31/10/2025</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Christopher Green</author>
    <author>William Paiva</author>
  </authors>
  <commentList>
    <comment ref="G30" authorId="0" shapeId="0" xr:uid="{6B122038-E06C-49E6-BAAA-EA5B04EB14AE}">
      <text>
        <r>
          <rPr>
            <sz val="12"/>
            <color theme="1"/>
            <rFont val="Arial"/>
            <family val="2"/>
          </rPr>
          <t>Christopher Green:
Robbed by fleet</t>
        </r>
      </text>
    </comment>
    <comment ref="G31" authorId="0" shapeId="0" xr:uid="{A6B46FC8-B684-46EE-B306-6026B2FA613B}">
      <text>
        <r>
          <rPr>
            <sz val="12"/>
            <color theme="1"/>
            <rFont val="Arial"/>
            <family val="2"/>
          </rPr>
          <t>Christopher Green:
Robbed by fleet</t>
        </r>
      </text>
    </comment>
    <comment ref="G44" authorId="1" shapeId="0" xr:uid="{B6B0911F-4D93-4BA6-A6C0-88C05D7E0F2B}">
      <text>
        <t>William Paiva:
Not tested due to state of unit - robbed by fleet 31/10/2025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<sst xmlns="http://schemas.openxmlformats.org/spreadsheetml/2006/main" count="5719" uniqueCount="836">
  <si>
    <t>Overhaul Train (De-Icer)</t>
  </si>
  <si>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</si>
  <si>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</si>
  <si>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</si>
  <si>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</si>
  <si>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</si>
  <si>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</si>
  <si>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</si>
  <si>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</si>
  <si>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</si>
  <si>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</si>
  <si>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</si>
  <si>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</si>
  <si>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</si>
  <si>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</si>
  <si>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</si>
  <si>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</si>
  <si>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</si>
  <si>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</si>
  <si>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</si>
  <si>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</si>
  <si>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</si>
  <si>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</si>
  <si>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</si>
  <si>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</si>
  <si>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</si>
  <si>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</si>
  <si>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</si>
  <si>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</si>
  <si>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</si>
  <si>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</si>
  <si>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</si>
  <si>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</si>
  <si>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</si>
  <si>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</si>
  <si>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</si>
  <si>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</si>
  <si>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</si>
  <si>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</si>
  <si>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</si>
  <si>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</si>
  <si>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</si>
  <si>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</si>
  <si>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</si>
  <si>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</si>
  <si>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96080</t>
  </si>
  <si>
    <t>Overhaul/IROC</t>
  </si>
  <si>
    <t>Position</t>
  </si>
  <si>
    <t>In Scope</t>
  </si>
  <si>
    <t>WI Reference</t>
  </si>
  <si>
    <t>Comments</t>
  </si>
  <si>
    <t>Number Of People</t>
  </si>
  <si>
    <t>Total Hours</t>
  </si>
  <si>
    <t>DM UNDERFRAME REMOVE/REFIT MORS SMITT RELAYS</t>
  </si>
  <si>
    <t>REPLACE 26 RELAYS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</si>
  <si>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</si>
  <si>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</si>
  <si>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</si>
  <si>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</si>
  <si>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</si>
  <si>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</si>
  <si>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</si>
  <si>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</si>
  <si>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</si>
  <si>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</si>
  <si>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</si>
  <si>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</si>
  <si>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</si>
  <si>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</si>
  <si>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</si>
  <si>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</si>
  <si>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</si>
  <si>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</si>
  <si>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</si>
  <si>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</si>
  <si>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JL</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</si>
  <si>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</si>
  <si>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</si>
  <si>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</si>
  <si>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</si>
  <si>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</si>
  <si>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</si>
  <si>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</si>
  <si>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</si>
  <si>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</si>
  <si>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</si>
  <si>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</si>
  <si>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</si>
  <si>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</si>
  <si>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</si>
  <si>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</si>
  <si>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</si>
  <si>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</si>
  <si>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</si>
  <si>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</si>
  <si>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</si>
  <si>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</si>
  <si>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</si>
  <si>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</si>
  <si>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</si>
  <si>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</si>
  <si>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</si>
  <si>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</si>
  <si>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</si>
  <si>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</si>
  <si>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</si>
  <si>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</si>
  <si>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</si>
  <si>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</si>
  <si>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</si>
  <si>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</si>
  <si>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</si>
  <si>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</si>
  <si>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</si>
  <si>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</si>
  <si>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</si>
  <si>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</si>
  <si>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</si>
  <si>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</si>
  <si>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</si>
  <si>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</si>
  <si>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</si>
  <si>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</si>
  <si>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</si>
  <si>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</si>
  <si>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</si>
  <si>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TFOS</t>
  </si>
  <si>
    <t>DM CAR REMOVE BOGIE A</t>
  </si>
  <si>
    <t>REMOVE BOGIE A (TYPE A)</t>
  </si>
  <si>
    <t>Red Team</t>
  </si>
  <si>
    <t>OH</t>
  </si>
  <si>
    <t>TM</t>
  </si>
  <si>
    <t>JHOPL-WI-14-188</t>
  </si>
  <si>
    <t>DM CAR REFIT BOGIE A</t>
  </si>
  <si>
    <t>REFIT BOGIE A (TYPE A)</t>
  </si>
  <si>
    <t>DM CAR REMOVE BOGIE D</t>
  </si>
  <si>
    <t>REMOVE BOGIE D (TYPE A)</t>
  </si>
  <si>
    <t>DM CAR REFIT BOGIE D</t>
  </si>
  <si>
    <t>REFIT BOGIE D (TYPE A)</t>
  </si>
  <si>
    <t>DM UNDERFRAME REMOVE/REFIT LINE BREAKER CONTACTOR 1 AND 3</t>
  </si>
  <si>
    <t>REPLACE CONTACTOR</t>
  </si>
  <si>
    <t>DH,AO</t>
  </si>
  <si>
    <t>JHOPL-WI-11-129</t>
  </si>
  <si>
    <t>ALSTOM</t>
  </si>
  <si>
    <t>DM UNDERFRAME REMOVE/REFIT LINE BREAKER CONTACTOR 2 AND 4</t>
  </si>
  <si>
    <t>DM CAR REMOVE/REFIT FILTER HARD CROWBAR THYRISTOR ASSEMBLY</t>
  </si>
  <si>
    <t>REPLACE FILTER HARD CROWBAR THYRISTOR ASSEMBLY</t>
  </si>
  <si>
    <t>RB,BP, DH, AOO</t>
  </si>
  <si>
    <t>JHOPL-WI-11-006</t>
  </si>
  <si>
    <t>DM CAR REMOVE/REFIT POWER SUPPLY UNIT</t>
  </si>
  <si>
    <t>REPLACE POWER SUPPLY MODULE</t>
  </si>
  <si>
    <t>RB,BP,DH,AO</t>
  </si>
  <si>
    <t>JHOPL-WI-11-008</t>
  </si>
  <si>
    <t>DM UNDERFRAME LOCATION 412 REMOVE/REFIT AUXILIARY CONVERTER ELECTRONIC MODULE</t>
  </si>
  <si>
    <t>REPLACE AUXILIARY CONVERTER ELECTRONIC MODULE</t>
  </si>
  <si>
    <t xml:space="preserve">Already removed. </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</si>
  <si>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</si>
  <si>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</si>
  <si>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</si>
  <si>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</si>
  <si>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</si>
  <si>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</si>
  <si>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</si>
  <si>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</si>
  <si>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</si>
  <si>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</si>
  <si>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</si>
  <si>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</si>
  <si>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</si>
  <si>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</si>
  <si>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</si>
  <si>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</si>
  <si>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</si>
  <si>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</si>
  <si>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</si>
  <si>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</si>
  <si>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</si>
  <si>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</si>
  <si>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</si>
  <si>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</si>
  <si>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</si>
  <si>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NA LN</t>
  </si>
  <si>
    <t>JHOPL-WI-15-147</t>
  </si>
  <si>
    <t>WABTEC</t>
  </si>
  <si>
    <t xml:space="preserve">DM CAR REMOVE/REFIT PROPULSION INVERTER MODULE </t>
  </si>
  <si>
    <t>REPLACE 3 PROPULSION INVERTER MODULES</t>
  </si>
  <si>
    <t>Already removed. NA, VN</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</si>
  <si>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</si>
  <si>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</si>
  <si>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</si>
  <si>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</si>
  <si>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</si>
  <si>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</si>
  <si>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</si>
  <si>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</si>
  <si>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</si>
  <si>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</si>
  <si>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</si>
  <si>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</si>
  <si>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Already removed. JN, JT</t>
  </si>
  <si>
    <t>JHOPL-WI-11-136</t>
  </si>
  <si>
    <t>KBRS</t>
  </si>
  <si>
    <t>DM SALOON REMOVE/REFIT BRAKE CYLINDER PRESSURE SWITCH 1 (FOR ALL CARS)</t>
  </si>
  <si>
    <t>REPLACE BRAKE CYLINDER PRESSURE SWITCH</t>
  </si>
  <si>
    <t>GT, CP</t>
  </si>
  <si>
    <t>JHOPL-WI-10-122</t>
  </si>
  <si>
    <t>DM CAR REMOVE/REFIT BRAKE CYLINDER PRESSURE SWITCH 2 (FOR DM/UNDM)</t>
  </si>
  <si>
    <t>DM CAR REMOVE/REFIT ½" VENTED BALL VALVE (VLCV / SYSTEM DRAIN / AUTO DRAIN / WHISLTE)</t>
  </si>
  <si>
    <t>IROC 1/2" VENTED BALL VALVE (VLCV / SYSTEM DRAIN / WHISTLE) - INTERNAL</t>
  </si>
  <si>
    <t>Am</t>
  </si>
  <si>
    <t>JHOPL-WI-19-080
JHOPL-WI-19-102
JHOPL-WI-19-105</t>
  </si>
  <si>
    <t>JHOPL - KBRS</t>
  </si>
  <si>
    <t>DM UNDERFRAME REMOVE/REFIT VARIABLE LOAD VALVE - DM/UNDM CAR</t>
  </si>
  <si>
    <t>REPLACE VARIABLE  LOAD VALVE</t>
  </si>
  <si>
    <t>AS, CC</t>
  </si>
  <si>
    <t>JHOPL-WI-10-126</t>
  </si>
  <si>
    <t>DM UNDERFRAME CAR REMOVE/REFIT BRAKE RELEASE VALVE</t>
  </si>
  <si>
    <t>REPLACE BRAKE RELEASE VALVE</t>
  </si>
  <si>
    <t>MA, AS CC</t>
  </si>
  <si>
    <t>JHOPL-WI-10-124</t>
  </si>
  <si>
    <t>DM SALOON REMOVE/REFIT BRAKE CYLINDER SALOON GAUGES</t>
  </si>
  <si>
    <t>REPLACE BRAKE SALOON GAUGE</t>
  </si>
  <si>
    <t>JB</t>
  </si>
  <si>
    <t>JHOPL-WI-10-001</t>
  </si>
  <si>
    <t>DM CAR REMOVE/REFIT CLOSED LOOP ANALOGUE UNIT (CLAU) - DM/UNDM CAR</t>
  </si>
  <si>
    <t>REPLACE CLAU</t>
  </si>
  <si>
    <t>DM CAR REMOVE/REFIT PNEUMATIC BRAKE DRIVER</t>
  </si>
  <si>
    <t>REPLACE PNEUMATIC BRAKE DRIVER</t>
  </si>
  <si>
    <t>AOL</t>
  </si>
  <si>
    <t>JHOPL-WI-10-125</t>
  </si>
  <si>
    <t>DM CAR REMOVE/REFIT ¾" GANGED VENTED COCKS (BCIC/PBIC)</t>
  </si>
  <si>
    <t>REPLACE 3/4" GANGED VENTED COCKS</t>
  </si>
  <si>
    <t>AOL,MJ</t>
  </si>
  <si>
    <t>JHOPL-WI-19-082</t>
  </si>
  <si>
    <t>REW</t>
  </si>
  <si>
    <t>DM CAR REMOVE/REFIT ENCODER UNIT</t>
  </si>
  <si>
    <t>REPLACE ENCODER UNIT</t>
  </si>
  <si>
    <t>PS,PM</t>
  </si>
  <si>
    <t>JHOPL-WI-10-128</t>
  </si>
  <si>
    <t xml:space="preserve">DM UNDERFRAME REMOVE/REFIT WSP DUMP VALVE </t>
  </si>
  <si>
    <t>REPLACE 4 WSP DUMP VALVES</t>
  </si>
  <si>
    <t>MJ, DK ASt</t>
  </si>
  <si>
    <t>JHOPL-WI-19-163</t>
  </si>
  <si>
    <t>DM CAR REMOVE/REFIT WHISTLE - TYPE 3C (ENHANCED)</t>
  </si>
  <si>
    <t>REPLACE WHISTLE (TYPE 3C)</t>
  </si>
  <si>
    <t>GD,AOL</t>
  </si>
  <si>
    <t>JHOPL-WI-19-118</t>
  </si>
  <si>
    <t>DM CAR REMOVE/REFIT 5/3 WHISTLE SPOOL VALVE DM</t>
  </si>
  <si>
    <t>REPLACE 5/3 WHISTLE SPOOL VALVE</t>
  </si>
  <si>
    <t>ABS</t>
  </si>
  <si>
    <t>JHOPL-WI-19-083</t>
  </si>
  <si>
    <t>DM CAR REMOVE/REFIT WHISTLE CONTROL LEVER VALVE DM DRIVER'S SIDE.</t>
  </si>
  <si>
    <t>REPLACE WHISTLE CONTROL LEVER VALVE (DRIVER SIDE)</t>
  </si>
  <si>
    <t>CC</t>
  </si>
  <si>
    <t>JHOPL-WI-19-084</t>
  </si>
  <si>
    <t>DM CAR REMOVE/REFIT WHISTLE CONTROL LEVER VALVE DM INSTRUCTOR  SIDE</t>
  </si>
  <si>
    <t>REPLACE WHISTLE CONTROL LEVER VALVE (NON DRIVER SIDE)</t>
  </si>
  <si>
    <t>DM CAR REMOVE/REFIT WHISTLE-OPERATED PRESSURE SWITCH DM</t>
  </si>
  <si>
    <t>REPLACE WHISTLE  OPERATED PRESSURE SWITCH</t>
  </si>
  <si>
    <t>JN</t>
  </si>
  <si>
    <t>JHOPL-WI-19-164</t>
  </si>
  <si>
    <t>DM CAR REMOVE/REFIT TRACTION SUPPLY PRESSURE REGULATOR</t>
  </si>
  <si>
    <t>REPLACE TRACTION  SUPPLY PRESSURE REGULATOR</t>
  </si>
  <si>
    <t>DB</t>
  </si>
  <si>
    <t>JHOPL-WI-19-167</t>
  </si>
  <si>
    <t>DM CAR REMOVE/REFIT DOOR AIR SUPPLY PRESSURE REGULATOR (SUPPLIED WITH O-RINGS)</t>
  </si>
  <si>
    <t>REPLACE DOOR AIR SUPPLY PRESSURE REGULATOR</t>
  </si>
  <si>
    <t>KA</t>
  </si>
  <si>
    <t>JHOPL-WI-19-116</t>
  </si>
  <si>
    <t>DM CAR REMOVE/REFIT LOW MAIN LINE PRESSURE SWITCH</t>
  </si>
  <si>
    <t>REPLACE 2 LOW MAIN LINE PRESSURE SWITCHES</t>
  </si>
  <si>
    <t>SA</t>
  </si>
  <si>
    <t>JHOPL-WI-19-172</t>
  </si>
  <si>
    <t>DM CAR REMOVE/REFIT MAINLINE PRESSURE SWITCH EP TEST VALVE</t>
  </si>
  <si>
    <t>REPLACE 2 MAINLINE PRESSURE SWITCH EP TEST VALVE</t>
  </si>
  <si>
    <t>JHOPL-WI-19-098</t>
  </si>
  <si>
    <t>DM CAR REMOVE/REFIT COUPLING-TEST POINT-QUICK RELEASE</t>
  </si>
  <si>
    <t>IROC - 3 COUPLING-TEST POINT-QUICK RELEASE</t>
  </si>
  <si>
    <t>AM</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</si>
  <si>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</si>
  <si>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</si>
  <si>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</si>
  <si>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</si>
  <si>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</si>
  <si>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</si>
  <si>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</si>
  <si>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</si>
  <si>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</si>
  <si>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JT, OM</t>
  </si>
  <si>
    <t>JHOPL-WI-19-117</t>
  </si>
  <si>
    <t>DM CAR REMOVE/REFIT BSR CHECK VALVE (SUPPLIED WITH O-RINGS)</t>
  </si>
  <si>
    <t>REPLACE BSR CHECK VALVE</t>
  </si>
  <si>
    <t>AS, JD</t>
  </si>
  <si>
    <t>JHOPL-WI-19-097</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</si>
  <si>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</si>
  <si>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</si>
  <si>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</si>
  <si>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</si>
  <si>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</si>
  <si>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</si>
  <si>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</si>
  <si>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</si>
  <si>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</si>
  <si>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</si>
  <si>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</si>
  <si>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</si>
  <si>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</si>
  <si>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</si>
  <si>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LVN</t>
  </si>
  <si>
    <t>JHOPL-WI-19-103</t>
  </si>
  <si>
    <t>DM CAR REMOVE/REFIT AIR FLOW CUT-OFF VALVE BOGIE A</t>
  </si>
  <si>
    <t>REPLACE AIR FLOW CUT-OFF VALVE BOGIE A</t>
  </si>
  <si>
    <t>PM,GD</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</si>
  <si>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</si>
  <si>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</si>
  <si>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</si>
  <si>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</si>
  <si>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</si>
  <si>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</si>
  <si>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</si>
  <si>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</si>
  <si>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NA</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</si>
  <si>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</si>
  <si>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</si>
  <si>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</si>
  <si>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</si>
  <si>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</si>
  <si>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</si>
  <si>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</si>
  <si>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</si>
  <si>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</si>
  <si>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</si>
  <si>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</si>
  <si>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</si>
  <si>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</si>
  <si>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D</t>
  </si>
  <si>
    <t>REPLACE SEMI PERMANENT COUPLER &amp; DRAWGEAR INTERMEDIATE D</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</si>
  <si>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</si>
  <si>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</si>
  <si>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</si>
  <si>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</si>
  <si>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</si>
  <si>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</si>
  <si>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</si>
  <si>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</si>
  <si>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</si>
  <si>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</si>
  <si>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</si>
  <si>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</si>
  <si>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</si>
  <si>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</si>
  <si>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</si>
  <si>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</si>
  <si>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</si>
  <si>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</si>
  <si>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</si>
  <si>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</si>
  <si>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</si>
  <si>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</si>
  <si>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</si>
  <si>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</si>
  <si>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</si>
  <si>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</si>
  <si>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</si>
  <si>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</si>
  <si>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</si>
  <si>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</si>
  <si>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</si>
  <si>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</si>
  <si>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</si>
  <si>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</si>
  <si>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</si>
  <si>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</si>
  <si>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</si>
  <si>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</si>
  <si>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</si>
  <si>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</si>
  <si>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</si>
  <si>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</si>
  <si>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</si>
  <si>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</si>
  <si>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</si>
  <si>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</si>
  <si>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</si>
  <si>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</si>
  <si>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R. BAKER</t>
  </si>
  <si>
    <t>DM - CAR REMOVE/REFIT FILTER VOLTAGE MONITORING DEVICES VMD1, FVMD2, FVMD1, ALVMD.</t>
  </si>
  <si>
    <t xml:space="preserve">REPLACE FILTER VOLTAGE MONITORING DEVICE FVMD1, FVMD 2, VMD1. ALVMD, </t>
  </si>
  <si>
    <t>AOO, DH</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</si>
  <si>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</si>
  <si>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</si>
  <si>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</si>
  <si>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</si>
  <si>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</si>
  <si>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</si>
  <si>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</si>
  <si>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</si>
  <si>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</si>
  <si>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</si>
  <si>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</si>
  <si>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</si>
  <si>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</si>
  <si>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</si>
  <si>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</si>
  <si>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</si>
  <si>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</si>
  <si>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</si>
  <si>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</si>
  <si>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</si>
  <si>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</si>
  <si>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</si>
  <si>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</si>
  <si>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</si>
  <si>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</si>
  <si>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</si>
  <si>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</si>
  <si>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</si>
  <si>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</si>
  <si>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</si>
  <si>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</si>
  <si>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</si>
  <si>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</si>
  <si>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</si>
  <si>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</si>
  <si>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</si>
  <si>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</si>
  <si>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</si>
  <si>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</si>
  <si>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</si>
  <si>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</si>
  <si>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</si>
  <si>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</si>
  <si>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</si>
  <si>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</si>
  <si>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</si>
  <si>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</si>
  <si>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</si>
  <si>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</si>
  <si>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</si>
  <si>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</si>
  <si>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</si>
  <si>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</si>
  <si>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</si>
  <si>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</si>
  <si>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</si>
  <si>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</si>
  <si>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</si>
  <si>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</si>
  <si>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IROC - SCREEN WASH TANK</t>
  </si>
  <si>
    <t>DM - ASK CAPAICTOR REPLACE</t>
  </si>
  <si>
    <t>REPLACED - ASK CAPAICTOR (NON ELECTROLYTIC CAPACITOR)</t>
  </si>
  <si>
    <t>JHOPL-WI-17-157</t>
  </si>
  <si>
    <t>ABB</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</si>
  <si>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</si>
  <si>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</si>
  <si>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</si>
  <si>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</si>
  <si>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</si>
  <si>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</si>
  <si>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</si>
  <si>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96880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</si>
  <si>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</si>
  <si>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</si>
  <si>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</si>
  <si>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</si>
  <si>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</si>
  <si>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</si>
  <si>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</si>
  <si>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</si>
  <si>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</si>
  <si>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</si>
  <si>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</si>
  <si>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Red team</t>
  </si>
  <si>
    <t>TRAILER CAR REFIT BOGIE A</t>
  </si>
  <si>
    <t>REFIT BOGIE A (TYPE E)</t>
  </si>
  <si>
    <t xml:space="preserve">White Team </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</si>
  <si>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</si>
  <si>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</si>
  <si>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</si>
  <si>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</si>
  <si>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</si>
  <si>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</si>
  <si>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</si>
  <si>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</si>
  <si>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</si>
  <si>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</si>
  <si>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</si>
  <si>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</si>
  <si>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</si>
  <si>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</si>
  <si>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</si>
  <si>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</si>
  <si>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</si>
  <si>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 - EXTERNAL</t>
  </si>
  <si>
    <t>TRAILER CAR REMOVE/REFIT VARIABLE LOAD VALVE - T/DIT CAR</t>
  </si>
  <si>
    <t>TRAILER CAR REMOVE/REFIT BRAKE RELEASE VALVE</t>
  </si>
  <si>
    <t>TRAILER CAR REMOVE/REFIT BRAKE CYLINDER SALOON GAUGES</t>
  </si>
  <si>
    <t>TRAILER CAR REMOVE/REFIT CLOSED LOOP ANALOGUE UNIT (CLAU) - T/ DIT CAR</t>
  </si>
  <si>
    <t>MA,AS CC</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</si>
  <si>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</si>
  <si>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</si>
  <si>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</si>
  <si>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</si>
  <si>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</si>
  <si>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</si>
  <si>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</si>
  <si>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</si>
  <si>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GT</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</si>
  <si>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</si>
  <si>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</si>
  <si>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</si>
  <si>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</si>
  <si>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</si>
  <si>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</si>
  <si>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</si>
  <si>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</si>
  <si>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</si>
  <si>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</si>
  <si>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</si>
  <si>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</si>
  <si>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</si>
  <si>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</si>
  <si>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</si>
  <si>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</si>
  <si>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</si>
  <si>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</si>
  <si>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</si>
  <si>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</si>
  <si>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</si>
  <si>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</si>
  <si>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AS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</si>
  <si>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</si>
  <si>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</si>
  <si>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</si>
  <si>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</si>
  <si>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</si>
  <si>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</si>
  <si>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</si>
  <si>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</si>
  <si>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BP</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</si>
  <si>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</si>
  <si>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</si>
  <si>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</si>
  <si>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</si>
  <si>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</si>
  <si>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</si>
  <si>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</si>
  <si>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</si>
  <si>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</si>
  <si>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</si>
  <si>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</si>
  <si>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</si>
  <si>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</si>
  <si>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</si>
  <si>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</si>
  <si>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</si>
  <si>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</si>
  <si>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</si>
  <si>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</si>
  <si>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</si>
  <si>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GD, PS</t>
  </si>
  <si>
    <t>JHOPL-WI-19-101</t>
  </si>
  <si>
    <t>TRAILER CAR REMOVE/REFIT ½" VENTED BALL VALVE (MAIN RESERVOIR MANUAL DRAIN VALVE)</t>
  </si>
  <si>
    <t>IROC 2 1/2" VENTED BALL VALVE - INTERNAL</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</si>
  <si>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</si>
  <si>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</si>
  <si>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</si>
  <si>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</si>
  <si>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</si>
  <si>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</si>
  <si>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</si>
  <si>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</si>
  <si>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</si>
  <si>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</si>
  <si>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</si>
  <si>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</si>
  <si>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</si>
  <si>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</si>
  <si>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</si>
  <si>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</si>
  <si>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</si>
  <si>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</si>
  <si>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</si>
  <si>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</si>
  <si>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</si>
  <si>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</si>
  <si>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</si>
  <si>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</si>
  <si>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</si>
  <si>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</si>
  <si>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</si>
  <si>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</si>
  <si>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</si>
  <si>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</si>
  <si>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</si>
  <si>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</si>
  <si>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</si>
  <si>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96480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</si>
  <si>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</si>
  <si>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</si>
  <si>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</si>
  <si>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</si>
  <si>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</si>
  <si>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</si>
  <si>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</si>
  <si>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</si>
  <si>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</si>
  <si>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</si>
  <si>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</si>
  <si>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</si>
  <si>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</si>
  <si>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</si>
  <si>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</si>
  <si>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</si>
  <si>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</si>
  <si>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</si>
  <si>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</si>
  <si>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</si>
  <si>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Blue Team</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</si>
  <si>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</si>
  <si>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</si>
  <si>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</si>
  <si>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</si>
  <si>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</si>
  <si>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</si>
  <si>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</si>
  <si>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RB,BP, RN</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</si>
  <si>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</si>
  <si>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</si>
  <si>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</si>
  <si>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</si>
  <si>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</si>
  <si>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</si>
  <si>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</si>
  <si>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</si>
  <si>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</si>
  <si>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</si>
  <si>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ATM'S</t>
  </si>
  <si>
    <t>UNDM CAR REMOVE/REFIT UNCOUPLER SWITCH UNDM</t>
  </si>
  <si>
    <t>JHOPL-WI-11-134</t>
  </si>
  <si>
    <t>UNDM CAR REMOVE/REFIT PROPULSION INVERTER MODULE</t>
  </si>
  <si>
    <t>Already removed.  VN, NA</t>
  </si>
  <si>
    <t>JHOPL-WI-11-009</t>
  </si>
  <si>
    <t>UNDM CAR REMOVE/REFIT RHEOSTATIC BRAKE MODULE</t>
  </si>
  <si>
    <t>REPLACE RHEOSTATIC BRAKE MODULE</t>
  </si>
  <si>
    <t>Already removed. VN NA</t>
  </si>
  <si>
    <t>UNDM CAR REMOVE/REFIT LINE FILTER CAPACITOR TRAY 6 CAP - KF</t>
  </si>
  <si>
    <t>REPLACE LINE FILTER CAPACITOR TRAY 6 CAP KF</t>
  </si>
  <si>
    <t>UNDM CAR REMOVE/REFIT LINE FILTER CAPACITOR TRAY 10 CAP</t>
  </si>
  <si>
    <t>REPLACE LINE FILTER CAPACITOR TRAY 10 CAP</t>
  </si>
  <si>
    <t>09/02/25025</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</si>
  <si>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</si>
  <si>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</si>
  <si>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</si>
  <si>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</si>
  <si>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ASBS, CC</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</si>
  <si>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</si>
  <si>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</si>
  <si>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</si>
  <si>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</si>
  <si>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</si>
  <si>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</si>
  <si>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</si>
  <si>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</si>
  <si>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</si>
  <si>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UNDM CAR REMOVE/REFIT WHISTLE CONTROL VALVE &amp; BUTTON ASSY UNDM</t>
  </si>
  <si>
    <t>REPLACE WHISTLE CONTROL LEVER VALVE</t>
  </si>
  <si>
    <t>PS</t>
  </si>
  <si>
    <t>UNDM CAR REMOVE/REFIT TRACTION SUPPLY PRESSURE REGULATOR</t>
  </si>
  <si>
    <t>UNDM CAR REMOVE/REFIT DOOR AIR SUPPLY PRESSURE REGULATOR (SUPPLIED WITH O-RINGS)</t>
  </si>
  <si>
    <t>UNDM CAR REMOVE/REFIT LOW MAIN LINE PRESSURE SWITCH</t>
  </si>
  <si>
    <t>REPLACE LOW MAIN LINE PRESSURE SWITCH</t>
  </si>
  <si>
    <t xml:space="preserve">AS </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</si>
  <si>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</si>
  <si>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</si>
  <si>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</si>
  <si>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</si>
  <si>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</si>
  <si>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</si>
  <si>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</si>
  <si>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</si>
  <si>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</si>
  <si>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</si>
  <si>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</si>
  <si>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</si>
  <si>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</si>
  <si>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</si>
  <si>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</si>
  <si>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</si>
  <si>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</si>
  <si>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</si>
  <si>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AOO,DH</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</si>
  <si>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</si>
  <si>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</si>
  <si>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</si>
  <si>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</si>
  <si>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</si>
  <si>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</si>
  <si>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</si>
  <si>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</si>
  <si>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</si>
  <si>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</si>
  <si>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</si>
  <si>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</si>
  <si>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</si>
  <si>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</si>
  <si>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</si>
  <si>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</si>
  <si>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</si>
  <si>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</si>
  <si>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</si>
  <si>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</si>
  <si>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</si>
  <si>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</si>
  <si>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</si>
  <si>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</si>
  <si>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</si>
  <si>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</si>
  <si>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</si>
  <si>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</si>
  <si>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</si>
  <si>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REPLACE - SALOON MODULAR SEATING</t>
  </si>
  <si>
    <t>JHOPL-WI-13-028
JHOPL-WI-13-032</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</si>
  <si>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</si>
  <si>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</si>
  <si>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</si>
  <si>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</si>
  <si>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</si>
  <si>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</si>
  <si>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</si>
  <si>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</si>
  <si>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</si>
  <si>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</si>
  <si>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</si>
  <si>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</si>
  <si>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96491</t>
  </si>
  <si>
    <t>LN, JL, VN, NA</t>
  </si>
  <si>
    <t>ABS, CC</t>
  </si>
  <si>
    <t>GD,PM</t>
  </si>
  <si>
    <t>JHOPL-WI-19-119</t>
  </si>
  <si>
    <t>AS, PS</t>
  </si>
  <si>
    <t>PM,JD</t>
  </si>
  <si>
    <t>AOO/DH</t>
  </si>
  <si>
    <t>UNDM CAR REMOVE/REFIT AUTOCOUPLER UNDM RH 4-CAR, DRAWGEAR, RADIAL SUPPORT BAR, CONTACT BOX ASSY L/H &amp; CONTACT BOX ASSY R/H</t>
  </si>
  <si>
    <t>REPLACE AUTOCOUPLER UNDM RH 4-CAR, DRAWGEAR &amp; CONTACT BOX L &amp; R HAND</t>
  </si>
  <si>
    <t>Unit No: 96691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</si>
  <si>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</si>
  <si>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</si>
  <si>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</si>
  <si>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</si>
  <si>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</si>
  <si>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</si>
  <si>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</si>
  <si>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</si>
  <si>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</si>
  <si>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</si>
  <si>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</si>
  <si>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</si>
  <si>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</si>
  <si>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RB, BP, CB,DH,AO</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</si>
  <si>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</si>
  <si>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</si>
  <si>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</si>
  <si>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</si>
  <si>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</si>
  <si>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</si>
  <si>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IROC 1/2" VENTED BALL VALVE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</si>
  <si>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</si>
  <si>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</si>
  <si>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</si>
  <si>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</si>
  <si>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</si>
  <si>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AOL. JN, JT</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</si>
  <si>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</si>
  <si>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</si>
  <si>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</si>
  <si>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</si>
  <si>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</si>
  <si>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</si>
  <si>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</si>
  <si>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JD,PS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</si>
  <si>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</si>
  <si>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</si>
  <si>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</si>
  <si>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</si>
  <si>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</si>
  <si>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</si>
  <si>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</si>
  <si>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</si>
  <si>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</si>
  <si>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</si>
  <si>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</si>
  <si>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</si>
  <si>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</si>
  <si>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</si>
  <si>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</si>
  <si>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</si>
  <si>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</si>
  <si>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</si>
  <si>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</si>
  <si>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96291</t>
  </si>
  <si>
    <t>TRAILER CAR REMOVE/REFIT BRAKE CYLINDER PRESSURE SWITCH 1 (FOR ALL CARS)</t>
  </si>
  <si>
    <t>TRAILER CAR REMOVE/REFIT ½" VENTED BALL VALVE (VLCV / SYSTEM DRAIN / WHISTLE)</t>
  </si>
  <si>
    <t>IROC 1/2" VENTED BALL VALVE - INTERNAL</t>
  </si>
  <si>
    <t>MR</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</si>
  <si>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</si>
  <si>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</si>
  <si>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</si>
  <si>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</si>
  <si>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</si>
  <si>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GD,PS</t>
  </si>
  <si>
    <t>IROC 2 1/2" VENTED BALL VALVE (MAIN RESERVOIR MANUAL DRAIN VALVE)</t>
  </si>
  <si>
    <t>JHOPL-WI-19-104</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</si>
  <si>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</si>
  <si>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</si>
  <si>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</si>
  <si>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</si>
  <si>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</si>
  <si>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96091</t>
  </si>
  <si>
    <t xml:space="preserve">LN </t>
  </si>
  <si>
    <t>RB,BP, AOO, DH</t>
  </si>
  <si>
    <t>JL JJ</t>
  </si>
  <si>
    <t>LN, JL, VN, AOO</t>
  </si>
  <si>
    <t>DB. JN, JT</t>
  </si>
  <si>
    <t>ASZ</t>
  </si>
  <si>
    <t>AS, JD,PS</t>
  </si>
  <si>
    <t>VN</t>
  </si>
  <si>
    <t>l</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</si>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</sst>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7">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1"/>
      <name val="Calibri"/>
      <family val="2"/>
      <scheme val="minor"/>
    </font>
    <font>
      <sz val="11"/>
      <color rgb="FF000000"/>
      <name val="Calibri"/>
      <family val="2"/>
    </font>
    <font>
      <sz val="12"/>
      <color rgb="FFA6A6A6"/>
      <name val="Arial"/>
      <family val="2"/>
    </font>
    <font>
      <b/>
      <sz val="11"/>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45">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0" fontId="6" fillId="5" borderId="2" xfId="0" applyFont="1" applyFill="1" applyBorder="1" applyAlignment="1">
      <alignment horizontal="center" vertical="center"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4" fillId="11" borderId="29" xfId="0" applyFont="1" applyFill="1" applyBorder="1" applyAlignment="1">
      <alignment horizontal="center" vertical="center" wrapText="1"/>
    </xf>
    <xf numFmtId="14" fontId="14"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5" fillId="7" borderId="0" xfId="0" applyFont="1" applyFill="1" applyAlignment="1">
      <alignment horizontal="center" vertical="center" wrapText="1"/>
    </xf>
    <xf numFmtId="0" fontId="0" fillId="13" borderId="0" xfId="0" applyFill="1" applyAlignment="1">
      <alignment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0" fontId="1" fillId="13" borderId="26" xfId="0" applyFont="1" applyFill="1" applyBorder="1" applyAlignment="1">
      <alignment horizontal="center" vertical="center" wrapText="1"/>
    </xf>
    <xf numFmtId="0" fontId="1" fillId="11" borderId="35" xfId="0" applyFont="1" applyFill="1" applyBorder="1" applyAlignment="1">
      <alignment horizontal="center" vertical="center" wrapText="1"/>
    </xf>
    <xf numFmtId="0" fontId="1" fillId="11" borderId="36" xfId="0" applyFont="1" applyFill="1" applyBorder="1" applyAlignment="1">
      <alignment horizontal="center" vertical="center" wrapText="1"/>
    </xf>
    <xf numFmtId="0" fontId="0" fillId="11" borderId="36" xfId="0" applyFill="1" applyBorder="1" applyAlignment="1">
      <alignment horizontal="center" vertical="center" wrapText="1"/>
    </xf>
    <xf numFmtId="14" fontId="1" fillId="11" borderId="36" xfId="0" applyNumberFormat="1" applyFont="1" applyFill="1" applyBorder="1" applyAlignment="1">
      <alignment horizontal="center" vertical="center" wrapText="1"/>
    </xf>
    <xf numFmtId="164" fontId="1" fillId="11" borderId="37" xfId="0" applyNumberFormat="1" applyFont="1" applyFill="1" applyBorder="1" applyAlignment="1">
      <alignment horizontal="center" vertical="center" wrapText="1"/>
    </xf>
    <xf numFmtId="164" fontId="13" fillId="11" borderId="27" xfId="0" applyNumberFormat="1" applyFont="1" applyFill="1" applyBorder="1" applyAlignment="1">
      <alignment horizontal="center" vertical="center" wrapText="1"/>
    </xf>
    <xf numFmtId="14" fontId="0" fillId="11" borderId="36" xfId="0" applyNumberFormat="1" applyFill="1" applyBorder="1" applyAlignment="1">
      <alignment horizontal="center" vertical="center" wrapText="1"/>
    </xf>
    <xf numFmtId="164" fontId="1" fillId="13" borderId="27" xfId="0" applyNumberFormat="1" applyFont="1" applyFill="1" applyBorder="1" applyAlignment="1">
      <alignment horizontal="center" vertical="center" wrapText="1"/>
    </xf>
    <xf numFmtId="14" fontId="0" fillId="11" borderId="29" xfId="0" applyNumberFormat="1" applyFill="1" applyBorder="1" applyAlignment="1">
      <alignment horizontal="center" vertical="center" wrapText="1"/>
    </xf>
    <xf numFmtId="0" fontId="1" fillId="0" borderId="26"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0" fillId="0" borderId="36" xfId="0" applyBorder="1" applyAlignment="1">
      <alignment horizontal="center" vertical="center" wrapText="1"/>
    </xf>
    <xf numFmtId="14" fontId="1" fillId="0" borderId="36" xfId="0" applyNumberFormat="1" applyFont="1" applyBorder="1" applyAlignment="1">
      <alignment horizontal="center" vertical="center" wrapText="1"/>
    </xf>
    <xf numFmtId="164" fontId="1" fillId="0" borderId="37" xfId="0" applyNumberFormat="1" applyFont="1" applyBorder="1" applyAlignment="1">
      <alignment horizontal="center" vertical="center" wrapText="1"/>
    </xf>
    <xf numFmtId="0" fontId="1" fillId="0" borderId="25" xfId="0" applyFont="1" applyBorder="1" applyAlignment="1">
      <alignment horizontal="center" vertical="center" wrapText="1"/>
    </xf>
    <xf numFmtId="0" fontId="0" fillId="0" borderId="26" xfId="0" applyBorder="1" applyAlignment="1">
      <alignment horizontal="center" vertical="center" wrapText="1"/>
    </xf>
    <xf numFmtId="14" fontId="1" fillId="0" borderId="26" xfId="0" applyNumberFormat="1" applyFont="1" applyBorder="1" applyAlignment="1">
      <alignment horizontal="center" vertical="center" wrapText="1"/>
    </xf>
    <xf numFmtId="164" fontId="1" fillId="0" borderId="27" xfId="0" applyNumberFormat="1" applyFont="1" applyBorder="1" applyAlignment="1">
      <alignment horizontal="center" vertical="center" wrapText="1"/>
    </xf>
    <xf numFmtId="14" fontId="0" fillId="0" borderId="26" xfId="0" applyNumberFormat="1" applyBorder="1" applyAlignment="1">
      <alignment horizontal="center" vertical="center" wrapText="1"/>
    </xf>
    <xf numFmtId="0" fontId="1" fillId="0" borderId="28" xfId="0" applyFont="1" applyBorder="1" applyAlignment="1">
      <alignment horizontal="center" vertical="center" wrapText="1"/>
    </xf>
    <xf numFmtId="0" fontId="1" fillId="0" borderId="29" xfId="0" applyFont="1" applyBorder="1" applyAlignment="1">
      <alignment horizontal="center" vertical="center" wrapText="1"/>
    </xf>
    <xf numFmtId="0" fontId="0" fillId="0" borderId="29" xfId="0" applyBorder="1" applyAlignment="1">
      <alignment horizontal="center" vertical="center" wrapText="1"/>
    </xf>
    <xf numFmtId="164" fontId="1" fillId="0" borderId="30" xfId="0" applyNumberFormat="1" applyFont="1" applyBorder="1" applyAlignment="1">
      <alignment horizontal="center" vertical="center" wrapText="1"/>
    </xf>
    <xf numFmtId="14" fontId="0" fillId="0" borderId="36" xfId="0" applyNumberFormat="1" applyBorder="1" applyAlignment="1">
      <alignment horizontal="center" vertical="center" wrapText="1"/>
    </xf>
    <xf numFmtId="14" fontId="0" fillId="0" borderId="29" xfId="0" applyNumberFormat="1" applyBorder="1" applyAlignment="1">
      <alignment horizontal="center" vertical="center" wrapText="1"/>
    </xf>
    <xf numFmtId="0" fontId="0" fillId="0" borderId="29" xfId="0" applyBorder="1" applyAlignment="1">
      <alignment wrapText="1"/>
    </xf>
    <xf numFmtId="14" fontId="1" fillId="0" borderId="29" xfId="0" applyNumberFormat="1" applyFont="1"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1" fillId="0" borderId="33" xfId="0" applyFont="1" applyBorder="1" applyAlignment="1">
      <alignment horizontal="center" vertical="center" wrapText="1"/>
    </xf>
    <xf numFmtId="164" fontId="1" fillId="0" borderId="34" xfId="0" applyNumberFormat="1" applyFont="1" applyBorder="1" applyAlignment="1">
      <alignment wrapText="1"/>
    </xf>
    <xf numFmtId="164" fontId="1" fillId="0" borderId="24" xfId="0" applyNumberFormat="1" applyFont="1" applyBorder="1" applyAlignment="1">
      <alignment wrapText="1"/>
    </xf>
    <xf numFmtId="0" fontId="1" fillId="13" borderId="25" xfId="0" applyFont="1" applyFill="1" applyBorder="1" applyAlignment="1">
      <alignment horizontal="center" vertical="center" wrapText="1"/>
    </xf>
    <xf numFmtId="0" fontId="0" fillId="13" borderId="26" xfId="0" applyFill="1" applyBorder="1" applyAlignment="1">
      <alignment horizontal="center" vertical="center" wrapText="1"/>
    </xf>
    <xf numFmtId="14" fontId="0" fillId="13" borderId="26" xfId="0" applyNumberFormat="1" applyFill="1" applyBorder="1" applyAlignment="1">
      <alignment horizontal="center" vertical="center" wrapText="1"/>
    </xf>
    <xf numFmtId="14" fontId="1" fillId="0" borderId="33" xfId="0" applyNumberFormat="1" applyFont="1" applyBorder="1" applyAlignment="1">
      <alignment horizontal="center" vertical="center" wrapText="1"/>
    </xf>
    <xf numFmtId="164" fontId="1" fillId="0" borderId="34" xfId="0" applyNumberFormat="1" applyFont="1" applyBorder="1" applyAlignment="1">
      <alignment horizontal="center" vertical="center" wrapText="1"/>
    </xf>
    <xf numFmtId="0" fontId="0" fillId="0" borderId="28" xfId="0" applyBorder="1" applyAlignment="1">
      <alignment horizontal="center" vertical="center" wrapText="1"/>
    </xf>
    <xf numFmtId="0" fontId="0" fillId="0" borderId="30" xfId="0" applyBorder="1" applyAlignment="1">
      <alignment wrapText="1"/>
    </xf>
    <xf numFmtId="0" fontId="14" fillId="11" borderId="26" xfId="0" applyFont="1" applyFill="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 cent" xfId="2" builtinId="5"/>
  </cellStyles>
  <dxfs count="350">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14</xdr:row>
          <xdr:rowOff>76200</xdr:rowOff>
        </xdr:from>
        <xdr:to>
          <xdr:col>11</xdr:col>
          <xdr:colOff>638175</xdr:colOff>
          <xdr:row>17</xdr:row>
          <xdr:rowOff>104775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397F8016-E718-4596-BF3D-0B8BACD980D6}" userId="S::TahaDeghyes@tfl.gov.uk::da7eecb3-e0fa-4d68-908c-844844052a9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397F8016-E718-4596-BF3D-0B8BACD980D6}" id="{3976DD39-C89C-4C9E-A702-BEFA5101E1BD}">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Q21" sqref="Q21"/>
    </sheetView>
  </sheetViews>
  <sheetFormatPr defaultRowHeight="15"/>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2.25" thickBot="1">
      <c r="A2" s="69" t="s">
        <v>0</v>
      </c>
      <c r="B2" s="45">
        <v>60</v>
      </c>
      <c r="C2" s="11"/>
      <c r="D2" s="11"/>
      <c r="E2" s="11"/>
      <c r="F2" s="11"/>
      <c r="G2" s="11"/>
      <c r="H2" s="11"/>
      <c r="I2" s="16" t="s">
        <v>1</v>
      </c>
      <c r="J2" s="20"/>
      <c r="K2" s="17" t="s">
        <v>2</v>
      </c>
      <c r="L2" s="13" t="s">
        <v>3</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c r="A4" s="37"/>
      <c r="B4" s="32" t="s">
        <v>4</v>
      </c>
      <c r="C4" s="41" t="s">
        <v>5</v>
      </c>
      <c r="D4" s="40"/>
      <c r="E4" s="33" t="s">
        <v>6</v>
      </c>
      <c r="F4" s="34" t="s">
        <v>7</v>
      </c>
      <c r="G4" s="35" t="s">
        <v>8</v>
      </c>
      <c r="H4" s="34" t="s">
        <v>9</v>
      </c>
      <c r="I4" s="7"/>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c r="A5" s="38" t="s">
        <v>10</v>
      </c>
      <c r="B5" s="43">
        <v>96080</v>
      </c>
      <c r="C5" s="44">
        <v>96091</v>
      </c>
      <c r="D5" s="46" t="s">
        <v>11</v>
      </c>
      <c r="E5" s="26" t="s">
        <v>12</v>
      </c>
      <c r="F5" s="48">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0">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8">
        <f t="shared" ref="H5:H6" si="0">IFERROR(G5/F5,0)</f>
        <v>1</v>
      </c>
      <c r="I5" s="7"/>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c r="A6" s="38" t="s">
        <v>13</v>
      </c>
      <c r="B6" s="26" cm="1">
        <f t="array" ref="B6">_xlfn.IFS($B$17="No",SUMPRODUCT(B21:D21),$B$17="Yes",SUMPRODUCT(I21:K21))</f>
        <v>184</v>
      </c>
      <c r="C6">
        <f>SUMPRODUCT(E21:H21)</f>
        <v>214</v>
      </c>
      <c r="D6" s="46" t="s">
        <v>14</v>
      </c>
      <c r="E6" s="26" t="s">
        <v>12</v>
      </c>
      <c r="F6" s="30">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82</v>
      </c>
      <c r="H6" s="28">
        <f t="shared" si="0"/>
        <v>0.93181818181818177</v>
      </c>
      <c r="I6" s="7"/>
      <c r="J6" s="7"/>
      <c r="K6" s="7"/>
      <c r="L6" s="7"/>
      <c r="M6" s="7"/>
      <c r="N6" s="11"/>
      <c r="O6" s="11"/>
      <c r="P6" s="136" t="s">
        <v>15</v>
      </c>
      <c r="Q6" s="137"/>
      <c r="R6" s="138"/>
      <c r="S6" s="11"/>
      <c r="T6" s="11"/>
      <c r="U6" s="11"/>
      <c r="V6" s="11"/>
      <c r="W6" s="11"/>
      <c r="X6" s="11"/>
      <c r="Y6" s="11"/>
      <c r="Z6" s="11"/>
      <c r="AA6" s="11"/>
      <c r="AB6" s="11"/>
      <c r="AC6" s="11"/>
      <c r="AD6" s="11"/>
      <c r="AE6" s="11"/>
      <c r="AF6" s="11"/>
      <c r="AG6" s="11"/>
      <c r="AH6" s="11"/>
      <c r="AI6" s="11"/>
      <c r="AJ6" s="11"/>
      <c r="AK6" s="11"/>
    </row>
    <row r="7" spans="1:37" ht="16.5" thickBot="1">
      <c r="A7" s="38" t="s">
        <v>16</v>
      </c>
      <c r="B7" s="26" cm="1">
        <f t="array" ref="B7">_xlfn.IFS($B$17="No",SUMPRODUCT(B22:D22),$B$17="Yes",SUMPRODUCT(I22:K22))</f>
        <v>0</v>
      </c>
      <c r="C7">
        <f t="shared" ref="C7:C8" si="1">SUMPRODUCT(E22:H22)</f>
        <v>0</v>
      </c>
      <c r="D7" s="46" t="s">
        <v>17</v>
      </c>
      <c r="E7" s="26" t="s">
        <v>12</v>
      </c>
      <c r="F7" s="30">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219</v>
      </c>
      <c r="H7" s="28">
        <f>IFERROR(G7/F7,0)</f>
        <v>0.95633187772925765</v>
      </c>
      <c r="I7" s="7"/>
      <c r="J7" s="7"/>
      <c r="K7" s="7"/>
      <c r="L7" s="7"/>
      <c r="M7" s="7"/>
      <c r="N7" s="11"/>
      <c r="O7" s="11"/>
      <c r="P7" s="139" t="s">
        <v>18</v>
      </c>
      <c r="Q7" s="140"/>
      <c r="R7" s="60" t="s">
        <v>19</v>
      </c>
      <c r="S7" s="11"/>
      <c r="T7" s="11"/>
      <c r="U7" s="11"/>
      <c r="V7" s="11"/>
      <c r="W7" s="11"/>
      <c r="X7" s="11"/>
      <c r="Y7" s="11"/>
      <c r="Z7" s="11"/>
      <c r="AA7" s="11"/>
      <c r="AB7" s="11"/>
      <c r="AC7" s="11"/>
      <c r="AD7" s="11"/>
      <c r="AE7" s="11"/>
      <c r="AF7" s="11"/>
      <c r="AG7" s="11"/>
      <c r="AH7" s="11"/>
      <c r="AI7" s="11"/>
      <c r="AJ7" s="11"/>
      <c r="AK7" s="11"/>
    </row>
    <row r="8" spans="1:37" ht="15.75">
      <c r="A8" s="38" t="s">
        <v>20</v>
      </c>
      <c r="B8" s="26" cm="1">
        <f t="array" ref="B8">_xlfn.IFS($B$17="No",SUMPRODUCT(B23:D23),$B$17="Yes",SUMPRODUCT(I23:K23))</f>
        <v>1</v>
      </c>
      <c r="C8">
        <f t="shared" si="1"/>
        <v>0</v>
      </c>
      <c r="D8" s="46" t="s">
        <v>21</v>
      </c>
      <c r="E8" s="26" t="s">
        <v>22</v>
      </c>
      <c r="F8" s="30">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130</v>
      </c>
      <c r="G8" s="30">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21</v>
      </c>
      <c r="H8" s="28">
        <f t="shared" ref="H8:H9" si="2">IFERROR(G8/F8,0)</f>
        <v>0.16153846153846155</v>
      </c>
      <c r="I8" s="7"/>
      <c r="J8" s="7"/>
      <c r="K8" s="7"/>
      <c r="L8" s="7"/>
      <c r="M8" s="7"/>
      <c r="N8" s="11"/>
      <c r="O8" s="11"/>
      <c r="P8" s="141" t="s">
        <v>23</v>
      </c>
      <c r="Q8" s="142"/>
      <c r="R8" s="61" t="s">
        <v>12</v>
      </c>
      <c r="S8" s="11"/>
      <c r="T8" s="11"/>
      <c r="U8" s="11"/>
      <c r="V8" s="11"/>
      <c r="W8" s="11"/>
      <c r="X8" s="11"/>
      <c r="Y8" s="11"/>
      <c r="Z8" s="11"/>
      <c r="AA8" s="11"/>
      <c r="AB8" s="11"/>
      <c r="AC8" s="11"/>
      <c r="AD8" s="11"/>
      <c r="AE8" s="11"/>
      <c r="AF8" s="11"/>
      <c r="AG8" s="11"/>
      <c r="AH8" s="11"/>
      <c r="AI8" s="11"/>
      <c r="AJ8" s="11"/>
      <c r="AK8" s="11"/>
    </row>
    <row r="9" spans="1:37" ht="16.5" thickBot="1">
      <c r="A9" s="39" t="s">
        <v>24</v>
      </c>
      <c r="B9" s="27" cm="1">
        <f t="array" ref="B9">_xlfn.IFS($B$17="No",SUMPRODUCT(B24:D24),$B$17="Yes",SUMPRODUCT(I24:K24))</f>
        <v>176</v>
      </c>
      <c r="C9" s="27">
        <f>SUMPRODUCT(E24:H24)</f>
        <v>206</v>
      </c>
      <c r="D9" s="47" t="s">
        <v>25</v>
      </c>
      <c r="E9" s="27" t="s">
        <v>22</v>
      </c>
      <c r="F9" s="31">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7"/>
      <c r="J9" s="7"/>
      <c r="K9" s="7"/>
      <c r="L9" s="7"/>
      <c r="M9" s="7"/>
      <c r="N9" s="11"/>
      <c r="O9" s="11"/>
      <c r="P9" s="143" t="s">
        <v>26</v>
      </c>
      <c r="Q9" s="144"/>
      <c r="R9" s="27" t="s">
        <v>12</v>
      </c>
      <c r="S9" s="11"/>
      <c r="T9" s="11"/>
      <c r="U9" s="11"/>
      <c r="V9" s="11"/>
      <c r="W9" s="11"/>
      <c r="X9" s="11"/>
      <c r="Y9" s="11"/>
      <c r="Z9" s="11"/>
      <c r="AA9" s="11"/>
      <c r="AB9" s="11"/>
      <c r="AC9" s="11"/>
      <c r="AD9" s="11"/>
      <c r="AE9" s="11"/>
      <c r="AF9" s="11"/>
      <c r="AG9" s="11"/>
      <c r="AH9" s="11"/>
      <c r="AI9" s="11"/>
      <c r="AJ9" s="11"/>
      <c r="AK9" s="11"/>
    </row>
    <row r="10" spans="1:37">
      <c r="A10" s="11"/>
      <c r="B10" s="11"/>
      <c r="C10" s="11"/>
      <c r="D10" s="11"/>
      <c r="E10" s="11"/>
      <c r="F10" s="11"/>
      <c r="G10" s="11"/>
      <c r="H10" s="11"/>
      <c r="I10" s="7"/>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c r="A11" s="11"/>
      <c r="B11" s="11"/>
      <c r="C11" s="11"/>
      <c r="D11" s="11"/>
      <c r="E11" s="11"/>
      <c r="F11" s="11"/>
      <c r="G11" s="11"/>
      <c r="H11" s="11"/>
      <c r="I11" s="7"/>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c r="A12" s="11"/>
      <c r="B12" s="11"/>
      <c r="C12" s="11"/>
      <c r="D12" s="11"/>
      <c r="E12" s="11"/>
      <c r="F12" s="11"/>
      <c r="G12" s="11"/>
      <c r="H12" s="11"/>
      <c r="I12" s="7"/>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c r="A13" s="11"/>
      <c r="B13" s="11"/>
      <c r="C13" s="11"/>
      <c r="D13" s="11"/>
      <c r="E13" s="11"/>
      <c r="F13" s="11"/>
      <c r="G13" s="11"/>
      <c r="H13" s="11"/>
      <c r="I13" s="7"/>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c r="A14" s="11"/>
      <c r="B14" s="11"/>
      <c r="C14" s="11"/>
      <c r="D14" s="11"/>
      <c r="E14" s="11"/>
      <c r="F14" s="11"/>
      <c r="G14" s="11"/>
      <c r="H14" s="11"/>
      <c r="I14" s="7"/>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c r="A15" s="18"/>
      <c r="B15" s="11"/>
      <c r="C15" s="11"/>
      <c r="D15" s="11"/>
      <c r="E15" s="11"/>
      <c r="F15" s="11"/>
      <c r="G15" s="11"/>
      <c r="H15" s="11"/>
      <c r="I15" s="7"/>
      <c r="J15" s="87"/>
      <c r="K15" s="87"/>
      <c r="L15" s="87"/>
      <c r="M15" s="7"/>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c r="A16" s="18"/>
      <c r="B16" s="11"/>
      <c r="C16" s="11"/>
      <c r="D16" s="11"/>
      <c r="E16" s="11"/>
      <c r="F16" s="11"/>
      <c r="G16" s="11"/>
      <c r="H16" s="11"/>
      <c r="I16" s="7"/>
      <c r="J16" s="87"/>
      <c r="K16" s="87"/>
      <c r="L16" s="87"/>
      <c r="M16" s="7"/>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15.75">
      <c r="A17" s="36"/>
      <c r="B17" s="44" t="s">
        <v>22</v>
      </c>
      <c r="C17" s="11"/>
      <c r="D17" s="11"/>
      <c r="E17" s="11"/>
      <c r="F17" s="11"/>
      <c r="G17" s="11"/>
      <c r="H17" s="11"/>
      <c r="I17" s="7"/>
      <c r="J17" s="87"/>
      <c r="K17" s="87"/>
      <c r="L17" s="87"/>
      <c r="M17" s="7"/>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c r="A18" s="11"/>
      <c r="B18" s="11"/>
      <c r="C18" s="11"/>
      <c r="D18" s="11"/>
      <c r="E18" s="11"/>
      <c r="F18" s="11"/>
      <c r="G18" s="11"/>
      <c r="H18" s="11"/>
      <c r="I18" s="7"/>
      <c r="J18" s="87"/>
      <c r="K18" s="87"/>
      <c r="L18" s="87"/>
      <c r="M18" s="7"/>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c r="A19" s="11"/>
      <c r="B19" s="42" t="s">
        <v>27</v>
      </c>
      <c r="C19" s="42" t="s">
        <v>28</v>
      </c>
      <c r="D19" s="42" t="s">
        <v>29</v>
      </c>
      <c r="E19" s="42" t="s">
        <v>30</v>
      </c>
      <c r="F19" s="42" t="s">
        <v>31</v>
      </c>
      <c r="G19" s="42" t="s">
        <v>32</v>
      </c>
      <c r="H19" s="42" t="s">
        <v>33</v>
      </c>
      <c r="I19" s="7"/>
      <c r="J19" s="42" t="s">
        <v>28</v>
      </c>
      <c r="K19" s="42" t="s">
        <v>29</v>
      </c>
      <c r="L19" s="42" t="s">
        <v>34</v>
      </c>
      <c r="M19" s="7"/>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c r="A20" s="18"/>
      <c r="B20" s="11"/>
      <c r="C20" s="11"/>
      <c r="D20" s="11"/>
      <c r="E20" s="11"/>
      <c r="F20" s="11"/>
      <c r="G20" s="11"/>
      <c r="H20" s="11"/>
      <c r="I20" s="7"/>
      <c r="J20" s="11"/>
      <c r="K20" s="11"/>
      <c r="L20" s="11"/>
      <c r="M20" s="7"/>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c r="A21" s="36" t="s">
        <v>35</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7"/>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7"/>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c r="A22" s="36" t="s">
        <v>16</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7"/>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7"/>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c r="A23" s="36" t="s">
        <v>20</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1</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7"/>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7"/>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c r="A24" s="36" t="s">
        <v>24</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82</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35</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82</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36</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s="7"/>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7"/>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c r="A25" s="36" t="s">
        <v>36</v>
      </c>
      <c r="B25" s="49">
        <f>IFERROR(B21-B24,"N/A")</f>
        <v>3</v>
      </c>
      <c r="C25" s="49">
        <f t="shared" ref="C25:L25" si="3">IFERROR(C21-C24,"N/A")</f>
        <v>2</v>
      </c>
      <c r="D25" s="49">
        <f t="shared" si="3"/>
        <v>3</v>
      </c>
      <c r="E25" s="49">
        <f t="shared" si="3"/>
        <v>3</v>
      </c>
      <c r="F25" s="49">
        <f t="shared" si="3"/>
        <v>2</v>
      </c>
      <c r="G25" s="49">
        <f t="shared" si="3"/>
        <v>0</v>
      </c>
      <c r="H25" s="49">
        <f t="shared" si="3"/>
        <v>3</v>
      </c>
      <c r="I25" s="7"/>
      <c r="J25" s="49" t="str">
        <f t="shared" si="3"/>
        <v>N/A</v>
      </c>
      <c r="K25" s="49" t="str">
        <f t="shared" si="3"/>
        <v>N/A</v>
      </c>
      <c r="L25" s="49">
        <f t="shared" si="3"/>
        <v>6</v>
      </c>
      <c r="M25" s="7"/>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c r="A26" s="12"/>
      <c r="B26" s="12"/>
      <c r="C26" s="12"/>
      <c r="D26" s="12"/>
      <c r="E26" s="12"/>
      <c r="F26" s="12"/>
      <c r="G26" s="12"/>
      <c r="H26" s="12"/>
      <c r="I26" s="7"/>
      <c r="J26" s="12"/>
      <c r="K26" s="12"/>
      <c r="L26" s="12"/>
      <c r="M26" s="7"/>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c r="A27" s="18"/>
      <c r="B27" s="11"/>
      <c r="C27" s="11"/>
      <c r="D27" s="11"/>
      <c r="E27" s="11"/>
      <c r="F27" s="11"/>
      <c r="G27" s="11"/>
      <c r="H27" s="11"/>
      <c r="I27" s="7"/>
      <c r="J27" s="11"/>
      <c r="K27" s="11"/>
      <c r="L27" s="11"/>
      <c r="M27" s="7"/>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c r="A28" s="18"/>
      <c r="B28" s="11"/>
      <c r="C28" s="11"/>
      <c r="D28" s="11"/>
      <c r="E28" s="11"/>
      <c r="F28" s="11"/>
      <c r="G28" s="11"/>
      <c r="H28" s="11"/>
      <c r="I28" s="7"/>
      <c r="J28" s="11"/>
      <c r="K28" s="11"/>
      <c r="L28" s="11"/>
      <c r="M28" s="7"/>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c r="A29" s="18"/>
      <c r="B29" s="11"/>
      <c r="C29" s="11"/>
      <c r="D29" s="11"/>
      <c r="E29" s="11"/>
      <c r="F29" s="11"/>
      <c r="G29" s="11"/>
      <c r="H29" s="11"/>
      <c r="I29" s="7"/>
      <c r="J29" s="11"/>
      <c r="K29" s="11"/>
      <c r="L29" s="11"/>
      <c r="M29" s="7"/>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c r="A30" s="18"/>
      <c r="B30" s="11"/>
      <c r="C30" s="11"/>
      <c r="D30" s="11"/>
      <c r="E30" s="11"/>
      <c r="F30" s="11"/>
      <c r="G30" s="11"/>
      <c r="H30" s="11"/>
      <c r="I30" s="7"/>
      <c r="J30" s="11"/>
      <c r="K30" s="11"/>
      <c r="L30" s="11"/>
      <c r="M30" s="7"/>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c r="A31" s="18"/>
      <c r="B31" s="11"/>
      <c r="C31" s="11"/>
      <c r="D31" s="11"/>
      <c r="E31" s="11"/>
      <c r="F31" s="11"/>
      <c r="G31" s="11"/>
      <c r="H31" s="11"/>
      <c r="I31" s="7"/>
      <c r="J31" s="11"/>
      <c r="K31" s="11"/>
      <c r="L31" s="11"/>
      <c r="M31" s="7"/>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c r="A32" s="18"/>
      <c r="B32" s="11"/>
      <c r="C32" s="11"/>
      <c r="D32" s="11"/>
      <c r="E32" s="11"/>
      <c r="F32" s="11"/>
      <c r="G32" s="11"/>
      <c r="H32" s="11"/>
      <c r="I32" s="7"/>
      <c r="J32" s="11"/>
      <c r="K32" s="11"/>
      <c r="L32" s="11"/>
      <c r="M32" s="7"/>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c r="A33" s="18"/>
      <c r="B33" s="11"/>
      <c r="C33" s="11"/>
      <c r="D33" s="11"/>
      <c r="E33" s="11"/>
      <c r="F33" s="11"/>
      <c r="G33" s="11"/>
      <c r="H33" s="11"/>
      <c r="I33" s="7"/>
      <c r="J33" s="11"/>
      <c r="K33" s="11"/>
      <c r="L33" s="11"/>
      <c r="M33" s="7"/>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c r="A34" s="18"/>
      <c r="B34" s="11"/>
      <c r="C34" s="11"/>
      <c r="D34" s="11"/>
      <c r="E34" s="11"/>
      <c r="F34" s="11"/>
      <c r="G34" s="11"/>
      <c r="H34" s="11"/>
      <c r="I34" s="7"/>
      <c r="J34" s="11"/>
      <c r="K34" s="11"/>
      <c r="L34" s="11"/>
      <c r="M34" s="7"/>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c r="A35" s="18"/>
      <c r="B35" s="11"/>
      <c r="C35" s="11"/>
      <c r="D35" s="11"/>
      <c r="E35" s="11"/>
      <c r="F35" s="11"/>
      <c r="G35" s="11"/>
      <c r="H35" s="11"/>
      <c r="I35" s="7"/>
      <c r="J35" s="11"/>
      <c r="K35" s="11"/>
      <c r="L35" s="11"/>
      <c r="M35" s="7"/>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c r="A36" s="18"/>
      <c r="B36" s="11"/>
      <c r="C36" s="11"/>
      <c r="D36" s="11"/>
      <c r="E36" s="11"/>
      <c r="F36" s="11"/>
      <c r="G36" s="11"/>
      <c r="H36" s="11"/>
      <c r="I36" s="7"/>
      <c r="J36" s="11"/>
      <c r="K36" s="11"/>
      <c r="L36" s="11"/>
      <c r="M36" s="7"/>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c r="A37" s="18"/>
      <c r="B37" s="11"/>
      <c r="C37" s="11"/>
      <c r="D37" s="11"/>
      <c r="E37" s="11"/>
      <c r="F37" s="11"/>
      <c r="G37" s="11"/>
      <c r="H37" s="11"/>
      <c r="I37" s="7"/>
      <c r="J37" s="11"/>
      <c r="K37" s="11"/>
      <c r="L37" s="11"/>
      <c r="M37" s="7"/>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c r="A38" s="18"/>
      <c r="B38" s="11"/>
      <c r="C38" s="11"/>
      <c r="D38" s="11"/>
      <c r="E38" s="11"/>
      <c r="F38" s="11"/>
      <c r="G38" s="11"/>
      <c r="H38" s="11"/>
      <c r="I38" s="7"/>
      <c r="J38" s="11"/>
      <c r="K38" s="11"/>
      <c r="L38" s="11"/>
      <c r="M38" s="7"/>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c r="A39" s="18"/>
      <c r="B39" s="11"/>
      <c r="C39" s="11"/>
      <c r="D39" s="11"/>
      <c r="E39" s="11"/>
      <c r="F39" s="11"/>
      <c r="G39" s="11"/>
      <c r="H39" s="11"/>
      <c r="I39" s="7"/>
      <c r="J39" s="11"/>
      <c r="K39" s="11"/>
      <c r="L39" s="11"/>
      <c r="M39" s="7"/>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c r="A40" s="18"/>
      <c r="B40" s="11"/>
      <c r="C40" s="11"/>
      <c r="D40" s="11"/>
      <c r="E40" s="11"/>
      <c r="F40" s="11"/>
      <c r="G40" s="11"/>
      <c r="H40" s="11"/>
      <c r="I40" s="7"/>
      <c r="J40" s="11"/>
      <c r="K40" s="11"/>
      <c r="L40" s="11"/>
      <c r="M40" s="7"/>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c r="A41" s="18"/>
      <c r="B41" s="11"/>
      <c r="C41" s="11"/>
      <c r="D41" s="11"/>
      <c r="E41" s="11"/>
      <c r="F41" s="11"/>
      <c r="G41" s="11"/>
      <c r="H41" s="11"/>
      <c r="I41" s="7"/>
      <c r="J41" s="11"/>
      <c r="K41" s="11"/>
      <c r="L41" s="11"/>
      <c r="M41" s="7"/>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c r="A42" s="18"/>
      <c r="B42" s="11"/>
      <c r="C42" s="11"/>
      <c r="D42" s="11"/>
      <c r="E42" s="11"/>
      <c r="F42" s="11"/>
      <c r="G42" s="11"/>
      <c r="H42" s="11"/>
      <c r="I42" s="7"/>
      <c r="J42" s="11"/>
      <c r="K42" s="11"/>
      <c r="L42" s="11"/>
      <c r="M42" s="7"/>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c r="A43" s="18"/>
      <c r="B43" s="11"/>
      <c r="C43" s="11"/>
      <c r="D43" s="11"/>
      <c r="E43" s="11"/>
      <c r="F43" s="11"/>
      <c r="G43" s="11"/>
      <c r="H43" s="11"/>
      <c r="I43" s="7"/>
      <c r="J43" s="11"/>
      <c r="K43" s="11"/>
      <c r="L43" s="11"/>
      <c r="M43" s="7"/>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c r="A44" s="18"/>
      <c r="B44" s="11"/>
      <c r="C44" s="11"/>
      <c r="D44" s="11"/>
      <c r="E44" s="11"/>
      <c r="F44" s="11"/>
      <c r="G44" s="11"/>
      <c r="H44" s="11"/>
      <c r="I44" s="7"/>
      <c r="J44" s="11"/>
      <c r="K44" s="11"/>
      <c r="L44" s="11"/>
      <c r="M44" s="7"/>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c r="A45" s="18"/>
      <c r="B45" s="11"/>
      <c r="C45" s="11"/>
      <c r="D45" s="11"/>
      <c r="E45" s="11"/>
      <c r="F45" s="11"/>
      <c r="G45" s="11"/>
      <c r="H45" s="11"/>
      <c r="I45" s="7"/>
      <c r="J45" s="11"/>
      <c r="K45" s="11"/>
      <c r="L45" s="11"/>
      <c r="M45" s="7"/>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c r="A46" s="18"/>
      <c r="B46" s="11"/>
      <c r="C46" s="11"/>
      <c r="D46" s="11"/>
      <c r="E46" s="11"/>
      <c r="F46" s="11"/>
      <c r="G46" s="11"/>
      <c r="H46" s="11"/>
      <c r="I46" s="7"/>
      <c r="J46" s="11"/>
      <c r="K46" s="11"/>
      <c r="L46" s="11"/>
      <c r="M46" s="7"/>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c r="A47" s="18"/>
      <c r="B47" s="11"/>
      <c r="C47" s="11"/>
      <c r="D47" s="11"/>
      <c r="E47" s="11"/>
      <c r="F47" s="11"/>
      <c r="G47" s="11"/>
      <c r="H47" s="11"/>
      <c r="I47" s="7"/>
      <c r="J47" s="11"/>
      <c r="K47" s="11"/>
      <c r="L47" s="11"/>
      <c r="M47" s="7"/>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c r="A48" s="18"/>
      <c r="B48" s="11"/>
      <c r="C48" s="11"/>
      <c r="D48" s="11"/>
      <c r="E48" s="11"/>
      <c r="F48" s="11"/>
      <c r="G48" s="11"/>
      <c r="H48" s="11"/>
      <c r="I48" s="7"/>
      <c r="J48" s="11"/>
      <c r="K48" s="11"/>
      <c r="L48" s="11"/>
      <c r="M48" s="7"/>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c r="A49" s="18"/>
      <c r="B49" s="11"/>
      <c r="C49" s="11"/>
      <c r="D49" s="11"/>
      <c r="E49" s="11"/>
      <c r="F49" s="11"/>
      <c r="G49" s="11"/>
      <c r="H49" s="11"/>
      <c r="I49" s="7"/>
      <c r="J49" s="11"/>
      <c r="K49" s="11"/>
      <c r="L49" s="11"/>
      <c r="M49" s="7"/>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c r="A50" s="18"/>
      <c r="B50" s="11"/>
      <c r="C50" s="11"/>
      <c r="D50" s="11"/>
      <c r="E50" s="11"/>
      <c r="F50" s="11"/>
      <c r="G50" s="11"/>
      <c r="H50" s="11"/>
      <c r="I50" s="7"/>
      <c r="J50" s="11"/>
      <c r="K50" s="11"/>
      <c r="L50" s="11"/>
      <c r="M50" s="7"/>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c r="A51" s="18"/>
      <c r="B51" s="11"/>
      <c r="C51" s="11"/>
      <c r="D51" s="11"/>
      <c r="E51" s="11"/>
      <c r="F51" s="11"/>
      <c r="G51" s="11"/>
      <c r="H51" s="11"/>
      <c r="I51" s="7"/>
      <c r="J51" s="11"/>
      <c r="K51" s="11"/>
      <c r="L51" s="11"/>
      <c r="M51" s="7"/>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c r="A52" s="18"/>
      <c r="B52" s="11"/>
      <c r="C52" s="11"/>
      <c r="D52" s="11"/>
      <c r="E52" s="11"/>
      <c r="F52" s="11"/>
      <c r="G52" s="11"/>
      <c r="H52" s="11"/>
      <c r="I52" s="7"/>
      <c r="J52" s="11"/>
      <c r="K52" s="11"/>
      <c r="L52" s="11"/>
      <c r="M52" s="7"/>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c r="A53" s="18"/>
      <c r="B53" s="11"/>
      <c r="C53" s="11"/>
      <c r="D53" s="11"/>
      <c r="E53" s="11"/>
      <c r="F53" s="11"/>
      <c r="G53" s="11"/>
      <c r="H53" s="11"/>
      <c r="I53" s="7"/>
      <c r="J53" s="11"/>
      <c r="K53" s="11"/>
      <c r="L53" s="11"/>
      <c r="M53" s="7"/>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c r="A54" s="18"/>
      <c r="B54" s="11"/>
      <c r="C54" s="11"/>
      <c r="D54" s="11"/>
      <c r="E54" s="11"/>
      <c r="F54" s="11"/>
      <c r="G54" s="11"/>
      <c r="H54" s="11"/>
      <c r="I54" s="7"/>
      <c r="J54" s="11"/>
      <c r="K54" s="11"/>
      <c r="L54" s="11"/>
      <c r="M54" s="7"/>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c r="A55" s="18"/>
      <c r="B55" s="11"/>
      <c r="C55" s="11"/>
      <c r="D55" s="11"/>
      <c r="E55" s="11"/>
      <c r="F55" s="11"/>
      <c r="G55" s="11"/>
      <c r="H55" s="11"/>
      <c r="I55" s="7"/>
      <c r="J55" s="11"/>
      <c r="K55" s="11"/>
      <c r="L55" s="11"/>
      <c r="M55" s="7"/>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c r="A56" s="18"/>
      <c r="B56" s="11"/>
      <c r="C56" s="11"/>
      <c r="D56" s="11"/>
      <c r="E56" s="11"/>
      <c r="F56" s="11"/>
      <c r="G56" s="11"/>
      <c r="H56" s="11"/>
      <c r="I56" s="7"/>
      <c r="J56" s="11"/>
      <c r="K56" s="11"/>
      <c r="L56" s="11"/>
      <c r="M56" s="7"/>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c r="A57" s="18"/>
      <c r="B57" s="11"/>
      <c r="C57" s="11"/>
      <c r="D57" s="11"/>
      <c r="E57" s="11"/>
      <c r="F57" s="11"/>
      <c r="G57" s="11"/>
      <c r="H57" s="11"/>
      <c r="I57" s="7"/>
      <c r="J57" s="11"/>
      <c r="K57" s="11"/>
      <c r="L57" s="11"/>
      <c r="M57" s="7"/>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c r="A58" s="18"/>
      <c r="B58" s="11"/>
      <c r="C58" s="11"/>
      <c r="D58" s="11"/>
      <c r="E58" s="11"/>
      <c r="F58" s="11"/>
      <c r="G58" s="11"/>
      <c r="H58" s="11"/>
      <c r="I58" s="7"/>
      <c r="J58" s="11"/>
      <c r="K58" s="11"/>
      <c r="L58" s="11"/>
      <c r="M58" s="7"/>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c r="A59" s="18"/>
      <c r="B59" s="11"/>
      <c r="C59" s="11"/>
      <c r="D59" s="11"/>
      <c r="E59" s="11"/>
      <c r="F59" s="11"/>
      <c r="G59" s="11"/>
      <c r="H59" s="11"/>
      <c r="I59" s="7"/>
      <c r="J59" s="11"/>
      <c r="K59" s="11"/>
      <c r="L59" s="11"/>
      <c r="M59" s="7"/>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c r="A60" s="18"/>
      <c r="B60" s="11"/>
      <c r="C60" s="11"/>
      <c r="D60" s="11"/>
      <c r="E60" s="11"/>
      <c r="F60" s="11"/>
      <c r="G60" s="11"/>
      <c r="H60" s="11"/>
      <c r="I60" s="7"/>
      <c r="J60" s="11"/>
      <c r="K60" s="11"/>
      <c r="L60" s="11"/>
      <c r="M60" s="7"/>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c r="A61" s="18"/>
      <c r="B61" s="11"/>
      <c r="C61" s="11"/>
      <c r="D61" s="11"/>
      <c r="E61" s="11"/>
      <c r="F61" s="11"/>
      <c r="G61" s="11"/>
      <c r="H61" s="11"/>
      <c r="I61" s="7"/>
      <c r="J61" s="11"/>
      <c r="K61" s="11"/>
      <c r="L61" s="11"/>
      <c r="M61" s="7"/>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c r="A62" s="18"/>
      <c r="B62" s="11"/>
      <c r="C62" s="11"/>
      <c r="D62" s="11"/>
      <c r="E62" s="11"/>
      <c r="F62" s="11"/>
      <c r="G62" s="11"/>
      <c r="H62" s="11"/>
      <c r="I62" s="7"/>
      <c r="J62" s="11"/>
      <c r="K62" s="11"/>
      <c r="L62" s="11"/>
      <c r="M62" s="7"/>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c r="A63" s="18"/>
      <c r="B63" s="11"/>
      <c r="C63" s="11"/>
      <c r="D63" s="11"/>
      <c r="E63" s="11"/>
      <c r="F63" s="11"/>
      <c r="G63" s="11"/>
      <c r="H63" s="11"/>
      <c r="I63" s="7"/>
      <c r="J63" s="11"/>
      <c r="K63" s="11"/>
      <c r="L63" s="11"/>
      <c r="M63" s="7"/>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c r="A64" s="18"/>
      <c r="B64" s="11"/>
      <c r="C64" s="11"/>
      <c r="D64" s="11"/>
      <c r="E64" s="11"/>
      <c r="F64" s="11"/>
      <c r="G64" s="11"/>
      <c r="H64" s="11"/>
      <c r="I64" s="7"/>
      <c r="J64" s="11"/>
      <c r="K64" s="11"/>
      <c r="L64" s="11"/>
      <c r="M64" s="7"/>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c r="A65" s="18"/>
      <c r="B65" s="11"/>
      <c r="C65" s="11"/>
      <c r="D65" s="11"/>
      <c r="E65" s="11"/>
      <c r="F65" s="11"/>
      <c r="G65" s="11"/>
      <c r="H65" s="11"/>
      <c r="I65" s="7"/>
      <c r="J65" s="11"/>
      <c r="K65" s="11"/>
      <c r="L65" s="11"/>
      <c r="M65" s="7"/>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c r="A66" s="18"/>
      <c r="B66" s="11"/>
      <c r="C66" s="11"/>
      <c r="D66" s="11"/>
      <c r="E66" s="11"/>
      <c r="F66" s="11"/>
      <c r="G66" s="11"/>
      <c r="H66" s="11"/>
      <c r="I66" s="7"/>
      <c r="J66" s="11"/>
      <c r="K66" s="11"/>
      <c r="L66" s="11"/>
      <c r="M66" s="7"/>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c r="A67" s="18"/>
      <c r="B67" s="11"/>
      <c r="C67" s="11"/>
      <c r="D67" s="11"/>
      <c r="E67" s="11"/>
      <c r="F67" s="11"/>
      <c r="G67" s="11"/>
      <c r="H67" s="11"/>
      <c r="I67" s="7"/>
      <c r="J67" s="11"/>
      <c r="K67" s="11"/>
      <c r="L67" s="11"/>
      <c r="M67" s="7"/>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c r="A68" s="18"/>
      <c r="B68" s="11"/>
      <c r="C68" s="11"/>
      <c r="D68" s="11"/>
      <c r="E68" s="11"/>
      <c r="F68" s="11"/>
      <c r="G68" s="11"/>
      <c r="H68" s="11"/>
      <c r="I68" s="7"/>
      <c r="J68" s="11"/>
      <c r="K68" s="11"/>
      <c r="L68" s="11"/>
      <c r="M68" s="7"/>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c r="A69" s="18"/>
      <c r="B69" s="11"/>
      <c r="C69" s="11"/>
      <c r="D69" s="11"/>
      <c r="E69" s="11"/>
      <c r="F69" s="11"/>
      <c r="G69" s="11"/>
      <c r="H69" s="11"/>
      <c r="I69" s="7"/>
      <c r="J69" s="11"/>
      <c r="K69" s="11"/>
      <c r="L69" s="11"/>
      <c r="M69" s="7"/>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c r="A70" s="18"/>
      <c r="B70" s="11"/>
      <c r="C70" s="11"/>
      <c r="D70" s="11"/>
      <c r="E70" s="11"/>
      <c r="F70" s="11"/>
      <c r="G70" s="11"/>
      <c r="H70" s="11"/>
      <c r="I70" s="7"/>
      <c r="J70" s="11"/>
      <c r="K70" s="11"/>
      <c r="L70" s="11"/>
      <c r="M70" s="7"/>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c r="A71" s="18"/>
      <c r="B71" s="11"/>
      <c r="C71" s="11"/>
      <c r="D71" s="11"/>
      <c r="E71" s="11"/>
      <c r="F71" s="11"/>
      <c r="G71" s="11"/>
      <c r="H71" s="11"/>
      <c r="I71" s="7"/>
      <c r="J71" s="11"/>
      <c r="K71" s="11"/>
      <c r="L71" s="11"/>
      <c r="M71" s="7"/>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c r="A72" s="18"/>
      <c r="B72" s="11"/>
      <c r="C72" s="11"/>
      <c r="D72" s="11"/>
      <c r="E72" s="11"/>
      <c r="F72" s="11"/>
      <c r="G72" s="11"/>
      <c r="H72" s="11"/>
      <c r="I72" s="7"/>
      <c r="J72" s="11"/>
      <c r="K72" s="11"/>
      <c r="L72" s="11"/>
      <c r="M72" s="7"/>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c r="A73" s="18"/>
      <c r="B73" s="11"/>
      <c r="C73" s="11"/>
      <c r="D73" s="11"/>
      <c r="E73" s="11"/>
      <c r="F73" s="11"/>
      <c r="G73" s="11"/>
      <c r="H73" s="11"/>
      <c r="I73" s="7"/>
      <c r="J73" s="11"/>
      <c r="K73" s="11"/>
      <c r="L73" s="11"/>
      <c r="M73" s="7"/>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c r="A74" s="18"/>
      <c r="B74" s="11"/>
      <c r="C74" s="11"/>
      <c r="D74" s="11"/>
      <c r="E74" s="11"/>
      <c r="F74" s="11"/>
      <c r="G74" s="11"/>
      <c r="H74" s="11"/>
      <c r="I74" s="7"/>
      <c r="J74" s="11"/>
      <c r="K74" s="11"/>
      <c r="L74" s="11"/>
      <c r="M74" s="7"/>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c r="A75" s="18"/>
      <c r="B75" s="11"/>
      <c r="C75" s="11"/>
      <c r="D75" s="11"/>
      <c r="E75" s="11"/>
      <c r="F75" s="11"/>
      <c r="G75" s="11"/>
      <c r="H75" s="11"/>
      <c r="I75" s="7"/>
      <c r="J75" s="11"/>
      <c r="K75" s="11"/>
      <c r="L75" s="11"/>
      <c r="M75" s="7"/>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c r="A76" s="18"/>
      <c r="B76" s="11"/>
      <c r="C76" s="11"/>
      <c r="D76" s="11"/>
      <c r="E76" s="11"/>
      <c r="F76" s="11"/>
      <c r="G76" s="11"/>
      <c r="H76" s="11"/>
      <c r="I76" s="7"/>
      <c r="J76" s="11"/>
      <c r="K76" s="11"/>
      <c r="L76" s="11"/>
      <c r="M76" s="7"/>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c r="A77" s="18"/>
      <c r="B77" s="11"/>
      <c r="C77" s="11"/>
      <c r="D77" s="11"/>
      <c r="E77" s="11"/>
      <c r="F77" s="11"/>
      <c r="G77" s="11"/>
      <c r="H77" s="11"/>
      <c r="I77" s="7"/>
      <c r="J77" s="11"/>
      <c r="K77" s="11"/>
      <c r="L77" s="11"/>
      <c r="M77" s="7"/>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c r="A78" s="18"/>
      <c r="B78" s="11"/>
      <c r="C78" s="11"/>
      <c r="D78" s="11"/>
      <c r="E78" s="11"/>
      <c r="F78" s="11"/>
      <c r="G78" s="11"/>
      <c r="H78" s="11"/>
      <c r="I78" s="7"/>
      <c r="J78" s="11"/>
      <c r="K78" s="11"/>
      <c r="L78" s="11"/>
      <c r="M78" s="7"/>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c r="A79" s="18"/>
      <c r="B79" s="11"/>
      <c r="C79" s="11"/>
      <c r="D79" s="11"/>
      <c r="E79" s="11"/>
      <c r="F79" s="11"/>
      <c r="G79" s="11"/>
      <c r="H79" s="11"/>
      <c r="I79" s="7"/>
      <c r="J79" s="11"/>
      <c r="K79" s="11"/>
      <c r="L79" s="11"/>
      <c r="M79" s="7"/>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c r="A80" s="18"/>
      <c r="B80" s="11"/>
      <c r="C80" s="11"/>
      <c r="D80" s="11"/>
      <c r="E80" s="11"/>
      <c r="F80" s="11"/>
      <c r="G80" s="11"/>
      <c r="H80" s="11"/>
      <c r="I80" s="7"/>
      <c r="J80" s="11"/>
      <c r="K80" s="11"/>
      <c r="L80" s="11"/>
      <c r="M80" s="7"/>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c r="A81" s="18"/>
      <c r="B81" s="11"/>
      <c r="C81" s="11"/>
      <c r="D81" s="11"/>
      <c r="E81" s="11"/>
      <c r="F81" s="11"/>
      <c r="G81" s="11"/>
      <c r="H81" s="11"/>
      <c r="I81" s="7"/>
      <c r="J81" s="11"/>
      <c r="K81" s="11"/>
      <c r="L81" s="11"/>
      <c r="M81" s="7"/>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c r="A82" s="18"/>
      <c r="B82" s="11"/>
      <c r="C82" s="11"/>
      <c r="D82" s="11"/>
      <c r="E82" s="11"/>
      <c r="F82" s="11"/>
      <c r="G82" s="11"/>
      <c r="H82" s="11"/>
      <c r="I82" s="7"/>
      <c r="J82" s="11"/>
      <c r="K82" s="11"/>
      <c r="L82" s="11"/>
      <c r="M82" s="7"/>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c r="A83" s="18"/>
      <c r="B83" s="11"/>
      <c r="C83" s="11"/>
      <c r="D83" s="11"/>
      <c r="E83" s="11"/>
      <c r="F83" s="11"/>
      <c r="G83" s="11"/>
      <c r="H83" s="11"/>
      <c r="I83" s="7"/>
      <c r="J83" s="11"/>
      <c r="K83" s="11"/>
      <c r="L83" s="11"/>
      <c r="M83" s="7"/>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c r="A84" s="18"/>
      <c r="B84" s="11"/>
      <c r="C84" s="11"/>
      <c r="D84" s="11"/>
      <c r="E84" s="11"/>
      <c r="F84" s="11"/>
      <c r="G84" s="11"/>
      <c r="H84" s="11"/>
      <c r="I84" s="7"/>
      <c r="J84" s="11"/>
      <c r="K84" s="11"/>
      <c r="L84" s="11"/>
      <c r="M84" s="7"/>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c r="A85" s="18"/>
      <c r="B85" s="11"/>
      <c r="C85" s="11"/>
      <c r="D85" s="11"/>
      <c r="E85" s="11"/>
      <c r="F85" s="11"/>
      <c r="G85" s="11"/>
      <c r="H85" s="11"/>
      <c r="I85" s="7"/>
      <c r="J85" s="11"/>
      <c r="K85" s="11"/>
      <c r="L85" s="11"/>
      <c r="M85" s="7"/>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c r="A86" s="18"/>
      <c r="B86" s="11"/>
      <c r="C86" s="11"/>
      <c r="D86" s="11"/>
      <c r="E86" s="11"/>
      <c r="F86" s="11"/>
      <c r="G86" s="11"/>
      <c r="H86" s="11"/>
      <c r="I86" s="7"/>
      <c r="J86" s="11"/>
      <c r="K86" s="11"/>
      <c r="L86" s="11"/>
      <c r="M86" s="7"/>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c r="A87" s="18"/>
      <c r="B87" s="11"/>
      <c r="C87" s="11"/>
      <c r="D87" s="11"/>
      <c r="E87" s="11"/>
      <c r="F87" s="11"/>
      <c r="G87" s="11"/>
      <c r="H87" s="11"/>
      <c r="I87" s="7"/>
      <c r="J87" s="11"/>
      <c r="K87" s="11"/>
      <c r="L87" s="11"/>
      <c r="M87" s="7"/>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c r="A88" s="18"/>
      <c r="B88" s="11"/>
      <c r="C88" s="11"/>
      <c r="D88" s="11"/>
      <c r="E88" s="11"/>
      <c r="F88" s="11"/>
      <c r="G88" s="11"/>
      <c r="H88" s="11"/>
      <c r="I88" s="7"/>
      <c r="J88" s="11"/>
      <c r="K88" s="11"/>
      <c r="L88" s="11"/>
      <c r="M88" s="7"/>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c r="A89" s="18"/>
      <c r="B89" s="11"/>
      <c r="C89" s="11"/>
      <c r="D89" s="11"/>
      <c r="E89" s="11"/>
      <c r="F89" s="11"/>
      <c r="G89" s="11"/>
      <c r="H89" s="11"/>
      <c r="I89" s="7"/>
      <c r="J89" s="11"/>
      <c r="K89" s="11"/>
      <c r="L89" s="11"/>
      <c r="M89" s="7"/>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c r="A90" s="18"/>
      <c r="B90" s="11"/>
      <c r="C90" s="11"/>
      <c r="D90" s="11"/>
      <c r="E90" s="11"/>
      <c r="F90" s="11"/>
      <c r="G90" s="11"/>
      <c r="H90" s="11"/>
      <c r="I90" s="7"/>
      <c r="J90" s="11"/>
      <c r="K90" s="11"/>
      <c r="L90" s="11"/>
      <c r="M90" s="7"/>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c r="A91" s="18"/>
      <c r="B91" s="11"/>
      <c r="C91" s="11"/>
      <c r="D91" s="11"/>
      <c r="E91" s="11"/>
      <c r="F91" s="11"/>
      <c r="G91" s="11"/>
      <c r="H91" s="11"/>
      <c r="I91" s="7"/>
      <c r="J91" s="11"/>
      <c r="K91" s="11"/>
      <c r="L91" s="11"/>
      <c r="M91" s="7"/>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c r="A92" s="18"/>
      <c r="B92" s="11"/>
      <c r="C92" s="11"/>
      <c r="D92" s="11"/>
      <c r="E92" s="11"/>
      <c r="F92" s="11"/>
      <c r="G92" s="11"/>
      <c r="H92" s="11"/>
      <c r="I92" s="7"/>
      <c r="J92" s="11"/>
      <c r="K92" s="11"/>
      <c r="L92" s="11"/>
      <c r="M92" s="7"/>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c r="A93" s="18"/>
      <c r="B93" s="11"/>
      <c r="C93" s="11"/>
      <c r="D93" s="11"/>
      <c r="E93" s="11"/>
      <c r="F93" s="11"/>
      <c r="G93" s="11"/>
      <c r="H93" s="11"/>
      <c r="I93" s="7"/>
      <c r="J93" s="11"/>
      <c r="K93" s="11"/>
      <c r="L93" s="11"/>
      <c r="M93" s="7"/>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c r="A94" s="18"/>
      <c r="B94" s="11"/>
      <c r="C94" s="11"/>
      <c r="D94" s="11"/>
      <c r="E94" s="11"/>
      <c r="F94" s="11"/>
      <c r="G94" s="11"/>
      <c r="H94" s="11"/>
      <c r="I94" s="7"/>
      <c r="J94" s="11"/>
      <c r="K94" s="11"/>
      <c r="L94" s="11"/>
      <c r="M94" s="7"/>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c r="A95" s="18"/>
      <c r="B95" s="11"/>
      <c r="C95" s="11"/>
      <c r="D95" s="11"/>
      <c r="E95" s="11"/>
      <c r="F95" s="11"/>
      <c r="G95" s="11"/>
      <c r="H95" s="11"/>
      <c r="I95" s="7"/>
      <c r="J95" s="11"/>
      <c r="K95" s="11"/>
      <c r="L95" s="11"/>
      <c r="M95" s="7"/>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c r="A96" s="18"/>
      <c r="B96" s="11"/>
      <c r="C96" s="11"/>
      <c r="D96" s="11"/>
      <c r="E96" s="11"/>
      <c r="F96" s="11"/>
      <c r="G96" s="11"/>
      <c r="H96" s="11"/>
      <c r="I96" s="7"/>
      <c r="J96" s="11"/>
      <c r="K96" s="11"/>
      <c r="L96" s="11"/>
      <c r="M96" s="7"/>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c r="A97" s="18"/>
      <c r="B97" s="11"/>
      <c r="C97" s="11"/>
      <c r="D97" s="11"/>
      <c r="E97" s="11"/>
      <c r="F97" s="11"/>
      <c r="G97" s="11"/>
      <c r="H97" s="11"/>
      <c r="I97" s="7"/>
      <c r="J97" s="11"/>
      <c r="K97" s="11"/>
      <c r="L97" s="11"/>
      <c r="M97" s="7"/>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c r="A98" s="18"/>
      <c r="B98" s="11"/>
      <c r="C98" s="11"/>
      <c r="D98" s="11"/>
      <c r="E98" s="11"/>
      <c r="F98" s="11"/>
      <c r="G98" s="11"/>
      <c r="H98" s="11"/>
      <c r="I98" s="7"/>
      <c r="J98" s="11"/>
      <c r="K98" s="11"/>
      <c r="L98" s="11"/>
      <c r="M98" s="7"/>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c r="A99" s="18"/>
      <c r="B99" s="11"/>
      <c r="C99" s="11"/>
      <c r="D99" s="11"/>
      <c r="E99" s="11"/>
      <c r="F99" s="11"/>
      <c r="G99" s="11"/>
      <c r="H99" s="11"/>
      <c r="I99" s="7"/>
      <c r="J99" s="11"/>
      <c r="K99" s="11"/>
      <c r="L99" s="11"/>
      <c r="M99" s="7"/>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c r="A100" s="18"/>
      <c r="B100" s="11"/>
      <c r="C100" s="11"/>
      <c r="D100" s="11"/>
      <c r="E100" s="11"/>
      <c r="F100" s="11"/>
      <c r="G100" s="11"/>
      <c r="H100" s="11"/>
      <c r="I100" s="7"/>
      <c r="J100" s="11"/>
      <c r="K100" s="11"/>
      <c r="L100" s="11"/>
      <c r="M100" s="7"/>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c r="A101" s="18"/>
      <c r="B101" s="11"/>
      <c r="C101" s="11"/>
      <c r="D101" s="11"/>
      <c r="E101" s="11"/>
      <c r="F101" s="11"/>
      <c r="G101" s="11"/>
      <c r="H101" s="11"/>
      <c r="I101" s="7"/>
      <c r="J101" s="11"/>
      <c r="K101" s="11"/>
      <c r="L101" s="11"/>
      <c r="M101" s="7"/>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c r="A102" s="18"/>
      <c r="B102" s="11"/>
      <c r="C102" s="11"/>
      <c r="D102" s="11"/>
      <c r="E102" s="11"/>
      <c r="F102" s="11"/>
      <c r="G102" s="11"/>
      <c r="H102" s="11"/>
      <c r="I102" s="7"/>
      <c r="J102" s="11"/>
      <c r="K102" s="11"/>
      <c r="L102" s="11"/>
      <c r="M102" s="7"/>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c r="A103" s="18"/>
      <c r="B103" s="11"/>
      <c r="C103" s="11"/>
      <c r="D103" s="11"/>
      <c r="E103" s="11"/>
      <c r="F103" s="11"/>
      <c r="G103" s="11"/>
      <c r="H103" s="11"/>
      <c r="I103" s="7"/>
      <c r="J103" s="11"/>
      <c r="K103" s="11"/>
      <c r="L103" s="11"/>
      <c r="M103" s="7"/>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c r="A104" s="18"/>
      <c r="B104" s="11"/>
      <c r="C104" s="11"/>
      <c r="D104" s="11"/>
      <c r="E104" s="11"/>
      <c r="F104" s="11"/>
      <c r="G104" s="11"/>
      <c r="H104" s="11"/>
      <c r="I104" s="7"/>
      <c r="J104" s="11"/>
      <c r="K104" s="11"/>
      <c r="L104" s="11"/>
      <c r="M104" s="7"/>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c r="A105" s="18"/>
      <c r="B105" s="11"/>
      <c r="C105" s="11"/>
      <c r="D105" s="11"/>
      <c r="E105" s="11"/>
      <c r="F105" s="11"/>
      <c r="G105" s="11"/>
      <c r="H105" s="11"/>
      <c r="I105" s="7"/>
      <c r="J105" s="11"/>
      <c r="K105" s="11"/>
      <c r="L105" s="11"/>
      <c r="M105" s="7"/>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c r="A106" s="18"/>
      <c r="B106" s="11"/>
      <c r="C106" s="11"/>
      <c r="D106" s="11"/>
      <c r="E106" s="11"/>
      <c r="F106" s="11"/>
      <c r="G106" s="11"/>
      <c r="H106" s="11"/>
      <c r="I106" s="7"/>
      <c r="J106" s="11"/>
      <c r="K106" s="11"/>
      <c r="L106" s="11"/>
      <c r="M106" s="7"/>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c r="A107" s="18"/>
      <c r="B107" s="11"/>
      <c r="C107" s="11"/>
      <c r="D107" s="11"/>
      <c r="E107" s="11"/>
      <c r="F107" s="11"/>
      <c r="G107" s="11"/>
      <c r="H107" s="11"/>
      <c r="I107" s="7"/>
      <c r="J107" s="11"/>
      <c r="K107" s="11"/>
      <c r="L107" s="11"/>
      <c r="M107" s="7"/>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c r="A108" s="18"/>
      <c r="B108" s="11"/>
      <c r="C108" s="11"/>
      <c r="D108" s="11"/>
      <c r="E108" s="11"/>
      <c r="F108" s="11"/>
      <c r="G108" s="11"/>
      <c r="H108" s="11"/>
      <c r="I108" s="7"/>
      <c r="J108" s="11"/>
      <c r="K108" s="11"/>
      <c r="L108" s="11"/>
      <c r="M108" s="7"/>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c r="A109" s="18"/>
      <c r="B109" s="11"/>
      <c r="C109" s="11"/>
      <c r="D109" s="11"/>
      <c r="E109" s="11"/>
      <c r="F109" s="11"/>
      <c r="G109" s="11"/>
      <c r="H109" s="11"/>
      <c r="I109" s="7"/>
      <c r="J109" s="11"/>
      <c r="K109" s="11"/>
      <c r="L109" s="11"/>
      <c r="M109" s="7"/>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c r="A110" s="18"/>
      <c r="B110" s="11"/>
      <c r="C110" s="11"/>
      <c r="D110" s="11"/>
      <c r="E110" s="11"/>
      <c r="F110" s="11"/>
      <c r="G110" s="11"/>
      <c r="H110" s="11"/>
      <c r="I110" s="7"/>
      <c r="J110" s="11"/>
      <c r="K110" s="11"/>
      <c r="L110" s="11"/>
      <c r="M110" s="7"/>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c r="A111" s="18"/>
      <c r="B111" s="11"/>
      <c r="C111" s="11"/>
      <c r="D111" s="11"/>
      <c r="E111" s="11"/>
      <c r="F111" s="11"/>
      <c r="G111" s="11"/>
      <c r="H111" s="11"/>
      <c r="I111" s="7"/>
      <c r="J111" s="11"/>
      <c r="K111" s="11"/>
      <c r="L111" s="11"/>
      <c r="M111" s="7"/>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c r="A112" s="18"/>
      <c r="B112" s="11"/>
      <c r="C112" s="11"/>
      <c r="D112" s="11"/>
      <c r="E112" s="11"/>
      <c r="F112" s="11"/>
      <c r="G112" s="11"/>
      <c r="H112" s="11"/>
      <c r="I112" s="7"/>
      <c r="J112" s="11"/>
      <c r="K112" s="11"/>
      <c r="L112" s="11"/>
      <c r="M112" s="7"/>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c r="A113" s="18"/>
      <c r="B113" s="11"/>
      <c r="C113" s="11"/>
      <c r="D113" s="11"/>
      <c r="E113" s="11"/>
      <c r="F113" s="11"/>
      <c r="G113" s="11"/>
      <c r="H113" s="11"/>
      <c r="I113" s="7"/>
      <c r="J113" s="11"/>
      <c r="K113" s="11"/>
      <c r="L113" s="11"/>
      <c r="M113" s="7"/>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c r="A114" s="18"/>
      <c r="B114" s="11"/>
      <c r="C114" s="11"/>
      <c r="D114" s="11"/>
      <c r="E114" s="11"/>
      <c r="F114" s="11"/>
      <c r="G114" s="11"/>
      <c r="H114" s="11"/>
      <c r="I114" s="7"/>
      <c r="J114" s="11"/>
      <c r="K114" s="11"/>
      <c r="L114" s="11"/>
      <c r="M114" s="7"/>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c r="A115" s="18"/>
      <c r="B115" s="11"/>
      <c r="C115" s="11"/>
      <c r="D115" s="11"/>
      <c r="E115" s="11"/>
      <c r="F115" s="11"/>
      <c r="G115" s="11"/>
      <c r="H115" s="11"/>
      <c r="I115" s="7"/>
      <c r="J115" s="11"/>
      <c r="K115" s="11"/>
      <c r="L115" s="11"/>
      <c r="M115" s="7"/>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c r="A116" s="18"/>
      <c r="B116" s="11"/>
      <c r="C116" s="11"/>
      <c r="D116" s="11"/>
      <c r="E116" s="11"/>
      <c r="F116" s="11"/>
      <c r="G116" s="11"/>
      <c r="H116" s="11"/>
      <c r="I116" s="7"/>
      <c r="J116" s="11"/>
      <c r="K116" s="11"/>
      <c r="L116" s="11"/>
      <c r="M116" s="7"/>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c r="A117" s="18"/>
      <c r="B117" s="11"/>
      <c r="C117" s="11"/>
      <c r="D117" s="11"/>
      <c r="E117" s="11"/>
      <c r="F117" s="11"/>
      <c r="G117" s="11"/>
      <c r="H117" s="11"/>
      <c r="I117" s="7"/>
      <c r="J117" s="11"/>
      <c r="K117" s="11"/>
      <c r="L117" s="11"/>
      <c r="M117" s="7"/>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c r="A118" s="18"/>
      <c r="B118" s="11"/>
      <c r="C118" s="11"/>
      <c r="D118" s="11"/>
      <c r="E118" s="11"/>
      <c r="F118" s="11"/>
      <c r="G118" s="11"/>
      <c r="H118" s="11"/>
      <c r="I118" s="7"/>
      <c r="J118" s="11"/>
      <c r="K118" s="11"/>
      <c r="L118" s="11"/>
      <c r="M118" s="7"/>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c r="A119" s="18"/>
      <c r="B119" s="11"/>
      <c r="C119" s="11"/>
      <c r="D119" s="11"/>
      <c r="E119" s="11"/>
      <c r="F119" s="11"/>
      <c r="G119" s="11"/>
      <c r="H119" s="11"/>
      <c r="I119" s="7"/>
      <c r="J119" s="11"/>
      <c r="K119" s="11"/>
      <c r="L119" s="11"/>
      <c r="M119" s="7"/>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c r="A120" s="18"/>
      <c r="B120" s="11"/>
      <c r="C120" s="11"/>
      <c r="D120" s="11"/>
      <c r="E120" s="11"/>
      <c r="F120" s="11"/>
      <c r="G120" s="11"/>
      <c r="H120" s="11"/>
      <c r="I120" s="7"/>
      <c r="J120" s="11"/>
      <c r="K120" s="11"/>
      <c r="L120" s="11"/>
      <c r="M120" s="7"/>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c r="A121" s="18"/>
      <c r="B121" s="11"/>
      <c r="C121" s="11"/>
      <c r="D121" s="11"/>
      <c r="E121" s="11"/>
      <c r="F121" s="11"/>
      <c r="G121" s="11"/>
      <c r="H121" s="11"/>
      <c r="I121" s="7"/>
      <c r="J121" s="11"/>
      <c r="K121" s="11"/>
      <c r="L121" s="11"/>
      <c r="M121" s="7"/>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c r="A122" s="18"/>
      <c r="B122" s="11"/>
      <c r="C122" s="11"/>
      <c r="D122" s="11"/>
      <c r="E122" s="11"/>
      <c r="F122" s="11"/>
      <c r="G122" s="11"/>
      <c r="H122" s="11"/>
      <c r="I122" s="7"/>
      <c r="J122" s="11"/>
      <c r="K122" s="11"/>
      <c r="L122" s="11"/>
      <c r="M122" s="7"/>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c r="A123" s="18"/>
      <c r="B123" s="11"/>
      <c r="C123" s="11"/>
      <c r="D123" s="11"/>
      <c r="E123" s="11"/>
      <c r="F123" s="11"/>
      <c r="G123" s="11"/>
      <c r="H123" s="11"/>
      <c r="I123" s="7"/>
      <c r="J123" s="11"/>
      <c r="K123" s="11"/>
      <c r="L123" s="11"/>
      <c r="M123" s="7"/>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c r="A124" s="18"/>
      <c r="B124" s="11"/>
      <c r="C124" s="11"/>
      <c r="D124" s="11"/>
      <c r="E124" s="11"/>
      <c r="F124" s="11"/>
      <c r="G124" s="11"/>
      <c r="H124" s="11"/>
      <c r="I124" s="7"/>
      <c r="J124" s="11"/>
      <c r="K124" s="11"/>
      <c r="L124" s="11"/>
      <c r="M124" s="7"/>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c r="A125" s="18"/>
      <c r="B125" s="11"/>
      <c r="C125" s="11"/>
      <c r="D125" s="11"/>
      <c r="E125" s="11"/>
      <c r="F125" s="11"/>
      <c r="G125" s="11"/>
      <c r="H125" s="11"/>
      <c r="I125" s="7"/>
      <c r="J125" s="11"/>
      <c r="K125" s="11"/>
      <c r="L125" s="11"/>
      <c r="M125" s="7"/>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c r="A126" s="18"/>
      <c r="B126" s="11"/>
      <c r="C126" s="11"/>
      <c r="D126" s="11"/>
      <c r="E126" s="11"/>
      <c r="F126" s="11"/>
      <c r="G126" s="11"/>
      <c r="H126" s="11"/>
      <c r="I126" s="7"/>
      <c r="J126" s="11"/>
      <c r="K126" s="11"/>
      <c r="L126" s="11"/>
      <c r="M126" s="7"/>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c r="A127" s="18"/>
      <c r="B127" s="11"/>
      <c r="C127" s="11"/>
      <c r="D127" s="11"/>
      <c r="E127" s="11"/>
      <c r="F127" s="11"/>
      <c r="G127" s="11"/>
      <c r="H127" s="11"/>
      <c r="I127" s="7"/>
      <c r="J127" s="11"/>
      <c r="K127" s="11"/>
      <c r="L127" s="11"/>
      <c r="M127" s="7"/>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c r="A128" s="18"/>
      <c r="B128" s="11"/>
      <c r="C128" s="11"/>
      <c r="D128" s="11"/>
      <c r="E128" s="11"/>
      <c r="F128" s="11"/>
      <c r="G128" s="11"/>
      <c r="H128" s="11"/>
      <c r="I128" s="7"/>
      <c r="J128" s="11"/>
      <c r="K128" s="11"/>
      <c r="L128" s="11"/>
      <c r="M128" s="7"/>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c r="A129" s="18"/>
      <c r="B129" s="11"/>
      <c r="C129" s="11"/>
      <c r="D129" s="11"/>
      <c r="E129" s="11"/>
      <c r="F129" s="11"/>
      <c r="G129" s="11"/>
      <c r="H129" s="11"/>
      <c r="I129" s="7"/>
      <c r="J129" s="11"/>
      <c r="K129" s="11"/>
      <c r="L129" s="11"/>
      <c r="M129" s="7"/>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c r="A130" s="18"/>
      <c r="B130" s="11"/>
      <c r="C130" s="11"/>
      <c r="D130" s="11"/>
      <c r="E130" s="11"/>
      <c r="F130" s="11"/>
      <c r="G130" s="11"/>
      <c r="H130" s="11"/>
      <c r="I130" s="7"/>
      <c r="J130" s="11"/>
      <c r="K130" s="11"/>
      <c r="L130" s="11"/>
      <c r="M130" s="7"/>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349" priority="11"/>
  </conditionalFormatting>
  <conditionalFormatting sqref="C21 C24">
    <cfRule type="duplicateValues" dxfId="348" priority="10"/>
  </conditionalFormatting>
  <conditionalFormatting sqref="D21 D24">
    <cfRule type="duplicateValues" dxfId="347" priority="9"/>
  </conditionalFormatting>
  <conditionalFormatting sqref="E21 E24">
    <cfRule type="duplicateValues" dxfId="346" priority="8"/>
  </conditionalFormatting>
  <conditionalFormatting sqref="F21 F24">
    <cfRule type="duplicateValues" dxfId="345" priority="7"/>
  </conditionalFormatting>
  <conditionalFormatting sqref="G21 G24">
    <cfRule type="duplicateValues" dxfId="344" priority="6"/>
  </conditionalFormatting>
  <conditionalFormatting sqref="H21 H24">
    <cfRule type="duplicateValues" dxfId="343" priority="5"/>
  </conditionalFormatting>
  <conditionalFormatting sqref="J21 J24">
    <cfRule type="duplicateValues" dxfId="342" priority="3"/>
  </conditionalFormatting>
  <conditionalFormatting sqref="K21 K24">
    <cfRule type="duplicateValues" dxfId="341" priority="2"/>
  </conditionalFormatting>
  <conditionalFormatting sqref="L21 L24">
    <cfRule type="duplicateValues" dxfId="340" priority="1"/>
  </conditionalFormatting>
  <dataValidations count="3">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s>
  <hyperlinks>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J19" location="'De-Icer Trailer'!A1" display="De-Icer Trailer" xr:uid="{A13FDB9C-4B47-46B1-8C6D-D49FC43A986B}"/>
    <hyperlink ref="K19" location="'DE-Icer UNDM'!A1" display="De-Icer UNDM" xr:uid="{50C5F162-B55B-4EE7-8ACE-5FE5DAAF2A42}"/>
    <hyperlink ref="L19" location="'Train Tests'!A1" display="Final Tests" xr:uid="{5673C455-41D5-4758-AAD3-41F533CC49DE}"/>
    <hyperlink ref="B19" location="'De-Icer DM'!A1" display="De-Icer DM" xr:uid="{DE656102-6824-4F85-9BC7-B62FC79BC3FA}"/>
    <hyperlink ref="C19" location="'De-Icer Trailer'!A1" display="De-Icer Trailer" xr:uid="{CEBFF414-C35A-464D-91AD-2A51A39A601D}"/>
    <hyperlink ref="D19" location="'DE-Icer UNDM'!A1" display="De-Icer UNDM" xr:uid="{725CF2EA-3EE8-409B-9AA4-68C09C66935C}"/>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123825</xdr:colOff>
                    <xdr:row>14</xdr:row>
                    <xdr:rowOff>76200</xdr:rowOff>
                  </from>
                  <to>
                    <xdr:col>11</xdr:col>
                    <xdr:colOff>638175</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c r="A1" s="25"/>
      <c r="B1" s="25"/>
      <c r="C1" s="59" t="s">
        <v>37</v>
      </c>
      <c r="D1" s="23"/>
      <c r="E1" s="23"/>
      <c r="F1" s="23"/>
      <c r="G1" s="23"/>
      <c r="H1" s="23"/>
    </row>
    <row r="2" spans="1:57" s="10" customFormat="1" ht="84" customHeight="1" thickBot="1">
      <c r="A2" s="50" t="s">
        <v>38</v>
      </c>
      <c r="B2" s="50" t="s">
        <v>39</v>
      </c>
      <c r="C2" s="51" t="s">
        <v>40</v>
      </c>
      <c r="D2" s="52" t="s">
        <v>41</v>
      </c>
      <c r="E2" s="53" t="s">
        <v>24</v>
      </c>
      <c r="F2" s="53" t="s">
        <v>20</v>
      </c>
      <c r="G2" s="54" t="s">
        <v>42</v>
      </c>
      <c r="H2" s="54" t="s">
        <v>43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T129"/>
  <sheetViews>
    <sheetView showWhiteSpace="0" zoomScale="60" zoomScaleNormal="60" workbookViewId="0">
      <pane ySplit="2" topLeftCell="A37" activePane="bottomLeft" state="frozen"/>
      <selection pane="bottomLeft" activeCell="G44" sqref="G44"/>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9.109375" style="3" customWidth="1"/>
    <col min="15" max="15" width="7.5546875" style="70" customWidth="1"/>
    <col min="16" max="17" width="8.88671875" style="3" customWidth="1"/>
    <col min="18" max="16384" width="8.88671875" style="3"/>
  </cols>
  <sheetData>
    <row r="1" spans="1:72" ht="21" customHeight="1" thickBot="1">
      <c r="B1" s="88" t="s">
        <v>44</v>
      </c>
      <c r="C1" s="62" t="s">
        <v>45</v>
      </c>
      <c r="D1" s="23"/>
      <c r="E1" s="23"/>
      <c r="F1" s="23"/>
      <c r="G1" s="23"/>
      <c r="H1" s="23"/>
      <c r="I1" s="23"/>
      <c r="J1" s="23"/>
      <c r="L1" s="23"/>
    </row>
    <row r="2" spans="1:72" s="10" customFormat="1" ht="87.95" customHeight="1" thickBot="1">
      <c r="A2" s="50" t="s">
        <v>38</v>
      </c>
      <c r="B2" s="64" t="s">
        <v>39</v>
      </c>
      <c r="C2" s="65" t="s">
        <v>40</v>
      </c>
      <c r="D2" s="66" t="s">
        <v>41</v>
      </c>
      <c r="E2" s="67" t="s">
        <v>24</v>
      </c>
      <c r="F2" s="67" t="s">
        <v>20</v>
      </c>
      <c r="G2" s="68" t="s">
        <v>42</v>
      </c>
      <c r="H2" s="68" t="s">
        <v>43</v>
      </c>
      <c r="I2" s="63" t="s">
        <v>46</v>
      </c>
      <c r="J2" s="63" t="s">
        <v>47</v>
      </c>
      <c r="K2" s="63" t="s">
        <v>48</v>
      </c>
      <c r="L2" s="63" t="s">
        <v>49</v>
      </c>
      <c r="M2" s="63" t="s">
        <v>50</v>
      </c>
      <c r="N2" s="55" t="s">
        <v>51</v>
      </c>
      <c r="O2" s="71" t="s">
        <v>52</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ht="54" customHeight="1" thickTop="1" thickBot="1">
      <c r="A3" s="72"/>
      <c r="B3" s="94" t="s">
        <v>11</v>
      </c>
      <c r="C3" s="95" t="s">
        <v>53</v>
      </c>
      <c r="D3" s="95" t="s">
        <v>54</v>
      </c>
      <c r="E3" s="96" t="s">
        <v>12</v>
      </c>
      <c r="F3" s="96" t="s">
        <v>22</v>
      </c>
      <c r="G3" s="95" t="s">
        <v>55</v>
      </c>
      <c r="H3" s="97" t="s">
        <v>55</v>
      </c>
      <c r="I3" s="96" t="s">
        <v>56</v>
      </c>
      <c r="J3" s="96" t="s">
        <v>57</v>
      </c>
      <c r="K3" s="96">
        <v>0</v>
      </c>
      <c r="L3" s="96" t="s">
        <v>58</v>
      </c>
      <c r="M3" s="96" t="s">
        <v>59</v>
      </c>
      <c r="N3" s="95">
        <v>1</v>
      </c>
      <c r="O3" s="98">
        <v>5.2083333333333333E-4</v>
      </c>
    </row>
    <row r="4" spans="1:72" ht="54" customHeight="1" thickTop="1" thickBot="1">
      <c r="A4" s="72"/>
      <c r="B4" s="73" t="s">
        <v>11</v>
      </c>
      <c r="C4" s="90" t="s">
        <v>60</v>
      </c>
      <c r="D4" s="74" t="s">
        <v>61</v>
      </c>
      <c r="E4" s="75" t="s">
        <v>12</v>
      </c>
      <c r="F4" s="75" t="s">
        <v>22</v>
      </c>
      <c r="G4" s="74" t="s">
        <v>55</v>
      </c>
      <c r="H4" s="85" t="s">
        <v>55</v>
      </c>
      <c r="I4" s="96" t="s">
        <v>56</v>
      </c>
      <c r="J4" s="96" t="s">
        <v>57</v>
      </c>
      <c r="K4" s="96">
        <v>0</v>
      </c>
      <c r="L4" s="96" t="s">
        <v>62</v>
      </c>
      <c r="M4" s="96" t="s">
        <v>63</v>
      </c>
      <c r="N4" s="74">
        <v>1</v>
      </c>
      <c r="O4" s="77">
        <v>3.4722222222222224E-4</v>
      </c>
    </row>
    <row r="5" spans="1:72" ht="54" customHeight="1" thickTop="1" thickBot="1">
      <c r="A5" s="72"/>
      <c r="B5" s="73" t="s">
        <v>11</v>
      </c>
      <c r="C5" s="74" t="s">
        <v>64</v>
      </c>
      <c r="D5" s="74" t="s">
        <v>61</v>
      </c>
      <c r="E5" s="75" t="s">
        <v>12</v>
      </c>
      <c r="F5" s="75" t="s">
        <v>22</v>
      </c>
      <c r="G5" s="74" t="s">
        <v>55</v>
      </c>
      <c r="H5" s="85" t="s">
        <v>55</v>
      </c>
      <c r="I5" s="96" t="s">
        <v>56</v>
      </c>
      <c r="J5" s="96" t="s">
        <v>57</v>
      </c>
      <c r="K5" s="96">
        <v>0</v>
      </c>
      <c r="L5" s="96" t="s">
        <v>62</v>
      </c>
      <c r="M5" s="96" t="s">
        <v>63</v>
      </c>
      <c r="N5" s="74">
        <v>1</v>
      </c>
      <c r="O5" s="77">
        <v>3.4722222222222224E-4</v>
      </c>
    </row>
    <row r="6" spans="1:72" ht="54" customHeight="1" thickTop="1" thickBot="1">
      <c r="A6" s="72"/>
      <c r="B6" s="73" t="s">
        <v>11</v>
      </c>
      <c r="C6" s="74" t="s">
        <v>65</v>
      </c>
      <c r="D6" s="74" t="s">
        <v>66</v>
      </c>
      <c r="E6" s="75" t="s">
        <v>12</v>
      </c>
      <c r="F6" s="75" t="s">
        <v>22</v>
      </c>
      <c r="G6" s="74" t="s">
        <v>55</v>
      </c>
      <c r="H6" s="85" t="s">
        <v>55</v>
      </c>
      <c r="I6" s="96" t="s">
        <v>56</v>
      </c>
      <c r="J6" s="96" t="s">
        <v>57</v>
      </c>
      <c r="K6" s="96">
        <v>0</v>
      </c>
      <c r="L6" s="96" t="s">
        <v>62</v>
      </c>
      <c r="M6" s="96" t="s">
        <v>63</v>
      </c>
      <c r="N6" s="74">
        <v>1</v>
      </c>
      <c r="O6" s="77">
        <v>1.3888888888888889E-3</v>
      </c>
    </row>
    <row r="7" spans="1:72" ht="54" customHeight="1" thickTop="1" thickBot="1">
      <c r="A7" s="72"/>
      <c r="B7" s="73" t="s">
        <v>11</v>
      </c>
      <c r="C7" s="74" t="s">
        <v>67</v>
      </c>
      <c r="D7" s="74" t="s">
        <v>68</v>
      </c>
      <c r="E7" s="75" t="s">
        <v>12</v>
      </c>
      <c r="F7" s="75" t="s">
        <v>22</v>
      </c>
      <c r="G7" s="74" t="s">
        <v>55</v>
      </c>
      <c r="H7" s="85" t="s">
        <v>55</v>
      </c>
      <c r="I7" s="96" t="s">
        <v>56</v>
      </c>
      <c r="J7" s="96" t="s">
        <v>57</v>
      </c>
      <c r="K7" s="96">
        <v>0</v>
      </c>
      <c r="L7" s="96" t="s">
        <v>69</v>
      </c>
      <c r="M7" s="96" t="s">
        <v>70</v>
      </c>
      <c r="N7" s="74">
        <v>1</v>
      </c>
      <c r="O7" s="77">
        <v>1.2152777777777778E-3</v>
      </c>
    </row>
    <row r="8" spans="1:72" ht="54" customHeight="1" thickTop="1" thickBot="1">
      <c r="A8" s="72"/>
      <c r="B8" s="73" t="s">
        <v>11</v>
      </c>
      <c r="C8" s="74" t="s">
        <v>71</v>
      </c>
      <c r="D8" s="74" t="s">
        <v>72</v>
      </c>
      <c r="E8" s="75" t="s">
        <v>12</v>
      </c>
      <c r="F8" s="75" t="s">
        <v>22</v>
      </c>
      <c r="G8" s="74" t="s">
        <v>55</v>
      </c>
      <c r="H8" s="85" t="s">
        <v>55</v>
      </c>
      <c r="I8" s="96" t="s">
        <v>56</v>
      </c>
      <c r="J8" s="96" t="s">
        <v>57</v>
      </c>
      <c r="K8" s="96">
        <v>0</v>
      </c>
      <c r="L8" s="96" t="s">
        <v>69</v>
      </c>
      <c r="M8" s="96" t="s">
        <v>70</v>
      </c>
      <c r="N8" s="74">
        <v>1</v>
      </c>
      <c r="O8" s="77">
        <v>3.4722222222222224E-4</v>
      </c>
    </row>
    <row r="9" spans="1:72" ht="54" customHeight="1" thickTop="1" thickBot="1">
      <c r="A9" s="72"/>
      <c r="B9" s="73" t="s">
        <v>11</v>
      </c>
      <c r="C9" s="74" t="s">
        <v>73</v>
      </c>
      <c r="D9" s="74" t="s">
        <v>74</v>
      </c>
      <c r="E9" s="75" t="s">
        <v>12</v>
      </c>
      <c r="F9" s="75" t="s">
        <v>22</v>
      </c>
      <c r="G9" s="74" t="s">
        <v>75</v>
      </c>
      <c r="H9" s="85">
        <v>45700</v>
      </c>
      <c r="I9" s="96" t="s">
        <v>56</v>
      </c>
      <c r="J9" s="96" t="s">
        <v>57</v>
      </c>
      <c r="K9" s="96">
        <v>0</v>
      </c>
      <c r="L9" s="96" t="s">
        <v>76</v>
      </c>
      <c r="M9" s="96" t="s">
        <v>59</v>
      </c>
      <c r="N9" s="74">
        <v>2</v>
      </c>
      <c r="O9" s="99">
        <v>3.4722222222222224E-4</v>
      </c>
    </row>
    <row r="10" spans="1:72" ht="54" customHeight="1" thickTop="1" thickBot="1">
      <c r="A10" s="72"/>
      <c r="B10" s="73" t="s">
        <v>11</v>
      </c>
      <c r="C10" s="74" t="s">
        <v>77</v>
      </c>
      <c r="D10" s="74" t="s">
        <v>78</v>
      </c>
      <c r="E10" s="75" t="s">
        <v>12</v>
      </c>
      <c r="F10" s="75" t="s">
        <v>22</v>
      </c>
      <c r="G10" s="74" t="s">
        <v>55</v>
      </c>
      <c r="H10" s="85" t="s">
        <v>55</v>
      </c>
      <c r="I10" s="96" t="s">
        <v>56</v>
      </c>
      <c r="J10" s="96" t="s">
        <v>57</v>
      </c>
      <c r="K10" s="96">
        <v>0</v>
      </c>
      <c r="L10" s="96" t="s">
        <v>79</v>
      </c>
      <c r="M10" s="96" t="s">
        <v>59</v>
      </c>
      <c r="N10" s="74">
        <v>1</v>
      </c>
      <c r="O10" s="77">
        <v>1.3888888888888889E-3</v>
      </c>
    </row>
    <row r="11" spans="1:72" ht="54" customHeight="1" thickTop="1" thickBot="1">
      <c r="A11" s="72"/>
      <c r="B11" s="73" t="s">
        <v>11</v>
      </c>
      <c r="C11" s="74" t="s">
        <v>80</v>
      </c>
      <c r="D11" s="74" t="s">
        <v>81</v>
      </c>
      <c r="E11" s="75" t="s">
        <v>12</v>
      </c>
      <c r="F11" s="75" t="s">
        <v>22</v>
      </c>
      <c r="G11" s="74" t="s">
        <v>55</v>
      </c>
      <c r="H11" s="85" t="s">
        <v>55</v>
      </c>
      <c r="I11" s="96" t="s">
        <v>56</v>
      </c>
      <c r="J11" s="96" t="s">
        <v>57</v>
      </c>
      <c r="K11" s="96">
        <v>0</v>
      </c>
      <c r="L11" s="96" t="s">
        <v>82</v>
      </c>
      <c r="M11" s="96" t="s">
        <v>59</v>
      </c>
      <c r="N11" s="74">
        <v>1</v>
      </c>
      <c r="O11" s="77">
        <v>3.4722222222222224E-4</v>
      </c>
    </row>
    <row r="12" spans="1:72" ht="54" customHeight="1" thickTop="1" thickBot="1">
      <c r="A12" s="72"/>
      <c r="B12" s="73" t="s">
        <v>11</v>
      </c>
      <c r="C12" s="74" t="s">
        <v>83</v>
      </c>
      <c r="D12" s="74" t="s">
        <v>84</v>
      </c>
      <c r="E12" s="75" t="s">
        <v>12</v>
      </c>
      <c r="F12" s="75" t="s">
        <v>22</v>
      </c>
      <c r="G12" s="74" t="s">
        <v>55</v>
      </c>
      <c r="H12" s="85" t="s">
        <v>55</v>
      </c>
      <c r="I12" s="96" t="s">
        <v>85</v>
      </c>
      <c r="J12" s="96" t="s">
        <v>57</v>
      </c>
      <c r="K12" s="96" t="s">
        <v>86</v>
      </c>
      <c r="L12" s="96" t="s">
        <v>87</v>
      </c>
      <c r="M12" s="96" t="s">
        <v>88</v>
      </c>
      <c r="N12" s="74">
        <v>1</v>
      </c>
      <c r="O12" s="77">
        <v>3.4722222222222224E-4</v>
      </c>
    </row>
    <row r="13" spans="1:72" ht="54" customHeight="1" thickTop="1" thickBot="1">
      <c r="A13" s="72"/>
      <c r="B13" s="73" t="s">
        <v>11</v>
      </c>
      <c r="C13" s="74" t="s">
        <v>89</v>
      </c>
      <c r="D13" s="74" t="s">
        <v>90</v>
      </c>
      <c r="E13" s="75" t="s">
        <v>12</v>
      </c>
      <c r="F13" s="75" t="s">
        <v>22</v>
      </c>
      <c r="G13" s="74" t="s">
        <v>55</v>
      </c>
      <c r="H13" s="85" t="s">
        <v>55</v>
      </c>
      <c r="I13" s="96" t="s">
        <v>56</v>
      </c>
      <c r="J13" s="96" t="s">
        <v>57</v>
      </c>
      <c r="K13" s="96">
        <v>0</v>
      </c>
      <c r="L13" s="96" t="s">
        <v>91</v>
      </c>
      <c r="M13" s="96" t="s">
        <v>59</v>
      </c>
      <c r="N13" s="74">
        <v>1</v>
      </c>
      <c r="O13" s="77">
        <v>1.3888888888888889E-3</v>
      </c>
    </row>
    <row r="14" spans="1:72" ht="54" customHeight="1" thickTop="1" thickBot="1">
      <c r="A14" s="72"/>
      <c r="B14" s="73" t="s">
        <v>11</v>
      </c>
      <c r="C14" s="74" t="s">
        <v>92</v>
      </c>
      <c r="D14" s="74" t="s">
        <v>93</v>
      </c>
      <c r="E14" s="75" t="s">
        <v>12</v>
      </c>
      <c r="F14" s="75" t="s">
        <v>22</v>
      </c>
      <c r="G14" s="74" t="s">
        <v>55</v>
      </c>
      <c r="H14" s="85" t="s">
        <v>55</v>
      </c>
      <c r="I14" s="96" t="s">
        <v>56</v>
      </c>
      <c r="J14" s="96" t="s">
        <v>57</v>
      </c>
      <c r="K14" s="96">
        <v>0</v>
      </c>
      <c r="L14" s="96" t="s">
        <v>91</v>
      </c>
      <c r="M14" s="96" t="s">
        <v>59</v>
      </c>
      <c r="N14" s="74">
        <v>1</v>
      </c>
      <c r="O14" s="77">
        <v>1.3888888888888889E-3</v>
      </c>
    </row>
    <row r="15" spans="1:72" ht="54" customHeight="1" thickTop="1" thickBot="1">
      <c r="A15" s="72"/>
      <c r="B15" s="73" t="s">
        <v>11</v>
      </c>
      <c r="C15" s="74" t="s">
        <v>94</v>
      </c>
      <c r="D15" s="74" t="s">
        <v>95</v>
      </c>
      <c r="E15" s="75" t="s">
        <v>12</v>
      </c>
      <c r="F15" s="75" t="s">
        <v>22</v>
      </c>
      <c r="G15" s="74" t="s">
        <v>55</v>
      </c>
      <c r="H15" s="85" t="s">
        <v>55</v>
      </c>
      <c r="I15" s="96" t="s">
        <v>56</v>
      </c>
      <c r="J15" s="96" t="s">
        <v>57</v>
      </c>
      <c r="K15" s="96">
        <v>0</v>
      </c>
      <c r="L15" s="96" t="s">
        <v>96</v>
      </c>
      <c r="M15" s="96" t="s">
        <v>59</v>
      </c>
      <c r="N15" s="74">
        <v>1</v>
      </c>
      <c r="O15" s="77">
        <v>5.2083333333333333E-4</v>
      </c>
    </row>
    <row r="16" spans="1:72" ht="54" customHeight="1" thickTop="1" thickBot="1">
      <c r="A16" s="72"/>
      <c r="B16" s="73" t="s">
        <v>11</v>
      </c>
      <c r="C16" s="74" t="s">
        <v>97</v>
      </c>
      <c r="D16" s="74" t="s">
        <v>98</v>
      </c>
      <c r="E16" s="75" t="s">
        <v>12</v>
      </c>
      <c r="F16" s="75" t="s">
        <v>22</v>
      </c>
      <c r="G16" s="74" t="s">
        <v>55</v>
      </c>
      <c r="H16" s="85" t="s">
        <v>55</v>
      </c>
      <c r="I16" s="96" t="s">
        <v>56</v>
      </c>
      <c r="J16" s="96" t="s">
        <v>57</v>
      </c>
      <c r="K16" s="96">
        <v>0</v>
      </c>
      <c r="L16" s="96" t="s">
        <v>96</v>
      </c>
      <c r="M16" s="96" t="s">
        <v>59</v>
      </c>
      <c r="N16" s="74">
        <v>1</v>
      </c>
      <c r="O16" s="77">
        <v>5.2083333333333333E-4</v>
      </c>
    </row>
    <row r="17" spans="1:15" ht="54" customHeight="1" thickTop="1" thickBot="1">
      <c r="A17" s="72"/>
      <c r="B17" s="73" t="s">
        <v>11</v>
      </c>
      <c r="C17" s="74" t="s">
        <v>99</v>
      </c>
      <c r="D17" s="74" t="s">
        <v>100</v>
      </c>
      <c r="E17" s="75" t="s">
        <v>12</v>
      </c>
      <c r="F17" s="75" t="s">
        <v>22</v>
      </c>
      <c r="G17" s="74" t="s">
        <v>55</v>
      </c>
      <c r="H17" s="85" t="s">
        <v>55</v>
      </c>
      <c r="I17" s="96" t="s">
        <v>56</v>
      </c>
      <c r="J17" s="96" t="s">
        <v>57</v>
      </c>
      <c r="K17" s="96">
        <v>0</v>
      </c>
      <c r="L17" s="96" t="s">
        <v>96</v>
      </c>
      <c r="M17" s="96" t="s">
        <v>59</v>
      </c>
      <c r="N17" s="74">
        <v>1</v>
      </c>
      <c r="O17" s="77">
        <v>3.4722222222222224E-4</v>
      </c>
    </row>
    <row r="18" spans="1:15" ht="54" customHeight="1" thickTop="1" thickBot="1">
      <c r="A18" s="72"/>
      <c r="B18" s="73" t="s">
        <v>11</v>
      </c>
      <c r="C18" s="74" t="s">
        <v>101</v>
      </c>
      <c r="D18" s="74" t="s">
        <v>102</v>
      </c>
      <c r="E18" s="75" t="s">
        <v>12</v>
      </c>
      <c r="F18" s="75" t="s">
        <v>22</v>
      </c>
      <c r="G18" s="74" t="s">
        <v>55</v>
      </c>
      <c r="H18" s="85" t="s">
        <v>55</v>
      </c>
      <c r="I18" s="96" t="s">
        <v>85</v>
      </c>
      <c r="J18" s="96" t="s">
        <v>57</v>
      </c>
      <c r="K18" s="96">
        <v>0</v>
      </c>
      <c r="L18" s="96" t="s">
        <v>103</v>
      </c>
      <c r="M18" s="96" t="s">
        <v>104</v>
      </c>
      <c r="N18" s="74">
        <v>1</v>
      </c>
      <c r="O18" s="99">
        <v>6.9444444444444447E-4</v>
      </c>
    </row>
    <row r="19" spans="1:15" ht="54" customHeight="1" thickTop="1" thickBot="1">
      <c r="A19" s="72"/>
      <c r="B19" s="73" t="s">
        <v>11</v>
      </c>
      <c r="C19" s="74" t="s">
        <v>105</v>
      </c>
      <c r="D19" s="74" t="s">
        <v>106</v>
      </c>
      <c r="E19" s="75" t="s">
        <v>12</v>
      </c>
      <c r="F19" s="75" t="s">
        <v>22</v>
      </c>
      <c r="G19" s="74" t="s">
        <v>55</v>
      </c>
      <c r="H19" s="85" t="s">
        <v>55</v>
      </c>
      <c r="I19" s="96" t="s">
        <v>85</v>
      </c>
      <c r="J19" s="96" t="s">
        <v>57</v>
      </c>
      <c r="K19" s="96">
        <v>0</v>
      </c>
      <c r="L19" s="96" t="s">
        <v>107</v>
      </c>
      <c r="M19" s="96" t="s">
        <v>104</v>
      </c>
      <c r="N19" s="74">
        <v>1</v>
      </c>
      <c r="O19" s="99">
        <v>6.9444444444444447E-4</v>
      </c>
    </row>
    <row r="20" spans="1:15" ht="54" customHeight="1" thickTop="1" thickBot="1">
      <c r="A20" s="72"/>
      <c r="B20" s="73" t="s">
        <v>11</v>
      </c>
      <c r="C20" s="74" t="s">
        <v>108</v>
      </c>
      <c r="D20" s="74" t="s">
        <v>109</v>
      </c>
      <c r="E20" s="75" t="s">
        <v>12</v>
      </c>
      <c r="F20" s="75" t="s">
        <v>22</v>
      </c>
      <c r="G20" s="91" t="s">
        <v>55</v>
      </c>
      <c r="H20" s="92" t="s">
        <v>55</v>
      </c>
      <c r="I20" s="96" t="s">
        <v>56</v>
      </c>
      <c r="J20" s="96" t="s">
        <v>57</v>
      </c>
      <c r="K20" s="96">
        <v>0</v>
      </c>
      <c r="L20" s="96">
        <v>0</v>
      </c>
      <c r="M20" s="96" t="s">
        <v>59</v>
      </c>
      <c r="N20" s="74">
        <v>2</v>
      </c>
      <c r="O20" s="77">
        <v>5.2083333333333333E-4</v>
      </c>
    </row>
    <row r="21" spans="1:15" ht="54" customHeight="1" thickTop="1" thickBot="1">
      <c r="A21" s="72"/>
      <c r="B21" s="73" t="s">
        <v>11</v>
      </c>
      <c r="C21" s="74" t="s">
        <v>110</v>
      </c>
      <c r="D21" s="74" t="s">
        <v>111</v>
      </c>
      <c r="E21" s="75" t="s">
        <v>12</v>
      </c>
      <c r="F21" s="75" t="s">
        <v>22</v>
      </c>
      <c r="G21" s="91" t="s">
        <v>55</v>
      </c>
      <c r="H21" s="92" t="s">
        <v>55</v>
      </c>
      <c r="I21" s="96" t="s">
        <v>85</v>
      </c>
      <c r="J21" s="96" t="s">
        <v>57</v>
      </c>
      <c r="K21" s="96">
        <v>0</v>
      </c>
      <c r="L21" s="96" t="s">
        <v>112</v>
      </c>
      <c r="M21" s="96" t="s">
        <v>104</v>
      </c>
      <c r="N21" s="74">
        <v>2</v>
      </c>
      <c r="O21" s="77">
        <v>45.000520833333333</v>
      </c>
    </row>
    <row r="22" spans="1:15" ht="54" customHeight="1" thickTop="1" thickBot="1">
      <c r="A22" s="72"/>
      <c r="B22" s="73" t="s">
        <v>11</v>
      </c>
      <c r="C22" s="74" t="s">
        <v>113</v>
      </c>
      <c r="D22" s="74" t="s">
        <v>114</v>
      </c>
      <c r="E22" s="75" t="s">
        <v>12</v>
      </c>
      <c r="F22" s="75" t="s">
        <v>22</v>
      </c>
      <c r="G22" s="91" t="s">
        <v>55</v>
      </c>
      <c r="H22" s="92" t="s">
        <v>55</v>
      </c>
      <c r="I22" s="96" t="s">
        <v>85</v>
      </c>
      <c r="J22" s="96" t="s">
        <v>57</v>
      </c>
      <c r="K22" s="96">
        <v>0</v>
      </c>
      <c r="L22" s="96" t="s">
        <v>115</v>
      </c>
      <c r="M22" s="96" t="s">
        <v>104</v>
      </c>
      <c r="N22" s="74">
        <v>2</v>
      </c>
      <c r="O22" s="77">
        <v>45.042187499999997</v>
      </c>
    </row>
    <row r="23" spans="1:15" ht="54" customHeight="1" thickTop="1" thickBot="1">
      <c r="A23" s="72"/>
      <c r="B23" s="73" t="s">
        <v>11</v>
      </c>
      <c r="C23" s="74" t="s">
        <v>116</v>
      </c>
      <c r="D23" s="74" t="s">
        <v>117</v>
      </c>
      <c r="E23" s="75" t="s">
        <v>12</v>
      </c>
      <c r="F23" s="75" t="s">
        <v>22</v>
      </c>
      <c r="G23" s="75" t="s">
        <v>118</v>
      </c>
      <c r="H23" s="76" t="s">
        <v>55</v>
      </c>
      <c r="I23" s="96" t="s">
        <v>85</v>
      </c>
      <c r="J23" s="96" t="s">
        <v>57</v>
      </c>
      <c r="K23" s="96">
        <v>0</v>
      </c>
      <c r="L23" s="96" t="s">
        <v>119</v>
      </c>
      <c r="M23" s="96" t="s">
        <v>120</v>
      </c>
      <c r="N23" s="74">
        <v>1</v>
      </c>
      <c r="O23" s="77">
        <v>5.2083333333333333E-4</v>
      </c>
    </row>
    <row r="24" spans="1:15" ht="54" customHeight="1" thickTop="1" thickBot="1">
      <c r="A24" s="72"/>
      <c r="B24" s="73" t="s">
        <v>11</v>
      </c>
      <c r="C24" s="74" t="s">
        <v>121</v>
      </c>
      <c r="D24" s="74" t="s">
        <v>122</v>
      </c>
      <c r="E24" s="75" t="s">
        <v>12</v>
      </c>
      <c r="F24" s="75" t="s">
        <v>22</v>
      </c>
      <c r="G24" s="75" t="s">
        <v>118</v>
      </c>
      <c r="H24" s="76" t="s">
        <v>55</v>
      </c>
      <c r="I24" s="96" t="s">
        <v>85</v>
      </c>
      <c r="J24" s="96" t="s">
        <v>57</v>
      </c>
      <c r="K24" s="96">
        <v>0</v>
      </c>
      <c r="L24" s="96" t="s">
        <v>123</v>
      </c>
      <c r="M24" s="96" t="s">
        <v>120</v>
      </c>
      <c r="N24" s="74">
        <v>2</v>
      </c>
      <c r="O24" s="77">
        <v>6.9444444444444447E-4</v>
      </c>
    </row>
    <row r="25" spans="1:15" ht="54" customHeight="1" thickTop="1" thickBot="1">
      <c r="A25" s="72"/>
      <c r="B25" s="78" t="s">
        <v>11</v>
      </c>
      <c r="C25" s="79" t="s">
        <v>124</v>
      </c>
      <c r="D25" s="79" t="s">
        <v>125</v>
      </c>
      <c r="E25" s="80" t="s">
        <v>12</v>
      </c>
      <c r="F25" s="80" t="s">
        <v>22</v>
      </c>
      <c r="G25" s="80" t="s">
        <v>126</v>
      </c>
      <c r="H25" s="81" t="s">
        <v>55</v>
      </c>
      <c r="I25" s="96" t="s">
        <v>85</v>
      </c>
      <c r="J25" s="96" t="s">
        <v>57</v>
      </c>
      <c r="K25" s="96">
        <v>0</v>
      </c>
      <c r="L25" s="96">
        <v>0</v>
      </c>
      <c r="M25" s="96" t="s">
        <v>104</v>
      </c>
      <c r="N25" s="79"/>
      <c r="O25" s="83"/>
    </row>
    <row r="26" spans="1:15" ht="54" customHeight="1" thickTop="1" thickBot="1">
      <c r="A26" s="72"/>
      <c r="B26" s="94" t="s">
        <v>14</v>
      </c>
      <c r="C26" s="95" t="s">
        <v>127</v>
      </c>
      <c r="D26" s="95" t="s">
        <v>128</v>
      </c>
      <c r="E26" s="96" t="s">
        <v>12</v>
      </c>
      <c r="F26" s="96" t="s">
        <v>22</v>
      </c>
      <c r="G26" s="96" t="s">
        <v>129</v>
      </c>
      <c r="H26" s="100">
        <v>45697</v>
      </c>
      <c r="I26" s="96" t="s">
        <v>130</v>
      </c>
      <c r="J26" s="96" t="s">
        <v>131</v>
      </c>
      <c r="K26" s="96">
        <v>0</v>
      </c>
      <c r="L26" s="96" t="s">
        <v>132</v>
      </c>
      <c r="M26" s="96" t="s">
        <v>104</v>
      </c>
      <c r="N26" s="95">
        <v>4</v>
      </c>
      <c r="O26" s="98">
        <v>1.736111111111111E-3</v>
      </c>
    </row>
    <row r="27" spans="1:15" ht="54" customHeight="1" thickTop="1" thickBot="1">
      <c r="A27" s="72"/>
      <c r="B27" s="73" t="s">
        <v>14</v>
      </c>
      <c r="C27" s="74" t="s">
        <v>133</v>
      </c>
      <c r="D27" s="74" t="s">
        <v>134</v>
      </c>
      <c r="E27" s="75" t="s">
        <v>12</v>
      </c>
      <c r="F27" s="75" t="s">
        <v>22</v>
      </c>
      <c r="G27" s="75" t="s">
        <v>129</v>
      </c>
      <c r="H27" s="76">
        <v>45712</v>
      </c>
      <c r="I27" s="96" t="s">
        <v>130</v>
      </c>
      <c r="J27" s="96" t="s">
        <v>131</v>
      </c>
      <c r="K27" s="96">
        <v>0</v>
      </c>
      <c r="L27" s="96" t="s">
        <v>132</v>
      </c>
      <c r="M27" s="96" t="s">
        <v>104</v>
      </c>
      <c r="N27" s="74">
        <v>4</v>
      </c>
      <c r="O27" s="77">
        <v>1.736111111111111E-3</v>
      </c>
    </row>
    <row r="28" spans="1:15" ht="54" customHeight="1" thickTop="1" thickBot="1">
      <c r="A28" s="72"/>
      <c r="B28" s="73" t="s">
        <v>14</v>
      </c>
      <c r="C28" s="74" t="s">
        <v>135</v>
      </c>
      <c r="D28" s="74" t="s">
        <v>136</v>
      </c>
      <c r="E28" s="75" t="s">
        <v>12</v>
      </c>
      <c r="F28" s="75" t="s">
        <v>22</v>
      </c>
      <c r="G28" s="75" t="s">
        <v>129</v>
      </c>
      <c r="H28" s="76">
        <v>45697</v>
      </c>
      <c r="I28" s="96" t="s">
        <v>130</v>
      </c>
      <c r="J28" s="96" t="s">
        <v>131</v>
      </c>
      <c r="K28" s="96">
        <v>0</v>
      </c>
      <c r="L28" s="96" t="s">
        <v>132</v>
      </c>
      <c r="M28" s="96" t="s">
        <v>104</v>
      </c>
      <c r="N28" s="74">
        <v>4</v>
      </c>
      <c r="O28" s="77">
        <v>1.736111111111111E-3</v>
      </c>
    </row>
    <row r="29" spans="1:15" ht="54" customHeight="1" thickTop="1" thickBot="1">
      <c r="A29" s="72"/>
      <c r="B29" s="73" t="s">
        <v>14</v>
      </c>
      <c r="C29" s="74" t="s">
        <v>137</v>
      </c>
      <c r="D29" s="74" t="s">
        <v>138</v>
      </c>
      <c r="E29" s="75" t="s">
        <v>12</v>
      </c>
      <c r="F29" s="75" t="s">
        <v>22</v>
      </c>
      <c r="G29" s="75" t="s">
        <v>129</v>
      </c>
      <c r="H29" s="76">
        <v>45712</v>
      </c>
      <c r="I29" s="96" t="s">
        <v>130</v>
      </c>
      <c r="J29" s="96" t="s">
        <v>131</v>
      </c>
      <c r="K29" s="96">
        <v>0</v>
      </c>
      <c r="L29" s="96" t="s">
        <v>132</v>
      </c>
      <c r="M29" s="96" t="s">
        <v>104</v>
      </c>
      <c r="N29" s="74">
        <v>4</v>
      </c>
      <c r="O29" s="77">
        <v>1.736111111111111E-3</v>
      </c>
    </row>
    <row r="30" spans="1:15" ht="54" customHeight="1" thickTop="1" thickBot="1">
      <c r="A30" s="72"/>
      <c r="B30" s="73" t="s">
        <v>14</v>
      </c>
      <c r="C30" s="74" t="s">
        <v>139</v>
      </c>
      <c r="D30" s="74" t="s">
        <v>140</v>
      </c>
      <c r="E30" s="75" t="s">
        <v>12</v>
      </c>
      <c r="F30" s="75" t="s">
        <v>22</v>
      </c>
      <c r="G30" s="75" t="s">
        <v>141</v>
      </c>
      <c r="H30" s="76">
        <v>45701</v>
      </c>
      <c r="I30" s="96" t="s">
        <v>130</v>
      </c>
      <c r="J30" s="96" t="s">
        <v>57</v>
      </c>
      <c r="K30" s="96">
        <v>0</v>
      </c>
      <c r="L30" s="96" t="s">
        <v>142</v>
      </c>
      <c r="M30" s="96" t="s">
        <v>143</v>
      </c>
      <c r="N30" s="74">
        <v>2</v>
      </c>
      <c r="O30" s="77">
        <v>5.2083333333333333E-4</v>
      </c>
    </row>
    <row r="31" spans="1:15" ht="54" customHeight="1" thickTop="1" thickBot="1">
      <c r="A31" s="72"/>
      <c r="B31" s="73" t="s">
        <v>14</v>
      </c>
      <c r="C31" s="74" t="s">
        <v>144</v>
      </c>
      <c r="D31" s="74" t="s">
        <v>140</v>
      </c>
      <c r="E31" s="75" t="s">
        <v>12</v>
      </c>
      <c r="F31" s="75" t="s">
        <v>22</v>
      </c>
      <c r="G31" s="75" t="s">
        <v>141</v>
      </c>
      <c r="H31" s="76">
        <v>45701</v>
      </c>
      <c r="I31" s="96" t="s">
        <v>130</v>
      </c>
      <c r="J31" s="96" t="s">
        <v>57</v>
      </c>
      <c r="K31" s="96">
        <v>0</v>
      </c>
      <c r="L31" s="96" t="s">
        <v>142</v>
      </c>
      <c r="M31" s="96" t="s">
        <v>143</v>
      </c>
      <c r="N31" s="74">
        <v>2</v>
      </c>
      <c r="O31" s="77">
        <v>5.2083333333333333E-4</v>
      </c>
    </row>
    <row r="32" spans="1:15" ht="54" customHeight="1" thickTop="1" thickBot="1">
      <c r="A32" s="72"/>
      <c r="B32" s="73" t="s">
        <v>14</v>
      </c>
      <c r="C32" s="74" t="s">
        <v>145</v>
      </c>
      <c r="D32" s="74" t="s">
        <v>146</v>
      </c>
      <c r="E32" s="75" t="s">
        <v>12</v>
      </c>
      <c r="F32" s="75" t="s">
        <v>22</v>
      </c>
      <c r="G32" s="75" t="s">
        <v>147</v>
      </c>
      <c r="H32" s="76">
        <v>45697</v>
      </c>
      <c r="I32" s="96" t="s">
        <v>130</v>
      </c>
      <c r="J32" s="96" t="s">
        <v>57</v>
      </c>
      <c r="K32" s="96">
        <v>0</v>
      </c>
      <c r="L32" s="96" t="s">
        <v>148</v>
      </c>
      <c r="M32" s="96" t="s">
        <v>143</v>
      </c>
      <c r="N32" s="74">
        <v>1</v>
      </c>
      <c r="O32" s="77">
        <v>2.3148148148148146E-4</v>
      </c>
    </row>
    <row r="33" spans="1:15" ht="54" customHeight="1" thickTop="1" thickBot="1">
      <c r="A33" s="72"/>
      <c r="B33" s="73" t="s">
        <v>14</v>
      </c>
      <c r="C33" s="74" t="s">
        <v>149</v>
      </c>
      <c r="D33" s="74" t="s">
        <v>150</v>
      </c>
      <c r="E33" s="75" t="s">
        <v>12</v>
      </c>
      <c r="F33" s="75" t="s">
        <v>22</v>
      </c>
      <c r="G33" s="75" t="s">
        <v>151</v>
      </c>
      <c r="H33" s="76">
        <v>45697</v>
      </c>
      <c r="I33" s="96" t="s">
        <v>130</v>
      </c>
      <c r="J33" s="96" t="s">
        <v>57</v>
      </c>
      <c r="K33" s="96">
        <v>0</v>
      </c>
      <c r="L33" s="96" t="s">
        <v>152</v>
      </c>
      <c r="M33" s="96" t="s">
        <v>143</v>
      </c>
      <c r="N33" s="74">
        <v>2</v>
      </c>
      <c r="O33" s="77">
        <v>2.3148148148148146E-4</v>
      </c>
    </row>
    <row r="34" spans="1:15" ht="54" customHeight="1" thickTop="1" thickBot="1">
      <c r="A34" s="89"/>
      <c r="B34" s="127" t="s">
        <v>14</v>
      </c>
      <c r="C34" s="93" t="s">
        <v>153</v>
      </c>
      <c r="D34" s="93" t="s">
        <v>154</v>
      </c>
      <c r="E34" s="128" t="s">
        <v>22</v>
      </c>
      <c r="F34" s="128" t="s">
        <v>12</v>
      </c>
      <c r="G34" s="128" t="s">
        <v>155</v>
      </c>
      <c r="H34" s="129">
        <v>45698</v>
      </c>
      <c r="I34" s="96" t="s">
        <v>130</v>
      </c>
      <c r="J34" s="96" t="s">
        <v>57</v>
      </c>
      <c r="K34" s="96">
        <v>0</v>
      </c>
      <c r="L34" s="96" t="s">
        <v>156</v>
      </c>
      <c r="M34" s="96" t="s">
        <v>143</v>
      </c>
      <c r="N34" s="93">
        <v>2</v>
      </c>
      <c r="O34" s="101">
        <v>3.4722222222222224E-4</v>
      </c>
    </row>
    <row r="35" spans="1:15" ht="54" customHeight="1" thickTop="1" thickBot="1">
      <c r="A35" s="72"/>
      <c r="B35" s="73" t="s">
        <v>14</v>
      </c>
      <c r="C35" s="74" t="s">
        <v>157</v>
      </c>
      <c r="D35" s="74" t="s">
        <v>158</v>
      </c>
      <c r="E35" s="75" t="s">
        <v>12</v>
      </c>
      <c r="F35" s="75" t="s">
        <v>22</v>
      </c>
      <c r="G35" s="75" t="s">
        <v>129</v>
      </c>
      <c r="H35" s="76">
        <v>45712</v>
      </c>
      <c r="I35" s="96" t="s">
        <v>56</v>
      </c>
      <c r="J35" s="96" t="s">
        <v>131</v>
      </c>
      <c r="K35" s="96">
        <v>0</v>
      </c>
      <c r="L35" s="96" t="s">
        <v>159</v>
      </c>
      <c r="M35" s="96" t="s">
        <v>160</v>
      </c>
      <c r="N35" s="74">
        <v>2</v>
      </c>
      <c r="O35" s="77">
        <v>4.6296296296296293E-4</v>
      </c>
    </row>
    <row r="36" spans="1:15" ht="54" customHeight="1" thickTop="1" thickBot="1">
      <c r="A36" s="72"/>
      <c r="B36" s="73" t="s">
        <v>14</v>
      </c>
      <c r="C36" s="74" t="s">
        <v>161</v>
      </c>
      <c r="D36" s="74" t="s">
        <v>162</v>
      </c>
      <c r="E36" s="75" t="s">
        <v>12</v>
      </c>
      <c r="F36" s="75" t="s">
        <v>22</v>
      </c>
      <c r="G36" s="75" t="s">
        <v>129</v>
      </c>
      <c r="H36" s="76">
        <v>45712</v>
      </c>
      <c r="I36" s="96" t="s">
        <v>56</v>
      </c>
      <c r="J36" s="96" t="s">
        <v>131</v>
      </c>
      <c r="K36" s="96">
        <v>0</v>
      </c>
      <c r="L36" s="96" t="s">
        <v>159</v>
      </c>
      <c r="M36" s="96" t="s">
        <v>160</v>
      </c>
      <c r="N36" s="74">
        <v>2</v>
      </c>
      <c r="O36" s="77">
        <v>4.6296296296296293E-4</v>
      </c>
    </row>
    <row r="37" spans="1:15" ht="54" customHeight="1" thickTop="1" thickBot="1">
      <c r="A37" s="72"/>
      <c r="B37" s="73" t="s">
        <v>14</v>
      </c>
      <c r="C37" s="74" t="s">
        <v>163</v>
      </c>
      <c r="D37" s="74" t="s">
        <v>164</v>
      </c>
      <c r="E37" s="75" t="s">
        <v>12</v>
      </c>
      <c r="F37" s="75" t="s">
        <v>22</v>
      </c>
      <c r="G37" s="75" t="s">
        <v>129</v>
      </c>
      <c r="H37" s="76">
        <v>45712</v>
      </c>
      <c r="I37" s="96" t="s">
        <v>56</v>
      </c>
      <c r="J37" s="96" t="s">
        <v>131</v>
      </c>
      <c r="K37" s="96">
        <v>0</v>
      </c>
      <c r="L37" s="96" t="s">
        <v>165</v>
      </c>
      <c r="M37" s="96" t="s">
        <v>160</v>
      </c>
      <c r="N37" s="74">
        <v>1</v>
      </c>
      <c r="O37" s="77">
        <v>4.6296296296296293E-4</v>
      </c>
    </row>
    <row r="38" spans="1:15" ht="54" customHeight="1" thickTop="1" thickBot="1">
      <c r="A38" s="72"/>
      <c r="B38" s="73" t="s">
        <v>14</v>
      </c>
      <c r="C38" s="74" t="s">
        <v>166</v>
      </c>
      <c r="D38" s="74" t="s">
        <v>167</v>
      </c>
      <c r="E38" s="75" t="s">
        <v>12</v>
      </c>
      <c r="F38" s="75" t="s">
        <v>22</v>
      </c>
      <c r="G38" s="75" t="s">
        <v>129</v>
      </c>
      <c r="H38" s="76">
        <v>45712</v>
      </c>
      <c r="I38" s="96" t="s">
        <v>56</v>
      </c>
      <c r="J38" s="96" t="s">
        <v>131</v>
      </c>
      <c r="K38" s="96">
        <v>0</v>
      </c>
      <c r="L38" s="96" t="s">
        <v>165</v>
      </c>
      <c r="M38" s="96" t="s">
        <v>160</v>
      </c>
      <c r="N38" s="74">
        <v>1</v>
      </c>
      <c r="O38" s="77">
        <v>4.6296296296296293E-4</v>
      </c>
    </row>
    <row r="39" spans="1:15" ht="54" customHeight="1" thickTop="1" thickBot="1">
      <c r="A39" s="72"/>
      <c r="B39" s="73" t="s">
        <v>14</v>
      </c>
      <c r="C39" s="74" t="s">
        <v>168</v>
      </c>
      <c r="D39" s="74" t="s">
        <v>169</v>
      </c>
      <c r="E39" s="75" t="s">
        <v>12</v>
      </c>
      <c r="F39" s="75" t="s">
        <v>22</v>
      </c>
      <c r="G39" s="75" t="s">
        <v>129</v>
      </c>
      <c r="H39" s="76">
        <v>45712</v>
      </c>
      <c r="I39" s="96" t="s">
        <v>56</v>
      </c>
      <c r="J39" s="96" t="s">
        <v>131</v>
      </c>
      <c r="K39" s="96">
        <v>0</v>
      </c>
      <c r="L39" s="96" t="s">
        <v>165</v>
      </c>
      <c r="M39" s="96" t="s">
        <v>160</v>
      </c>
      <c r="N39" s="74">
        <v>1</v>
      </c>
      <c r="O39" s="77">
        <v>4.6296296296296293E-4</v>
      </c>
    </row>
    <row r="40" spans="1:15" ht="54" customHeight="1" thickTop="1" thickBot="1">
      <c r="A40" s="72"/>
      <c r="B40" s="73" t="s">
        <v>14</v>
      </c>
      <c r="C40" s="74" t="s">
        <v>170</v>
      </c>
      <c r="D40" s="74" t="s">
        <v>158</v>
      </c>
      <c r="E40" s="75" t="s">
        <v>12</v>
      </c>
      <c r="F40" s="75" t="s">
        <v>22</v>
      </c>
      <c r="G40" s="75" t="s">
        <v>129</v>
      </c>
      <c r="H40" s="76">
        <v>45712</v>
      </c>
      <c r="I40" s="96" t="s">
        <v>56</v>
      </c>
      <c r="J40" s="96" t="s">
        <v>131</v>
      </c>
      <c r="K40" s="96">
        <v>0</v>
      </c>
      <c r="L40" s="96" t="s">
        <v>159</v>
      </c>
      <c r="M40" s="96" t="s">
        <v>160</v>
      </c>
      <c r="N40" s="74">
        <v>2</v>
      </c>
      <c r="O40" s="77">
        <v>4.6296296296296293E-4</v>
      </c>
    </row>
    <row r="41" spans="1:15" ht="54" customHeight="1" thickTop="1" thickBot="1">
      <c r="A41" s="72"/>
      <c r="B41" s="73" t="s">
        <v>14</v>
      </c>
      <c r="C41" s="74" t="s">
        <v>171</v>
      </c>
      <c r="D41" s="74" t="s">
        <v>162</v>
      </c>
      <c r="E41" s="75" t="s">
        <v>12</v>
      </c>
      <c r="F41" s="75" t="s">
        <v>22</v>
      </c>
      <c r="G41" s="75" t="s">
        <v>129</v>
      </c>
      <c r="H41" s="76">
        <v>45712</v>
      </c>
      <c r="I41" s="96" t="s">
        <v>56</v>
      </c>
      <c r="J41" s="96" t="s">
        <v>131</v>
      </c>
      <c r="K41" s="96">
        <v>0</v>
      </c>
      <c r="L41" s="96" t="s">
        <v>159</v>
      </c>
      <c r="M41" s="96" t="s">
        <v>160</v>
      </c>
      <c r="N41" s="74">
        <v>2</v>
      </c>
      <c r="O41" s="77">
        <v>4.6296296296296293E-4</v>
      </c>
    </row>
    <row r="42" spans="1:15" ht="54" customHeight="1" thickTop="1" thickBot="1">
      <c r="A42" s="72"/>
      <c r="B42" s="73" t="s">
        <v>14</v>
      </c>
      <c r="C42" s="74" t="s">
        <v>172</v>
      </c>
      <c r="D42" s="74" t="s">
        <v>173</v>
      </c>
      <c r="E42" s="75" t="s">
        <v>12</v>
      </c>
      <c r="F42" s="75" t="s">
        <v>22</v>
      </c>
      <c r="G42" s="75" t="s">
        <v>174</v>
      </c>
      <c r="H42" s="76">
        <v>45708</v>
      </c>
      <c r="I42" s="96" t="s">
        <v>85</v>
      </c>
      <c r="J42" s="96" t="s">
        <v>57</v>
      </c>
      <c r="K42" s="96">
        <v>0</v>
      </c>
      <c r="L42" s="96" t="s">
        <v>175</v>
      </c>
      <c r="M42" s="96" t="s">
        <v>104</v>
      </c>
      <c r="N42" s="74">
        <v>1</v>
      </c>
      <c r="O42" s="77">
        <v>6.9444444444444447E-4</v>
      </c>
    </row>
    <row r="43" spans="1:15" ht="54" customHeight="1" thickTop="1" thickBot="1">
      <c r="B43" s="114" t="s">
        <v>14</v>
      </c>
      <c r="C43" s="115" t="s">
        <v>176</v>
      </c>
      <c r="D43" s="115" t="s">
        <v>177</v>
      </c>
      <c r="E43" s="116" t="s">
        <v>22</v>
      </c>
      <c r="F43" s="116"/>
      <c r="G43" s="116"/>
      <c r="H43" s="119"/>
      <c r="I43" s="96" t="s">
        <v>56</v>
      </c>
      <c r="J43" s="96" t="s">
        <v>57</v>
      </c>
      <c r="K43" s="96">
        <v>0</v>
      </c>
      <c r="L43" s="96" t="s">
        <v>178</v>
      </c>
      <c r="M43" s="96" t="s">
        <v>143</v>
      </c>
      <c r="N43" s="115">
        <v>2</v>
      </c>
      <c r="O43" s="117">
        <v>6.9444444444444447E-4</v>
      </c>
    </row>
    <row r="44" spans="1:15" ht="54" customHeight="1">
      <c r="B44" s="104" t="s">
        <v>17</v>
      </c>
      <c r="C44" s="105" t="s">
        <v>179</v>
      </c>
      <c r="D44" s="105" t="s">
        <v>180</v>
      </c>
      <c r="E44" s="106" t="s">
        <v>12</v>
      </c>
      <c r="F44" s="106" t="s">
        <v>22</v>
      </c>
      <c r="G44" s="106" t="s">
        <v>181</v>
      </c>
      <c r="H44" s="118">
        <v>45961</v>
      </c>
      <c r="I44" s="96" t="s">
        <v>130</v>
      </c>
      <c r="J44" s="96" t="s">
        <v>57</v>
      </c>
      <c r="K44" s="96">
        <v>0</v>
      </c>
      <c r="L44" s="96" t="s">
        <v>182</v>
      </c>
      <c r="M44" s="96" t="s">
        <v>183</v>
      </c>
      <c r="N44" s="105">
        <v>2</v>
      </c>
      <c r="O44" s="108">
        <v>1.0416666666666667E-3</v>
      </c>
    </row>
    <row r="45" spans="1:15" ht="54" customHeight="1" thickTop="1" thickBot="1">
      <c r="A45" s="72"/>
      <c r="B45" s="73" t="s">
        <v>17</v>
      </c>
      <c r="C45" s="74" t="s">
        <v>184</v>
      </c>
      <c r="D45" s="74" t="s">
        <v>185</v>
      </c>
      <c r="E45" s="75" t="s">
        <v>12</v>
      </c>
      <c r="F45" s="75" t="s">
        <v>22</v>
      </c>
      <c r="G45" s="75" t="s">
        <v>186</v>
      </c>
      <c r="H45" s="76">
        <v>45702</v>
      </c>
      <c r="I45" s="96" t="s">
        <v>130</v>
      </c>
      <c r="J45" s="96" t="s">
        <v>57</v>
      </c>
      <c r="K45" s="96">
        <v>0</v>
      </c>
      <c r="L45" s="96" t="s">
        <v>187</v>
      </c>
      <c r="M45" s="96" t="s">
        <v>143</v>
      </c>
      <c r="N45" s="74">
        <v>2</v>
      </c>
      <c r="O45" s="77">
        <v>1.5624999999999999E-3</v>
      </c>
    </row>
    <row r="46" spans="1:15" ht="54" customHeight="1" thickTop="1" thickBot="1">
      <c r="A46" s="72"/>
      <c r="B46" s="73" t="s">
        <v>17</v>
      </c>
      <c r="C46" s="74" t="s">
        <v>188</v>
      </c>
      <c r="D46" s="74" t="s">
        <v>189</v>
      </c>
      <c r="E46" s="75" t="s">
        <v>12</v>
      </c>
      <c r="F46" s="75" t="s">
        <v>22</v>
      </c>
      <c r="G46" s="75" t="s">
        <v>147</v>
      </c>
      <c r="H46" s="76">
        <v>45697</v>
      </c>
      <c r="I46" s="96" t="s">
        <v>130</v>
      </c>
      <c r="J46" s="96" t="s">
        <v>57</v>
      </c>
      <c r="K46" s="96">
        <v>0</v>
      </c>
      <c r="L46" s="96" t="s">
        <v>190</v>
      </c>
      <c r="M46" s="96" t="s">
        <v>143</v>
      </c>
      <c r="N46" s="74">
        <v>2</v>
      </c>
      <c r="O46" s="77">
        <v>6.9444444444444447E-4</v>
      </c>
    </row>
    <row r="47" spans="1:15" ht="54" customHeight="1" thickTop="1" thickBot="1">
      <c r="A47" s="72"/>
      <c r="B47" s="73" t="s">
        <v>17</v>
      </c>
      <c r="C47" s="74" t="s">
        <v>191</v>
      </c>
      <c r="D47" s="74" t="s">
        <v>192</v>
      </c>
      <c r="E47" s="75" t="s">
        <v>12</v>
      </c>
      <c r="F47" s="75" t="s">
        <v>22</v>
      </c>
      <c r="G47" s="75" t="s">
        <v>147</v>
      </c>
      <c r="H47" s="76">
        <v>45697</v>
      </c>
      <c r="I47" s="96" t="s">
        <v>130</v>
      </c>
      <c r="J47" s="96" t="s">
        <v>57</v>
      </c>
      <c r="K47" s="96">
        <v>0</v>
      </c>
      <c r="L47" s="96" t="s">
        <v>193</v>
      </c>
      <c r="M47" s="96" t="s">
        <v>143</v>
      </c>
      <c r="N47" s="74">
        <v>2</v>
      </c>
      <c r="O47" s="77">
        <v>6.9444444444444447E-4</v>
      </c>
    </row>
    <row r="48" spans="1:15" ht="54" customHeight="1" thickTop="1" thickBot="1">
      <c r="A48" s="72"/>
      <c r="B48" s="73" t="s">
        <v>17</v>
      </c>
      <c r="C48" s="74" t="s">
        <v>194</v>
      </c>
      <c r="D48" s="74" t="s">
        <v>195</v>
      </c>
      <c r="E48" s="75" t="s">
        <v>12</v>
      </c>
      <c r="F48" s="75" t="s">
        <v>22</v>
      </c>
      <c r="G48" s="75" t="s">
        <v>186</v>
      </c>
      <c r="H48" s="76">
        <v>45702</v>
      </c>
      <c r="I48" s="96" t="s">
        <v>130</v>
      </c>
      <c r="J48" s="96" t="s">
        <v>131</v>
      </c>
      <c r="K48" s="96">
        <v>0</v>
      </c>
      <c r="L48" s="96" t="s">
        <v>196</v>
      </c>
      <c r="M48" s="96" t="s">
        <v>143</v>
      </c>
      <c r="N48" s="74">
        <v>2</v>
      </c>
      <c r="O48" s="77">
        <v>5.2083333333333333E-4</v>
      </c>
    </row>
    <row r="49" spans="1:15" ht="54" customHeight="1" thickTop="1" thickBot="1">
      <c r="A49" s="72"/>
      <c r="B49" s="73" t="s">
        <v>17</v>
      </c>
      <c r="C49" s="74" t="s">
        <v>197</v>
      </c>
      <c r="D49" s="74" t="s">
        <v>198</v>
      </c>
      <c r="E49" s="75" t="s">
        <v>12</v>
      </c>
      <c r="F49" s="75" t="s">
        <v>22</v>
      </c>
      <c r="G49" s="75" t="s">
        <v>199</v>
      </c>
      <c r="H49" s="76">
        <v>45698</v>
      </c>
      <c r="I49" s="96" t="s">
        <v>130</v>
      </c>
      <c r="J49" s="96" t="s">
        <v>57</v>
      </c>
      <c r="K49" s="96">
        <v>0</v>
      </c>
      <c r="L49" s="96" t="s">
        <v>200</v>
      </c>
      <c r="M49" s="96" t="s">
        <v>201</v>
      </c>
      <c r="N49" s="74">
        <v>2</v>
      </c>
      <c r="O49" s="77">
        <v>6.9444444444444447E-4</v>
      </c>
    </row>
    <row r="50" spans="1:15" ht="54" customHeight="1" thickTop="1" thickBot="1">
      <c r="A50" s="72"/>
      <c r="B50" s="73" t="s">
        <v>17</v>
      </c>
      <c r="C50" s="74" t="s">
        <v>202</v>
      </c>
      <c r="D50" s="74" t="s">
        <v>203</v>
      </c>
      <c r="E50" s="75" t="s">
        <v>12</v>
      </c>
      <c r="F50" s="75" t="s">
        <v>22</v>
      </c>
      <c r="G50" s="75" t="s">
        <v>204</v>
      </c>
      <c r="H50" s="76">
        <v>45699</v>
      </c>
      <c r="I50" s="96" t="s">
        <v>130</v>
      </c>
      <c r="J50" s="96" t="s">
        <v>131</v>
      </c>
      <c r="K50" s="96">
        <v>0</v>
      </c>
      <c r="L50" s="96" t="s">
        <v>205</v>
      </c>
      <c r="M50" s="96" t="s">
        <v>201</v>
      </c>
      <c r="N50" s="74">
        <v>1</v>
      </c>
      <c r="O50" s="77">
        <v>3.4722222222222224E-4</v>
      </c>
    </row>
    <row r="51" spans="1:15" ht="54" customHeight="1" thickTop="1" thickBot="1">
      <c r="A51" s="72"/>
      <c r="B51" s="73" t="s">
        <v>17</v>
      </c>
      <c r="C51" s="74" t="s">
        <v>206</v>
      </c>
      <c r="D51" s="74" t="s">
        <v>203</v>
      </c>
      <c r="E51" s="75" t="s">
        <v>12</v>
      </c>
      <c r="F51" s="75" t="s">
        <v>22</v>
      </c>
      <c r="G51" s="75" t="s">
        <v>204</v>
      </c>
      <c r="H51" s="76">
        <v>45699</v>
      </c>
      <c r="I51" s="96" t="s">
        <v>130</v>
      </c>
      <c r="J51" s="96" t="s">
        <v>131</v>
      </c>
      <c r="K51" s="96">
        <v>0</v>
      </c>
      <c r="L51" s="96" t="s">
        <v>205</v>
      </c>
      <c r="M51" s="96" t="s">
        <v>201</v>
      </c>
      <c r="N51" s="74">
        <v>1</v>
      </c>
      <c r="O51" s="77">
        <v>3.4722222222222224E-4</v>
      </c>
    </row>
    <row r="52" spans="1:15" ht="54" customHeight="1" thickTop="1" thickBot="1">
      <c r="A52" s="72"/>
      <c r="B52" s="73" t="s">
        <v>17</v>
      </c>
      <c r="C52" s="74" t="s">
        <v>207</v>
      </c>
      <c r="D52" s="74" t="s">
        <v>208</v>
      </c>
      <c r="E52" s="75" t="s">
        <v>12</v>
      </c>
      <c r="F52" s="75" t="s">
        <v>22</v>
      </c>
      <c r="G52" s="75" t="s">
        <v>209</v>
      </c>
      <c r="H52" s="76">
        <v>45699</v>
      </c>
      <c r="I52" s="96" t="s">
        <v>85</v>
      </c>
      <c r="J52" s="96" t="s">
        <v>131</v>
      </c>
      <c r="K52" s="96">
        <v>0</v>
      </c>
      <c r="L52" s="96" t="s">
        <v>210</v>
      </c>
      <c r="M52" s="96" t="s">
        <v>211</v>
      </c>
      <c r="N52" s="74">
        <v>1</v>
      </c>
      <c r="O52" s="77">
        <v>3.4722222222222224E-4</v>
      </c>
    </row>
    <row r="53" spans="1:15" ht="54" customHeight="1" thickTop="1" thickBot="1">
      <c r="A53" s="72"/>
      <c r="B53" s="73" t="s">
        <v>17</v>
      </c>
      <c r="C53" s="74" t="s">
        <v>212</v>
      </c>
      <c r="D53" s="74" t="s">
        <v>213</v>
      </c>
      <c r="E53" s="75" t="s">
        <v>12</v>
      </c>
      <c r="F53" s="75" t="s">
        <v>22</v>
      </c>
      <c r="G53" s="75" t="s">
        <v>214</v>
      </c>
      <c r="H53" s="76">
        <v>45699</v>
      </c>
      <c r="I53" s="96" t="s">
        <v>130</v>
      </c>
      <c r="J53" s="96" t="s">
        <v>131</v>
      </c>
      <c r="K53" s="96">
        <v>0</v>
      </c>
      <c r="L53" s="96" t="s">
        <v>215</v>
      </c>
      <c r="M53" s="96" t="s">
        <v>201</v>
      </c>
      <c r="N53" s="74">
        <v>1</v>
      </c>
      <c r="O53" s="77">
        <v>5.7870370370370378E-4</v>
      </c>
    </row>
    <row r="54" spans="1:15" ht="54" customHeight="1" thickTop="1" thickBot="1">
      <c r="A54" s="72"/>
      <c r="B54" s="73" t="s">
        <v>17</v>
      </c>
      <c r="C54" s="74" t="s">
        <v>216</v>
      </c>
      <c r="D54" s="74" t="s">
        <v>217</v>
      </c>
      <c r="E54" s="75" t="s">
        <v>12</v>
      </c>
      <c r="F54" s="75" t="s">
        <v>22</v>
      </c>
      <c r="G54" s="75" t="s">
        <v>218</v>
      </c>
      <c r="H54" s="76">
        <v>45699</v>
      </c>
      <c r="I54" s="96" t="s">
        <v>130</v>
      </c>
      <c r="J54" s="96" t="s">
        <v>131</v>
      </c>
      <c r="K54" s="96">
        <v>0</v>
      </c>
      <c r="L54" s="96" t="s">
        <v>219</v>
      </c>
      <c r="M54" s="96" t="s">
        <v>201</v>
      </c>
      <c r="N54" s="74">
        <v>2</v>
      </c>
      <c r="O54" s="77">
        <v>6.9444444444444447E-4</v>
      </c>
    </row>
    <row r="55" spans="1:15" ht="54" customHeight="1" thickTop="1" thickBot="1">
      <c r="A55" s="72"/>
      <c r="B55" s="73" t="s">
        <v>17</v>
      </c>
      <c r="C55" s="74" t="s">
        <v>220</v>
      </c>
      <c r="D55" s="74" t="s">
        <v>221</v>
      </c>
      <c r="E55" s="75" t="s">
        <v>12</v>
      </c>
      <c r="F55" s="75" t="s">
        <v>22</v>
      </c>
      <c r="G55" s="75" t="s">
        <v>222</v>
      </c>
      <c r="H55" s="76">
        <v>45698</v>
      </c>
      <c r="I55" s="96" t="s">
        <v>56</v>
      </c>
      <c r="J55" s="96" t="s">
        <v>131</v>
      </c>
      <c r="K55" s="96">
        <v>0</v>
      </c>
      <c r="L55" s="96" t="s">
        <v>223</v>
      </c>
      <c r="M55" s="96" t="s">
        <v>201</v>
      </c>
      <c r="N55" s="74">
        <v>1</v>
      </c>
      <c r="O55" s="77">
        <v>3.4722222222222224E-4</v>
      </c>
    </row>
    <row r="56" spans="1:15" ht="54" customHeight="1" thickTop="1" thickBot="1">
      <c r="A56" s="72"/>
      <c r="B56" s="73" t="s">
        <v>17</v>
      </c>
      <c r="C56" s="74" t="s">
        <v>224</v>
      </c>
      <c r="D56" s="74" t="s">
        <v>225</v>
      </c>
      <c r="E56" s="75" t="s">
        <v>12</v>
      </c>
      <c r="F56" s="75" t="s">
        <v>22</v>
      </c>
      <c r="G56" s="75" t="s">
        <v>218</v>
      </c>
      <c r="H56" s="76">
        <v>45697</v>
      </c>
      <c r="I56" s="96" t="s">
        <v>130</v>
      </c>
      <c r="J56" s="96" t="s">
        <v>57</v>
      </c>
      <c r="K56" s="96">
        <v>0</v>
      </c>
      <c r="L56" s="96" t="s">
        <v>215</v>
      </c>
      <c r="M56" s="96" t="s">
        <v>201</v>
      </c>
      <c r="N56" s="74">
        <v>1</v>
      </c>
      <c r="O56" s="77">
        <v>1.0416666666666667E-3</v>
      </c>
    </row>
    <row r="57" spans="1:15" ht="54" customHeight="1" thickTop="1" thickBot="1">
      <c r="A57" s="72"/>
      <c r="B57" s="73" t="s">
        <v>17</v>
      </c>
      <c r="C57" s="74" t="s">
        <v>226</v>
      </c>
      <c r="D57" s="74" t="s">
        <v>227</v>
      </c>
      <c r="E57" s="75" t="s">
        <v>12</v>
      </c>
      <c r="F57" s="75" t="s">
        <v>22</v>
      </c>
      <c r="G57" s="75" t="s">
        <v>228</v>
      </c>
      <c r="H57" s="76">
        <v>45698</v>
      </c>
      <c r="I57" s="96" t="s">
        <v>130</v>
      </c>
      <c r="J57" s="96" t="s">
        <v>131</v>
      </c>
      <c r="K57" s="96">
        <v>0</v>
      </c>
      <c r="L57" s="96" t="s">
        <v>229</v>
      </c>
      <c r="M57" s="96" t="s">
        <v>201</v>
      </c>
      <c r="N57" s="74">
        <v>1</v>
      </c>
      <c r="O57" s="77">
        <v>1.1574074074074073E-4</v>
      </c>
    </row>
    <row r="58" spans="1:15" ht="54" customHeight="1" thickTop="1" thickBot="1">
      <c r="A58" s="72"/>
      <c r="B58" s="73" t="s">
        <v>17</v>
      </c>
      <c r="C58" s="74" t="s">
        <v>230</v>
      </c>
      <c r="D58" s="74" t="s">
        <v>231</v>
      </c>
      <c r="E58" s="75" t="s">
        <v>12</v>
      </c>
      <c r="F58" s="75" t="s">
        <v>22</v>
      </c>
      <c r="G58" s="75" t="s">
        <v>232</v>
      </c>
      <c r="H58" s="76">
        <v>45698</v>
      </c>
      <c r="I58" s="96" t="s">
        <v>130</v>
      </c>
      <c r="J58" s="96" t="s">
        <v>131</v>
      </c>
      <c r="K58" s="96">
        <v>0</v>
      </c>
      <c r="L58" s="96" t="s">
        <v>233</v>
      </c>
      <c r="M58" s="96" t="s">
        <v>234</v>
      </c>
      <c r="N58" s="74">
        <v>2</v>
      </c>
      <c r="O58" s="77">
        <v>3.4722222222222224E-4</v>
      </c>
    </row>
    <row r="59" spans="1:15" ht="54" customHeight="1" thickTop="1" thickBot="1">
      <c r="A59" s="72"/>
      <c r="B59" s="73" t="s">
        <v>17</v>
      </c>
      <c r="C59" s="74" t="s">
        <v>235</v>
      </c>
      <c r="D59" s="74" t="s">
        <v>236</v>
      </c>
      <c r="E59" s="75" t="s">
        <v>12</v>
      </c>
      <c r="F59" s="75" t="s">
        <v>22</v>
      </c>
      <c r="G59" s="75" t="s">
        <v>237</v>
      </c>
      <c r="H59" s="76">
        <v>45698</v>
      </c>
      <c r="I59" s="96" t="s">
        <v>130</v>
      </c>
      <c r="J59" s="96" t="s">
        <v>131</v>
      </c>
      <c r="K59" s="96">
        <v>0</v>
      </c>
      <c r="L59" s="96" t="s">
        <v>238</v>
      </c>
      <c r="M59" s="96" t="s">
        <v>201</v>
      </c>
      <c r="N59" s="74">
        <v>2</v>
      </c>
      <c r="O59" s="77">
        <v>6.9444444444444447E-4</v>
      </c>
    </row>
    <row r="60" spans="1:15" ht="54" customHeight="1" thickTop="1" thickBot="1">
      <c r="A60" s="72"/>
      <c r="B60" s="73" t="s">
        <v>17</v>
      </c>
      <c r="C60" s="74" t="s">
        <v>239</v>
      </c>
      <c r="D60" s="74" t="s">
        <v>240</v>
      </c>
      <c r="E60" s="75" t="s">
        <v>12</v>
      </c>
      <c r="F60" s="75" t="s">
        <v>22</v>
      </c>
      <c r="G60" s="75" t="s">
        <v>241</v>
      </c>
      <c r="H60" s="76">
        <v>45699</v>
      </c>
      <c r="I60" s="96" t="s">
        <v>130</v>
      </c>
      <c r="J60" s="96" t="s">
        <v>131</v>
      </c>
      <c r="K60" s="96">
        <v>0</v>
      </c>
      <c r="L60" s="96" t="s">
        <v>242</v>
      </c>
      <c r="M60" s="96" t="s">
        <v>201</v>
      </c>
      <c r="N60" s="74">
        <v>1</v>
      </c>
      <c r="O60" s="77">
        <v>6.9444444444444447E-4</v>
      </c>
    </row>
    <row r="61" spans="1:15" ht="54" customHeight="1" thickTop="1" thickBot="1">
      <c r="A61" s="72"/>
      <c r="B61" s="73" t="s">
        <v>17</v>
      </c>
      <c r="C61" s="74" t="s">
        <v>243</v>
      </c>
      <c r="D61" s="74" t="s">
        <v>244</v>
      </c>
      <c r="E61" s="75" t="s">
        <v>12</v>
      </c>
      <c r="F61" s="75" t="s">
        <v>22</v>
      </c>
      <c r="G61" s="75" t="s">
        <v>245</v>
      </c>
      <c r="H61" s="76">
        <v>45698</v>
      </c>
      <c r="I61" s="96" t="s">
        <v>130</v>
      </c>
      <c r="J61" s="96" t="s">
        <v>131</v>
      </c>
      <c r="K61" s="96">
        <v>0</v>
      </c>
      <c r="L61" s="96" t="s">
        <v>246</v>
      </c>
      <c r="M61" s="96" t="s">
        <v>234</v>
      </c>
      <c r="N61" s="74">
        <v>1</v>
      </c>
      <c r="O61" s="77">
        <v>6.9444444444444447E-4</v>
      </c>
    </row>
    <row r="62" spans="1:15" ht="54" customHeight="1" thickTop="1" thickBot="1">
      <c r="A62" s="72"/>
      <c r="B62" s="73" t="s">
        <v>17</v>
      </c>
      <c r="C62" s="74" t="s">
        <v>247</v>
      </c>
      <c r="D62" s="74" t="s">
        <v>248</v>
      </c>
      <c r="E62" s="75" t="s">
        <v>12</v>
      </c>
      <c r="F62" s="75" t="s">
        <v>22</v>
      </c>
      <c r="G62" s="75" t="s">
        <v>249</v>
      </c>
      <c r="H62" s="76">
        <v>45698</v>
      </c>
      <c r="I62" s="96" t="s">
        <v>56</v>
      </c>
      <c r="J62" s="96" t="s">
        <v>131</v>
      </c>
      <c r="K62" s="96">
        <v>0</v>
      </c>
      <c r="L62" s="96" t="s">
        <v>250</v>
      </c>
      <c r="M62" s="96" t="s">
        <v>201</v>
      </c>
      <c r="N62" s="74">
        <v>1</v>
      </c>
      <c r="O62" s="77">
        <v>3.4722222222222224E-4</v>
      </c>
    </row>
    <row r="63" spans="1:15" ht="54" customHeight="1" thickTop="1" thickBot="1">
      <c r="A63" s="72"/>
      <c r="B63" s="73" t="s">
        <v>17</v>
      </c>
      <c r="C63" s="74" t="s">
        <v>251</v>
      </c>
      <c r="D63" s="134" t="s">
        <v>252</v>
      </c>
      <c r="E63" s="75" t="s">
        <v>12</v>
      </c>
      <c r="F63" s="75" t="s">
        <v>22</v>
      </c>
      <c r="G63" s="75" t="s">
        <v>253</v>
      </c>
      <c r="H63" s="76">
        <v>45698</v>
      </c>
      <c r="I63" s="96" t="s">
        <v>56</v>
      </c>
      <c r="J63" s="96" t="s">
        <v>131</v>
      </c>
      <c r="K63" s="96">
        <v>0</v>
      </c>
      <c r="L63" s="96" t="s">
        <v>254</v>
      </c>
      <c r="M63" s="96" t="s">
        <v>201</v>
      </c>
      <c r="N63" s="74">
        <v>2</v>
      </c>
      <c r="O63" s="77">
        <v>3.4722222222222224E-4</v>
      </c>
    </row>
    <row r="64" spans="1:15" ht="54" customHeight="1" thickTop="1" thickBot="1">
      <c r="A64" s="72"/>
      <c r="B64" s="73" t="s">
        <v>17</v>
      </c>
      <c r="C64" s="74" t="s">
        <v>255</v>
      </c>
      <c r="D64" s="79" t="s">
        <v>256</v>
      </c>
      <c r="E64" s="75" t="s">
        <v>12</v>
      </c>
      <c r="F64" s="75" t="s">
        <v>22</v>
      </c>
      <c r="G64" s="75" t="s">
        <v>249</v>
      </c>
      <c r="H64" s="76">
        <v>45698</v>
      </c>
      <c r="I64" s="96" t="s">
        <v>56</v>
      </c>
      <c r="J64" s="96" t="s">
        <v>131</v>
      </c>
      <c r="K64" s="96">
        <v>0</v>
      </c>
      <c r="L64" s="96" t="s">
        <v>254</v>
      </c>
      <c r="M64" s="96" t="s">
        <v>201</v>
      </c>
      <c r="N64" s="74">
        <v>1</v>
      </c>
      <c r="O64" s="77">
        <v>3.4722222222222224E-4</v>
      </c>
    </row>
    <row r="65" spans="1:15" ht="54" customHeight="1" thickTop="1" thickBot="1">
      <c r="A65" s="72"/>
      <c r="B65" s="73" t="s">
        <v>17</v>
      </c>
      <c r="C65" s="74" t="s">
        <v>257</v>
      </c>
      <c r="D65" s="74" t="s">
        <v>258</v>
      </c>
      <c r="E65" s="75" t="s">
        <v>12</v>
      </c>
      <c r="F65" s="75" t="s">
        <v>22</v>
      </c>
      <c r="G65" s="74" t="s">
        <v>259</v>
      </c>
      <c r="H65" s="85">
        <v>45698</v>
      </c>
      <c r="I65" s="96" t="s">
        <v>56</v>
      </c>
      <c r="J65" s="96" t="s">
        <v>131</v>
      </c>
      <c r="K65" s="96">
        <v>0</v>
      </c>
      <c r="L65" s="96" t="s">
        <v>260</v>
      </c>
      <c r="M65" s="96" t="s">
        <v>201</v>
      </c>
      <c r="N65" s="74">
        <v>1</v>
      </c>
      <c r="O65" s="77">
        <v>3.4722222222222224E-4</v>
      </c>
    </row>
    <row r="66" spans="1:15" ht="54" customHeight="1" thickTop="1" thickBot="1">
      <c r="A66" s="72"/>
      <c r="B66" s="73" t="s">
        <v>17</v>
      </c>
      <c r="C66" s="74" t="s">
        <v>261</v>
      </c>
      <c r="D66" s="74" t="s">
        <v>262</v>
      </c>
      <c r="E66" s="75" t="s">
        <v>12</v>
      </c>
      <c r="F66" s="75" t="s">
        <v>22</v>
      </c>
      <c r="G66" s="75" t="s">
        <v>263</v>
      </c>
      <c r="H66" s="76">
        <v>45698</v>
      </c>
      <c r="I66" s="96" t="s">
        <v>56</v>
      </c>
      <c r="J66" s="96" t="s">
        <v>131</v>
      </c>
      <c r="K66" s="96">
        <v>0</v>
      </c>
      <c r="L66" s="96" t="s">
        <v>264</v>
      </c>
      <c r="M66" s="96" t="s">
        <v>201</v>
      </c>
      <c r="N66" s="74">
        <v>1</v>
      </c>
      <c r="O66" s="77">
        <v>3.4722222222222224E-4</v>
      </c>
    </row>
    <row r="67" spans="1:15" ht="54" customHeight="1" thickTop="1" thickBot="1">
      <c r="A67" s="72"/>
      <c r="B67" s="73" t="s">
        <v>17</v>
      </c>
      <c r="C67" s="74" t="s">
        <v>265</v>
      </c>
      <c r="D67" s="74" t="s">
        <v>266</v>
      </c>
      <c r="E67" s="75" t="s">
        <v>12</v>
      </c>
      <c r="F67" s="75" t="s">
        <v>22</v>
      </c>
      <c r="G67" s="74" t="s">
        <v>267</v>
      </c>
      <c r="H67" s="85">
        <v>45698</v>
      </c>
      <c r="I67" s="96" t="s">
        <v>56</v>
      </c>
      <c r="J67" s="96" t="s">
        <v>131</v>
      </c>
      <c r="K67" s="96">
        <v>0</v>
      </c>
      <c r="L67" s="96" t="s">
        <v>268</v>
      </c>
      <c r="M67" s="96" t="s">
        <v>201</v>
      </c>
      <c r="N67" s="74">
        <v>1</v>
      </c>
      <c r="O67" s="77">
        <v>3.4722222222222224E-4</v>
      </c>
    </row>
    <row r="68" spans="1:15" ht="54" customHeight="1" thickTop="1" thickBot="1">
      <c r="A68" s="72"/>
      <c r="B68" s="73" t="s">
        <v>17</v>
      </c>
      <c r="C68" s="74" t="s">
        <v>269</v>
      </c>
      <c r="D68" s="74" t="s">
        <v>270</v>
      </c>
      <c r="E68" s="75" t="s">
        <v>12</v>
      </c>
      <c r="F68" s="75" t="s">
        <v>22</v>
      </c>
      <c r="G68" s="74" t="s">
        <v>271</v>
      </c>
      <c r="H68" s="85">
        <v>45698</v>
      </c>
      <c r="I68" s="96" t="s">
        <v>56</v>
      </c>
      <c r="J68" s="96" t="s">
        <v>131</v>
      </c>
      <c r="K68" s="96">
        <v>0</v>
      </c>
      <c r="L68" s="96" t="s">
        <v>272</v>
      </c>
      <c r="M68" s="96" t="s">
        <v>201</v>
      </c>
      <c r="N68" s="74">
        <v>1</v>
      </c>
      <c r="O68" s="77">
        <v>3.4722222222222224E-4</v>
      </c>
    </row>
    <row r="69" spans="1:15" ht="54" customHeight="1" thickTop="1" thickBot="1">
      <c r="A69" s="72"/>
      <c r="B69" s="73" t="s">
        <v>17</v>
      </c>
      <c r="C69" s="74" t="s">
        <v>273</v>
      </c>
      <c r="D69" s="74" t="s">
        <v>274</v>
      </c>
      <c r="E69" s="75" t="s">
        <v>12</v>
      </c>
      <c r="F69" s="75" t="s">
        <v>22</v>
      </c>
      <c r="G69" s="74" t="s">
        <v>271</v>
      </c>
      <c r="H69" s="85">
        <v>45698</v>
      </c>
      <c r="I69" s="96" t="s">
        <v>56</v>
      </c>
      <c r="J69" s="96" t="s">
        <v>131</v>
      </c>
      <c r="K69" s="96">
        <v>0</v>
      </c>
      <c r="L69" s="96" t="s">
        <v>275</v>
      </c>
      <c r="M69" s="96" t="s">
        <v>201</v>
      </c>
      <c r="N69" s="74">
        <v>1</v>
      </c>
      <c r="O69" s="77">
        <v>5.2083333333333333E-4</v>
      </c>
    </row>
    <row r="70" spans="1:15" ht="54" customHeight="1" thickTop="1" thickBot="1">
      <c r="A70" s="72"/>
      <c r="B70" s="73" t="s">
        <v>17</v>
      </c>
      <c r="C70" s="74" t="s">
        <v>276</v>
      </c>
      <c r="D70" s="74" t="s">
        <v>277</v>
      </c>
      <c r="E70" s="75" t="s">
        <v>12</v>
      </c>
      <c r="F70" s="75" t="s">
        <v>22</v>
      </c>
      <c r="G70" s="75" t="s">
        <v>278</v>
      </c>
      <c r="H70" s="76">
        <v>45699</v>
      </c>
      <c r="I70" s="96" t="s">
        <v>85</v>
      </c>
      <c r="J70" s="96" t="s">
        <v>131</v>
      </c>
      <c r="K70" s="96">
        <v>0</v>
      </c>
      <c r="L70" s="96" t="s">
        <v>279</v>
      </c>
      <c r="M70" s="96" t="s">
        <v>211</v>
      </c>
      <c r="N70" s="74">
        <v>1</v>
      </c>
      <c r="O70" s="77">
        <v>6.9444444444444447E-4</v>
      </c>
    </row>
    <row r="71" spans="1:15" ht="54" customHeight="1" thickTop="1" thickBot="1">
      <c r="A71" s="72"/>
      <c r="B71" s="73" t="s">
        <v>17</v>
      </c>
      <c r="C71" s="74" t="s">
        <v>280</v>
      </c>
      <c r="D71" s="74" t="s">
        <v>281</v>
      </c>
      <c r="E71" s="75" t="s">
        <v>12</v>
      </c>
      <c r="F71" s="75" t="s">
        <v>22</v>
      </c>
      <c r="G71" s="75" t="s">
        <v>278</v>
      </c>
      <c r="H71" s="76">
        <v>45699</v>
      </c>
      <c r="I71" s="96" t="s">
        <v>85</v>
      </c>
      <c r="J71" s="96" t="s">
        <v>131</v>
      </c>
      <c r="K71" s="96">
        <v>0</v>
      </c>
      <c r="L71" s="96" t="s">
        <v>282</v>
      </c>
      <c r="M71" s="96" t="s">
        <v>211</v>
      </c>
      <c r="N71" s="74">
        <v>1</v>
      </c>
      <c r="O71" s="77">
        <v>3.4722222222222224E-4</v>
      </c>
    </row>
    <row r="72" spans="1:15" ht="54" customHeight="1" thickTop="1" thickBot="1">
      <c r="A72" s="72"/>
      <c r="B72" s="73" t="s">
        <v>17</v>
      </c>
      <c r="C72" s="74" t="s">
        <v>283</v>
      </c>
      <c r="D72" s="74" t="s">
        <v>284</v>
      </c>
      <c r="E72" s="75" t="s">
        <v>12</v>
      </c>
      <c r="F72" s="75" t="s">
        <v>22</v>
      </c>
      <c r="G72" s="75" t="s">
        <v>278</v>
      </c>
      <c r="H72" s="76">
        <v>45699</v>
      </c>
      <c r="I72" s="96" t="s">
        <v>85</v>
      </c>
      <c r="J72" s="96" t="s">
        <v>131</v>
      </c>
      <c r="K72" s="96">
        <v>0</v>
      </c>
      <c r="L72" s="96" t="s">
        <v>285</v>
      </c>
      <c r="M72" s="96" t="s">
        <v>211</v>
      </c>
      <c r="N72" s="74">
        <v>1</v>
      </c>
      <c r="O72" s="77">
        <v>6.9444444444444447E-4</v>
      </c>
    </row>
    <row r="73" spans="1:15" ht="54" customHeight="1" thickTop="1" thickBot="1">
      <c r="A73" s="72"/>
      <c r="B73" s="73" t="s">
        <v>17</v>
      </c>
      <c r="C73" s="74" t="s">
        <v>286</v>
      </c>
      <c r="D73" s="74" t="s">
        <v>287</v>
      </c>
      <c r="E73" s="75" t="s">
        <v>12</v>
      </c>
      <c r="F73" s="75" t="s">
        <v>22</v>
      </c>
      <c r="G73" s="75" t="s">
        <v>288</v>
      </c>
      <c r="H73" s="76">
        <v>45698</v>
      </c>
      <c r="I73" s="96" t="s">
        <v>56</v>
      </c>
      <c r="J73" s="96" t="s">
        <v>131</v>
      </c>
      <c r="K73" s="96">
        <v>0</v>
      </c>
      <c r="L73" s="96" t="s">
        <v>289</v>
      </c>
      <c r="M73" s="96" t="s">
        <v>201</v>
      </c>
      <c r="N73" s="74">
        <v>1</v>
      </c>
      <c r="O73" s="77">
        <v>1.3888888888888889E-3</v>
      </c>
    </row>
    <row r="74" spans="1:15" ht="54" customHeight="1" thickTop="1" thickBot="1">
      <c r="A74" s="72"/>
      <c r="B74" s="73" t="s">
        <v>17</v>
      </c>
      <c r="C74" s="74" t="s">
        <v>290</v>
      </c>
      <c r="D74" s="74" t="s">
        <v>291</v>
      </c>
      <c r="E74" s="75" t="s">
        <v>12</v>
      </c>
      <c r="F74" s="75" t="s">
        <v>22</v>
      </c>
      <c r="G74" s="75" t="s">
        <v>292</v>
      </c>
      <c r="H74" s="76">
        <v>45698</v>
      </c>
      <c r="I74" s="96" t="s">
        <v>130</v>
      </c>
      <c r="J74" s="96" t="s">
        <v>131</v>
      </c>
      <c r="K74" s="96">
        <v>0</v>
      </c>
      <c r="L74" s="96" t="s">
        <v>293</v>
      </c>
      <c r="M74" s="96" t="s">
        <v>201</v>
      </c>
      <c r="N74" s="74">
        <v>1</v>
      </c>
      <c r="O74" s="77">
        <v>3.4722222222222224E-4</v>
      </c>
    </row>
    <row r="75" spans="1:15" ht="54" customHeight="1" thickTop="1" thickBot="1">
      <c r="A75" s="72"/>
      <c r="B75" s="73" t="s">
        <v>17</v>
      </c>
      <c r="C75" s="74" t="s">
        <v>294</v>
      </c>
      <c r="D75" s="74" t="s">
        <v>295</v>
      </c>
      <c r="E75" s="75" t="s">
        <v>12</v>
      </c>
      <c r="F75" s="75" t="s">
        <v>22</v>
      </c>
      <c r="G75" s="75" t="s">
        <v>292</v>
      </c>
      <c r="H75" s="76">
        <v>45698</v>
      </c>
      <c r="I75" s="96" t="s">
        <v>130</v>
      </c>
      <c r="J75" s="96" t="s">
        <v>131</v>
      </c>
      <c r="K75" s="96">
        <v>0</v>
      </c>
      <c r="L75" s="96" t="s">
        <v>296</v>
      </c>
      <c r="M75" s="96" t="s">
        <v>201</v>
      </c>
      <c r="N75" s="74">
        <v>1</v>
      </c>
      <c r="O75" s="77">
        <v>3.4722222222222224E-4</v>
      </c>
    </row>
    <row r="76" spans="1:15" ht="54" customHeight="1" thickTop="1" thickBot="1">
      <c r="A76" s="72"/>
      <c r="B76" s="73" t="s">
        <v>17</v>
      </c>
      <c r="C76" s="74" t="s">
        <v>297</v>
      </c>
      <c r="D76" s="74" t="s">
        <v>298</v>
      </c>
      <c r="E76" s="75" t="s">
        <v>12</v>
      </c>
      <c r="F76" s="75" t="s">
        <v>22</v>
      </c>
      <c r="G76" s="75" t="s">
        <v>292</v>
      </c>
      <c r="H76" s="76">
        <v>45698</v>
      </c>
      <c r="I76" s="96" t="s">
        <v>130</v>
      </c>
      <c r="J76" s="96" t="s">
        <v>131</v>
      </c>
      <c r="K76" s="96">
        <v>0</v>
      </c>
      <c r="L76" s="96" t="s">
        <v>296</v>
      </c>
      <c r="M76" s="96" t="s">
        <v>201</v>
      </c>
      <c r="N76" s="74">
        <v>1</v>
      </c>
      <c r="O76" s="77">
        <v>3.4722222222222224E-4</v>
      </c>
    </row>
    <row r="77" spans="1:15" ht="54" customHeight="1" thickTop="1" thickBot="1">
      <c r="A77" s="72"/>
      <c r="B77" s="73" t="s">
        <v>17</v>
      </c>
      <c r="C77" s="74" t="s">
        <v>299</v>
      </c>
      <c r="D77" s="74" t="s">
        <v>300</v>
      </c>
      <c r="E77" s="75" t="s">
        <v>12</v>
      </c>
      <c r="F77" s="75" t="s">
        <v>22</v>
      </c>
      <c r="G77" s="75" t="s">
        <v>292</v>
      </c>
      <c r="H77" s="76">
        <v>45698</v>
      </c>
      <c r="I77" s="96" t="s">
        <v>130</v>
      </c>
      <c r="J77" s="96" t="s">
        <v>131</v>
      </c>
      <c r="K77" s="96">
        <v>0</v>
      </c>
      <c r="L77" s="96" t="s">
        <v>296</v>
      </c>
      <c r="M77" s="96" t="s">
        <v>201</v>
      </c>
      <c r="N77" s="74">
        <v>1</v>
      </c>
      <c r="O77" s="77">
        <v>6.9444444444444447E-4</v>
      </c>
    </row>
    <row r="78" spans="1:15" ht="54" customHeight="1" thickTop="1" thickBot="1">
      <c r="A78" s="72"/>
      <c r="B78" s="73" t="s">
        <v>17</v>
      </c>
      <c r="C78" s="74" t="s">
        <v>301</v>
      </c>
      <c r="D78" s="74" t="s">
        <v>302</v>
      </c>
      <c r="E78" s="75" t="s">
        <v>12</v>
      </c>
      <c r="F78" s="75" t="s">
        <v>22</v>
      </c>
      <c r="G78" s="75" t="s">
        <v>249</v>
      </c>
      <c r="H78" s="76">
        <v>45698</v>
      </c>
      <c r="I78" s="96" t="s">
        <v>56</v>
      </c>
      <c r="J78" s="96" t="s">
        <v>131</v>
      </c>
      <c r="K78" s="96">
        <v>0</v>
      </c>
      <c r="L78" s="96" t="s">
        <v>303</v>
      </c>
      <c r="M78" s="96" t="s">
        <v>201</v>
      </c>
      <c r="N78" s="74">
        <v>1</v>
      </c>
      <c r="O78" s="77">
        <v>3.4722222222222224E-4</v>
      </c>
    </row>
    <row r="79" spans="1:15" ht="54" customHeight="1" thickTop="1" thickBot="1">
      <c r="A79" s="72"/>
      <c r="B79" s="73" t="s">
        <v>17</v>
      </c>
      <c r="C79" s="74" t="s">
        <v>304</v>
      </c>
      <c r="D79" s="74" t="s">
        <v>305</v>
      </c>
      <c r="E79" s="75" t="s">
        <v>12</v>
      </c>
      <c r="F79" s="75" t="s">
        <v>22</v>
      </c>
      <c r="G79" s="75" t="s">
        <v>278</v>
      </c>
      <c r="H79" s="76">
        <v>45699</v>
      </c>
      <c r="I79" s="96" t="s">
        <v>85</v>
      </c>
      <c r="J79" s="96" t="s">
        <v>131</v>
      </c>
      <c r="K79" s="96">
        <v>0</v>
      </c>
      <c r="L79" s="96" t="s">
        <v>210</v>
      </c>
      <c r="M79" s="96" t="s">
        <v>211</v>
      </c>
      <c r="N79" s="74">
        <v>1</v>
      </c>
      <c r="O79" s="77">
        <v>8.6805555555555551E-4</v>
      </c>
    </row>
    <row r="80" spans="1:15" ht="54" customHeight="1" thickTop="1" thickBot="1">
      <c r="A80" s="72"/>
      <c r="B80" s="73" t="s">
        <v>17</v>
      </c>
      <c r="C80" s="74" t="s">
        <v>306</v>
      </c>
      <c r="D80" s="74" t="s">
        <v>307</v>
      </c>
      <c r="E80" s="75" t="s">
        <v>12</v>
      </c>
      <c r="F80" s="75" t="s">
        <v>22</v>
      </c>
      <c r="G80" s="75" t="s">
        <v>308</v>
      </c>
      <c r="H80" s="76">
        <v>45698</v>
      </c>
      <c r="I80" s="96" t="s">
        <v>56</v>
      </c>
      <c r="J80" s="96" t="s">
        <v>131</v>
      </c>
      <c r="K80" s="96">
        <v>0</v>
      </c>
      <c r="L80" s="96" t="s">
        <v>309</v>
      </c>
      <c r="M80" s="96" t="s">
        <v>201</v>
      </c>
      <c r="N80" s="74">
        <v>1</v>
      </c>
      <c r="O80" s="77">
        <v>6.9444444444444447E-4</v>
      </c>
    </row>
    <row r="81" spans="1:15" ht="54" customHeight="1" thickTop="1" thickBot="1">
      <c r="A81" s="72"/>
      <c r="B81" s="73" t="s">
        <v>17</v>
      </c>
      <c r="C81" s="74" t="s">
        <v>310</v>
      </c>
      <c r="D81" s="74" t="s">
        <v>311</v>
      </c>
      <c r="E81" s="75" t="s">
        <v>12</v>
      </c>
      <c r="F81" s="75" t="s">
        <v>22</v>
      </c>
      <c r="G81" s="75" t="s">
        <v>312</v>
      </c>
      <c r="H81" s="76">
        <v>45698</v>
      </c>
      <c r="I81" s="96" t="s">
        <v>130</v>
      </c>
      <c r="J81" s="96" t="s">
        <v>131</v>
      </c>
      <c r="K81" s="96">
        <v>0</v>
      </c>
      <c r="L81" s="96" t="s">
        <v>313</v>
      </c>
      <c r="M81" s="96" t="s">
        <v>201</v>
      </c>
      <c r="N81" s="74">
        <v>1</v>
      </c>
      <c r="O81" s="77">
        <v>6.9444444444444447E-4</v>
      </c>
    </row>
    <row r="82" spans="1:15" ht="54" customHeight="1" thickTop="1" thickBot="1">
      <c r="A82" s="72"/>
      <c r="B82" s="73" t="s">
        <v>17</v>
      </c>
      <c r="C82" s="74" t="s">
        <v>314</v>
      </c>
      <c r="D82" s="74" t="s">
        <v>315</v>
      </c>
      <c r="E82" s="75" t="s">
        <v>12</v>
      </c>
      <c r="F82" s="75" t="s">
        <v>22</v>
      </c>
      <c r="G82" s="74" t="s">
        <v>267</v>
      </c>
      <c r="H82" s="85">
        <v>45698</v>
      </c>
      <c r="I82" s="96" t="s">
        <v>56</v>
      </c>
      <c r="J82" s="96" t="s">
        <v>131</v>
      </c>
      <c r="K82" s="96">
        <v>0</v>
      </c>
      <c r="L82" s="96" t="s">
        <v>316</v>
      </c>
      <c r="M82" s="96" t="s">
        <v>201</v>
      </c>
      <c r="N82" s="74">
        <v>1</v>
      </c>
      <c r="O82" s="77">
        <v>6.9444444444444447E-4</v>
      </c>
    </row>
    <row r="83" spans="1:15" ht="54" customHeight="1" thickTop="1" thickBot="1">
      <c r="A83" s="72"/>
      <c r="B83" s="73" t="s">
        <v>17</v>
      </c>
      <c r="C83" s="74" t="s">
        <v>317</v>
      </c>
      <c r="D83" s="74" t="s">
        <v>318</v>
      </c>
      <c r="E83" s="75" t="s">
        <v>12</v>
      </c>
      <c r="F83" s="75" t="s">
        <v>22</v>
      </c>
      <c r="G83" s="75" t="s">
        <v>312</v>
      </c>
      <c r="H83" s="76">
        <v>45698</v>
      </c>
      <c r="I83" s="96" t="s">
        <v>130</v>
      </c>
      <c r="J83" s="96" t="s">
        <v>131</v>
      </c>
      <c r="K83" s="96">
        <v>0</v>
      </c>
      <c r="L83" s="96" t="s">
        <v>313</v>
      </c>
      <c r="M83" s="96" t="s">
        <v>201</v>
      </c>
      <c r="N83" s="74">
        <v>1</v>
      </c>
      <c r="O83" s="77">
        <v>1.7361111111111112E-4</v>
      </c>
    </row>
    <row r="84" spans="1:15" ht="54" customHeight="1" thickTop="1" thickBot="1">
      <c r="A84" s="72"/>
      <c r="B84" s="73" t="s">
        <v>17</v>
      </c>
      <c r="C84" s="74" t="s">
        <v>319</v>
      </c>
      <c r="D84" s="74" t="s">
        <v>320</v>
      </c>
      <c r="E84" s="75" t="s">
        <v>12</v>
      </c>
      <c r="F84" s="75" t="s">
        <v>22</v>
      </c>
      <c r="G84" s="75" t="s">
        <v>321</v>
      </c>
      <c r="H84" s="76">
        <v>45700</v>
      </c>
      <c r="I84" s="96" t="s">
        <v>56</v>
      </c>
      <c r="J84" s="96" t="s">
        <v>57</v>
      </c>
      <c r="K84" s="96">
        <v>0</v>
      </c>
      <c r="L84" s="96" t="s">
        <v>322</v>
      </c>
      <c r="M84" s="96" t="s">
        <v>143</v>
      </c>
      <c r="N84" s="74">
        <v>2</v>
      </c>
      <c r="O84" s="77">
        <v>5.2083333333333333E-4</v>
      </c>
    </row>
    <row r="85" spans="1:15" ht="54" customHeight="1" thickTop="1" thickBot="1">
      <c r="B85" s="109" t="s">
        <v>17</v>
      </c>
      <c r="C85" s="103" t="s">
        <v>323</v>
      </c>
      <c r="D85" s="103" t="s">
        <v>324</v>
      </c>
      <c r="E85" s="110" t="s">
        <v>22</v>
      </c>
      <c r="F85" s="110"/>
      <c r="G85" s="110"/>
      <c r="H85" s="113"/>
      <c r="I85" s="96" t="s">
        <v>56</v>
      </c>
      <c r="J85" s="96" t="s">
        <v>131</v>
      </c>
      <c r="K85" s="96">
        <v>0</v>
      </c>
      <c r="L85" s="96" t="s">
        <v>325</v>
      </c>
      <c r="M85" s="96" t="s">
        <v>234</v>
      </c>
      <c r="N85" s="103">
        <v>3</v>
      </c>
      <c r="O85" s="112">
        <v>5.2083333333333333E-4</v>
      </c>
    </row>
    <row r="86" spans="1:15" ht="54" customHeight="1" thickTop="1" thickBot="1">
      <c r="A86" s="72"/>
      <c r="B86" s="73" t="s">
        <v>17</v>
      </c>
      <c r="C86" s="74" t="s">
        <v>326</v>
      </c>
      <c r="D86" s="74" t="s">
        <v>327</v>
      </c>
      <c r="E86" s="75" t="s">
        <v>12</v>
      </c>
      <c r="F86" s="75" t="s">
        <v>22</v>
      </c>
      <c r="G86" s="75" t="s">
        <v>321</v>
      </c>
      <c r="H86" s="76">
        <v>45700</v>
      </c>
      <c r="I86" s="96" t="s">
        <v>56</v>
      </c>
      <c r="J86" s="96" t="s">
        <v>57</v>
      </c>
      <c r="K86" s="96">
        <v>0</v>
      </c>
      <c r="L86" s="96">
        <v>0</v>
      </c>
      <c r="M86" s="96" t="s">
        <v>143</v>
      </c>
      <c r="N86" s="74">
        <v>4</v>
      </c>
      <c r="O86" s="77">
        <v>5.2083333333333333E-4</v>
      </c>
    </row>
    <row r="87" spans="1:15" ht="54" customHeight="1" thickTop="1" thickBot="1">
      <c r="A87" s="72"/>
      <c r="B87" s="78" t="s">
        <v>17</v>
      </c>
      <c r="C87" s="79" t="s">
        <v>328</v>
      </c>
      <c r="D87" s="79" t="s">
        <v>329</v>
      </c>
      <c r="E87" s="82" t="s">
        <v>12</v>
      </c>
      <c r="F87" s="82" t="s">
        <v>22</v>
      </c>
      <c r="G87" s="82" t="s">
        <v>321</v>
      </c>
      <c r="H87" s="102">
        <v>45700</v>
      </c>
      <c r="I87" s="96" t="s">
        <v>56</v>
      </c>
      <c r="J87" s="96" t="s">
        <v>57</v>
      </c>
      <c r="K87" s="96">
        <v>0</v>
      </c>
      <c r="L87" s="96">
        <v>0</v>
      </c>
      <c r="M87" s="96" t="s">
        <v>143</v>
      </c>
      <c r="N87" s="79">
        <v>2</v>
      </c>
      <c r="O87" s="83">
        <v>3.4722222222222224E-4</v>
      </c>
    </row>
    <row r="88" spans="1:15" ht="66" customHeight="1" thickTop="1" thickBot="1">
      <c r="B88" s="104" t="s">
        <v>21</v>
      </c>
      <c r="C88" s="105" t="s">
        <v>330</v>
      </c>
      <c r="D88" s="105" t="s">
        <v>331</v>
      </c>
      <c r="E88" s="106" t="s">
        <v>22</v>
      </c>
      <c r="F88" s="106"/>
      <c r="G88" s="106"/>
      <c r="H88" s="118"/>
      <c r="I88" s="96" t="s">
        <v>130</v>
      </c>
      <c r="J88" s="96" t="s">
        <v>131</v>
      </c>
      <c r="K88" s="96">
        <v>0</v>
      </c>
      <c r="L88" s="96" t="s">
        <v>332</v>
      </c>
      <c r="M88" s="96" t="s">
        <v>333</v>
      </c>
      <c r="N88" s="105">
        <v>4</v>
      </c>
      <c r="O88" s="108" t="s">
        <v>334</v>
      </c>
    </row>
    <row r="89" spans="1:15" ht="54" customHeight="1" thickTop="1" thickBot="1">
      <c r="B89" s="109" t="s">
        <v>21</v>
      </c>
      <c r="C89" s="74" t="s">
        <v>335</v>
      </c>
      <c r="D89" s="74" t="s">
        <v>336</v>
      </c>
      <c r="E89" s="110" t="s">
        <v>22</v>
      </c>
      <c r="F89" s="110"/>
      <c r="G89" s="110"/>
      <c r="H89" s="113"/>
      <c r="I89" s="96" t="s">
        <v>130</v>
      </c>
      <c r="J89" s="96" t="s">
        <v>131</v>
      </c>
      <c r="K89" s="96">
        <v>0</v>
      </c>
      <c r="L89" s="96" t="s">
        <v>337</v>
      </c>
      <c r="M89" s="96" t="s">
        <v>333</v>
      </c>
      <c r="N89" s="103">
        <v>4</v>
      </c>
      <c r="O89" s="112">
        <v>1.3888888888888889E-3</v>
      </c>
    </row>
    <row r="90" spans="1:15" ht="54" customHeight="1" thickTop="1" thickBot="1">
      <c r="B90" s="109" t="s">
        <v>21</v>
      </c>
      <c r="C90" s="103" t="s">
        <v>338</v>
      </c>
      <c r="D90" s="103" t="s">
        <v>339</v>
      </c>
      <c r="E90" s="110" t="s">
        <v>22</v>
      </c>
      <c r="F90" s="110"/>
      <c r="G90" s="110"/>
      <c r="H90" s="113"/>
      <c r="I90" s="96" t="s">
        <v>130</v>
      </c>
      <c r="J90" s="96" t="s">
        <v>131</v>
      </c>
      <c r="K90" s="96">
        <v>0</v>
      </c>
      <c r="L90" s="96" t="s">
        <v>340</v>
      </c>
      <c r="M90" s="96" t="s">
        <v>341</v>
      </c>
      <c r="N90" s="103">
        <v>2</v>
      </c>
      <c r="O90" s="112">
        <v>2.0833333333333333E-3</v>
      </c>
    </row>
    <row r="91" spans="1:15" ht="54" customHeight="1" thickTop="1" thickBot="1">
      <c r="B91" s="109" t="s">
        <v>21</v>
      </c>
      <c r="C91" s="103" t="s">
        <v>342</v>
      </c>
      <c r="D91" s="103" t="s">
        <v>343</v>
      </c>
      <c r="E91" s="110" t="s">
        <v>22</v>
      </c>
      <c r="F91" s="110"/>
      <c r="G91" s="110"/>
      <c r="H91" s="113"/>
      <c r="I91" s="96" t="s">
        <v>130</v>
      </c>
      <c r="J91" s="96" t="s">
        <v>131</v>
      </c>
      <c r="K91" s="96">
        <v>0</v>
      </c>
      <c r="L91" s="96" t="s">
        <v>344</v>
      </c>
      <c r="M91" s="96" t="s">
        <v>341</v>
      </c>
      <c r="N91" s="103">
        <v>2</v>
      </c>
      <c r="O91" s="112">
        <v>2.0833333333333333E-3</v>
      </c>
    </row>
    <row r="92" spans="1:15" ht="54" customHeight="1" thickTop="1" thickBot="1">
      <c r="A92" s="72"/>
      <c r="B92" s="73" t="s">
        <v>21</v>
      </c>
      <c r="C92" s="74" t="s">
        <v>345</v>
      </c>
      <c r="D92" s="74" t="s">
        <v>346</v>
      </c>
      <c r="E92" s="75" t="s">
        <v>12</v>
      </c>
      <c r="F92" s="75" t="s">
        <v>22</v>
      </c>
      <c r="G92" s="75" t="s">
        <v>321</v>
      </c>
      <c r="H92" s="76">
        <v>45700</v>
      </c>
      <c r="I92" s="96" t="s">
        <v>56</v>
      </c>
      <c r="J92" s="96" t="s">
        <v>57</v>
      </c>
      <c r="K92" s="96">
        <v>0</v>
      </c>
      <c r="L92" s="96" t="s">
        <v>347</v>
      </c>
      <c r="M92" s="96" t="s">
        <v>143</v>
      </c>
      <c r="N92" s="74">
        <v>2</v>
      </c>
      <c r="O92" s="77">
        <v>6.9444444444444447E-4</v>
      </c>
    </row>
    <row r="93" spans="1:15" ht="54" customHeight="1" thickTop="1" thickBot="1">
      <c r="B93" s="109" t="s">
        <v>21</v>
      </c>
      <c r="C93" s="103" t="s">
        <v>348</v>
      </c>
      <c r="D93" s="103" t="s">
        <v>349</v>
      </c>
      <c r="E93" s="110" t="s">
        <v>22</v>
      </c>
      <c r="F93" s="110"/>
      <c r="G93" s="110"/>
      <c r="H93" s="113"/>
      <c r="I93" s="96" t="s">
        <v>130</v>
      </c>
      <c r="J93" s="96" t="s">
        <v>131</v>
      </c>
      <c r="K93" s="96">
        <v>0</v>
      </c>
      <c r="L93" s="96" t="s">
        <v>350</v>
      </c>
      <c r="M93" s="96" t="s">
        <v>351</v>
      </c>
      <c r="N93" s="103">
        <v>1</v>
      </c>
      <c r="O93" s="112">
        <v>1.2152777777777778E-3</v>
      </c>
    </row>
    <row r="94" spans="1:15" ht="54" customHeight="1" thickTop="1" thickBot="1">
      <c r="B94" s="109" t="s">
        <v>21</v>
      </c>
      <c r="C94" s="103" t="s">
        <v>352</v>
      </c>
      <c r="D94" s="103" t="s">
        <v>353</v>
      </c>
      <c r="E94" s="110" t="s">
        <v>22</v>
      </c>
      <c r="F94" s="110"/>
      <c r="G94" s="110"/>
      <c r="H94" s="113"/>
      <c r="I94" s="96" t="s">
        <v>130</v>
      </c>
      <c r="J94" s="96" t="s">
        <v>131</v>
      </c>
      <c r="K94" s="96">
        <v>0</v>
      </c>
      <c r="L94" s="96" t="s">
        <v>354</v>
      </c>
      <c r="M94" s="96" t="s">
        <v>351</v>
      </c>
      <c r="N94" s="103">
        <v>2</v>
      </c>
      <c r="O94" s="112">
        <v>2.7777777777777779E-3</v>
      </c>
    </row>
    <row r="95" spans="1:15" ht="54" customHeight="1" thickTop="1" thickBot="1">
      <c r="B95" s="109" t="s">
        <v>21</v>
      </c>
      <c r="C95" s="103" t="s">
        <v>355</v>
      </c>
      <c r="D95" s="103" t="s">
        <v>356</v>
      </c>
      <c r="E95" s="110" t="s">
        <v>22</v>
      </c>
      <c r="F95" s="110"/>
      <c r="G95" s="110"/>
      <c r="H95" s="113"/>
      <c r="I95" s="96" t="s">
        <v>130</v>
      </c>
      <c r="J95" s="96" t="s">
        <v>131</v>
      </c>
      <c r="K95" s="96">
        <v>0</v>
      </c>
      <c r="L95" s="96" t="s">
        <v>357</v>
      </c>
      <c r="M95" s="96" t="s">
        <v>351</v>
      </c>
      <c r="N95" s="103">
        <v>2</v>
      </c>
      <c r="O95" s="112">
        <v>6.9444444444444447E-4</v>
      </c>
    </row>
    <row r="96" spans="1:15" ht="54" customHeight="1" thickTop="1" thickBot="1">
      <c r="B96" s="109" t="s">
        <v>21</v>
      </c>
      <c r="C96" s="103" t="s">
        <v>358</v>
      </c>
      <c r="D96" s="103" t="s">
        <v>359</v>
      </c>
      <c r="E96" s="110" t="s">
        <v>22</v>
      </c>
      <c r="F96" s="110"/>
      <c r="G96" s="110"/>
      <c r="H96" s="113"/>
      <c r="I96" s="96" t="s">
        <v>130</v>
      </c>
      <c r="J96" s="96" t="s">
        <v>131</v>
      </c>
      <c r="K96" s="96">
        <v>0</v>
      </c>
      <c r="L96" s="96" t="s">
        <v>360</v>
      </c>
      <c r="M96" s="96" t="s">
        <v>201</v>
      </c>
      <c r="N96" s="103">
        <v>2</v>
      </c>
      <c r="O96" s="112">
        <v>1.736111111111111E-3</v>
      </c>
    </row>
    <row r="97" spans="1:15" ht="54" customHeight="1" thickTop="1" thickBot="1">
      <c r="B97" s="109" t="s">
        <v>21</v>
      </c>
      <c r="C97" s="103" t="s">
        <v>361</v>
      </c>
      <c r="D97" s="103" t="s">
        <v>362</v>
      </c>
      <c r="E97" s="110" t="s">
        <v>22</v>
      </c>
      <c r="F97" s="110"/>
      <c r="G97" s="110"/>
      <c r="H97" s="113"/>
      <c r="I97" s="96" t="s">
        <v>56</v>
      </c>
      <c r="J97" s="96" t="s">
        <v>131</v>
      </c>
      <c r="K97" s="96">
        <v>0</v>
      </c>
      <c r="L97" s="96" t="s">
        <v>363</v>
      </c>
      <c r="M97" s="96" t="s">
        <v>160</v>
      </c>
      <c r="N97" s="103">
        <v>2</v>
      </c>
      <c r="O97" s="112">
        <v>5.2083333333333333E-4</v>
      </c>
    </row>
    <row r="98" spans="1:15" ht="54" customHeight="1" thickTop="1" thickBot="1">
      <c r="B98" s="109" t="s">
        <v>21</v>
      </c>
      <c r="C98" s="103" t="s">
        <v>364</v>
      </c>
      <c r="D98" s="103" t="s">
        <v>365</v>
      </c>
      <c r="E98" s="110" t="s">
        <v>22</v>
      </c>
      <c r="F98" s="110"/>
      <c r="G98" s="110"/>
      <c r="H98" s="113"/>
      <c r="I98" s="96" t="s">
        <v>56</v>
      </c>
      <c r="J98" s="96" t="s">
        <v>131</v>
      </c>
      <c r="K98" s="96">
        <v>0</v>
      </c>
      <c r="L98" s="96" t="s">
        <v>366</v>
      </c>
      <c r="M98" s="96" t="s">
        <v>160</v>
      </c>
      <c r="N98" s="103">
        <v>1</v>
      </c>
      <c r="O98" s="112">
        <v>9.2592592592592585E-4</v>
      </c>
    </row>
    <row r="99" spans="1:15" ht="54" customHeight="1" thickTop="1" thickBot="1">
      <c r="B99" s="109" t="s">
        <v>21</v>
      </c>
      <c r="C99" s="103" t="s">
        <v>367</v>
      </c>
      <c r="D99" s="103" t="s">
        <v>368</v>
      </c>
      <c r="E99" s="110" t="s">
        <v>22</v>
      </c>
      <c r="F99" s="110"/>
      <c r="G99" s="110"/>
      <c r="H99" s="113"/>
      <c r="I99" s="96" t="s">
        <v>56</v>
      </c>
      <c r="J99" s="96" t="s">
        <v>57</v>
      </c>
      <c r="K99" s="96">
        <v>0</v>
      </c>
      <c r="L99" s="96" t="s">
        <v>369</v>
      </c>
      <c r="M99" s="96" t="s">
        <v>351</v>
      </c>
      <c r="N99" s="103">
        <v>1</v>
      </c>
      <c r="O99" s="112">
        <v>1.1574074074074073E-4</v>
      </c>
    </row>
    <row r="100" spans="1:15" ht="54" customHeight="1" thickTop="1" thickBot="1">
      <c r="B100" s="109" t="s">
        <v>21</v>
      </c>
      <c r="C100" s="103" t="s">
        <v>370</v>
      </c>
      <c r="D100" s="103" t="s">
        <v>371</v>
      </c>
      <c r="E100" s="110" t="s">
        <v>22</v>
      </c>
      <c r="F100" s="110"/>
      <c r="G100" s="110"/>
      <c r="H100" s="113"/>
      <c r="I100" s="96" t="s">
        <v>85</v>
      </c>
      <c r="J100" s="96" t="s">
        <v>57</v>
      </c>
      <c r="K100" s="96">
        <v>0</v>
      </c>
      <c r="L100" s="96" t="s">
        <v>372</v>
      </c>
      <c r="M100" s="96" t="s">
        <v>120</v>
      </c>
      <c r="N100" s="103">
        <v>1</v>
      </c>
      <c r="O100" s="112">
        <v>6.9444444444444447E-4</v>
      </c>
    </row>
    <row r="101" spans="1:15" ht="54" customHeight="1" thickTop="1" thickBot="1">
      <c r="B101" s="109" t="s">
        <v>21</v>
      </c>
      <c r="C101" s="103" t="s">
        <v>373</v>
      </c>
      <c r="D101" s="103" t="s">
        <v>374</v>
      </c>
      <c r="E101" s="110" t="s">
        <v>22</v>
      </c>
      <c r="F101" s="110"/>
      <c r="G101" s="110"/>
      <c r="H101" s="113"/>
      <c r="I101" s="96" t="s">
        <v>56</v>
      </c>
      <c r="J101" s="96" t="s">
        <v>131</v>
      </c>
      <c r="K101" s="96">
        <v>0</v>
      </c>
      <c r="L101" s="96" t="s">
        <v>375</v>
      </c>
      <c r="M101" s="96" t="s">
        <v>104</v>
      </c>
      <c r="N101" s="103">
        <v>1</v>
      </c>
      <c r="O101" s="112">
        <v>6.9444444444444447E-4</v>
      </c>
    </row>
    <row r="102" spans="1:15" ht="54" customHeight="1" thickTop="1" thickBot="1">
      <c r="B102" s="109" t="s">
        <v>21</v>
      </c>
      <c r="C102" s="103" t="s">
        <v>376</v>
      </c>
      <c r="D102" s="103" t="s">
        <v>377</v>
      </c>
      <c r="E102" s="110" t="s">
        <v>22</v>
      </c>
      <c r="F102" s="110"/>
      <c r="G102" s="110"/>
      <c r="H102" s="113"/>
      <c r="I102" s="96" t="s">
        <v>56</v>
      </c>
      <c r="J102" s="96" t="s">
        <v>131</v>
      </c>
      <c r="K102" s="96">
        <v>0</v>
      </c>
      <c r="L102" s="96" t="s">
        <v>378</v>
      </c>
      <c r="M102" s="96" t="s">
        <v>104</v>
      </c>
      <c r="N102" s="103">
        <v>1</v>
      </c>
      <c r="O102" s="112">
        <v>4.0509259259259258E-4</v>
      </c>
    </row>
    <row r="103" spans="1:15" ht="54" customHeight="1" thickTop="1" thickBot="1">
      <c r="B103" s="109" t="s">
        <v>21</v>
      </c>
      <c r="C103" s="103" t="s">
        <v>379</v>
      </c>
      <c r="D103" s="103" t="s">
        <v>380</v>
      </c>
      <c r="E103" s="110" t="s">
        <v>22</v>
      </c>
      <c r="F103" s="110"/>
      <c r="G103" s="110"/>
      <c r="H103" s="113"/>
      <c r="I103" s="96" t="s">
        <v>130</v>
      </c>
      <c r="J103" s="96" t="s">
        <v>57</v>
      </c>
      <c r="K103" s="96">
        <v>0</v>
      </c>
      <c r="L103" s="96" t="s">
        <v>381</v>
      </c>
      <c r="M103" s="96" t="s">
        <v>143</v>
      </c>
      <c r="N103" s="103">
        <v>2</v>
      </c>
      <c r="O103" s="112">
        <v>1.3888888888888889E-3</v>
      </c>
    </row>
    <row r="104" spans="1:15" ht="54" customHeight="1" thickTop="1" thickBot="1">
      <c r="B104" s="109" t="s">
        <v>21</v>
      </c>
      <c r="C104" s="103" t="s">
        <v>382</v>
      </c>
      <c r="D104" s="103" t="s">
        <v>383</v>
      </c>
      <c r="E104" s="110" t="s">
        <v>22</v>
      </c>
      <c r="F104" s="110"/>
      <c r="G104" s="110"/>
      <c r="H104" s="113"/>
      <c r="I104" s="96" t="s">
        <v>130</v>
      </c>
      <c r="J104" s="96" t="s">
        <v>57</v>
      </c>
      <c r="K104" s="96">
        <v>0</v>
      </c>
      <c r="L104" s="96" t="s">
        <v>384</v>
      </c>
      <c r="M104" s="96" t="s">
        <v>385</v>
      </c>
      <c r="N104" s="103">
        <v>2</v>
      </c>
      <c r="O104" s="112">
        <v>1.736111111111111E-3</v>
      </c>
    </row>
    <row r="105" spans="1:15" ht="54" customHeight="1" thickTop="1" thickBot="1">
      <c r="A105" s="72"/>
      <c r="B105" s="73" t="s">
        <v>21</v>
      </c>
      <c r="C105" s="74" t="s">
        <v>386</v>
      </c>
      <c r="D105" s="74" t="s">
        <v>387</v>
      </c>
      <c r="E105" s="75" t="s">
        <v>12</v>
      </c>
      <c r="F105" s="75" t="s">
        <v>22</v>
      </c>
      <c r="G105" s="75" t="s">
        <v>388</v>
      </c>
      <c r="H105" s="76">
        <v>45702</v>
      </c>
      <c r="I105" s="96" t="s">
        <v>56</v>
      </c>
      <c r="J105" s="96" t="s">
        <v>57</v>
      </c>
      <c r="K105" s="96">
        <v>0</v>
      </c>
      <c r="L105" s="96" t="s">
        <v>389</v>
      </c>
      <c r="M105" s="96" t="s">
        <v>143</v>
      </c>
      <c r="N105" s="74">
        <v>1</v>
      </c>
      <c r="O105" s="77">
        <v>6.9444444444444447E-4</v>
      </c>
    </row>
    <row r="106" spans="1:15" ht="54" customHeight="1" thickTop="1" thickBot="1">
      <c r="B106" s="109" t="s">
        <v>21</v>
      </c>
      <c r="C106" s="103" t="s">
        <v>390</v>
      </c>
      <c r="D106" s="103" t="s">
        <v>391</v>
      </c>
      <c r="E106" s="110" t="s">
        <v>22</v>
      </c>
      <c r="F106" s="110"/>
      <c r="G106" s="110"/>
      <c r="H106" s="113"/>
      <c r="I106" s="96" t="s">
        <v>56</v>
      </c>
      <c r="J106" s="96" t="s">
        <v>57</v>
      </c>
      <c r="K106" s="96">
        <v>0</v>
      </c>
      <c r="L106" s="96" t="s">
        <v>392</v>
      </c>
      <c r="M106" s="96" t="s">
        <v>143</v>
      </c>
      <c r="N106" s="103">
        <v>2</v>
      </c>
      <c r="O106" s="112">
        <v>3.4722222222222224E-4</v>
      </c>
    </row>
    <row r="107" spans="1:15" ht="54" customHeight="1" thickTop="1" thickBot="1">
      <c r="B107" s="109" t="s">
        <v>21</v>
      </c>
      <c r="C107" s="103" t="s">
        <v>393</v>
      </c>
      <c r="D107" s="103" t="s">
        <v>394</v>
      </c>
      <c r="E107" s="110" t="s">
        <v>22</v>
      </c>
      <c r="F107" s="110"/>
      <c r="G107" s="110"/>
      <c r="H107" s="113"/>
      <c r="I107" s="96" t="s">
        <v>85</v>
      </c>
      <c r="J107" s="96" t="s">
        <v>57</v>
      </c>
      <c r="K107" s="96">
        <v>0</v>
      </c>
      <c r="L107" s="96" t="s">
        <v>395</v>
      </c>
      <c r="M107" s="96" t="s">
        <v>120</v>
      </c>
      <c r="N107" s="103">
        <v>2</v>
      </c>
      <c r="O107" s="112">
        <v>6.9444444444444447E-4</v>
      </c>
    </row>
    <row r="108" spans="1:15" ht="54" customHeight="1" thickTop="1" thickBot="1">
      <c r="A108" s="72"/>
      <c r="B108" s="73" t="s">
        <v>21</v>
      </c>
      <c r="C108" s="74" t="s">
        <v>396</v>
      </c>
      <c r="D108" s="74" t="s">
        <v>397</v>
      </c>
      <c r="E108" s="75" t="s">
        <v>12</v>
      </c>
      <c r="F108" s="75" t="s">
        <v>22</v>
      </c>
      <c r="G108" s="75" t="s">
        <v>321</v>
      </c>
      <c r="H108" s="76">
        <v>45700</v>
      </c>
      <c r="I108" s="96" t="s">
        <v>56</v>
      </c>
      <c r="J108" s="96" t="s">
        <v>57</v>
      </c>
      <c r="K108" s="96">
        <v>0</v>
      </c>
      <c r="L108" s="96" t="s">
        <v>398</v>
      </c>
      <c r="M108" s="96" t="s">
        <v>143</v>
      </c>
      <c r="N108" s="74">
        <v>2</v>
      </c>
      <c r="O108" s="77">
        <v>6.9444444444444447E-4</v>
      </c>
    </row>
    <row r="109" spans="1:15" ht="54" customHeight="1" thickTop="1" thickBot="1">
      <c r="B109" s="109" t="s">
        <v>21</v>
      </c>
      <c r="C109" s="103" t="s">
        <v>399</v>
      </c>
      <c r="D109" s="103" t="s">
        <v>400</v>
      </c>
      <c r="E109" s="110" t="s">
        <v>22</v>
      </c>
      <c r="F109" s="110"/>
      <c r="G109" s="110"/>
      <c r="H109" s="113"/>
      <c r="I109" s="96" t="s">
        <v>85</v>
      </c>
      <c r="J109" s="96" t="s">
        <v>57</v>
      </c>
      <c r="K109" s="96">
        <v>0</v>
      </c>
      <c r="L109" s="96" t="s">
        <v>401</v>
      </c>
      <c r="M109" s="96" t="s">
        <v>104</v>
      </c>
      <c r="N109" s="103">
        <v>4</v>
      </c>
      <c r="O109" s="112">
        <v>2.0833333333333333E-3</v>
      </c>
    </row>
    <row r="110" spans="1:15" ht="54" customHeight="1" thickTop="1" thickBot="1">
      <c r="B110" s="109" t="s">
        <v>21</v>
      </c>
      <c r="C110" s="103" t="s">
        <v>402</v>
      </c>
      <c r="D110" s="103" t="s">
        <v>403</v>
      </c>
      <c r="E110" s="110" t="s">
        <v>22</v>
      </c>
      <c r="F110" s="110"/>
      <c r="G110" s="110"/>
      <c r="H110" s="113"/>
      <c r="I110" s="96" t="s">
        <v>56</v>
      </c>
      <c r="J110" s="96" t="s">
        <v>57</v>
      </c>
      <c r="K110" s="96">
        <v>0</v>
      </c>
      <c r="L110" s="96" t="s">
        <v>404</v>
      </c>
      <c r="M110" s="96" t="s">
        <v>104</v>
      </c>
      <c r="N110" s="103">
        <v>2</v>
      </c>
      <c r="O110" s="112">
        <v>6.9444444444444447E-4</v>
      </c>
    </row>
    <row r="111" spans="1:15" ht="54" customHeight="1" thickTop="1" thickBot="1">
      <c r="A111" s="72"/>
      <c r="B111" s="73" t="s">
        <v>21</v>
      </c>
      <c r="C111" s="74" t="s">
        <v>405</v>
      </c>
      <c r="D111" s="74" t="s">
        <v>406</v>
      </c>
      <c r="E111" s="75" t="s">
        <v>12</v>
      </c>
      <c r="F111" s="75" t="s">
        <v>22</v>
      </c>
      <c r="G111" s="75" t="s">
        <v>321</v>
      </c>
      <c r="H111" s="76">
        <v>45700</v>
      </c>
      <c r="I111" s="96" t="s">
        <v>56</v>
      </c>
      <c r="J111" s="96" t="s">
        <v>57</v>
      </c>
      <c r="K111" s="96">
        <v>0</v>
      </c>
      <c r="L111" s="96" t="s">
        <v>407</v>
      </c>
      <c r="M111" s="96" t="s">
        <v>143</v>
      </c>
      <c r="N111" s="74">
        <v>2</v>
      </c>
      <c r="O111" s="77">
        <v>6.9444444444444447E-4</v>
      </c>
    </row>
    <row r="112" spans="1:15" ht="54" customHeight="1" thickTop="1" thickBot="1">
      <c r="B112" s="109" t="s">
        <v>21</v>
      </c>
      <c r="C112" s="103" t="s">
        <v>408</v>
      </c>
      <c r="D112" s="103" t="s">
        <v>409</v>
      </c>
      <c r="E112" s="110" t="s">
        <v>22</v>
      </c>
      <c r="F112" s="110"/>
      <c r="G112" s="110"/>
      <c r="H112" s="113"/>
      <c r="I112" s="96" t="s">
        <v>85</v>
      </c>
      <c r="J112" s="96" t="s">
        <v>131</v>
      </c>
      <c r="K112" s="96">
        <v>0</v>
      </c>
      <c r="L112" s="96" t="s">
        <v>410</v>
      </c>
      <c r="M112" s="96" t="s">
        <v>104</v>
      </c>
      <c r="N112" s="103">
        <v>2</v>
      </c>
      <c r="O112" s="112">
        <v>1.3888888888888889E-3</v>
      </c>
    </row>
    <row r="113" spans="2:16" ht="54" customHeight="1" thickTop="1" thickBot="1">
      <c r="B113" s="114" t="s">
        <v>21</v>
      </c>
      <c r="C113" s="115" t="s">
        <v>411</v>
      </c>
      <c r="D113" s="115" t="s">
        <v>400</v>
      </c>
      <c r="E113" s="116" t="s">
        <v>22</v>
      </c>
      <c r="F113" s="116"/>
      <c r="G113" s="116"/>
      <c r="H113" s="119"/>
      <c r="I113" s="96" t="s">
        <v>85</v>
      </c>
      <c r="J113" s="96" t="s">
        <v>57</v>
      </c>
      <c r="K113" s="96">
        <v>0</v>
      </c>
      <c r="L113" s="96" t="s">
        <v>401</v>
      </c>
      <c r="M113" s="96" t="s">
        <v>104</v>
      </c>
      <c r="N113" s="115">
        <v>2</v>
      </c>
      <c r="O113" s="117">
        <v>6.9444444444444447E-4</v>
      </c>
    </row>
    <row r="114" spans="2:16" ht="54" customHeight="1" thickTop="1" thickBot="1">
      <c r="B114" s="104" t="s">
        <v>25</v>
      </c>
      <c r="C114" s="105" t="s">
        <v>412</v>
      </c>
      <c r="D114" s="105" t="s">
        <v>413</v>
      </c>
      <c r="E114" s="106" t="s">
        <v>22</v>
      </c>
      <c r="F114" s="106"/>
      <c r="G114" s="106"/>
      <c r="H114" s="118"/>
      <c r="I114" s="96" t="s">
        <v>130</v>
      </c>
      <c r="J114" s="96" t="s">
        <v>57</v>
      </c>
      <c r="K114" s="96">
        <v>0</v>
      </c>
      <c r="L114" s="96" t="s">
        <v>414</v>
      </c>
      <c r="M114" s="96" t="s">
        <v>104</v>
      </c>
      <c r="N114" s="105">
        <v>1</v>
      </c>
      <c r="O114" s="108">
        <v>6.9444444444444447E-4</v>
      </c>
    </row>
    <row r="115" spans="2:16" ht="54" customHeight="1" thickTop="1" thickBot="1">
      <c r="B115" s="109" t="s">
        <v>25</v>
      </c>
      <c r="C115" s="103" t="s">
        <v>415</v>
      </c>
      <c r="D115" s="103" t="s">
        <v>416</v>
      </c>
      <c r="E115" s="110" t="s">
        <v>22</v>
      </c>
      <c r="F115" s="110"/>
      <c r="G115" s="110"/>
      <c r="H115" s="113"/>
      <c r="I115" s="96" t="s">
        <v>130</v>
      </c>
      <c r="J115" s="96" t="s">
        <v>57</v>
      </c>
      <c r="K115" s="96">
        <v>0</v>
      </c>
      <c r="L115" s="96" t="s">
        <v>417</v>
      </c>
      <c r="M115" s="96" t="s">
        <v>234</v>
      </c>
      <c r="N115" s="103">
        <v>1</v>
      </c>
      <c r="O115" s="112">
        <v>4.6296296296296293E-4</v>
      </c>
    </row>
    <row r="116" spans="2:16" ht="54" customHeight="1" thickTop="1" thickBot="1">
      <c r="B116" s="109" t="s">
        <v>25</v>
      </c>
      <c r="C116" s="103" t="s">
        <v>418</v>
      </c>
      <c r="D116" s="103" t="s">
        <v>419</v>
      </c>
      <c r="E116" s="110" t="s">
        <v>22</v>
      </c>
      <c r="F116" s="110"/>
      <c r="G116" s="110"/>
      <c r="H116" s="113"/>
      <c r="I116" s="96" t="s">
        <v>130</v>
      </c>
      <c r="J116" s="96" t="s">
        <v>57</v>
      </c>
      <c r="K116" s="96">
        <v>0</v>
      </c>
      <c r="L116" s="96" t="s">
        <v>420</v>
      </c>
      <c r="M116" s="96" t="s">
        <v>234</v>
      </c>
      <c r="N116" s="103">
        <v>1</v>
      </c>
      <c r="O116" s="112">
        <v>6.9444444444444447E-4</v>
      </c>
    </row>
    <row r="117" spans="2:16" ht="54" customHeight="1" thickTop="1" thickBot="1">
      <c r="B117" s="109" t="s">
        <v>25</v>
      </c>
      <c r="C117" s="103" t="s">
        <v>421</v>
      </c>
      <c r="D117" s="103" t="s">
        <v>422</v>
      </c>
      <c r="E117" s="110" t="s">
        <v>22</v>
      </c>
      <c r="F117" s="110"/>
      <c r="G117" s="110"/>
      <c r="H117" s="113"/>
      <c r="I117" s="96" t="s">
        <v>130</v>
      </c>
      <c r="J117" s="96" t="s">
        <v>57</v>
      </c>
      <c r="K117" s="96">
        <v>0</v>
      </c>
      <c r="L117" s="96" t="s">
        <v>423</v>
      </c>
      <c r="M117" s="96" t="s">
        <v>424</v>
      </c>
      <c r="N117" s="103">
        <v>1</v>
      </c>
      <c r="O117" s="112">
        <v>6.9444444444444447E-4</v>
      </c>
    </row>
    <row r="118" spans="2:16" ht="54" customHeight="1" thickTop="1" thickBot="1">
      <c r="B118" s="109" t="s">
        <v>25</v>
      </c>
      <c r="C118" s="103" t="s">
        <v>425</v>
      </c>
      <c r="D118" s="103" t="s">
        <v>426</v>
      </c>
      <c r="E118" s="110" t="s">
        <v>22</v>
      </c>
      <c r="F118" s="110"/>
      <c r="G118" s="110"/>
      <c r="H118" s="113"/>
      <c r="I118" s="96" t="s">
        <v>130</v>
      </c>
      <c r="J118" s="96" t="s">
        <v>57</v>
      </c>
      <c r="K118" s="96">
        <v>0</v>
      </c>
      <c r="L118" s="96" t="s">
        <v>427</v>
      </c>
      <c r="M118" s="96" t="s">
        <v>424</v>
      </c>
      <c r="N118" s="103">
        <v>1</v>
      </c>
      <c r="O118" s="112">
        <v>6.9444444444444447E-4</v>
      </c>
    </row>
    <row r="119" spans="2:16" ht="54" customHeight="1" thickTop="1" thickBot="1">
      <c r="B119" s="109" t="s">
        <v>25</v>
      </c>
      <c r="C119" s="103" t="s">
        <v>428</v>
      </c>
      <c r="D119" s="103" t="s">
        <v>429</v>
      </c>
      <c r="E119" s="110" t="s">
        <v>22</v>
      </c>
      <c r="F119" s="110"/>
      <c r="G119" s="110"/>
      <c r="H119" s="113"/>
      <c r="I119" s="96" t="s">
        <v>130</v>
      </c>
      <c r="J119" s="96" t="s">
        <v>57</v>
      </c>
      <c r="K119" s="96">
        <v>0</v>
      </c>
      <c r="L119" s="96" t="s">
        <v>430</v>
      </c>
      <c r="M119" s="96" t="s">
        <v>424</v>
      </c>
      <c r="N119" s="103">
        <v>1</v>
      </c>
      <c r="O119" s="112">
        <v>3.4722222222222224E-4</v>
      </c>
    </row>
    <row r="120" spans="2:16" ht="54" customHeight="1" thickTop="1" thickBot="1">
      <c r="B120" s="109" t="s">
        <v>25</v>
      </c>
      <c r="C120" s="103" t="s">
        <v>431</v>
      </c>
      <c r="D120" s="103" t="s">
        <v>432</v>
      </c>
      <c r="E120" s="110" t="s">
        <v>22</v>
      </c>
      <c r="F120" s="110"/>
      <c r="G120" s="110"/>
      <c r="H120" s="113"/>
      <c r="I120" s="96" t="s">
        <v>130</v>
      </c>
      <c r="J120" s="96" t="s">
        <v>57</v>
      </c>
      <c r="K120" s="96">
        <v>0</v>
      </c>
      <c r="L120" s="96" t="s">
        <v>433</v>
      </c>
      <c r="M120" s="96" t="s">
        <v>234</v>
      </c>
      <c r="N120" s="103">
        <v>1</v>
      </c>
      <c r="O120" s="112">
        <v>6.9444444444444447E-4</v>
      </c>
    </row>
    <row r="121" spans="2:16" ht="54" customHeight="1" thickTop="1" thickBot="1">
      <c r="B121" s="109" t="s">
        <v>25</v>
      </c>
      <c r="C121" s="103" t="s">
        <v>434</v>
      </c>
      <c r="D121" s="103" t="s">
        <v>435</v>
      </c>
      <c r="E121" s="110" t="s">
        <v>22</v>
      </c>
      <c r="F121" s="110"/>
      <c r="G121" s="110"/>
      <c r="H121" s="113"/>
      <c r="I121" s="96" t="s">
        <v>130</v>
      </c>
      <c r="J121" s="96" t="s">
        <v>57</v>
      </c>
      <c r="K121" s="96">
        <v>0</v>
      </c>
      <c r="L121" s="96" t="s">
        <v>436</v>
      </c>
      <c r="M121" s="96" t="s">
        <v>234</v>
      </c>
      <c r="N121" s="103">
        <v>2</v>
      </c>
      <c r="O121" s="112">
        <v>1.0416666666666667E-3</v>
      </c>
    </row>
    <row r="122" spans="2:16" ht="54" customHeight="1" thickTop="1" thickBot="1">
      <c r="B122" s="109" t="s">
        <v>25</v>
      </c>
      <c r="C122" s="103" t="s">
        <v>437</v>
      </c>
      <c r="D122" s="103" t="s">
        <v>438</v>
      </c>
      <c r="E122" s="110" t="s">
        <v>22</v>
      </c>
      <c r="F122" s="110"/>
      <c r="G122" s="110"/>
      <c r="H122" s="113"/>
      <c r="I122" s="96" t="s">
        <v>130</v>
      </c>
      <c r="J122" s="96" t="s">
        <v>57</v>
      </c>
      <c r="K122" s="96">
        <v>0</v>
      </c>
      <c r="L122" s="96" t="s">
        <v>439</v>
      </c>
      <c r="M122" s="96" t="s">
        <v>234</v>
      </c>
      <c r="N122" s="103">
        <v>1</v>
      </c>
      <c r="O122" s="112">
        <v>1.0416666666666667E-3</v>
      </c>
    </row>
    <row r="123" spans="2:16" ht="54" customHeight="1" thickTop="1" thickBot="1">
      <c r="B123" s="109" t="s">
        <v>25</v>
      </c>
      <c r="C123" s="103" t="s">
        <v>440</v>
      </c>
      <c r="D123" s="103" t="s">
        <v>441</v>
      </c>
      <c r="E123" s="110" t="s">
        <v>22</v>
      </c>
      <c r="F123" s="110"/>
      <c r="G123" s="110"/>
      <c r="H123" s="113"/>
      <c r="I123" s="96" t="s">
        <v>130</v>
      </c>
      <c r="J123" s="96" t="s">
        <v>57</v>
      </c>
      <c r="K123" s="96">
        <v>0</v>
      </c>
      <c r="L123" s="96" t="s">
        <v>442</v>
      </c>
      <c r="M123" s="96" t="s">
        <v>143</v>
      </c>
      <c r="N123" s="103">
        <v>1</v>
      </c>
      <c r="O123" s="112">
        <v>1.0416666666666667E-3</v>
      </c>
    </row>
    <row r="124" spans="2:16" ht="54" customHeight="1" thickTop="1" thickBot="1">
      <c r="B124" s="109" t="s">
        <v>25</v>
      </c>
      <c r="C124" s="103" t="s">
        <v>443</v>
      </c>
      <c r="D124" s="103" t="s">
        <v>444</v>
      </c>
      <c r="E124" s="110" t="s">
        <v>22</v>
      </c>
      <c r="F124" s="110"/>
      <c r="G124" s="110"/>
      <c r="H124" s="113"/>
      <c r="I124" s="96" t="s">
        <v>85</v>
      </c>
      <c r="J124" s="96" t="s">
        <v>57</v>
      </c>
      <c r="K124" s="96">
        <v>0</v>
      </c>
      <c r="L124" s="96" t="s">
        <v>445</v>
      </c>
      <c r="M124" s="96" t="s">
        <v>446</v>
      </c>
      <c r="N124" s="103">
        <v>2</v>
      </c>
      <c r="O124" s="112">
        <v>6.9444444444444447E-4</v>
      </c>
    </row>
    <row r="125" spans="2:16" ht="54" customHeight="1" thickTop="1" thickBot="1">
      <c r="B125" s="109" t="s">
        <v>25</v>
      </c>
      <c r="C125" s="103" t="s">
        <v>447</v>
      </c>
      <c r="D125" s="103" t="s">
        <v>448</v>
      </c>
      <c r="E125" s="110" t="s">
        <v>22</v>
      </c>
      <c r="F125" s="110"/>
      <c r="G125" s="110"/>
      <c r="H125" s="113"/>
      <c r="I125" s="96" t="s">
        <v>85</v>
      </c>
      <c r="J125" s="96" t="s">
        <v>131</v>
      </c>
      <c r="K125" s="96">
        <v>0</v>
      </c>
      <c r="L125" s="96" t="s">
        <v>378</v>
      </c>
      <c r="M125" s="96" t="s">
        <v>104</v>
      </c>
      <c r="N125" s="103">
        <v>3</v>
      </c>
      <c r="O125" s="112">
        <v>1.736111111111111E-3</v>
      </c>
    </row>
    <row r="126" spans="2:16" ht="54" customHeight="1" thickTop="1" thickBot="1">
      <c r="B126" s="109" t="s">
        <v>25</v>
      </c>
      <c r="C126" s="103" t="s">
        <v>449</v>
      </c>
      <c r="D126" s="103" t="s">
        <v>450</v>
      </c>
      <c r="E126" s="110" t="s">
        <v>22</v>
      </c>
      <c r="F126" s="110"/>
      <c r="G126" s="110"/>
      <c r="H126" s="113"/>
      <c r="I126" s="96" t="s">
        <v>56</v>
      </c>
      <c r="J126" s="96" t="s">
        <v>57</v>
      </c>
      <c r="K126" s="96">
        <v>0</v>
      </c>
      <c r="L126" s="96" t="s">
        <v>451</v>
      </c>
      <c r="M126" s="96" t="s">
        <v>452</v>
      </c>
      <c r="N126" s="103">
        <v>2</v>
      </c>
      <c r="O126" s="112">
        <v>6.9444444444444447E-4</v>
      </c>
    </row>
    <row r="127" spans="2:16" ht="54" customHeight="1" thickTop="1" thickBot="1">
      <c r="B127" s="114" t="s">
        <v>25</v>
      </c>
      <c r="C127" s="115" t="s">
        <v>453</v>
      </c>
      <c r="D127" s="115" t="s">
        <v>454</v>
      </c>
      <c r="E127" s="116" t="s">
        <v>22</v>
      </c>
      <c r="F127" s="116"/>
      <c r="G127" s="115"/>
      <c r="H127" s="121"/>
      <c r="I127" s="96" t="s">
        <v>56</v>
      </c>
      <c r="J127" s="96" t="s">
        <v>57</v>
      </c>
      <c r="K127" s="96">
        <v>0</v>
      </c>
      <c r="L127" s="96" t="s">
        <v>451</v>
      </c>
      <c r="M127" s="96" t="s">
        <v>452</v>
      </c>
      <c r="N127" s="115">
        <v>2</v>
      </c>
      <c r="O127" s="117">
        <v>6.9444444444444447E-4</v>
      </c>
    </row>
    <row r="128" spans="2:16" ht="66" customHeight="1" thickTop="1" thickBot="1">
      <c r="B128" s="122" t="s">
        <v>455</v>
      </c>
      <c r="C128" s="123" t="s">
        <v>456</v>
      </c>
      <c r="D128" s="123" t="s">
        <v>457</v>
      </c>
      <c r="E128" s="123" t="s">
        <v>22</v>
      </c>
      <c r="F128" s="123"/>
      <c r="G128" s="123"/>
      <c r="H128" s="123"/>
      <c r="I128" s="96" t="s">
        <v>85</v>
      </c>
      <c r="J128" s="96" t="s">
        <v>131</v>
      </c>
      <c r="K128" s="96">
        <v>0</v>
      </c>
      <c r="L128" s="96" t="s">
        <v>458</v>
      </c>
      <c r="M128" s="96" t="s">
        <v>459</v>
      </c>
      <c r="N128" s="124">
        <v>2</v>
      </c>
      <c r="O128" s="125">
        <v>2.0013888888888891</v>
      </c>
      <c r="P128" s="126"/>
    </row>
    <row r="129" ht="15.75" thickTop="1"/>
  </sheetData>
  <autoFilter ref="A2:O128" xr:uid="{F9976FA7-4D4F-48EE-A7BD-4E9E5B149848}"/>
  <phoneticPr fontId="8" type="noConversion"/>
  <conditionalFormatting sqref="C3:F19 C20:D22 G70:H81 G66:H66 G26:H64 C41:D51 G4:H22 G83:H127 G3:M3 I4:M128 C53:D62 C52 C65:D78 C63:C64 C80:D88 C79 C90:D105 C107:D112 C106 C114:D127 C113">
    <cfRule type="expression" dxfId="339" priority="49">
      <formula>AND(OR($F3="No",$F3=""), $E3= "Yes",$G3&lt;&gt;"",$H3&lt;&gt;"")</formula>
    </cfRule>
  </conditionalFormatting>
  <conditionalFormatting sqref="C26:D26 C35:D40 E21:F21">
    <cfRule type="expression" dxfId="338" priority="153">
      <formula>AND(OR($F22="No",$F22=""), $E21= "Yes",$G21&lt;&gt;"",$H21&lt;&gt;"")</formula>
    </cfRule>
  </conditionalFormatting>
  <conditionalFormatting sqref="C27:D34">
    <cfRule type="expression" dxfId="337" priority="46">
      <formula>AND(OR($F28="No",$F28=""), $E27= "Yes",$G27&lt;&gt;"",$H27&lt;&gt;"")</formula>
    </cfRule>
  </conditionalFormatting>
  <conditionalFormatting sqref="E70:F81 E66:F66 E26:F64 E83:F127">
    <cfRule type="expression" dxfId="336" priority="37">
      <formula>AND(OR($F26="No",$F26=""), $E26= "Yes",$G26&lt;&gt;"",$H26&lt;&gt;"")</formula>
    </cfRule>
    <cfRule type="expression" dxfId="335" priority="38">
      <formula>AND(OR($E26="No",$E26=""), $F26= "Yes",$G26&lt;&gt;"",$H26&lt;&gt;"")</formula>
    </cfRule>
  </conditionalFormatting>
  <conditionalFormatting sqref="E20:F20">
    <cfRule type="expression" dxfId="334" priority="35">
      <formula>AND(OR($F21="No",$F21=""), $E20= "Yes",$G20&lt;&gt;"",$H20&lt;&gt;"")</formula>
    </cfRule>
  </conditionalFormatting>
  <conditionalFormatting sqref="G67:H67">
    <cfRule type="expression" dxfId="333" priority="34">
      <formula>AND(OR($F67="No",$F67=""), $E67= "Yes",$G67&lt;&gt;"",$H67&lt;&gt;"")</formula>
    </cfRule>
  </conditionalFormatting>
  <conditionalFormatting sqref="E67:F67">
    <cfRule type="expression" dxfId="332" priority="32">
      <formula>AND(OR($F67="No",$F67=""), $E67= "Yes",$G67&lt;&gt;"",$H67&lt;&gt;"")</formula>
    </cfRule>
    <cfRule type="expression" dxfId="331" priority="33">
      <formula>AND(OR($E67="No",$E67=""), $F67= "Yes",$G67&lt;&gt;"",$H67&lt;&gt;"")</formula>
    </cfRule>
  </conditionalFormatting>
  <conditionalFormatting sqref="G82:H82">
    <cfRule type="expression" dxfId="330" priority="31">
      <formula>AND(OR($F82="No",$F82=""), $E82= "Yes",$G82&lt;&gt;"",$H82&lt;&gt;"")</formula>
    </cfRule>
  </conditionalFormatting>
  <conditionalFormatting sqref="E82:F82">
    <cfRule type="expression" dxfId="329" priority="29">
      <formula>AND(OR($F82="No",$F82=""), $E82= "Yes",$G82&lt;&gt;"",$H82&lt;&gt;"")</formula>
    </cfRule>
    <cfRule type="expression" dxfId="328" priority="30">
      <formula>AND(OR($E82="No",$E82=""), $F82= "Yes",$G82&lt;&gt;"",$H82&lt;&gt;"")</formula>
    </cfRule>
  </conditionalFormatting>
  <conditionalFormatting sqref="G65:H65">
    <cfRule type="expression" dxfId="327" priority="28">
      <formula>AND(OR($F65="No",$F65=""), $E65= "Yes",$G65&lt;&gt;"",$H65&lt;&gt;"")</formula>
    </cfRule>
  </conditionalFormatting>
  <conditionalFormatting sqref="E65:F65">
    <cfRule type="expression" dxfId="326" priority="26">
      <formula>AND(OR($F65="No",$F65=""), $E65= "Yes",$G65&lt;&gt;"",$H65&lt;&gt;"")</formula>
    </cfRule>
    <cfRule type="expression" dxfId="325" priority="27">
      <formula>AND(OR($E65="No",$E65=""), $F65= "Yes",$G65&lt;&gt;"",$H65&lt;&gt;"")</formula>
    </cfRule>
  </conditionalFormatting>
  <conditionalFormatting sqref="G68:H68">
    <cfRule type="expression" dxfId="324" priority="25">
      <formula>AND(OR($F68="No",$F68=""), $E68= "Yes",$G68&lt;&gt;"",$H68&lt;&gt;"")</formula>
    </cfRule>
  </conditionalFormatting>
  <conditionalFormatting sqref="E68:F68">
    <cfRule type="expression" dxfId="323" priority="23">
      <formula>AND(OR($F68="No",$F68=""), $E68= "Yes",$G68&lt;&gt;"",$H68&lt;&gt;"")</formula>
    </cfRule>
    <cfRule type="expression" dxfId="322" priority="24">
      <formula>AND(OR($E68="No",$E68=""), $F68= "Yes",$G68&lt;&gt;"",$H68&lt;&gt;"")</formula>
    </cfRule>
  </conditionalFormatting>
  <conditionalFormatting sqref="G69:H69">
    <cfRule type="expression" dxfId="321" priority="22">
      <formula>AND(OR($F69="No",$F69=""), $E69= "Yes",$G69&lt;&gt;"",$H69&lt;&gt;"")</formula>
    </cfRule>
  </conditionalFormatting>
  <conditionalFormatting sqref="E69:F69">
    <cfRule type="expression" dxfId="320" priority="20">
      <formula>AND(OR($F69="No",$F69=""), $E69= "Yes",$G69&lt;&gt;"",$H69&lt;&gt;"")</formula>
    </cfRule>
    <cfRule type="expression" dxfId="319" priority="21">
      <formula>AND(OR($E69="No",$E69=""), $F69= "Yes",$G69&lt;&gt;"",$H69&lt;&gt;"")</formula>
    </cfRule>
  </conditionalFormatting>
  <conditionalFormatting sqref="A2">
    <cfRule type="expression" dxfId="318" priority="18">
      <formula>AND(OR(#REF!="No",#REF!=""), #REF!= "Yes",#REF!&lt;&gt;"",#REF!&lt;&gt;"")</formula>
    </cfRule>
    <cfRule type="expression" dxfId="317" priority="19">
      <formula>AND(OR(#REF!="No",#REF!=""), #REF!= "Yes",#REF!&lt;&gt;"",#REF!&lt;&gt;"")</formula>
    </cfRule>
  </conditionalFormatting>
  <conditionalFormatting sqref="N41:O41 N127:O127 O125:O126 N43:O46 N48:O124">
    <cfRule type="expression" dxfId="316" priority="16">
      <formula>AND(OR($E41="No",$E41=""), $D41= "Yes",$F41&lt;&gt;"",$G41&lt;&gt;"")</formula>
    </cfRule>
  </conditionalFormatting>
  <conditionalFormatting sqref="N3:O19 N21:O22 N20">
    <cfRule type="expression" dxfId="315" priority="14">
      <formula>AND(OR($E3="No",$E3=""), $D3= "Yes",$F3&lt;&gt;"",$G3&lt;&gt;"")</formula>
    </cfRule>
  </conditionalFormatting>
  <conditionalFormatting sqref="N26:O40">
    <cfRule type="expression" dxfId="314" priority="15">
      <formula>AND(OR($E27="No",$E27=""), $D26= "Yes",$F26&lt;&gt;"",$G26&lt;&gt;"")</formula>
    </cfRule>
  </conditionalFormatting>
  <conditionalFormatting sqref="N126">
    <cfRule type="expression" dxfId="313" priority="17">
      <formula>AND(OR($E125="No",$E125=""), $D125= "Yes",$F125&lt;&gt;"",$G125&lt;&gt;"")</formula>
    </cfRule>
  </conditionalFormatting>
  <conditionalFormatting sqref="O20">
    <cfRule type="expression" dxfId="312" priority="13">
      <formula>AND(OR($E20="No",$E20=""), $D20= "Yes",$F20&lt;&gt;"",$G20&lt;&gt;"")</formula>
    </cfRule>
  </conditionalFormatting>
  <conditionalFormatting sqref="N125">
    <cfRule type="expression" dxfId="311" priority="12">
      <formula>AND(OR($E125="No",$E125=""), $D125= "Yes",$F125&lt;&gt;"",$G125&lt;&gt;"")</formula>
    </cfRule>
  </conditionalFormatting>
  <conditionalFormatting sqref="N42:O42">
    <cfRule type="expression" dxfId="310" priority="11">
      <formula>AND(OR($F42="No",$F42=""), $E42= "Yes",$G42&lt;&gt;"",$H42&lt;&gt;"")</formula>
    </cfRule>
  </conditionalFormatting>
  <conditionalFormatting sqref="N23:O25 C23:H24">
    <cfRule type="expression" dxfId="309" priority="8">
      <formula>AND(OR($E23="No",$E23=""), $D23= "Yes",$F23&lt;&gt;"",$G23&lt;&gt;"")</formula>
    </cfRule>
  </conditionalFormatting>
  <conditionalFormatting sqref="C25:D25">
    <cfRule type="expression" dxfId="308" priority="7">
      <formula>AND(OR($E25="No",$E25=""), $D25= "Yes",$F25&lt;&gt;"",$G25&lt;&gt;"")</formula>
    </cfRule>
  </conditionalFormatting>
  <conditionalFormatting sqref="E22:F22">
    <cfRule type="expression" dxfId="307" priority="276">
      <formula>AND(OR($F112="No",$F112=""), $E22= "Yes",$G22&lt;&gt;"",$H22&lt;&gt;"")</formula>
    </cfRule>
  </conditionalFormatting>
  <conditionalFormatting sqref="D52">
    <cfRule type="expression" dxfId="306" priority="6">
      <formula>AND(OR($E52="No",$E52=""), $D52= "Yes",$F52&lt;&gt;"",$G52&lt;&gt;"")</formula>
    </cfRule>
  </conditionalFormatting>
  <conditionalFormatting sqref="D64">
    <cfRule type="expression" dxfId="305" priority="5">
      <formula>AND(OR($E64="No",$E64=""), $D64= "Yes",$F64&lt;&gt;"",$G64&lt;&gt;"")</formula>
    </cfRule>
  </conditionalFormatting>
  <conditionalFormatting sqref="D79">
    <cfRule type="expression" dxfId="304" priority="4">
      <formula>AND(OR($E79="No",$E79=""), $D79= "Yes",$F79&lt;&gt;"",$G79&lt;&gt;"")</formula>
    </cfRule>
  </conditionalFormatting>
  <conditionalFormatting sqref="C89:D89">
    <cfRule type="expression" dxfId="303" priority="3">
      <formula>AND(OR($E89="No",$E89=""), $D89= "Yes",$F89&lt;&gt;"",$G89&lt;&gt;"")</formula>
    </cfRule>
  </conditionalFormatting>
  <conditionalFormatting sqref="D106">
    <cfRule type="expression" dxfId="302" priority="2">
      <formula>AND(OR($F106="No",$F106=""), $E106= "Yes",$G106&lt;&gt;"",$H106&lt;&gt;"")</formula>
    </cfRule>
  </conditionalFormatting>
  <conditionalFormatting sqref="D113">
    <cfRule type="expression" dxfId="301" priority="1">
      <formula>AND(OR($E113="No",$E113=""), $D113= "Yes",$F113&lt;&gt;"",$G113&lt;&gt;"")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28"/>
  <sheetViews>
    <sheetView zoomScale="70" zoomScaleNormal="70" workbookViewId="0">
      <pane ySplit="2" topLeftCell="A44" activePane="bottomLeft" state="frozen"/>
      <selection pane="bottomLeft" activeCell="G60" sqref="G60"/>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8.88671875" style="3" customWidth="1"/>
    <col min="12" max="12" width="14.5546875" style="22" customWidth="1"/>
    <col min="13" max="13" width="8.88671875" style="3" customWidth="1"/>
    <col min="14" max="14" width="10.21875" style="3" customWidth="1"/>
    <col min="15" max="17" width="8.88671875" style="3" customWidth="1"/>
    <col min="18" max="16384" width="8.88671875" style="3"/>
  </cols>
  <sheetData>
    <row r="1" spans="1:15" ht="21" customHeight="1" thickBot="1">
      <c r="B1" s="88" t="s">
        <v>44</v>
      </c>
      <c r="C1" s="62" t="s">
        <v>460</v>
      </c>
      <c r="D1" s="23"/>
      <c r="E1" s="23"/>
      <c r="F1" s="23"/>
      <c r="G1" s="23"/>
      <c r="H1" s="23"/>
      <c r="I1" s="23"/>
      <c r="J1" s="23"/>
      <c r="K1" s="22"/>
      <c r="L1" s="23"/>
    </row>
    <row r="2" spans="1:15" s="10" customFormat="1" ht="87.95" customHeight="1" thickBot="1">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ht="54" customHeight="1" thickTop="1" thickBot="1">
      <c r="A3" s="72"/>
      <c r="B3" s="94" t="s">
        <v>11</v>
      </c>
      <c r="C3" s="95" t="s">
        <v>461</v>
      </c>
      <c r="D3" s="95" t="s">
        <v>462</v>
      </c>
      <c r="E3" s="95" t="s">
        <v>12</v>
      </c>
      <c r="F3" s="95" t="s">
        <v>22</v>
      </c>
      <c r="G3" s="95" t="s">
        <v>55</v>
      </c>
      <c r="H3" s="97" t="s">
        <v>55</v>
      </c>
      <c r="I3" s="96" t="s">
        <v>56</v>
      </c>
      <c r="J3" s="96" t="s">
        <v>57</v>
      </c>
      <c r="K3" s="96">
        <v>0</v>
      </c>
      <c r="L3" s="96" t="s">
        <v>463</v>
      </c>
      <c r="M3" s="96" t="s">
        <v>59</v>
      </c>
      <c r="N3" s="95">
        <v>2</v>
      </c>
      <c r="O3" s="98">
        <v>5.2083333333333333E-4</v>
      </c>
    </row>
    <row r="4" spans="1:15" ht="54" customHeight="1" thickTop="1" thickBot="1">
      <c r="A4" s="72"/>
      <c r="B4" s="73" t="s">
        <v>11</v>
      </c>
      <c r="C4" s="74" t="s">
        <v>464</v>
      </c>
      <c r="D4" s="74" t="s">
        <v>465</v>
      </c>
      <c r="E4" s="74" t="s">
        <v>12</v>
      </c>
      <c r="F4" s="74" t="s">
        <v>22</v>
      </c>
      <c r="G4" s="74" t="s">
        <v>55</v>
      </c>
      <c r="H4" s="85" t="s">
        <v>55</v>
      </c>
      <c r="I4" s="96" t="s">
        <v>56</v>
      </c>
      <c r="J4" s="96" t="s">
        <v>57</v>
      </c>
      <c r="K4" s="96">
        <v>0</v>
      </c>
      <c r="L4" s="96" t="s">
        <v>62</v>
      </c>
      <c r="M4" s="96" t="s">
        <v>63</v>
      </c>
      <c r="N4" s="74">
        <v>1</v>
      </c>
      <c r="O4" s="77">
        <v>1.3888888888888889E-3</v>
      </c>
    </row>
    <row r="5" spans="1:15" ht="54" customHeight="1" thickTop="1" thickBot="1">
      <c r="A5" s="72"/>
      <c r="B5" s="73" t="s">
        <v>11</v>
      </c>
      <c r="C5" s="74" t="s">
        <v>466</v>
      </c>
      <c r="D5" s="74" t="s">
        <v>467</v>
      </c>
      <c r="E5" s="74" t="s">
        <v>12</v>
      </c>
      <c r="F5" s="74" t="s">
        <v>22</v>
      </c>
      <c r="G5" s="74" t="s">
        <v>55</v>
      </c>
      <c r="H5" s="85" t="s">
        <v>55</v>
      </c>
      <c r="I5" s="96" t="s">
        <v>56</v>
      </c>
      <c r="J5" s="96" t="s">
        <v>57</v>
      </c>
      <c r="K5" s="96">
        <v>0</v>
      </c>
      <c r="L5" s="96" t="s">
        <v>91</v>
      </c>
      <c r="M5" s="96" t="s">
        <v>59</v>
      </c>
      <c r="N5" s="74">
        <v>1</v>
      </c>
      <c r="O5" s="77">
        <v>2.0833333333333333E-3</v>
      </c>
    </row>
    <row r="6" spans="1:15" ht="54" customHeight="1" thickTop="1" thickBot="1">
      <c r="A6" s="72"/>
      <c r="B6" s="78" t="s">
        <v>11</v>
      </c>
      <c r="C6" s="79" t="s">
        <v>468</v>
      </c>
      <c r="D6" s="79" t="s">
        <v>469</v>
      </c>
      <c r="E6" s="79" t="s">
        <v>12</v>
      </c>
      <c r="F6" s="79" t="s">
        <v>22</v>
      </c>
      <c r="G6" s="79" t="s">
        <v>55</v>
      </c>
      <c r="H6" s="86" t="s">
        <v>55</v>
      </c>
      <c r="I6" s="96" t="s">
        <v>56</v>
      </c>
      <c r="J6" s="96" t="s">
        <v>57</v>
      </c>
      <c r="K6" s="96">
        <v>0</v>
      </c>
      <c r="L6" s="96" t="s">
        <v>96</v>
      </c>
      <c r="M6" s="96" t="s">
        <v>59</v>
      </c>
      <c r="N6" s="79">
        <v>1</v>
      </c>
      <c r="O6" s="83">
        <v>1.0416666666666667E-3</v>
      </c>
    </row>
    <row r="7" spans="1:15" ht="54" customHeight="1" thickTop="1" thickBot="1">
      <c r="A7" s="72"/>
      <c r="B7" s="94" t="s">
        <v>14</v>
      </c>
      <c r="C7" s="95" t="s">
        <v>470</v>
      </c>
      <c r="D7" s="95" t="s">
        <v>471</v>
      </c>
      <c r="E7" s="96" t="s">
        <v>12</v>
      </c>
      <c r="F7" s="96" t="s">
        <v>22</v>
      </c>
      <c r="G7" s="96" t="s">
        <v>472</v>
      </c>
      <c r="H7" s="100">
        <v>45697</v>
      </c>
      <c r="I7" s="96" t="s">
        <v>130</v>
      </c>
      <c r="J7" s="96" t="s">
        <v>131</v>
      </c>
      <c r="K7" s="96">
        <v>0</v>
      </c>
      <c r="L7" s="96" t="s">
        <v>132</v>
      </c>
      <c r="M7" s="96" t="s">
        <v>104</v>
      </c>
      <c r="N7" s="95">
        <v>4</v>
      </c>
      <c r="O7" s="98">
        <v>1.736111111111111E-3</v>
      </c>
    </row>
    <row r="8" spans="1:15" ht="54" customHeight="1" thickTop="1" thickBot="1">
      <c r="A8" s="72"/>
      <c r="B8" s="73" t="s">
        <v>14</v>
      </c>
      <c r="C8" s="74" t="s">
        <v>473</v>
      </c>
      <c r="D8" s="74" t="s">
        <v>474</v>
      </c>
      <c r="E8" s="75" t="s">
        <v>12</v>
      </c>
      <c r="F8" s="75" t="s">
        <v>22</v>
      </c>
      <c r="G8" s="74" t="s">
        <v>475</v>
      </c>
      <c r="H8" s="85">
        <v>45711</v>
      </c>
      <c r="I8" s="96" t="s">
        <v>130</v>
      </c>
      <c r="J8" s="96" t="s">
        <v>131</v>
      </c>
      <c r="K8" s="96">
        <v>0</v>
      </c>
      <c r="L8" s="96" t="s">
        <v>132</v>
      </c>
      <c r="M8" s="96" t="s">
        <v>104</v>
      </c>
      <c r="N8" s="74">
        <v>4</v>
      </c>
      <c r="O8" s="77">
        <v>1.736111111111111E-3</v>
      </c>
    </row>
    <row r="9" spans="1:15" ht="54" customHeight="1" thickTop="1" thickBot="1">
      <c r="A9" s="72"/>
      <c r="B9" s="73" t="s">
        <v>14</v>
      </c>
      <c r="C9" s="74" t="s">
        <v>476</v>
      </c>
      <c r="D9" s="74" t="s">
        <v>477</v>
      </c>
      <c r="E9" s="75" t="s">
        <v>12</v>
      </c>
      <c r="F9" s="75" t="s">
        <v>22</v>
      </c>
      <c r="G9" s="75" t="s">
        <v>472</v>
      </c>
      <c r="H9" s="76">
        <v>45697</v>
      </c>
      <c r="I9" s="96" t="s">
        <v>130</v>
      </c>
      <c r="J9" s="96" t="s">
        <v>131</v>
      </c>
      <c r="K9" s="96">
        <v>0</v>
      </c>
      <c r="L9" s="96" t="s">
        <v>132</v>
      </c>
      <c r="M9" s="96" t="s">
        <v>104</v>
      </c>
      <c r="N9" s="74">
        <v>4</v>
      </c>
      <c r="O9" s="77">
        <v>1.736111111111111E-3</v>
      </c>
    </row>
    <row r="10" spans="1:15" ht="54" customHeight="1" thickTop="1" thickBot="1">
      <c r="A10" s="72"/>
      <c r="B10" s="73" t="s">
        <v>14</v>
      </c>
      <c r="C10" s="74" t="s">
        <v>478</v>
      </c>
      <c r="D10" s="74" t="s">
        <v>479</v>
      </c>
      <c r="E10" s="75" t="s">
        <v>12</v>
      </c>
      <c r="F10" s="75" t="s">
        <v>22</v>
      </c>
      <c r="G10" s="74" t="s">
        <v>475</v>
      </c>
      <c r="H10" s="85">
        <v>45711</v>
      </c>
      <c r="I10" s="96" t="s">
        <v>130</v>
      </c>
      <c r="J10" s="96" t="s">
        <v>131</v>
      </c>
      <c r="K10" s="96">
        <v>0</v>
      </c>
      <c r="L10" s="96" t="s">
        <v>132</v>
      </c>
      <c r="M10" s="96" t="s">
        <v>104</v>
      </c>
      <c r="N10" s="74">
        <v>4</v>
      </c>
      <c r="O10" s="77">
        <v>1.736111111111111E-3</v>
      </c>
    </row>
    <row r="11" spans="1:15" ht="54" customHeight="1" thickTop="1" thickBot="1">
      <c r="A11" s="72"/>
      <c r="B11" s="73" t="s">
        <v>14</v>
      </c>
      <c r="C11" s="74" t="s">
        <v>480</v>
      </c>
      <c r="D11" s="74" t="s">
        <v>481</v>
      </c>
      <c r="E11" s="75" t="s">
        <v>12</v>
      </c>
      <c r="F11" s="75" t="s">
        <v>22</v>
      </c>
      <c r="G11" s="74" t="s">
        <v>151</v>
      </c>
      <c r="H11" s="85">
        <v>45701</v>
      </c>
      <c r="I11" s="96" t="s">
        <v>130</v>
      </c>
      <c r="J11" s="96" t="s">
        <v>57</v>
      </c>
      <c r="K11" s="96">
        <v>0</v>
      </c>
      <c r="L11" s="96" t="s">
        <v>482</v>
      </c>
      <c r="M11" s="96" t="s">
        <v>143</v>
      </c>
      <c r="N11" s="74">
        <v>1</v>
      </c>
      <c r="O11" s="77">
        <v>6.9444444444444447E-4</v>
      </c>
    </row>
    <row r="12" spans="1:15" ht="54" customHeight="1" thickTop="1" thickBot="1">
      <c r="A12" s="72"/>
      <c r="B12" s="73" t="s">
        <v>14</v>
      </c>
      <c r="C12" s="74" t="s">
        <v>483</v>
      </c>
      <c r="D12" s="74" t="s">
        <v>484</v>
      </c>
      <c r="E12" s="75" t="s">
        <v>12</v>
      </c>
      <c r="F12" s="75" t="s">
        <v>22</v>
      </c>
      <c r="G12" s="74" t="s">
        <v>475</v>
      </c>
      <c r="H12" s="85">
        <v>45711</v>
      </c>
      <c r="I12" s="96" t="s">
        <v>56</v>
      </c>
      <c r="J12" s="96" t="s">
        <v>131</v>
      </c>
      <c r="K12" s="96">
        <v>0</v>
      </c>
      <c r="L12" s="96" t="s">
        <v>159</v>
      </c>
      <c r="M12" s="96" t="s">
        <v>160</v>
      </c>
      <c r="N12" s="74">
        <v>2</v>
      </c>
      <c r="O12" s="77">
        <v>4.6296296296296293E-4</v>
      </c>
    </row>
    <row r="13" spans="1:15" ht="54" customHeight="1" thickTop="1" thickBot="1">
      <c r="A13" s="72"/>
      <c r="B13" s="73" t="s">
        <v>14</v>
      </c>
      <c r="C13" s="74" t="s">
        <v>485</v>
      </c>
      <c r="D13" s="74" t="s">
        <v>486</v>
      </c>
      <c r="E13" s="75" t="s">
        <v>12</v>
      </c>
      <c r="F13" s="75" t="s">
        <v>22</v>
      </c>
      <c r="G13" s="74" t="s">
        <v>475</v>
      </c>
      <c r="H13" s="85">
        <v>45711</v>
      </c>
      <c r="I13" s="96" t="s">
        <v>56</v>
      </c>
      <c r="J13" s="96" t="s">
        <v>131</v>
      </c>
      <c r="K13" s="96">
        <v>0</v>
      </c>
      <c r="L13" s="96" t="s">
        <v>159</v>
      </c>
      <c r="M13" s="96" t="s">
        <v>160</v>
      </c>
      <c r="N13" s="74">
        <v>2</v>
      </c>
      <c r="O13" s="77">
        <v>4.6296296296296293E-4</v>
      </c>
    </row>
    <row r="14" spans="1:15" ht="54" customHeight="1" thickTop="1" thickBot="1">
      <c r="A14" s="72"/>
      <c r="B14" s="78" t="s">
        <v>14</v>
      </c>
      <c r="C14" s="79" t="s">
        <v>487</v>
      </c>
      <c r="D14" s="79" t="s">
        <v>488</v>
      </c>
      <c r="E14" s="82" t="s">
        <v>12</v>
      </c>
      <c r="F14" s="82" t="s">
        <v>22</v>
      </c>
      <c r="G14" s="79" t="s">
        <v>174</v>
      </c>
      <c r="H14" s="86">
        <v>45708</v>
      </c>
      <c r="I14" s="96" t="s">
        <v>85</v>
      </c>
      <c r="J14" s="96" t="s">
        <v>57</v>
      </c>
      <c r="K14" s="96">
        <v>0</v>
      </c>
      <c r="L14" s="96" t="s">
        <v>489</v>
      </c>
      <c r="M14" s="96" t="s">
        <v>104</v>
      </c>
      <c r="N14" s="79">
        <v>1</v>
      </c>
      <c r="O14" s="83">
        <v>6.9444444444444447E-4</v>
      </c>
    </row>
    <row r="15" spans="1:15" ht="54" customHeight="1" thickTop="1" thickBot="1">
      <c r="A15" s="72"/>
      <c r="B15" s="94" t="s">
        <v>17</v>
      </c>
      <c r="C15" s="95" t="s">
        <v>490</v>
      </c>
      <c r="D15" s="95" t="s">
        <v>203</v>
      </c>
      <c r="E15" s="96" t="s">
        <v>12</v>
      </c>
      <c r="F15" s="96" t="s">
        <v>22</v>
      </c>
      <c r="G15" s="95" t="s">
        <v>204</v>
      </c>
      <c r="H15" s="97">
        <v>45699</v>
      </c>
      <c r="I15" s="96" t="s">
        <v>130</v>
      </c>
      <c r="J15" s="96" t="s">
        <v>131</v>
      </c>
      <c r="K15" s="96">
        <v>0</v>
      </c>
      <c r="L15" s="96" t="s">
        <v>205</v>
      </c>
      <c r="M15" s="96" t="s">
        <v>201</v>
      </c>
      <c r="N15" s="95">
        <v>1</v>
      </c>
      <c r="O15" s="98">
        <v>3.4722222222222224E-4</v>
      </c>
    </row>
    <row r="16" spans="1:15" ht="54" customHeight="1" thickTop="1" thickBot="1">
      <c r="A16" s="72"/>
      <c r="B16" s="73" t="s">
        <v>17</v>
      </c>
      <c r="C16" s="74" t="s">
        <v>491</v>
      </c>
      <c r="D16" s="74" t="s">
        <v>203</v>
      </c>
      <c r="E16" s="75" t="s">
        <v>12</v>
      </c>
      <c r="F16" s="75" t="s">
        <v>22</v>
      </c>
      <c r="G16" s="74" t="s">
        <v>204</v>
      </c>
      <c r="H16" s="85">
        <v>45699</v>
      </c>
      <c r="I16" s="96" t="s">
        <v>130</v>
      </c>
      <c r="J16" s="96" t="s">
        <v>131</v>
      </c>
      <c r="K16" s="96">
        <v>0</v>
      </c>
      <c r="L16" s="96" t="s">
        <v>205</v>
      </c>
      <c r="M16" s="96" t="s">
        <v>201</v>
      </c>
      <c r="N16" s="74">
        <v>1</v>
      </c>
      <c r="O16" s="77">
        <v>3.4722222222222224E-4</v>
      </c>
    </row>
    <row r="17" spans="1:15" ht="54" customHeight="1" thickTop="1" thickBot="1">
      <c r="A17" s="72"/>
      <c r="B17" s="73" t="s">
        <v>17</v>
      </c>
      <c r="C17" s="74" t="s">
        <v>492</v>
      </c>
      <c r="D17" s="74" t="s">
        <v>493</v>
      </c>
      <c r="E17" s="75" t="s">
        <v>12</v>
      </c>
      <c r="F17" s="75" t="s">
        <v>22</v>
      </c>
      <c r="G17" s="74" t="s">
        <v>278</v>
      </c>
      <c r="H17" s="85">
        <v>45699</v>
      </c>
      <c r="I17" s="96" t="s">
        <v>85</v>
      </c>
      <c r="J17" s="96" t="s">
        <v>131</v>
      </c>
      <c r="K17" s="96">
        <v>0</v>
      </c>
      <c r="L17" s="96" t="s">
        <v>210</v>
      </c>
      <c r="M17" s="96" t="s">
        <v>211</v>
      </c>
      <c r="N17" s="74">
        <v>1</v>
      </c>
      <c r="O17" s="77">
        <v>3.4722222222222224E-4</v>
      </c>
    </row>
    <row r="18" spans="1:15" ht="54" customHeight="1" thickTop="1" thickBot="1">
      <c r="A18" s="72"/>
      <c r="B18" s="73" t="s">
        <v>17</v>
      </c>
      <c r="C18" s="74" t="s">
        <v>494</v>
      </c>
      <c r="D18" s="74" t="s">
        <v>213</v>
      </c>
      <c r="E18" s="75" t="s">
        <v>12</v>
      </c>
      <c r="F18" s="75" t="s">
        <v>22</v>
      </c>
      <c r="G18" s="74" t="s">
        <v>214</v>
      </c>
      <c r="H18" s="85">
        <v>45699</v>
      </c>
      <c r="I18" s="96" t="s">
        <v>130</v>
      </c>
      <c r="J18" s="96" t="s">
        <v>131</v>
      </c>
      <c r="K18" s="96">
        <v>0</v>
      </c>
      <c r="L18" s="96" t="s">
        <v>215</v>
      </c>
      <c r="M18" s="96" t="s">
        <v>201</v>
      </c>
      <c r="N18" s="74">
        <v>1</v>
      </c>
      <c r="O18" s="77">
        <v>5.7870370370370378E-4</v>
      </c>
    </row>
    <row r="19" spans="1:15" ht="54" customHeight="1" thickTop="1" thickBot="1">
      <c r="A19" s="72"/>
      <c r="B19" s="73" t="s">
        <v>17</v>
      </c>
      <c r="C19" s="74" t="s">
        <v>495</v>
      </c>
      <c r="D19" s="74" t="s">
        <v>217</v>
      </c>
      <c r="E19" s="75" t="s">
        <v>12</v>
      </c>
      <c r="F19" s="75" t="s">
        <v>22</v>
      </c>
      <c r="G19" s="74" t="s">
        <v>218</v>
      </c>
      <c r="H19" s="85">
        <v>45699</v>
      </c>
      <c r="I19" s="96" t="s">
        <v>130</v>
      </c>
      <c r="J19" s="96" t="s">
        <v>131</v>
      </c>
      <c r="K19" s="96">
        <v>0</v>
      </c>
      <c r="L19" s="96" t="s">
        <v>219</v>
      </c>
      <c r="M19" s="96" t="s">
        <v>201</v>
      </c>
      <c r="N19" s="74">
        <v>2</v>
      </c>
      <c r="O19" s="77">
        <v>6.9444444444444447E-4</v>
      </c>
    </row>
    <row r="20" spans="1:15" ht="54" customHeight="1" thickTop="1" thickBot="1">
      <c r="A20" s="72"/>
      <c r="B20" s="73" t="s">
        <v>17</v>
      </c>
      <c r="C20" s="74" t="s">
        <v>496</v>
      </c>
      <c r="D20" s="74" t="s">
        <v>221</v>
      </c>
      <c r="E20" s="75" t="s">
        <v>12</v>
      </c>
      <c r="F20" s="75" t="s">
        <v>22</v>
      </c>
      <c r="G20" s="74" t="s">
        <v>222</v>
      </c>
      <c r="H20" s="85">
        <v>45698</v>
      </c>
      <c r="I20" s="96" t="s">
        <v>56</v>
      </c>
      <c r="J20" s="96" t="s">
        <v>131</v>
      </c>
      <c r="K20" s="96">
        <v>0</v>
      </c>
      <c r="L20" s="96" t="s">
        <v>223</v>
      </c>
      <c r="M20" s="96" t="s">
        <v>201</v>
      </c>
      <c r="N20" s="74">
        <v>1</v>
      </c>
      <c r="O20" s="77">
        <v>3.4722222222222224E-4</v>
      </c>
    </row>
    <row r="21" spans="1:15" ht="54" customHeight="1" thickTop="1" thickBot="1">
      <c r="A21" s="72"/>
      <c r="B21" s="73" t="s">
        <v>17</v>
      </c>
      <c r="C21" s="74" t="s">
        <v>497</v>
      </c>
      <c r="D21" s="74" t="s">
        <v>225</v>
      </c>
      <c r="E21" s="75" t="s">
        <v>12</v>
      </c>
      <c r="F21" s="75" t="s">
        <v>22</v>
      </c>
      <c r="G21" s="74" t="s">
        <v>498</v>
      </c>
      <c r="H21" s="85">
        <v>45699</v>
      </c>
      <c r="I21" s="96" t="s">
        <v>130</v>
      </c>
      <c r="J21" s="96" t="s">
        <v>57</v>
      </c>
      <c r="K21" s="96">
        <v>0</v>
      </c>
      <c r="L21" s="96" t="s">
        <v>215</v>
      </c>
      <c r="M21" s="96" t="s">
        <v>201</v>
      </c>
      <c r="N21" s="74">
        <v>1</v>
      </c>
      <c r="O21" s="77">
        <v>1.0416666666666667E-3</v>
      </c>
    </row>
    <row r="22" spans="1:15" ht="54" customHeight="1" thickTop="1" thickBot="1">
      <c r="A22" s="72"/>
      <c r="B22" s="73" t="s">
        <v>17</v>
      </c>
      <c r="C22" s="74" t="s">
        <v>499</v>
      </c>
      <c r="D22" s="74" t="s">
        <v>227</v>
      </c>
      <c r="E22" s="75" t="s">
        <v>12</v>
      </c>
      <c r="F22" s="75" t="s">
        <v>22</v>
      </c>
      <c r="G22" s="74" t="s">
        <v>228</v>
      </c>
      <c r="H22" s="85">
        <v>45699</v>
      </c>
      <c r="I22" s="96" t="s">
        <v>130</v>
      </c>
      <c r="J22" s="96" t="s">
        <v>131</v>
      </c>
      <c r="K22" s="96">
        <v>0</v>
      </c>
      <c r="L22" s="96" t="s">
        <v>229</v>
      </c>
      <c r="M22" s="96" t="s">
        <v>201</v>
      </c>
      <c r="N22" s="74">
        <v>1</v>
      </c>
      <c r="O22" s="77">
        <v>1.1574074074074073E-4</v>
      </c>
    </row>
    <row r="23" spans="1:15" ht="54" customHeight="1" thickTop="1" thickBot="1">
      <c r="A23" s="72"/>
      <c r="B23" s="73" t="s">
        <v>17</v>
      </c>
      <c r="C23" s="74" t="s">
        <v>500</v>
      </c>
      <c r="D23" s="74" t="s">
        <v>501</v>
      </c>
      <c r="E23" s="75" t="s">
        <v>12</v>
      </c>
      <c r="F23" s="75" t="s">
        <v>22</v>
      </c>
      <c r="G23" s="74" t="s">
        <v>278</v>
      </c>
      <c r="H23" s="85">
        <v>45699</v>
      </c>
      <c r="I23" s="96" t="s">
        <v>85</v>
      </c>
      <c r="J23" s="96" t="s">
        <v>131</v>
      </c>
      <c r="K23" s="96">
        <v>0</v>
      </c>
      <c r="L23" s="96" t="s">
        <v>502</v>
      </c>
      <c r="M23" s="96" t="s">
        <v>211</v>
      </c>
      <c r="N23" s="74">
        <v>1</v>
      </c>
      <c r="O23" s="77">
        <v>3.4722222222222224E-4</v>
      </c>
    </row>
    <row r="24" spans="1:15" ht="54" customHeight="1" thickTop="1" thickBot="1">
      <c r="A24" s="72"/>
      <c r="B24" s="73" t="s">
        <v>17</v>
      </c>
      <c r="C24" s="74" t="s">
        <v>503</v>
      </c>
      <c r="D24" s="74" t="s">
        <v>240</v>
      </c>
      <c r="E24" s="75" t="s">
        <v>12</v>
      </c>
      <c r="F24" s="75" t="s">
        <v>22</v>
      </c>
      <c r="G24" s="74" t="s">
        <v>241</v>
      </c>
      <c r="H24" s="85">
        <v>45699</v>
      </c>
      <c r="I24" s="96" t="s">
        <v>130</v>
      </c>
      <c r="J24" s="96" t="s">
        <v>131</v>
      </c>
      <c r="K24" s="96">
        <v>0</v>
      </c>
      <c r="L24" s="96" t="s">
        <v>242</v>
      </c>
      <c r="M24" s="96" t="s">
        <v>201</v>
      </c>
      <c r="N24" s="74">
        <v>1</v>
      </c>
      <c r="O24" s="77">
        <v>6.9444444444444447E-4</v>
      </c>
    </row>
    <row r="25" spans="1:15" ht="54" customHeight="1" thickTop="1" thickBot="1">
      <c r="A25" s="72"/>
      <c r="B25" s="73" t="s">
        <v>17</v>
      </c>
      <c r="C25" s="74" t="s">
        <v>504</v>
      </c>
      <c r="D25" s="74" t="s">
        <v>266</v>
      </c>
      <c r="E25" s="75" t="s">
        <v>12</v>
      </c>
      <c r="F25" s="75" t="s">
        <v>22</v>
      </c>
      <c r="G25" s="74" t="s">
        <v>267</v>
      </c>
      <c r="H25" s="85">
        <v>45698</v>
      </c>
      <c r="I25" s="96" t="s">
        <v>56</v>
      </c>
      <c r="J25" s="96" t="s">
        <v>131</v>
      </c>
      <c r="K25" s="96">
        <v>0</v>
      </c>
      <c r="L25" s="96" t="s">
        <v>268</v>
      </c>
      <c r="M25" s="96" t="s">
        <v>201</v>
      </c>
      <c r="N25" s="74">
        <v>1</v>
      </c>
      <c r="O25" s="77">
        <v>3.4722222222222224E-4</v>
      </c>
    </row>
    <row r="26" spans="1:15" ht="54" customHeight="1" thickTop="1" thickBot="1">
      <c r="A26" s="72"/>
      <c r="B26" s="73" t="s">
        <v>17</v>
      </c>
      <c r="C26" s="74" t="s">
        <v>505</v>
      </c>
      <c r="D26" s="74" t="s">
        <v>506</v>
      </c>
      <c r="E26" s="75" t="s">
        <v>12</v>
      </c>
      <c r="F26" s="75" t="s">
        <v>22</v>
      </c>
      <c r="G26" s="74" t="s">
        <v>507</v>
      </c>
      <c r="H26" s="85">
        <v>45698</v>
      </c>
      <c r="I26" s="96" t="s">
        <v>56</v>
      </c>
      <c r="J26" s="96" t="s">
        <v>131</v>
      </c>
      <c r="K26" s="96">
        <v>0</v>
      </c>
      <c r="L26" s="96" t="s">
        <v>508</v>
      </c>
      <c r="M26" s="96" t="s">
        <v>201</v>
      </c>
      <c r="N26" s="74">
        <v>2</v>
      </c>
      <c r="O26" s="77">
        <v>2.3148148148148146E-4</v>
      </c>
    </row>
    <row r="27" spans="1:15" ht="54" customHeight="1" thickTop="1" thickBot="1">
      <c r="A27" s="72"/>
      <c r="B27" s="73" t="s">
        <v>17</v>
      </c>
      <c r="C27" s="74" t="s">
        <v>509</v>
      </c>
      <c r="D27" s="74" t="s">
        <v>510</v>
      </c>
      <c r="E27" s="75" t="s">
        <v>12</v>
      </c>
      <c r="F27" s="75" t="s">
        <v>22</v>
      </c>
      <c r="G27" s="74" t="s">
        <v>278</v>
      </c>
      <c r="H27" s="85">
        <v>45699</v>
      </c>
      <c r="I27" s="96" t="s">
        <v>85</v>
      </c>
      <c r="J27" s="96" t="s">
        <v>131</v>
      </c>
      <c r="K27" s="96">
        <v>0</v>
      </c>
      <c r="L27" s="96" t="s">
        <v>511</v>
      </c>
      <c r="M27" s="96" t="s">
        <v>211</v>
      </c>
      <c r="N27" s="74">
        <v>1</v>
      </c>
      <c r="O27" s="77">
        <v>3.4722222222222224E-4</v>
      </c>
    </row>
    <row r="28" spans="1:15" ht="54" customHeight="1" thickTop="1" thickBot="1">
      <c r="A28" s="72"/>
      <c r="B28" s="73" t="s">
        <v>17</v>
      </c>
      <c r="C28" s="74" t="s">
        <v>512</v>
      </c>
      <c r="D28" s="74" t="s">
        <v>513</v>
      </c>
      <c r="E28" s="75" t="s">
        <v>12</v>
      </c>
      <c r="F28" s="75" t="s">
        <v>22</v>
      </c>
      <c r="G28" s="74" t="s">
        <v>507</v>
      </c>
      <c r="H28" s="85">
        <v>45698</v>
      </c>
      <c r="I28" s="96" t="s">
        <v>56</v>
      </c>
      <c r="J28" s="96" t="s">
        <v>131</v>
      </c>
      <c r="K28" s="96">
        <v>0</v>
      </c>
      <c r="L28" s="96" t="s">
        <v>514</v>
      </c>
      <c r="M28" s="96" t="s">
        <v>201</v>
      </c>
      <c r="N28" s="74">
        <v>1</v>
      </c>
      <c r="O28" s="77">
        <v>4.6296296296296293E-4</v>
      </c>
    </row>
    <row r="29" spans="1:15" ht="54" customHeight="1" thickTop="1" thickBot="1">
      <c r="B29" s="109" t="s">
        <v>17</v>
      </c>
      <c r="C29" s="103" t="s">
        <v>515</v>
      </c>
      <c r="D29" s="103" t="s">
        <v>516</v>
      </c>
      <c r="E29" s="110" t="s">
        <v>22</v>
      </c>
      <c r="F29" s="110"/>
      <c r="G29" s="103"/>
      <c r="H29" s="111"/>
      <c r="I29" s="96" t="s">
        <v>56</v>
      </c>
      <c r="J29" s="96" t="s">
        <v>57</v>
      </c>
      <c r="K29" s="96">
        <v>0</v>
      </c>
      <c r="L29" s="96" t="s">
        <v>517</v>
      </c>
      <c r="M29" s="96" t="s">
        <v>201</v>
      </c>
      <c r="N29" s="103">
        <v>1</v>
      </c>
      <c r="O29" s="112">
        <v>6.9444444444444447E-4</v>
      </c>
    </row>
    <row r="30" spans="1:15" ht="54" customHeight="1" thickTop="1" thickBot="1">
      <c r="A30" s="72"/>
      <c r="B30" s="73" t="s">
        <v>17</v>
      </c>
      <c r="C30" s="74" t="s">
        <v>518</v>
      </c>
      <c r="D30" s="74" t="s">
        <v>519</v>
      </c>
      <c r="E30" s="75" t="s">
        <v>12</v>
      </c>
      <c r="F30" s="75" t="s">
        <v>22</v>
      </c>
      <c r="G30" s="74" t="s">
        <v>278</v>
      </c>
      <c r="H30" s="85">
        <v>45699</v>
      </c>
      <c r="I30" s="96" t="s">
        <v>85</v>
      </c>
      <c r="J30" s="96" t="s">
        <v>131</v>
      </c>
      <c r="K30" s="96">
        <v>0</v>
      </c>
      <c r="L30" s="96" t="s">
        <v>279</v>
      </c>
      <c r="M30" s="96" t="s">
        <v>211</v>
      </c>
      <c r="N30" s="74">
        <v>1</v>
      </c>
      <c r="O30" s="77">
        <v>3.4722222222222224E-4</v>
      </c>
    </row>
    <row r="31" spans="1:15" ht="54" customHeight="1" thickTop="1" thickBot="1">
      <c r="A31" s="72"/>
      <c r="B31" s="73" t="s">
        <v>17</v>
      </c>
      <c r="C31" s="74" t="s">
        <v>520</v>
      </c>
      <c r="D31" s="74" t="s">
        <v>521</v>
      </c>
      <c r="E31" s="75" t="s">
        <v>12</v>
      </c>
      <c r="F31" s="75" t="s">
        <v>22</v>
      </c>
      <c r="G31" s="74" t="s">
        <v>278</v>
      </c>
      <c r="H31" s="85">
        <v>45699</v>
      </c>
      <c r="I31" s="96" t="s">
        <v>85</v>
      </c>
      <c r="J31" s="96" t="s">
        <v>131</v>
      </c>
      <c r="K31" s="96">
        <v>0</v>
      </c>
      <c r="L31" s="96" t="s">
        <v>285</v>
      </c>
      <c r="M31" s="96" t="s">
        <v>211</v>
      </c>
      <c r="N31" s="74">
        <v>1</v>
      </c>
      <c r="O31" s="77">
        <v>6.9444444444444447E-4</v>
      </c>
    </row>
    <row r="32" spans="1:15" ht="54" customHeight="1" thickTop="1" thickBot="1">
      <c r="A32" s="72"/>
      <c r="B32" s="73" t="s">
        <v>17</v>
      </c>
      <c r="C32" s="74" t="s">
        <v>522</v>
      </c>
      <c r="D32" s="74" t="s">
        <v>287</v>
      </c>
      <c r="E32" s="75" t="s">
        <v>12</v>
      </c>
      <c r="F32" s="75" t="s">
        <v>22</v>
      </c>
      <c r="G32" s="75" t="s">
        <v>288</v>
      </c>
      <c r="H32" s="76">
        <v>45698</v>
      </c>
      <c r="I32" s="96" t="s">
        <v>56</v>
      </c>
      <c r="J32" s="96" t="s">
        <v>131</v>
      </c>
      <c r="K32" s="96">
        <v>0</v>
      </c>
      <c r="L32" s="96" t="s">
        <v>289</v>
      </c>
      <c r="M32" s="96" t="s">
        <v>201</v>
      </c>
      <c r="N32" s="74">
        <v>1</v>
      </c>
      <c r="O32" s="77">
        <v>3.4722222222222224E-4</v>
      </c>
    </row>
    <row r="33" spans="1:15" ht="54" customHeight="1" thickTop="1" thickBot="1">
      <c r="B33" s="109" t="s">
        <v>17</v>
      </c>
      <c r="C33" s="103" t="s">
        <v>523</v>
      </c>
      <c r="D33" s="103" t="s">
        <v>524</v>
      </c>
      <c r="E33" s="110" t="s">
        <v>22</v>
      </c>
      <c r="F33" s="110"/>
      <c r="G33" s="103"/>
      <c r="H33" s="111"/>
      <c r="I33" s="96" t="s">
        <v>56</v>
      </c>
      <c r="J33" s="96" t="s">
        <v>131</v>
      </c>
      <c r="K33" s="96">
        <v>0</v>
      </c>
      <c r="L33" s="96" t="s">
        <v>525</v>
      </c>
      <c r="M33" s="96" t="s">
        <v>201</v>
      </c>
      <c r="N33" s="103">
        <v>1</v>
      </c>
      <c r="O33" s="112">
        <v>5.7870370370370378E-4</v>
      </c>
    </row>
    <row r="34" spans="1:15" ht="54" customHeight="1" thickTop="1" thickBot="1">
      <c r="A34" s="72"/>
      <c r="B34" s="73" t="s">
        <v>17</v>
      </c>
      <c r="C34" s="74" t="s">
        <v>526</v>
      </c>
      <c r="D34" s="74" t="s">
        <v>527</v>
      </c>
      <c r="E34" s="75" t="s">
        <v>12</v>
      </c>
      <c r="F34" s="75" t="s">
        <v>22</v>
      </c>
      <c r="G34" s="74" t="s">
        <v>507</v>
      </c>
      <c r="H34" s="85">
        <v>45698</v>
      </c>
      <c r="I34" s="96" t="s">
        <v>56</v>
      </c>
      <c r="J34" s="96" t="s">
        <v>131</v>
      </c>
      <c r="K34" s="96">
        <v>0</v>
      </c>
      <c r="L34" s="96" t="s">
        <v>528</v>
      </c>
      <c r="M34" s="96" t="s">
        <v>201</v>
      </c>
      <c r="N34" s="74">
        <v>1</v>
      </c>
      <c r="O34" s="77">
        <v>2.3148148148148146E-4</v>
      </c>
    </row>
    <row r="35" spans="1:15" ht="54" customHeight="1" thickTop="1" thickBot="1">
      <c r="A35" s="72"/>
      <c r="B35" s="73" t="s">
        <v>17</v>
      </c>
      <c r="C35" s="74" t="s">
        <v>529</v>
      </c>
      <c r="D35" s="74" t="s">
        <v>291</v>
      </c>
      <c r="E35" s="75" t="s">
        <v>12</v>
      </c>
      <c r="F35" s="75" t="s">
        <v>22</v>
      </c>
      <c r="G35" s="74" t="s">
        <v>530</v>
      </c>
      <c r="H35" s="85">
        <v>45698</v>
      </c>
      <c r="I35" s="96" t="s">
        <v>130</v>
      </c>
      <c r="J35" s="96" t="s">
        <v>131</v>
      </c>
      <c r="K35" s="96">
        <v>0</v>
      </c>
      <c r="L35" s="96" t="s">
        <v>293</v>
      </c>
      <c r="M35" s="96" t="s">
        <v>201</v>
      </c>
      <c r="N35" s="74">
        <v>1</v>
      </c>
      <c r="O35" s="77">
        <v>6.9444444444444447E-4</v>
      </c>
    </row>
    <row r="36" spans="1:15" ht="54" customHeight="1" thickTop="1" thickBot="1">
      <c r="A36" s="72"/>
      <c r="B36" s="73" t="s">
        <v>17</v>
      </c>
      <c r="C36" s="74" t="s">
        <v>531</v>
      </c>
      <c r="D36" s="74" t="s">
        <v>532</v>
      </c>
      <c r="E36" s="75" t="s">
        <v>12</v>
      </c>
      <c r="F36" s="75" t="s">
        <v>22</v>
      </c>
      <c r="G36" s="75" t="s">
        <v>308</v>
      </c>
      <c r="H36" s="76">
        <v>45698</v>
      </c>
      <c r="I36" s="96" t="s">
        <v>56</v>
      </c>
      <c r="J36" s="96" t="s">
        <v>131</v>
      </c>
      <c r="K36" s="96">
        <v>0</v>
      </c>
      <c r="L36" s="96" t="s">
        <v>309</v>
      </c>
      <c r="M36" s="96" t="s">
        <v>201</v>
      </c>
      <c r="N36" s="74">
        <v>1</v>
      </c>
      <c r="O36" s="77">
        <v>8.6805555555555551E-4</v>
      </c>
    </row>
    <row r="37" spans="1:15" ht="54" customHeight="1" thickTop="1" thickBot="1">
      <c r="A37" s="72"/>
      <c r="B37" s="73" t="s">
        <v>17</v>
      </c>
      <c r="C37" s="74" t="s">
        <v>533</v>
      </c>
      <c r="D37" s="74" t="s">
        <v>534</v>
      </c>
      <c r="E37" s="75" t="s">
        <v>12</v>
      </c>
      <c r="F37" s="75" t="s">
        <v>22</v>
      </c>
      <c r="G37" s="74" t="s">
        <v>312</v>
      </c>
      <c r="H37" s="85">
        <v>45698</v>
      </c>
      <c r="I37" s="96" t="s">
        <v>130</v>
      </c>
      <c r="J37" s="96" t="s">
        <v>131</v>
      </c>
      <c r="K37" s="96">
        <v>0</v>
      </c>
      <c r="L37" s="96" t="s">
        <v>313</v>
      </c>
      <c r="M37" s="96" t="s">
        <v>201</v>
      </c>
      <c r="N37" s="74">
        <v>1</v>
      </c>
      <c r="O37" s="77">
        <v>6.9444444444444447E-4</v>
      </c>
    </row>
    <row r="38" spans="1:15" ht="54" customHeight="1" thickTop="1" thickBot="1">
      <c r="A38" s="72"/>
      <c r="B38" s="73" t="s">
        <v>17</v>
      </c>
      <c r="C38" s="74" t="s">
        <v>535</v>
      </c>
      <c r="D38" s="74" t="s">
        <v>536</v>
      </c>
      <c r="E38" s="75" t="s">
        <v>12</v>
      </c>
      <c r="F38" s="75" t="s">
        <v>22</v>
      </c>
      <c r="G38" s="74" t="s">
        <v>312</v>
      </c>
      <c r="H38" s="85">
        <v>45698</v>
      </c>
      <c r="I38" s="96" t="s">
        <v>130</v>
      </c>
      <c r="J38" s="96" t="s">
        <v>131</v>
      </c>
      <c r="K38" s="96">
        <v>0</v>
      </c>
      <c r="L38" s="96" t="s">
        <v>313</v>
      </c>
      <c r="M38" s="96" t="s">
        <v>201</v>
      </c>
      <c r="N38" s="74">
        <v>1</v>
      </c>
      <c r="O38" s="77">
        <v>6.9444444444444447E-4</v>
      </c>
    </row>
    <row r="39" spans="1:15" ht="54" customHeight="1" thickTop="1" thickBot="1">
      <c r="A39" s="72"/>
      <c r="B39" s="78" t="s">
        <v>17</v>
      </c>
      <c r="C39" s="79" t="s">
        <v>537</v>
      </c>
      <c r="D39" s="79" t="s">
        <v>538</v>
      </c>
      <c r="E39" s="82" t="s">
        <v>12</v>
      </c>
      <c r="F39" s="82" t="s">
        <v>22</v>
      </c>
      <c r="G39" s="79" t="s">
        <v>539</v>
      </c>
      <c r="H39" s="86">
        <v>45698</v>
      </c>
      <c r="I39" s="96" t="s">
        <v>56</v>
      </c>
      <c r="J39" s="96" t="s">
        <v>57</v>
      </c>
      <c r="K39" s="96">
        <v>0</v>
      </c>
      <c r="L39" s="96" t="s">
        <v>540</v>
      </c>
      <c r="M39" s="96" t="s">
        <v>143</v>
      </c>
      <c r="N39" s="79">
        <v>2</v>
      </c>
      <c r="O39" s="83">
        <v>4.6296296296296293E-4</v>
      </c>
    </row>
    <row r="40" spans="1:15" ht="54" customHeight="1" thickTop="1" thickBot="1">
      <c r="B40" s="104" t="s">
        <v>21</v>
      </c>
      <c r="C40" s="105" t="s">
        <v>541</v>
      </c>
      <c r="D40" s="105" t="s">
        <v>542</v>
      </c>
      <c r="E40" s="106" t="s">
        <v>22</v>
      </c>
      <c r="F40" s="106"/>
      <c r="G40" s="105"/>
      <c r="H40" s="107"/>
      <c r="I40" s="96" t="s">
        <v>130</v>
      </c>
      <c r="J40" s="96" t="s">
        <v>131</v>
      </c>
      <c r="K40" s="96">
        <v>0</v>
      </c>
      <c r="L40" s="96" t="s">
        <v>344</v>
      </c>
      <c r="M40" s="96" t="s">
        <v>341</v>
      </c>
      <c r="N40" s="105">
        <v>2</v>
      </c>
      <c r="O40" s="108">
        <v>2.0833333333333333E-3</v>
      </c>
    </row>
    <row r="41" spans="1:15" ht="54" customHeight="1" thickTop="1" thickBot="1">
      <c r="B41" s="109" t="s">
        <v>21</v>
      </c>
      <c r="C41" s="103" t="s">
        <v>543</v>
      </c>
      <c r="D41" s="103" t="s">
        <v>544</v>
      </c>
      <c r="E41" s="110" t="str">
        <f>'De-Icer DM'!E89</f>
        <v>No</v>
      </c>
      <c r="F41" s="110">
        <f>'De-Icer DM'!F89</f>
        <v>0</v>
      </c>
      <c r="G41" s="110">
        <f>'De-Icer DM'!G89</f>
        <v>0</v>
      </c>
      <c r="H41" s="110">
        <f>'De-Icer DM'!H89</f>
        <v>0</v>
      </c>
      <c r="I41" s="96" t="s">
        <v>130</v>
      </c>
      <c r="J41" s="96" t="s">
        <v>131</v>
      </c>
      <c r="K41" s="96">
        <v>0</v>
      </c>
      <c r="L41" s="96" t="s">
        <v>337</v>
      </c>
      <c r="M41" s="96" t="s">
        <v>333</v>
      </c>
      <c r="N41" s="103">
        <v>4</v>
      </c>
      <c r="O41" s="112">
        <v>5.208333333333333E-3</v>
      </c>
    </row>
    <row r="42" spans="1:15" ht="54" customHeight="1" thickTop="1" thickBot="1">
      <c r="B42" s="109" t="s">
        <v>21</v>
      </c>
      <c r="C42" s="103" t="s">
        <v>545</v>
      </c>
      <c r="D42" s="103" t="s">
        <v>546</v>
      </c>
      <c r="E42" s="110" t="s">
        <v>22</v>
      </c>
      <c r="F42" s="110"/>
      <c r="G42" s="103"/>
      <c r="H42" s="111"/>
      <c r="I42" s="96" t="s">
        <v>130</v>
      </c>
      <c r="J42" s="96" t="s">
        <v>131</v>
      </c>
      <c r="K42" s="96">
        <v>0</v>
      </c>
      <c r="L42" s="96" t="s">
        <v>344</v>
      </c>
      <c r="M42" s="96" t="s">
        <v>341</v>
      </c>
      <c r="N42" s="103">
        <v>2</v>
      </c>
      <c r="O42" s="112">
        <v>2.0833333333333333E-3</v>
      </c>
    </row>
    <row r="43" spans="1:15" ht="54" customHeight="1" thickTop="1" thickBot="1">
      <c r="B43" s="109" t="s">
        <v>21</v>
      </c>
      <c r="C43" s="103" t="s">
        <v>547</v>
      </c>
      <c r="D43" s="103" t="s">
        <v>548</v>
      </c>
      <c r="E43" s="110" t="str">
        <f>'DE-Icer UNDM'!E66</f>
        <v>No</v>
      </c>
      <c r="F43" s="110">
        <f>'DE-Icer UNDM'!F66</f>
        <v>0</v>
      </c>
      <c r="G43" s="110">
        <f>'DE-Icer UNDM'!G66</f>
        <v>0</v>
      </c>
      <c r="H43" s="110">
        <f>'DE-Icer UNDM'!H66</f>
        <v>0</v>
      </c>
      <c r="I43" s="96" t="s">
        <v>130</v>
      </c>
      <c r="J43" s="96" t="s">
        <v>131</v>
      </c>
      <c r="K43" s="96">
        <v>0</v>
      </c>
      <c r="L43" s="96" t="s">
        <v>337</v>
      </c>
      <c r="M43" s="96" t="s">
        <v>333</v>
      </c>
      <c r="N43" s="103">
        <v>4</v>
      </c>
      <c r="O43" s="112">
        <v>5.208333333333333E-3</v>
      </c>
    </row>
    <row r="44" spans="1:15" ht="54" customHeight="1" thickTop="1" thickBot="1">
      <c r="B44" s="109" t="s">
        <v>21</v>
      </c>
      <c r="C44" s="103" t="s">
        <v>549</v>
      </c>
      <c r="D44" s="103" t="s">
        <v>550</v>
      </c>
      <c r="E44" s="110" t="s">
        <v>22</v>
      </c>
      <c r="F44" s="110"/>
      <c r="G44" s="103"/>
      <c r="H44" s="111"/>
      <c r="I44" s="96" t="s">
        <v>130</v>
      </c>
      <c r="J44" s="96" t="s">
        <v>131</v>
      </c>
      <c r="K44" s="96">
        <v>0</v>
      </c>
      <c r="L44" s="96" t="s">
        <v>551</v>
      </c>
      <c r="M44" s="96" t="s">
        <v>201</v>
      </c>
      <c r="N44" s="103">
        <v>2</v>
      </c>
      <c r="O44" s="112">
        <v>2.0833333333333333E-3</v>
      </c>
    </row>
    <row r="45" spans="1:15" ht="54" customHeight="1" thickTop="1" thickBot="1">
      <c r="B45" s="109" t="s">
        <v>21</v>
      </c>
      <c r="C45" s="103" t="s">
        <v>552</v>
      </c>
      <c r="D45" s="103" t="s">
        <v>359</v>
      </c>
      <c r="E45" s="110" t="s">
        <v>22</v>
      </c>
      <c r="F45" s="110"/>
      <c r="G45" s="103"/>
      <c r="H45" s="111"/>
      <c r="I45" s="96" t="s">
        <v>130</v>
      </c>
      <c r="J45" s="96" t="s">
        <v>131</v>
      </c>
      <c r="K45" s="96">
        <v>0</v>
      </c>
      <c r="L45" s="96" t="s">
        <v>360</v>
      </c>
      <c r="M45" s="96" t="s">
        <v>201</v>
      </c>
      <c r="N45" s="103">
        <v>2</v>
      </c>
      <c r="O45" s="112">
        <v>3.4722222222222224E-4</v>
      </c>
    </row>
    <row r="46" spans="1:15" ht="54" customHeight="1" thickTop="1" thickBot="1">
      <c r="B46" s="109" t="s">
        <v>21</v>
      </c>
      <c r="C46" s="103" t="s">
        <v>553</v>
      </c>
      <c r="D46" s="103" t="s">
        <v>554</v>
      </c>
      <c r="E46" s="110" t="s">
        <v>22</v>
      </c>
      <c r="F46" s="110"/>
      <c r="G46" s="103"/>
      <c r="H46" s="111"/>
      <c r="I46" s="96" t="s">
        <v>56</v>
      </c>
      <c r="J46" s="96" t="s">
        <v>131</v>
      </c>
      <c r="K46" s="96">
        <v>0</v>
      </c>
      <c r="L46" s="96" t="s">
        <v>363</v>
      </c>
      <c r="M46" s="96" t="s">
        <v>160</v>
      </c>
      <c r="N46" s="103">
        <v>2</v>
      </c>
      <c r="O46" s="112">
        <v>4.6296296296296293E-4</v>
      </c>
    </row>
    <row r="47" spans="1:15" ht="54" customHeight="1" thickTop="1" thickBot="1">
      <c r="B47" s="109" t="s">
        <v>21</v>
      </c>
      <c r="C47" s="103" t="s">
        <v>555</v>
      </c>
      <c r="D47" s="103" t="s">
        <v>556</v>
      </c>
      <c r="E47" s="110" t="s">
        <v>22</v>
      </c>
      <c r="F47" s="110"/>
      <c r="G47" s="103"/>
      <c r="H47" s="111"/>
      <c r="I47" s="96" t="s">
        <v>130</v>
      </c>
      <c r="J47" s="96" t="s">
        <v>131</v>
      </c>
      <c r="K47" s="96">
        <v>0</v>
      </c>
      <c r="L47" s="96" t="s">
        <v>557</v>
      </c>
      <c r="M47" s="96" t="s">
        <v>201</v>
      </c>
      <c r="N47" s="103">
        <v>1</v>
      </c>
      <c r="O47" s="112">
        <v>6.9444444444444447E-4</v>
      </c>
    </row>
    <row r="48" spans="1:15" ht="54" customHeight="1" thickTop="1" thickBot="1">
      <c r="A48" s="72"/>
      <c r="B48" s="73" t="s">
        <v>21</v>
      </c>
      <c r="C48" s="74" t="s">
        <v>558</v>
      </c>
      <c r="D48" s="74" t="s">
        <v>559</v>
      </c>
      <c r="E48" s="75" t="s">
        <v>12</v>
      </c>
      <c r="F48" s="75" t="s">
        <v>22</v>
      </c>
      <c r="G48" s="74" t="s">
        <v>560</v>
      </c>
      <c r="H48" s="85">
        <v>45698</v>
      </c>
      <c r="I48" s="96" t="s">
        <v>130</v>
      </c>
      <c r="J48" s="96" t="s">
        <v>131</v>
      </c>
      <c r="K48" s="96">
        <v>0</v>
      </c>
      <c r="L48" s="96" t="s">
        <v>561</v>
      </c>
      <c r="M48" s="96" t="s">
        <v>234</v>
      </c>
      <c r="N48" s="74">
        <v>1</v>
      </c>
      <c r="O48" s="77">
        <v>3.4722222222222224E-4</v>
      </c>
    </row>
    <row r="49" spans="1:15" ht="54" customHeight="1" thickTop="1" thickBot="1">
      <c r="A49" s="72"/>
      <c r="B49" s="73" t="s">
        <v>21</v>
      </c>
      <c r="C49" s="74" t="s">
        <v>562</v>
      </c>
      <c r="D49" s="74" t="s">
        <v>563</v>
      </c>
      <c r="E49" s="75" t="s">
        <v>12</v>
      </c>
      <c r="F49" s="75" t="s">
        <v>22</v>
      </c>
      <c r="G49" s="74" t="s">
        <v>278</v>
      </c>
      <c r="H49" s="85">
        <v>45699</v>
      </c>
      <c r="I49" s="96" t="s">
        <v>85</v>
      </c>
      <c r="J49" s="96" t="s">
        <v>131</v>
      </c>
      <c r="K49" s="96">
        <v>0</v>
      </c>
      <c r="L49" s="96" t="s">
        <v>210</v>
      </c>
      <c r="M49" s="96" t="s">
        <v>211</v>
      </c>
      <c r="N49" s="74">
        <v>1</v>
      </c>
      <c r="O49" s="77">
        <v>6.9444444444444447E-4</v>
      </c>
    </row>
    <row r="50" spans="1:15" ht="54" customHeight="1" thickTop="1" thickBot="1">
      <c r="A50" s="72"/>
      <c r="B50" s="73" t="s">
        <v>21</v>
      </c>
      <c r="C50" s="74" t="s">
        <v>564</v>
      </c>
      <c r="D50" s="74" t="s">
        <v>565</v>
      </c>
      <c r="E50" s="75" t="s">
        <v>12</v>
      </c>
      <c r="F50" s="75" t="s">
        <v>22</v>
      </c>
      <c r="G50" s="74" t="s">
        <v>539</v>
      </c>
      <c r="H50" s="85">
        <v>45698</v>
      </c>
      <c r="I50" s="96" t="s">
        <v>56</v>
      </c>
      <c r="J50" s="96" t="s">
        <v>57</v>
      </c>
      <c r="K50" s="96">
        <v>0</v>
      </c>
      <c r="L50" s="96" t="s">
        <v>566</v>
      </c>
      <c r="M50" s="96" t="s">
        <v>143</v>
      </c>
      <c r="N50" s="74">
        <v>2</v>
      </c>
      <c r="O50" s="77">
        <v>2.0833333333333333E-3</v>
      </c>
    </row>
    <row r="51" spans="1:15" ht="54" customHeight="1" thickTop="1" thickBot="1">
      <c r="A51" s="72"/>
      <c r="B51" s="73" t="s">
        <v>21</v>
      </c>
      <c r="C51" s="74" t="s">
        <v>567</v>
      </c>
      <c r="D51" s="74" t="s">
        <v>568</v>
      </c>
      <c r="E51" s="75" t="s">
        <v>12</v>
      </c>
      <c r="F51" s="75" t="s">
        <v>22</v>
      </c>
      <c r="G51" s="74" t="s">
        <v>539</v>
      </c>
      <c r="H51" s="85">
        <v>45698</v>
      </c>
      <c r="I51" s="96" t="s">
        <v>56</v>
      </c>
      <c r="J51" s="96" t="s">
        <v>57</v>
      </c>
      <c r="K51" s="96">
        <v>0</v>
      </c>
      <c r="L51" s="96" t="s">
        <v>569</v>
      </c>
      <c r="M51" s="96" t="s">
        <v>143</v>
      </c>
      <c r="N51" s="74">
        <v>2</v>
      </c>
      <c r="O51" s="77">
        <v>6.9444444444444447E-4</v>
      </c>
    </row>
    <row r="52" spans="1:15" ht="54" customHeight="1" thickTop="1" thickBot="1">
      <c r="B52" s="109" t="s">
        <v>21</v>
      </c>
      <c r="C52" s="103" t="s">
        <v>570</v>
      </c>
      <c r="D52" s="103" t="s">
        <v>571</v>
      </c>
      <c r="E52" s="110" t="s">
        <v>22</v>
      </c>
      <c r="F52" s="110"/>
      <c r="G52" s="103"/>
      <c r="H52" s="111"/>
      <c r="I52" s="96" t="s">
        <v>56</v>
      </c>
      <c r="J52" s="96" t="s">
        <v>57</v>
      </c>
      <c r="K52" s="96">
        <v>0</v>
      </c>
      <c r="L52" s="96" t="s">
        <v>572</v>
      </c>
      <c r="M52" s="96" t="s">
        <v>59</v>
      </c>
      <c r="N52" s="103">
        <v>2</v>
      </c>
      <c r="O52" s="112">
        <v>6.9444444444444447E-4</v>
      </c>
    </row>
    <row r="53" spans="1:15" ht="54" customHeight="1" thickTop="1" thickBot="1">
      <c r="A53" s="72"/>
      <c r="B53" s="73" t="s">
        <v>21</v>
      </c>
      <c r="C53" s="74" t="s">
        <v>573</v>
      </c>
      <c r="D53" s="74" t="s">
        <v>574</v>
      </c>
      <c r="E53" s="75" t="s">
        <v>12</v>
      </c>
      <c r="F53" s="75" t="s">
        <v>22</v>
      </c>
      <c r="G53" s="74" t="s">
        <v>539</v>
      </c>
      <c r="H53" s="85">
        <v>45698</v>
      </c>
      <c r="I53" s="96" t="s">
        <v>56</v>
      </c>
      <c r="J53" s="96" t="s">
        <v>57</v>
      </c>
      <c r="K53" s="96">
        <v>0</v>
      </c>
      <c r="L53" s="96" t="s">
        <v>575</v>
      </c>
      <c r="M53" s="96" t="s">
        <v>143</v>
      </c>
      <c r="N53" s="74">
        <v>2</v>
      </c>
      <c r="O53" s="77">
        <v>6.9444444444444447E-4</v>
      </c>
    </row>
    <row r="54" spans="1:15" ht="54" customHeight="1" thickTop="1" thickBot="1">
      <c r="B54" s="109" t="s">
        <v>21</v>
      </c>
      <c r="C54" s="103" t="s">
        <v>576</v>
      </c>
      <c r="D54" s="103" t="s">
        <v>400</v>
      </c>
      <c r="E54" s="110" t="s">
        <v>22</v>
      </c>
      <c r="F54" s="110"/>
      <c r="G54" s="103"/>
      <c r="H54" s="111"/>
      <c r="I54" s="96" t="s">
        <v>85</v>
      </c>
      <c r="J54" s="96" t="s">
        <v>57</v>
      </c>
      <c r="K54" s="96">
        <v>0</v>
      </c>
      <c r="L54" s="96" t="s">
        <v>401</v>
      </c>
      <c r="M54" s="96" t="s">
        <v>104</v>
      </c>
      <c r="N54" s="103">
        <v>4</v>
      </c>
      <c r="O54" s="112">
        <v>2.0833333333333333E-3</v>
      </c>
    </row>
    <row r="55" spans="1:15" ht="54" customHeight="1" thickTop="1" thickBot="1">
      <c r="B55" s="109" t="s">
        <v>21</v>
      </c>
      <c r="C55" s="103" t="s">
        <v>577</v>
      </c>
      <c r="D55" s="103" t="s">
        <v>578</v>
      </c>
      <c r="E55" s="110" t="s">
        <v>22</v>
      </c>
      <c r="F55" s="110"/>
      <c r="G55" s="103"/>
      <c r="H55" s="111"/>
      <c r="I55" s="96" t="s">
        <v>56</v>
      </c>
      <c r="J55" s="96">
        <v>0</v>
      </c>
      <c r="K55" s="96">
        <v>0</v>
      </c>
      <c r="L55" s="96">
        <v>0</v>
      </c>
      <c r="M55" s="96" t="s">
        <v>104</v>
      </c>
      <c r="N55" s="103">
        <v>2</v>
      </c>
      <c r="O55" s="112">
        <v>1.0006944444444446</v>
      </c>
    </row>
    <row r="56" spans="1:15" ht="54" customHeight="1" thickTop="1" thickBot="1">
      <c r="B56" s="109" t="s">
        <v>21</v>
      </c>
      <c r="C56" s="103" t="s">
        <v>579</v>
      </c>
      <c r="D56" s="103" t="s">
        <v>580</v>
      </c>
      <c r="E56" s="110" t="s">
        <v>22</v>
      </c>
      <c r="F56" s="110"/>
      <c r="G56" s="103"/>
      <c r="H56" s="111"/>
      <c r="I56" s="96" t="s">
        <v>56</v>
      </c>
      <c r="J56" s="96">
        <v>0</v>
      </c>
      <c r="K56" s="96">
        <v>0</v>
      </c>
      <c r="L56" s="96">
        <v>0</v>
      </c>
      <c r="M56" s="96" t="s">
        <v>104</v>
      </c>
      <c r="N56" s="103">
        <v>2</v>
      </c>
      <c r="O56" s="112">
        <v>1.0006944444444446</v>
      </c>
    </row>
    <row r="57" spans="1:15" ht="54" customHeight="1" thickTop="1" thickBot="1">
      <c r="B57" s="109" t="s">
        <v>21</v>
      </c>
      <c r="C57" s="103" t="s">
        <v>581</v>
      </c>
      <c r="D57" s="103" t="s">
        <v>582</v>
      </c>
      <c r="E57" s="110" t="s">
        <v>22</v>
      </c>
      <c r="F57" s="110"/>
      <c r="G57" s="103"/>
      <c r="H57" s="111"/>
      <c r="I57" s="96" t="s">
        <v>56</v>
      </c>
      <c r="J57" s="96">
        <v>0</v>
      </c>
      <c r="K57" s="96">
        <v>0</v>
      </c>
      <c r="L57" s="96">
        <v>0</v>
      </c>
      <c r="M57" s="96" t="s">
        <v>104</v>
      </c>
      <c r="N57" s="103">
        <v>2</v>
      </c>
      <c r="O57" s="112">
        <v>1.0006944444444446</v>
      </c>
    </row>
    <row r="58" spans="1:15" ht="54" customHeight="1" thickTop="1" thickBot="1">
      <c r="B58" s="109" t="s">
        <v>21</v>
      </c>
      <c r="C58" s="103" t="s">
        <v>583</v>
      </c>
      <c r="D58" s="103" t="s">
        <v>584</v>
      </c>
      <c r="E58" s="110" t="s">
        <v>22</v>
      </c>
      <c r="F58" s="110"/>
      <c r="G58" s="103"/>
      <c r="H58" s="111"/>
      <c r="I58" s="96" t="s">
        <v>56</v>
      </c>
      <c r="J58" s="96">
        <v>0</v>
      </c>
      <c r="K58" s="96">
        <v>0</v>
      </c>
      <c r="L58" s="96">
        <v>0</v>
      </c>
      <c r="M58" s="96" t="s">
        <v>104</v>
      </c>
      <c r="N58" s="103">
        <v>2</v>
      </c>
      <c r="O58" s="112">
        <v>1.0006944444444446</v>
      </c>
    </row>
    <row r="59" spans="1:15" ht="54" customHeight="1" thickTop="1" thickBot="1">
      <c r="B59" s="109" t="s">
        <v>21</v>
      </c>
      <c r="C59" s="103" t="s">
        <v>585</v>
      </c>
      <c r="D59" s="103" t="s">
        <v>586</v>
      </c>
      <c r="E59" s="110" t="s">
        <v>22</v>
      </c>
      <c r="F59" s="110"/>
      <c r="G59" s="103"/>
      <c r="H59" s="111"/>
      <c r="I59" s="96" t="s">
        <v>56</v>
      </c>
      <c r="J59" s="96">
        <v>0</v>
      </c>
      <c r="K59" s="96">
        <v>0</v>
      </c>
      <c r="L59" s="96">
        <v>0</v>
      </c>
      <c r="M59" s="96" t="s">
        <v>104</v>
      </c>
      <c r="N59" s="103">
        <v>2</v>
      </c>
      <c r="O59" s="112">
        <v>1.0006944444444446</v>
      </c>
    </row>
    <row r="60" spans="1:15" ht="54" customHeight="1" thickTop="1" thickBot="1">
      <c r="B60" s="109" t="s">
        <v>21</v>
      </c>
      <c r="C60" s="103" t="s">
        <v>587</v>
      </c>
      <c r="D60" s="103" t="s">
        <v>588</v>
      </c>
      <c r="E60" s="110" t="s">
        <v>22</v>
      </c>
      <c r="F60" s="110"/>
      <c r="G60" s="103"/>
      <c r="H60" s="111"/>
      <c r="I60" s="96" t="s">
        <v>56</v>
      </c>
      <c r="J60" s="96">
        <v>0</v>
      </c>
      <c r="K60" s="96">
        <v>0</v>
      </c>
      <c r="L60" s="96">
        <v>0</v>
      </c>
      <c r="M60" s="96" t="s">
        <v>104</v>
      </c>
      <c r="N60" s="103">
        <v>2</v>
      </c>
      <c r="O60" s="112">
        <v>20.000231481481482</v>
      </c>
    </row>
    <row r="61" spans="1:15" ht="54" customHeight="1" thickTop="1" thickBot="1">
      <c r="B61" s="109" t="s">
        <v>21</v>
      </c>
      <c r="C61" s="103" t="s">
        <v>589</v>
      </c>
      <c r="D61" s="103" t="s">
        <v>590</v>
      </c>
      <c r="E61" s="110" t="s">
        <v>22</v>
      </c>
      <c r="F61" s="110"/>
      <c r="G61" s="103"/>
      <c r="H61" s="111"/>
      <c r="I61" s="96" t="s">
        <v>130</v>
      </c>
      <c r="J61" s="96">
        <v>0</v>
      </c>
      <c r="K61" s="96">
        <v>0</v>
      </c>
      <c r="L61" s="96">
        <v>0</v>
      </c>
      <c r="M61" s="96" t="s">
        <v>424</v>
      </c>
      <c r="N61" s="103">
        <v>2</v>
      </c>
      <c r="O61" s="112">
        <v>2.0020833333333332</v>
      </c>
    </row>
    <row r="62" spans="1:15" ht="54" customHeight="1" thickTop="1" thickBot="1">
      <c r="B62" s="114" t="s">
        <v>21</v>
      </c>
      <c r="C62" s="115" t="s">
        <v>591</v>
      </c>
      <c r="D62" s="115" t="s">
        <v>400</v>
      </c>
      <c r="E62" s="116" t="s">
        <v>22</v>
      </c>
      <c r="F62" s="116"/>
      <c r="G62" s="115"/>
      <c r="H62" s="121"/>
      <c r="I62" s="96" t="s">
        <v>85</v>
      </c>
      <c r="J62" s="96" t="s">
        <v>57</v>
      </c>
      <c r="K62" s="96">
        <v>0</v>
      </c>
      <c r="L62" s="96" t="s">
        <v>401</v>
      </c>
      <c r="M62" s="96" t="s">
        <v>104</v>
      </c>
      <c r="N62" s="115">
        <v>2</v>
      </c>
      <c r="O62" s="117">
        <v>6.9444444444444447E-4</v>
      </c>
    </row>
    <row r="63" spans="1:15" ht="54" customHeight="1" thickTop="1" thickBot="1">
      <c r="B63" s="104" t="s">
        <v>25</v>
      </c>
      <c r="C63" s="105" t="s">
        <v>592</v>
      </c>
      <c r="D63" s="105" t="s">
        <v>419</v>
      </c>
      <c r="E63" s="106" t="s">
        <v>22</v>
      </c>
      <c r="F63" s="106"/>
      <c r="G63" s="105"/>
      <c r="H63" s="107"/>
      <c r="I63" s="96" t="s">
        <v>130</v>
      </c>
      <c r="J63" s="96" t="s">
        <v>57</v>
      </c>
      <c r="K63" s="96">
        <v>0</v>
      </c>
      <c r="L63" s="96" t="s">
        <v>420</v>
      </c>
      <c r="M63" s="96" t="s">
        <v>234</v>
      </c>
      <c r="N63" s="105">
        <v>1</v>
      </c>
      <c r="O63" s="108">
        <v>6.9444444444444447E-4</v>
      </c>
    </row>
    <row r="64" spans="1:15" ht="54" customHeight="1" thickTop="1" thickBot="1">
      <c r="B64" s="109" t="s">
        <v>25</v>
      </c>
      <c r="C64" s="103" t="s">
        <v>593</v>
      </c>
      <c r="D64" s="103" t="s">
        <v>594</v>
      </c>
      <c r="E64" s="110" t="s">
        <v>22</v>
      </c>
      <c r="F64" s="110"/>
      <c r="G64" s="103"/>
      <c r="H64" s="103"/>
      <c r="I64" s="96" t="s">
        <v>130</v>
      </c>
      <c r="J64" s="96" t="s">
        <v>57</v>
      </c>
      <c r="K64" s="96">
        <v>0</v>
      </c>
      <c r="L64" s="96">
        <v>0</v>
      </c>
      <c r="M64" s="96" t="s">
        <v>424</v>
      </c>
      <c r="N64" s="103">
        <v>1</v>
      </c>
      <c r="O64" s="112">
        <v>3.4722222222222224E-4</v>
      </c>
    </row>
    <row r="65" spans="2:15" ht="54" customHeight="1" thickTop="1" thickBot="1">
      <c r="B65" s="114" t="s">
        <v>25</v>
      </c>
      <c r="C65" s="115" t="s">
        <v>595</v>
      </c>
      <c r="D65" s="115" t="s">
        <v>596</v>
      </c>
      <c r="E65" s="116" t="s">
        <v>22</v>
      </c>
      <c r="F65" s="116"/>
      <c r="G65" s="115"/>
      <c r="H65" s="121"/>
      <c r="I65" s="96" t="s">
        <v>56</v>
      </c>
      <c r="J65" s="96" t="s">
        <v>57</v>
      </c>
      <c r="K65" s="96">
        <v>0</v>
      </c>
      <c r="L65" s="96" t="s">
        <v>410</v>
      </c>
      <c r="M65" s="96" t="s">
        <v>104</v>
      </c>
      <c r="N65" s="115">
        <v>1</v>
      </c>
      <c r="O65" s="117">
        <v>1.0416666666666667E-3</v>
      </c>
    </row>
    <row r="66" spans="2:15" ht="15.75" thickTop="1"/>
    <row r="88" ht="66" customHeight="1"/>
    <row r="128" ht="66" customHeight="1"/>
  </sheetData>
  <autoFilter ref="A2:O65" xr:uid="{2BDE6E76-94FA-42DA-9D7A-8C55E4DD00DF}"/>
  <conditionalFormatting sqref="C3:F6 C7:D16 G8:H8 G65:H65 C65:D65 B64:D64 G33:H35 G37:H40 G10:H31 C63:D63 C42:D42 D41 C44:D48 D43 G42:H42 G44:H63 C62 C50:D54 C49 C28:D40 C27 C24:D26 C23 C18:D22 C17">
    <cfRule type="expression" dxfId="300" priority="59">
      <formula>AND(OR($F3="No",$F3=""), $E3= "Yes",$G3&lt;&gt;"",$H3&lt;&gt;"")</formula>
    </cfRule>
  </conditionalFormatting>
  <conditionalFormatting sqref="G3:H6">
    <cfRule type="expression" dxfId="299" priority="52">
      <formula>AND(OR($F3="No",$F3=""), $E3= "Yes",$G3&lt;&gt;"",$H3&lt;&gt;"")</formula>
    </cfRule>
  </conditionalFormatting>
  <conditionalFormatting sqref="I3:M65">
    <cfRule type="expression" dxfId="298" priority="51">
      <formula>AND(OR($F4="No",$F4=""), $E3= "Yes",$G3&lt;&gt;"",$H3&lt;&gt;"")</formula>
    </cfRule>
  </conditionalFormatting>
  <conditionalFormatting sqref="E65:F65 E33:F35 E37:F40 E10:F31 E42:F42 E41:H41 E44:F63 E43:H43">
    <cfRule type="expression" dxfId="297" priority="36">
      <formula>AND(OR($F10="No",$F10=""), $E10= "Yes",$G10&lt;&gt;"",$H10&lt;&gt;"")</formula>
    </cfRule>
    <cfRule type="expression" dxfId="296" priority="37">
      <formula>AND(OR($E10="No",$E10=""), $F10= "Yes",$G10&lt;&gt;"",$H10&lt;&gt;"")</formula>
    </cfRule>
  </conditionalFormatting>
  <conditionalFormatting sqref="E8:F8">
    <cfRule type="expression" dxfId="295" priority="34">
      <formula>AND(OR($F8="No",$F8=""), $E8= "Yes",$G8&lt;&gt;"",$H8&lt;&gt;"")</formula>
    </cfRule>
    <cfRule type="expression" dxfId="294" priority="35">
      <formula>AND(OR($E8="No",$E8=""), $F8= "Yes",$G8&lt;&gt;"",$H8&lt;&gt;"")</formula>
    </cfRule>
  </conditionalFormatting>
  <conditionalFormatting sqref="G64:H64">
    <cfRule type="expression" dxfId="293" priority="32">
      <formula>AND(OR($F64="No",$F64=""), $E64= "Yes",$G64&lt;&gt;"",$H64&lt;&gt;"")</formula>
    </cfRule>
  </conditionalFormatting>
  <conditionalFormatting sqref="E64:F64">
    <cfRule type="expression" dxfId="292" priority="30">
      <formula>AND(OR($F64="No",$F64=""), $E64= "Yes",$G64&lt;&gt;"",$H64&lt;&gt;"")</formula>
    </cfRule>
    <cfRule type="expression" dxfId="291" priority="31">
      <formula>AND(OR($E64="No",$E64=""), $F64= "Yes",$G64&lt;&gt;"",$H64&lt;&gt;"")</formula>
    </cfRule>
  </conditionalFormatting>
  <conditionalFormatting sqref="G7:H7">
    <cfRule type="expression" dxfId="290" priority="26">
      <formula>AND(OR($F7="No",$F7=""), $E7= "Yes",$G7&lt;&gt;"",$H7&lt;&gt;"")</formula>
    </cfRule>
  </conditionalFormatting>
  <conditionalFormatting sqref="E7:F7">
    <cfRule type="expression" dxfId="289" priority="24">
      <formula>AND(OR($F7="No",$F7=""), $E7= "Yes",$G7&lt;&gt;"",$H7&lt;&gt;"")</formula>
    </cfRule>
    <cfRule type="expression" dxfId="288" priority="25">
      <formula>AND(OR($E7="No",$E7=""), $F7= "Yes",$G7&lt;&gt;"",$H7&lt;&gt;"")</formula>
    </cfRule>
  </conditionalFormatting>
  <conditionalFormatting sqref="G9:H9">
    <cfRule type="expression" dxfId="287" priority="23">
      <formula>AND(OR($F9="No",$F9=""), $E9= "Yes",$G9&lt;&gt;"",$H9&lt;&gt;"")</formula>
    </cfRule>
  </conditionalFormatting>
  <conditionalFormatting sqref="E9:F9">
    <cfRule type="expression" dxfId="286" priority="21">
      <formula>AND(OR($F9="No",$F9=""), $E9= "Yes",$G9&lt;&gt;"",$H9&lt;&gt;"")</formula>
    </cfRule>
    <cfRule type="expression" dxfId="285" priority="22">
      <formula>AND(OR($E9="No",$E9=""), $F9= "Yes",$G9&lt;&gt;"",$H9&lt;&gt;"")</formula>
    </cfRule>
  </conditionalFormatting>
  <conditionalFormatting sqref="G32:H32">
    <cfRule type="expression" dxfId="284" priority="20">
      <formula>AND(OR($F32="No",$F32=""), $E32= "Yes",$G32&lt;&gt;"",$H32&lt;&gt;"")</formula>
    </cfRule>
  </conditionalFormatting>
  <conditionalFormatting sqref="E32:F32">
    <cfRule type="expression" dxfId="283" priority="18">
      <formula>AND(OR($F32="No",$F32=""), $E32= "Yes",$G32&lt;&gt;"",$H32&lt;&gt;"")</formula>
    </cfRule>
    <cfRule type="expression" dxfId="282" priority="19">
      <formula>AND(OR($E32="No",$E32=""), $F32= "Yes",$G32&lt;&gt;"",$H32&lt;&gt;"")</formula>
    </cfRule>
  </conditionalFormatting>
  <conditionalFormatting sqref="G36:H36">
    <cfRule type="expression" dxfId="281" priority="17">
      <formula>AND(OR($F36="No",$F36=""), $E36= "Yes",$G36&lt;&gt;"",$H36&lt;&gt;"")</formula>
    </cfRule>
  </conditionalFormatting>
  <conditionalFormatting sqref="E36:F36">
    <cfRule type="expression" dxfId="280" priority="15">
      <formula>AND(OR($F36="No",$F36=""), $E36= "Yes",$G36&lt;&gt;"",$H36&lt;&gt;"")</formula>
    </cfRule>
    <cfRule type="expression" dxfId="279" priority="16">
      <formula>AND(OR($E36="No",$E36=""), $F36= "Yes",$G36&lt;&gt;"",$H36&lt;&gt;"")</formula>
    </cfRule>
  </conditionalFormatting>
  <conditionalFormatting sqref="A2">
    <cfRule type="expression" dxfId="278" priority="13">
      <formula>AND(OR(#REF!="No",#REF!=""), #REF!= "Yes",#REF!&lt;&gt;"",#REF!&lt;&gt;"")</formula>
    </cfRule>
    <cfRule type="expression" dxfId="277" priority="14">
      <formula>AND(OR(#REF!="No",#REF!=""), #REF!= "Yes",#REF!&lt;&gt;"",#REF!&lt;&gt;"")</formula>
    </cfRule>
  </conditionalFormatting>
  <conditionalFormatting sqref="C55:D61">
    <cfRule type="expression" dxfId="276" priority="12">
      <formula>AND(OR($F55="No",$F55=""), $E55= "Yes",$G55&lt;&gt;"",$H55&lt;&gt;"")</formula>
    </cfRule>
  </conditionalFormatting>
  <conditionalFormatting sqref="N15:O63 N64:N65">
    <cfRule type="expression" dxfId="275" priority="11">
      <formula>AND(OR($F15="No",$F15=""), $E15= "Yes",$G15&lt;&gt;"",$H15&lt;&gt;"")</formula>
    </cfRule>
  </conditionalFormatting>
  <conditionalFormatting sqref="N3:O13">
    <cfRule type="expression" dxfId="274" priority="10">
      <formula>AND(OR($F3="No",$F3=""), $E3= "Yes",$G3&lt;&gt;"",$H3&lt;&gt;"")</formula>
    </cfRule>
  </conditionalFormatting>
  <conditionalFormatting sqref="O64:O65">
    <cfRule type="expression" dxfId="273" priority="9">
      <formula>AND(OR($F64="No",$F64=""), $E64= "Yes",$G64&lt;&gt;"",$H64&lt;&gt;"")</formula>
    </cfRule>
  </conditionalFormatting>
  <conditionalFormatting sqref="N14:O14">
    <cfRule type="expression" dxfId="272" priority="8">
      <formula>AND(OR($F14="No",$F14=""), $E14= "Yes",$G14&lt;&gt;"",$H14&lt;&gt;"")</formula>
    </cfRule>
  </conditionalFormatting>
  <conditionalFormatting sqref="C41">
    <cfRule type="expression" dxfId="271" priority="7">
      <formula>AND(OR($F41="No",$F41=""), $E41= "Yes",$G41&lt;&gt;"",$H41&lt;&gt;"")</formula>
    </cfRule>
  </conditionalFormatting>
  <conditionalFormatting sqref="C43">
    <cfRule type="expression" dxfId="270" priority="6">
      <formula>AND(OR($F43="No",$F43=""), $E43= "Yes",$G43&lt;&gt;"",$H43&lt;&gt;"")</formula>
    </cfRule>
  </conditionalFormatting>
  <conditionalFormatting sqref="D62">
    <cfRule type="expression" dxfId="269" priority="5">
      <formula>AND(OR($F62="No",$F62=""), $E62= "Yes",$G62&lt;&gt;"",$H62&lt;&gt;"")</formula>
    </cfRule>
  </conditionalFormatting>
  <conditionalFormatting sqref="D49">
    <cfRule type="expression" dxfId="268" priority="4">
      <formula>AND(OR($F49="No",$F49=""), $E49= "Yes",$G49&lt;&gt;"",$H49&lt;&gt;"")</formula>
    </cfRule>
  </conditionalFormatting>
  <conditionalFormatting sqref="D27">
    <cfRule type="expression" dxfId="267" priority="3">
      <formula>AND(OR($F27="No",$F27=""), $E27= "Yes",$G27&lt;&gt;"",$H27&lt;&gt;"")</formula>
    </cfRule>
  </conditionalFormatting>
  <conditionalFormatting sqref="D23">
    <cfRule type="expression" dxfId="266" priority="2">
      <formula>AND(OR($F23="No",$F23=""), $E23= "Yes",$G23&lt;&gt;"",$H23&lt;&gt;"")</formula>
    </cfRule>
  </conditionalFormatting>
  <conditionalFormatting sqref="D17">
    <cfRule type="expression" dxfId="265" priority="1">
      <formula>AND(OR($F17="No",$F17=""), $E17= "Yes",$G17&lt;&gt;"",$H17&lt;&gt;"")</formula>
    </cfRule>
  </conditionalFormatting>
  <dataValidations count="1">
    <dataValidation type="list" allowBlank="1" showInputMessage="1" showErrorMessage="1" sqref="E3:F40 E44:F65"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28"/>
  <sheetViews>
    <sheetView zoomScale="60" zoomScaleNormal="60" workbookViewId="0">
      <pane ySplit="2" topLeftCell="A20" activePane="bottomLeft" state="frozen"/>
      <selection pane="bottomLeft" activeCell="G29" sqref="G29"/>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8.88671875" style="3" customWidth="1"/>
    <col min="12" max="12" width="15.5546875" style="22" customWidth="1"/>
    <col min="13" max="13" width="8.88671875" style="3" customWidth="1"/>
    <col min="14" max="14" width="9.77734375" style="3" customWidth="1"/>
    <col min="15" max="17" width="8.88671875" style="3" customWidth="1"/>
    <col min="18" max="16384" width="8.88671875" style="3"/>
  </cols>
  <sheetData>
    <row r="1" spans="1:15" ht="21" customHeight="1" thickBot="1">
      <c r="B1" s="88" t="s">
        <v>44</v>
      </c>
      <c r="C1" s="62" t="s">
        <v>597</v>
      </c>
      <c r="D1" s="23"/>
      <c r="E1" s="23"/>
      <c r="F1" s="23"/>
      <c r="G1" s="23"/>
      <c r="H1" s="23"/>
      <c r="I1" s="23"/>
      <c r="J1" s="23"/>
      <c r="K1" s="22"/>
      <c r="L1" s="23"/>
    </row>
    <row r="2" spans="1:15" s="10" customFormat="1" ht="87.95" customHeight="1" thickBot="1">
      <c r="A2" s="50" t="s">
        <v>38</v>
      </c>
      <c r="B2" s="50" t="s">
        <v>39</v>
      </c>
      <c r="C2" s="51" t="s">
        <v>40</v>
      </c>
      <c r="D2" s="52" t="s">
        <v>41</v>
      </c>
      <c r="E2" s="53" t="s">
        <v>24</v>
      </c>
      <c r="F2" s="53" t="s">
        <v>20</v>
      </c>
      <c r="G2" s="54" t="s">
        <v>42</v>
      </c>
      <c r="H2" s="54" t="s">
        <v>43</v>
      </c>
      <c r="I2" s="55" t="s">
        <v>46</v>
      </c>
      <c r="J2" s="55" t="s">
        <v>47</v>
      </c>
      <c r="K2" s="63" t="s">
        <v>48</v>
      </c>
      <c r="L2" s="55" t="s">
        <v>49</v>
      </c>
      <c r="M2" s="63" t="s">
        <v>50</v>
      </c>
      <c r="N2" s="63" t="s">
        <v>51</v>
      </c>
      <c r="O2" s="63" t="s">
        <v>52</v>
      </c>
    </row>
    <row r="3" spans="1:15" ht="54" customHeight="1" thickTop="1" thickBot="1">
      <c r="A3" s="72"/>
      <c r="B3" s="94" t="s">
        <v>11</v>
      </c>
      <c r="C3" s="95" t="s">
        <v>598</v>
      </c>
      <c r="D3" s="95" t="s">
        <v>599</v>
      </c>
      <c r="E3" s="95" t="s">
        <v>12</v>
      </c>
      <c r="F3" s="95" t="s">
        <v>22</v>
      </c>
      <c r="G3" s="95" t="s">
        <v>55</v>
      </c>
      <c r="H3" s="97" t="s">
        <v>55</v>
      </c>
      <c r="I3" s="96" t="s">
        <v>56</v>
      </c>
      <c r="J3" s="96" t="s">
        <v>57</v>
      </c>
      <c r="K3" s="96">
        <v>0</v>
      </c>
      <c r="L3" s="96" t="s">
        <v>463</v>
      </c>
      <c r="M3" s="96" t="s">
        <v>59</v>
      </c>
      <c r="N3" s="95">
        <v>2</v>
      </c>
      <c r="O3" s="98">
        <v>5.2083333333333333E-4</v>
      </c>
    </row>
    <row r="4" spans="1:15" ht="54" customHeight="1" thickTop="1" thickBot="1">
      <c r="A4" s="72"/>
      <c r="B4" s="73" t="s">
        <v>11</v>
      </c>
      <c r="C4" s="74" t="s">
        <v>600</v>
      </c>
      <c r="D4" s="74" t="s">
        <v>601</v>
      </c>
      <c r="E4" s="74" t="s">
        <v>12</v>
      </c>
      <c r="F4" s="74" t="s">
        <v>22</v>
      </c>
      <c r="G4" s="74" t="s">
        <v>55</v>
      </c>
      <c r="H4" s="85" t="s">
        <v>55</v>
      </c>
      <c r="I4" s="96" t="s">
        <v>56</v>
      </c>
      <c r="J4" s="96" t="s">
        <v>57</v>
      </c>
      <c r="K4" s="96">
        <v>0</v>
      </c>
      <c r="L4" s="96" t="s">
        <v>58</v>
      </c>
      <c r="M4" s="96" t="s">
        <v>59</v>
      </c>
      <c r="N4" s="74">
        <v>1</v>
      </c>
      <c r="O4" s="77">
        <v>2.4305555555555556E-3</v>
      </c>
    </row>
    <row r="5" spans="1:15" ht="54" customHeight="1" thickTop="1" thickBot="1">
      <c r="A5" s="72"/>
      <c r="B5" s="73" t="s">
        <v>11</v>
      </c>
      <c r="C5" s="74" t="s">
        <v>602</v>
      </c>
      <c r="D5" s="74" t="s">
        <v>465</v>
      </c>
      <c r="E5" s="74" t="s">
        <v>12</v>
      </c>
      <c r="F5" s="74" t="s">
        <v>22</v>
      </c>
      <c r="G5" s="74" t="s">
        <v>55</v>
      </c>
      <c r="H5" s="85" t="s">
        <v>55</v>
      </c>
      <c r="I5" s="96" t="s">
        <v>56</v>
      </c>
      <c r="J5" s="96" t="s">
        <v>57</v>
      </c>
      <c r="K5" s="96">
        <v>0</v>
      </c>
      <c r="L5" s="96" t="s">
        <v>62</v>
      </c>
      <c r="M5" s="96" t="s">
        <v>63</v>
      </c>
      <c r="N5" s="74">
        <v>1</v>
      </c>
      <c r="O5" s="77">
        <v>1.3888888888888889E-3</v>
      </c>
    </row>
    <row r="6" spans="1:15" ht="54" customHeight="1" thickTop="1" thickBot="1">
      <c r="A6" s="72"/>
      <c r="B6" s="73" t="s">
        <v>11</v>
      </c>
      <c r="C6" s="74" t="s">
        <v>603</v>
      </c>
      <c r="D6" s="74" t="s">
        <v>100</v>
      </c>
      <c r="E6" s="74" t="s">
        <v>12</v>
      </c>
      <c r="F6" s="74" t="s">
        <v>22</v>
      </c>
      <c r="G6" s="74" t="s">
        <v>55</v>
      </c>
      <c r="H6" s="85" t="s">
        <v>55</v>
      </c>
      <c r="I6" s="96" t="s">
        <v>56</v>
      </c>
      <c r="J6" s="96" t="s">
        <v>57</v>
      </c>
      <c r="K6" s="96">
        <v>0</v>
      </c>
      <c r="L6" s="96" t="s">
        <v>69</v>
      </c>
      <c r="M6" s="96" t="s">
        <v>70</v>
      </c>
      <c r="N6" s="74">
        <v>1</v>
      </c>
      <c r="O6" s="77">
        <v>3.4722222222222224E-4</v>
      </c>
    </row>
    <row r="7" spans="1:15" ht="54" customHeight="1" thickTop="1" thickBot="1">
      <c r="A7" s="72"/>
      <c r="B7" s="73" t="s">
        <v>11</v>
      </c>
      <c r="C7" s="74" t="s">
        <v>604</v>
      </c>
      <c r="D7" s="74" t="s">
        <v>605</v>
      </c>
      <c r="E7" s="74" t="s">
        <v>12</v>
      </c>
      <c r="F7" s="74" t="s">
        <v>22</v>
      </c>
      <c r="G7" s="74" t="s">
        <v>55</v>
      </c>
      <c r="H7" s="85" t="s">
        <v>55</v>
      </c>
      <c r="I7" s="96" t="s">
        <v>56</v>
      </c>
      <c r="J7" s="96" t="s">
        <v>57</v>
      </c>
      <c r="K7" s="96">
        <v>0</v>
      </c>
      <c r="L7" s="96" t="s">
        <v>91</v>
      </c>
      <c r="M7" s="96" t="s">
        <v>59</v>
      </c>
      <c r="N7" s="74">
        <v>1</v>
      </c>
      <c r="O7" s="77">
        <v>3.1249999999999997E-3</v>
      </c>
    </row>
    <row r="8" spans="1:15" ht="54" customHeight="1" thickTop="1" thickBot="1">
      <c r="A8" s="72"/>
      <c r="B8" s="73" t="s">
        <v>11</v>
      </c>
      <c r="C8" s="74" t="s">
        <v>606</v>
      </c>
      <c r="D8" s="74" t="s">
        <v>607</v>
      </c>
      <c r="E8" s="74" t="s">
        <v>12</v>
      </c>
      <c r="F8" s="74" t="s">
        <v>22</v>
      </c>
      <c r="G8" s="74" t="s">
        <v>55</v>
      </c>
      <c r="H8" s="85" t="s">
        <v>55</v>
      </c>
      <c r="I8" s="96" t="s">
        <v>56</v>
      </c>
      <c r="J8" s="96" t="s">
        <v>57</v>
      </c>
      <c r="K8" s="96">
        <v>0</v>
      </c>
      <c r="L8" s="96" t="s">
        <v>96</v>
      </c>
      <c r="M8" s="96" t="s">
        <v>59</v>
      </c>
      <c r="N8" s="74">
        <v>1</v>
      </c>
      <c r="O8" s="77">
        <v>8.1018518518518516E-4</v>
      </c>
    </row>
    <row r="9" spans="1:15" ht="54" customHeight="1" thickTop="1" thickBot="1">
      <c r="A9" s="72"/>
      <c r="B9" s="73" t="s">
        <v>11</v>
      </c>
      <c r="C9" s="74" t="s">
        <v>608</v>
      </c>
      <c r="D9" s="74" t="s">
        <v>102</v>
      </c>
      <c r="E9" s="74" t="s">
        <v>12</v>
      </c>
      <c r="F9" s="74" t="s">
        <v>22</v>
      </c>
      <c r="G9" s="74" t="s">
        <v>55</v>
      </c>
      <c r="H9" s="85" t="s">
        <v>55</v>
      </c>
      <c r="I9" s="96" t="s">
        <v>85</v>
      </c>
      <c r="J9" s="96" t="s">
        <v>57</v>
      </c>
      <c r="K9" s="96">
        <v>0</v>
      </c>
      <c r="L9" s="96" t="s">
        <v>107</v>
      </c>
      <c r="M9" s="96" t="s">
        <v>104</v>
      </c>
      <c r="N9" s="74">
        <v>1</v>
      </c>
      <c r="O9" s="77">
        <v>6.9444444444444447E-4</v>
      </c>
    </row>
    <row r="10" spans="1:15" ht="54" customHeight="1" thickTop="1" thickBot="1">
      <c r="A10" s="72"/>
      <c r="B10" s="73" t="s">
        <v>11</v>
      </c>
      <c r="C10" s="74" t="s">
        <v>609</v>
      </c>
      <c r="D10" s="74" t="s">
        <v>106</v>
      </c>
      <c r="E10" s="74" t="s">
        <v>12</v>
      </c>
      <c r="F10" s="74" t="s">
        <v>22</v>
      </c>
      <c r="G10" s="74" t="s">
        <v>55</v>
      </c>
      <c r="H10" s="85" t="s">
        <v>55</v>
      </c>
      <c r="I10" s="96" t="s">
        <v>85</v>
      </c>
      <c r="J10" s="96" t="s">
        <v>57</v>
      </c>
      <c r="K10" s="96">
        <v>0</v>
      </c>
      <c r="L10" s="96" t="s">
        <v>103</v>
      </c>
      <c r="M10" s="96" t="s">
        <v>104</v>
      </c>
      <c r="N10" s="74">
        <v>1</v>
      </c>
      <c r="O10" s="77">
        <v>6.9444444444444447E-4</v>
      </c>
    </row>
    <row r="11" spans="1:15" ht="54" customHeight="1" thickTop="1" thickBot="1">
      <c r="A11" s="72"/>
      <c r="B11" s="73" t="s">
        <v>11</v>
      </c>
      <c r="C11" s="74" t="s">
        <v>610</v>
      </c>
      <c r="D11" s="74" t="s">
        <v>114</v>
      </c>
      <c r="E11" s="75" t="s">
        <v>12</v>
      </c>
      <c r="F11" s="75" t="s">
        <v>22</v>
      </c>
      <c r="G11" s="74" t="s">
        <v>55</v>
      </c>
      <c r="H11" s="85" t="s">
        <v>55</v>
      </c>
      <c r="I11" s="96" t="s">
        <v>85</v>
      </c>
      <c r="J11" s="96" t="s">
        <v>57</v>
      </c>
      <c r="K11" s="96">
        <v>0</v>
      </c>
      <c r="L11" s="96" t="s">
        <v>132</v>
      </c>
      <c r="M11" s="96" t="s">
        <v>104</v>
      </c>
      <c r="N11" s="74">
        <v>2</v>
      </c>
      <c r="O11" s="77">
        <v>45.042187499999997</v>
      </c>
    </row>
    <row r="12" spans="1:15" ht="54" customHeight="1" thickTop="1" thickBot="1">
      <c r="A12" s="72"/>
      <c r="B12" s="73" t="s">
        <v>11</v>
      </c>
      <c r="C12" s="74" t="s">
        <v>611</v>
      </c>
      <c r="D12" s="74" t="s">
        <v>111</v>
      </c>
      <c r="E12" s="75" t="s">
        <v>12</v>
      </c>
      <c r="F12" s="75" t="s">
        <v>22</v>
      </c>
      <c r="G12" s="74" t="s">
        <v>55</v>
      </c>
      <c r="H12" s="85" t="s">
        <v>55</v>
      </c>
      <c r="I12" s="96" t="s">
        <v>85</v>
      </c>
      <c r="J12" s="96" t="s">
        <v>57</v>
      </c>
      <c r="K12" s="96">
        <v>0</v>
      </c>
      <c r="L12" s="96" t="s">
        <v>132</v>
      </c>
      <c r="M12" s="96" t="s">
        <v>104</v>
      </c>
      <c r="N12" s="74">
        <v>2</v>
      </c>
      <c r="O12" s="77">
        <v>45.000520833333333</v>
      </c>
    </row>
    <row r="13" spans="1:15" ht="54" customHeight="1" thickTop="1" thickBot="1">
      <c r="A13" s="84"/>
      <c r="B13" s="73" t="s">
        <v>11</v>
      </c>
      <c r="C13" s="74" t="s">
        <v>612</v>
      </c>
      <c r="D13" s="74" t="s">
        <v>117</v>
      </c>
      <c r="E13" s="74" t="s">
        <v>12</v>
      </c>
      <c r="F13" s="74" t="s">
        <v>22</v>
      </c>
      <c r="G13" s="74" t="s">
        <v>126</v>
      </c>
      <c r="H13" s="85" t="s">
        <v>55</v>
      </c>
      <c r="I13" s="96" t="s">
        <v>85</v>
      </c>
      <c r="J13" s="96" t="s">
        <v>57</v>
      </c>
      <c r="K13" s="96">
        <v>0</v>
      </c>
      <c r="L13" s="96" t="s">
        <v>119</v>
      </c>
      <c r="M13" s="96" t="s">
        <v>120</v>
      </c>
      <c r="N13" s="74">
        <v>1</v>
      </c>
      <c r="O13" s="77">
        <v>5.2083333333333333E-4</v>
      </c>
    </row>
    <row r="14" spans="1:15" ht="54" customHeight="1" thickTop="1" thickBot="1">
      <c r="A14" s="84"/>
      <c r="B14" s="78" t="s">
        <v>11</v>
      </c>
      <c r="C14" s="79" t="s">
        <v>613</v>
      </c>
      <c r="D14" s="79" t="s">
        <v>122</v>
      </c>
      <c r="E14" s="79" t="s">
        <v>12</v>
      </c>
      <c r="F14" s="79" t="s">
        <v>22</v>
      </c>
      <c r="G14" s="79" t="s">
        <v>126</v>
      </c>
      <c r="H14" s="86" t="s">
        <v>55</v>
      </c>
      <c r="I14" s="96" t="s">
        <v>85</v>
      </c>
      <c r="J14" s="96" t="s">
        <v>57</v>
      </c>
      <c r="K14" s="96">
        <v>0</v>
      </c>
      <c r="L14" s="96" t="s">
        <v>123</v>
      </c>
      <c r="M14" s="96" t="s">
        <v>120</v>
      </c>
      <c r="N14" s="79">
        <v>2</v>
      </c>
      <c r="O14" s="83">
        <v>6.9444444444444447E-4</v>
      </c>
    </row>
    <row r="15" spans="1:15" ht="54" customHeight="1" thickTop="1" thickBot="1">
      <c r="A15" s="72"/>
      <c r="B15" s="94" t="s">
        <v>14</v>
      </c>
      <c r="C15" s="95" t="s">
        <v>614</v>
      </c>
      <c r="D15" s="95" t="s">
        <v>615</v>
      </c>
      <c r="E15" s="96" t="s">
        <v>12</v>
      </c>
      <c r="F15" s="96" t="s">
        <v>22</v>
      </c>
      <c r="G15" s="96" t="s">
        <v>472</v>
      </c>
      <c r="H15" s="100">
        <v>45697</v>
      </c>
      <c r="I15" s="96" t="s">
        <v>130</v>
      </c>
      <c r="J15" s="96" t="s">
        <v>131</v>
      </c>
      <c r="K15" s="96">
        <v>0</v>
      </c>
      <c r="L15" s="96" t="s">
        <v>132</v>
      </c>
      <c r="M15" s="96" t="s">
        <v>104</v>
      </c>
      <c r="N15" s="95">
        <v>4</v>
      </c>
      <c r="O15" s="98">
        <v>1.736111111111111E-3</v>
      </c>
    </row>
    <row r="16" spans="1:15" ht="54" customHeight="1" thickTop="1" thickBot="1">
      <c r="A16" s="72"/>
      <c r="B16" s="73" t="s">
        <v>14</v>
      </c>
      <c r="C16" s="74" t="s">
        <v>616</v>
      </c>
      <c r="D16" s="74" t="s">
        <v>617</v>
      </c>
      <c r="E16" s="75" t="s">
        <v>12</v>
      </c>
      <c r="F16" s="75" t="s">
        <v>22</v>
      </c>
      <c r="G16" s="75" t="s">
        <v>618</v>
      </c>
      <c r="H16" s="85">
        <v>45712</v>
      </c>
      <c r="I16" s="96" t="s">
        <v>130</v>
      </c>
      <c r="J16" s="96" t="s">
        <v>131</v>
      </c>
      <c r="K16" s="96">
        <v>0</v>
      </c>
      <c r="L16" s="96" t="s">
        <v>132</v>
      </c>
      <c r="M16" s="96" t="s">
        <v>104</v>
      </c>
      <c r="N16" s="74">
        <v>4</v>
      </c>
      <c r="O16" s="77">
        <v>1.736111111111111E-3</v>
      </c>
    </row>
    <row r="17" spans="1:15" ht="54" customHeight="1" thickTop="1" thickBot="1">
      <c r="A17" s="72"/>
      <c r="B17" s="73" t="s">
        <v>14</v>
      </c>
      <c r="C17" s="74" t="s">
        <v>619</v>
      </c>
      <c r="D17" s="74" t="s">
        <v>620</v>
      </c>
      <c r="E17" s="75" t="s">
        <v>12</v>
      </c>
      <c r="F17" s="75" t="s">
        <v>22</v>
      </c>
      <c r="G17" s="75" t="s">
        <v>472</v>
      </c>
      <c r="H17" s="76">
        <v>45697</v>
      </c>
      <c r="I17" s="96" t="s">
        <v>130</v>
      </c>
      <c r="J17" s="96" t="s">
        <v>131</v>
      </c>
      <c r="K17" s="96">
        <v>0</v>
      </c>
      <c r="L17" s="96" t="s">
        <v>142</v>
      </c>
      <c r="M17" s="96" t="s">
        <v>104</v>
      </c>
      <c r="N17" s="74">
        <v>4</v>
      </c>
      <c r="O17" s="77">
        <v>1.736111111111111E-3</v>
      </c>
    </row>
    <row r="18" spans="1:15" ht="54" customHeight="1" thickTop="1" thickBot="1">
      <c r="A18" s="72"/>
      <c r="B18" s="73" t="s">
        <v>14</v>
      </c>
      <c r="C18" s="74" t="s">
        <v>621</v>
      </c>
      <c r="D18" s="74" t="s">
        <v>622</v>
      </c>
      <c r="E18" s="75" t="s">
        <v>12</v>
      </c>
      <c r="F18" s="75" t="s">
        <v>22</v>
      </c>
      <c r="G18" s="75" t="s">
        <v>618</v>
      </c>
      <c r="H18" s="85">
        <v>45712</v>
      </c>
      <c r="I18" s="96" t="s">
        <v>130</v>
      </c>
      <c r="J18" s="96" t="s">
        <v>131</v>
      </c>
      <c r="K18" s="96">
        <v>0</v>
      </c>
      <c r="L18" s="96" t="s">
        <v>142</v>
      </c>
      <c r="M18" s="96" t="s">
        <v>104</v>
      </c>
      <c r="N18" s="74">
        <v>4</v>
      </c>
      <c r="O18" s="77">
        <v>1.736111111111111E-3</v>
      </c>
    </row>
    <row r="19" spans="1:15" ht="54" customHeight="1" thickTop="1" thickBot="1">
      <c r="A19" s="72"/>
      <c r="B19" s="73" t="s">
        <v>14</v>
      </c>
      <c r="C19" s="74" t="s">
        <v>623</v>
      </c>
      <c r="D19" s="74" t="s">
        <v>140</v>
      </c>
      <c r="E19" s="75" t="s">
        <v>12</v>
      </c>
      <c r="F19" s="75" t="s">
        <v>22</v>
      </c>
      <c r="G19" s="75" t="s">
        <v>141</v>
      </c>
      <c r="H19" s="85">
        <v>45701</v>
      </c>
      <c r="I19" s="96" t="s">
        <v>130</v>
      </c>
      <c r="J19" s="96" t="s">
        <v>57</v>
      </c>
      <c r="K19" s="96">
        <v>0</v>
      </c>
      <c r="L19" s="96" t="s">
        <v>148</v>
      </c>
      <c r="M19" s="96" t="s">
        <v>143</v>
      </c>
      <c r="N19" s="74">
        <v>2</v>
      </c>
      <c r="O19" s="77">
        <v>5.2083333333333333E-4</v>
      </c>
    </row>
    <row r="20" spans="1:15" ht="54" customHeight="1" thickTop="1" thickBot="1">
      <c r="A20" s="72"/>
      <c r="B20" s="73" t="s">
        <v>14</v>
      </c>
      <c r="C20" s="74" t="s">
        <v>624</v>
      </c>
      <c r="D20" s="74" t="s">
        <v>140</v>
      </c>
      <c r="E20" s="75" t="s">
        <v>12</v>
      </c>
      <c r="F20" s="75" t="s">
        <v>22</v>
      </c>
      <c r="G20" s="75" t="s">
        <v>141</v>
      </c>
      <c r="H20" s="85">
        <v>45701</v>
      </c>
      <c r="I20" s="96" t="s">
        <v>130</v>
      </c>
      <c r="J20" s="96" t="s">
        <v>57</v>
      </c>
      <c r="K20" s="96">
        <v>0</v>
      </c>
      <c r="L20" s="96" t="s">
        <v>148</v>
      </c>
      <c r="M20" s="96" t="s">
        <v>143</v>
      </c>
      <c r="N20" s="74">
        <v>2</v>
      </c>
      <c r="O20" s="77">
        <v>5.2083333333333333E-4</v>
      </c>
    </row>
    <row r="21" spans="1:15" ht="54" customHeight="1" thickTop="1" thickBot="1">
      <c r="A21" s="72"/>
      <c r="B21" s="73" t="s">
        <v>14</v>
      </c>
      <c r="C21" s="74" t="s">
        <v>625</v>
      </c>
      <c r="D21" s="74" t="s">
        <v>146</v>
      </c>
      <c r="E21" s="75" t="s">
        <v>12</v>
      </c>
      <c r="F21" s="75" t="s">
        <v>22</v>
      </c>
      <c r="G21" s="74" t="s">
        <v>626</v>
      </c>
      <c r="H21" s="85">
        <v>45703</v>
      </c>
      <c r="I21" s="96" t="s">
        <v>130</v>
      </c>
      <c r="J21" s="96" t="s">
        <v>57</v>
      </c>
      <c r="K21" s="96">
        <v>0</v>
      </c>
      <c r="L21" s="96" t="s">
        <v>159</v>
      </c>
      <c r="M21" s="96" t="s">
        <v>143</v>
      </c>
      <c r="N21" s="74">
        <v>1</v>
      </c>
      <c r="O21" s="77">
        <v>2.3148148148148146E-4</v>
      </c>
    </row>
    <row r="22" spans="1:15" ht="54" customHeight="1" thickTop="1" thickBot="1">
      <c r="A22" s="72"/>
      <c r="B22" s="73" t="s">
        <v>14</v>
      </c>
      <c r="C22" s="74" t="s">
        <v>627</v>
      </c>
      <c r="D22" s="74" t="s">
        <v>150</v>
      </c>
      <c r="E22" s="75" t="s">
        <v>12</v>
      </c>
      <c r="F22" s="75" t="s">
        <v>22</v>
      </c>
      <c r="G22" s="74" t="s">
        <v>151</v>
      </c>
      <c r="H22" s="85">
        <v>45701</v>
      </c>
      <c r="I22" s="96" t="s">
        <v>130</v>
      </c>
      <c r="J22" s="96" t="s">
        <v>57</v>
      </c>
      <c r="K22" s="96">
        <v>0</v>
      </c>
      <c r="L22" s="96" t="s">
        <v>159</v>
      </c>
      <c r="M22" s="96" t="s">
        <v>143</v>
      </c>
      <c r="N22" s="74">
        <v>2</v>
      </c>
      <c r="O22" s="77">
        <v>2.3148148148148146E-4</v>
      </c>
    </row>
    <row r="23" spans="1:15" ht="54" customHeight="1" thickTop="1" thickBot="1">
      <c r="A23" s="72"/>
      <c r="B23" s="73" t="s">
        <v>14</v>
      </c>
      <c r="C23" s="74" t="s">
        <v>628</v>
      </c>
      <c r="D23" s="74" t="s">
        <v>484</v>
      </c>
      <c r="E23" s="75" t="s">
        <v>12</v>
      </c>
      <c r="F23" s="75" t="s">
        <v>22</v>
      </c>
      <c r="G23" s="74" t="s">
        <v>618</v>
      </c>
      <c r="H23" s="85">
        <v>45712</v>
      </c>
      <c r="I23" s="96" t="s">
        <v>56</v>
      </c>
      <c r="J23" s="96" t="s">
        <v>131</v>
      </c>
      <c r="K23" s="96">
        <v>0</v>
      </c>
      <c r="L23" s="96" t="s">
        <v>159</v>
      </c>
      <c r="M23" s="96" t="s">
        <v>160</v>
      </c>
      <c r="N23" s="74">
        <v>2</v>
      </c>
      <c r="O23" s="77">
        <v>4.6296296296296293E-4</v>
      </c>
    </row>
    <row r="24" spans="1:15" ht="54" customHeight="1" thickTop="1" thickBot="1">
      <c r="A24" s="72"/>
      <c r="B24" s="73" t="s">
        <v>14</v>
      </c>
      <c r="C24" s="74" t="s">
        <v>629</v>
      </c>
      <c r="D24" s="74" t="s">
        <v>630</v>
      </c>
      <c r="E24" s="75" t="s">
        <v>12</v>
      </c>
      <c r="F24" s="75" t="s">
        <v>22</v>
      </c>
      <c r="G24" s="74" t="s">
        <v>618</v>
      </c>
      <c r="H24" s="85">
        <v>45712</v>
      </c>
      <c r="I24" s="96" t="s">
        <v>56</v>
      </c>
      <c r="J24" s="96" t="s">
        <v>131</v>
      </c>
      <c r="K24" s="96">
        <v>0</v>
      </c>
      <c r="L24" s="96" t="s">
        <v>159</v>
      </c>
      <c r="M24" s="96" t="s">
        <v>160</v>
      </c>
      <c r="N24" s="74">
        <v>2</v>
      </c>
      <c r="O24" s="77">
        <v>4.6296296296296293E-4</v>
      </c>
    </row>
    <row r="25" spans="1:15" ht="54" customHeight="1" thickTop="1" thickBot="1">
      <c r="A25" s="72"/>
      <c r="B25" s="73" t="s">
        <v>14</v>
      </c>
      <c r="C25" s="74" t="s">
        <v>631</v>
      </c>
      <c r="D25" s="74" t="s">
        <v>486</v>
      </c>
      <c r="E25" s="75" t="s">
        <v>12</v>
      </c>
      <c r="F25" s="75" t="s">
        <v>22</v>
      </c>
      <c r="G25" s="74" t="s">
        <v>618</v>
      </c>
      <c r="H25" s="85">
        <v>45712</v>
      </c>
      <c r="I25" s="96" t="s">
        <v>56</v>
      </c>
      <c r="J25" s="96" t="s">
        <v>131</v>
      </c>
      <c r="K25" s="96">
        <v>0</v>
      </c>
      <c r="L25" s="96" t="s">
        <v>178</v>
      </c>
      <c r="M25" s="96" t="s">
        <v>160</v>
      </c>
      <c r="N25" s="74">
        <v>2</v>
      </c>
      <c r="O25" s="77">
        <v>4.6296296296296293E-4</v>
      </c>
    </row>
    <row r="26" spans="1:15" ht="54" customHeight="1" thickTop="1" thickBot="1">
      <c r="A26" s="72"/>
      <c r="B26" s="73" t="s">
        <v>14</v>
      </c>
      <c r="C26" s="74" t="s">
        <v>632</v>
      </c>
      <c r="D26" s="74" t="s">
        <v>633</v>
      </c>
      <c r="E26" s="75" t="s">
        <v>12</v>
      </c>
      <c r="F26" s="75" t="s">
        <v>22</v>
      </c>
      <c r="G26" s="74" t="s">
        <v>618</v>
      </c>
      <c r="H26" s="85">
        <v>45712</v>
      </c>
      <c r="I26" s="96" t="s">
        <v>56</v>
      </c>
      <c r="J26" s="96" t="s">
        <v>131</v>
      </c>
      <c r="K26" s="96">
        <v>0</v>
      </c>
      <c r="L26" s="96" t="s">
        <v>175</v>
      </c>
      <c r="M26" s="96" t="s">
        <v>160</v>
      </c>
      <c r="N26" s="74">
        <v>2</v>
      </c>
      <c r="O26" s="77">
        <v>4.6296296296296293E-4</v>
      </c>
    </row>
    <row r="27" spans="1:15" ht="54" customHeight="1" thickTop="1" thickBot="1">
      <c r="B27" s="109" t="s">
        <v>14</v>
      </c>
      <c r="C27" s="103" t="s">
        <v>634</v>
      </c>
      <c r="D27" s="103" t="s">
        <v>177</v>
      </c>
      <c r="E27" s="110" t="s">
        <v>22</v>
      </c>
      <c r="F27" s="110"/>
      <c r="G27" s="103"/>
      <c r="H27" s="103"/>
      <c r="I27" s="96" t="s">
        <v>56</v>
      </c>
      <c r="J27" s="96" t="s">
        <v>57</v>
      </c>
      <c r="K27" s="96">
        <v>0</v>
      </c>
      <c r="L27" s="96" t="s">
        <v>635</v>
      </c>
      <c r="M27" s="96" t="s">
        <v>143</v>
      </c>
      <c r="N27" s="103">
        <v>2</v>
      </c>
      <c r="O27" s="112">
        <v>6.9444444444444447E-4</v>
      </c>
    </row>
    <row r="28" spans="1:15" ht="54" customHeight="1" thickTop="1" thickBot="1">
      <c r="A28" s="72"/>
      <c r="B28" s="78" t="s">
        <v>14</v>
      </c>
      <c r="C28" s="79" t="s">
        <v>636</v>
      </c>
      <c r="D28" s="79" t="s">
        <v>173</v>
      </c>
      <c r="E28" s="82" t="s">
        <v>12</v>
      </c>
      <c r="F28" s="82" t="s">
        <v>22</v>
      </c>
      <c r="G28" s="79" t="s">
        <v>637</v>
      </c>
      <c r="H28" s="86">
        <v>45708</v>
      </c>
      <c r="I28" s="96" t="s">
        <v>85</v>
      </c>
      <c r="J28" s="96" t="s">
        <v>57</v>
      </c>
      <c r="K28" s="96">
        <v>0</v>
      </c>
      <c r="L28" s="96" t="s">
        <v>187</v>
      </c>
      <c r="M28" s="96" t="s">
        <v>104</v>
      </c>
      <c r="N28" s="79">
        <v>1</v>
      </c>
      <c r="O28" s="83">
        <v>6.9444444444444447E-4</v>
      </c>
    </row>
    <row r="29" spans="1:15" ht="54" customHeight="1">
      <c r="B29" s="104" t="s">
        <v>17</v>
      </c>
      <c r="C29" s="105" t="s">
        <v>638</v>
      </c>
      <c r="D29" s="105" t="s">
        <v>180</v>
      </c>
      <c r="E29" s="106" t="s">
        <v>12</v>
      </c>
      <c r="F29" s="106" t="s">
        <v>22</v>
      </c>
      <c r="G29" s="106" t="s">
        <v>181</v>
      </c>
      <c r="H29" s="118">
        <v>45961</v>
      </c>
      <c r="I29" s="96" t="s">
        <v>130</v>
      </c>
      <c r="J29" s="96" t="s">
        <v>57</v>
      </c>
      <c r="K29" s="96">
        <v>0</v>
      </c>
      <c r="L29" s="96" t="s">
        <v>639</v>
      </c>
      <c r="M29" s="96" t="s">
        <v>183</v>
      </c>
      <c r="N29" s="105">
        <v>2</v>
      </c>
      <c r="O29" s="108">
        <v>1.0416666666666667E-3</v>
      </c>
    </row>
    <row r="30" spans="1:15" ht="54" customHeight="1" thickTop="1" thickBot="1">
      <c r="A30" s="72"/>
      <c r="B30" s="73" t="s">
        <v>17</v>
      </c>
      <c r="C30" s="74" t="s">
        <v>640</v>
      </c>
      <c r="D30" s="74" t="s">
        <v>185</v>
      </c>
      <c r="E30" s="75" t="s">
        <v>12</v>
      </c>
      <c r="F30" s="75" t="s">
        <v>22</v>
      </c>
      <c r="G30" s="75" t="s">
        <v>641</v>
      </c>
      <c r="H30" s="85">
        <v>45702</v>
      </c>
      <c r="I30" s="96" t="s">
        <v>130</v>
      </c>
      <c r="J30" s="96" t="s">
        <v>57</v>
      </c>
      <c r="K30" s="96">
        <v>0</v>
      </c>
      <c r="L30" s="96" t="s">
        <v>642</v>
      </c>
      <c r="M30" s="96" t="s">
        <v>143</v>
      </c>
      <c r="N30" s="74">
        <v>2</v>
      </c>
      <c r="O30" s="77">
        <v>1.5624999999999999E-3</v>
      </c>
    </row>
    <row r="31" spans="1:15" ht="54" customHeight="1" thickTop="1" thickBot="1">
      <c r="A31" s="72"/>
      <c r="B31" s="73" t="s">
        <v>17</v>
      </c>
      <c r="C31" s="74" t="s">
        <v>643</v>
      </c>
      <c r="D31" s="74" t="s">
        <v>644</v>
      </c>
      <c r="E31" s="75" t="s">
        <v>12</v>
      </c>
      <c r="F31" s="75" t="s">
        <v>22</v>
      </c>
      <c r="G31" s="75" t="s">
        <v>645</v>
      </c>
      <c r="H31" s="85">
        <v>45702</v>
      </c>
      <c r="I31" s="96" t="s">
        <v>130</v>
      </c>
      <c r="J31" s="96" t="s">
        <v>131</v>
      </c>
      <c r="K31" s="96">
        <v>0</v>
      </c>
      <c r="L31" s="96" t="s">
        <v>190</v>
      </c>
      <c r="M31" s="96" t="s">
        <v>143</v>
      </c>
      <c r="N31" s="74">
        <v>2</v>
      </c>
      <c r="O31" s="77">
        <v>5.2083333333333333E-4</v>
      </c>
    </row>
    <row r="32" spans="1:15" ht="54" customHeight="1" thickTop="1" thickBot="1">
      <c r="A32" s="72"/>
      <c r="B32" s="73" t="s">
        <v>17</v>
      </c>
      <c r="C32" s="74" t="s">
        <v>646</v>
      </c>
      <c r="D32" s="74" t="s">
        <v>647</v>
      </c>
      <c r="E32" s="75" t="s">
        <v>12</v>
      </c>
      <c r="F32" s="75" t="s">
        <v>22</v>
      </c>
      <c r="G32" s="74" t="s">
        <v>147</v>
      </c>
      <c r="H32" s="85">
        <v>45697</v>
      </c>
      <c r="I32" s="96" t="s">
        <v>130</v>
      </c>
      <c r="J32" s="96" t="s">
        <v>57</v>
      </c>
      <c r="K32" s="96">
        <v>0</v>
      </c>
      <c r="L32" s="96" t="s">
        <v>205</v>
      </c>
      <c r="M32" s="96" t="s">
        <v>143</v>
      </c>
      <c r="N32" s="74">
        <v>2</v>
      </c>
      <c r="O32" s="77">
        <v>6.9444444444444447E-4</v>
      </c>
    </row>
    <row r="33" spans="1:15" ht="54" customHeight="1" thickTop="1" thickBot="1">
      <c r="B33" s="109" t="s">
        <v>17</v>
      </c>
      <c r="C33" s="103" t="s">
        <v>648</v>
      </c>
      <c r="D33" s="103" t="s">
        <v>649</v>
      </c>
      <c r="E33" s="110" t="s">
        <v>12</v>
      </c>
      <c r="F33" s="110" t="s">
        <v>22</v>
      </c>
      <c r="G33" s="103" t="s">
        <v>147</v>
      </c>
      <c r="H33" s="103" t="s">
        <v>650</v>
      </c>
      <c r="I33" s="96" t="s">
        <v>130</v>
      </c>
      <c r="J33" s="96" t="s">
        <v>57</v>
      </c>
      <c r="K33" s="96">
        <v>0</v>
      </c>
      <c r="L33" s="96" t="s">
        <v>205</v>
      </c>
      <c r="M33" s="96" t="s">
        <v>143</v>
      </c>
      <c r="N33" s="103">
        <v>2</v>
      </c>
      <c r="O33" s="112">
        <v>6.9444444444444447E-4</v>
      </c>
    </row>
    <row r="34" spans="1:15" ht="54" customHeight="1" thickTop="1" thickBot="1">
      <c r="A34" s="72"/>
      <c r="B34" s="73" t="s">
        <v>17</v>
      </c>
      <c r="C34" s="74" t="s">
        <v>651</v>
      </c>
      <c r="D34" s="74" t="s">
        <v>203</v>
      </c>
      <c r="E34" s="75" t="s">
        <v>12</v>
      </c>
      <c r="F34" s="75" t="s">
        <v>22</v>
      </c>
      <c r="G34" s="74" t="s">
        <v>204</v>
      </c>
      <c r="H34" s="85">
        <v>45699</v>
      </c>
      <c r="I34" s="96" t="s">
        <v>130</v>
      </c>
      <c r="J34" s="96" t="s">
        <v>131</v>
      </c>
      <c r="K34" s="96">
        <v>0</v>
      </c>
      <c r="L34" s="96" t="s">
        <v>210</v>
      </c>
      <c r="M34" s="96" t="s">
        <v>201</v>
      </c>
      <c r="N34" s="74">
        <v>1</v>
      </c>
      <c r="O34" s="77">
        <v>3.4722222222222224E-4</v>
      </c>
    </row>
    <row r="35" spans="1:15" ht="54" customHeight="1" thickTop="1" thickBot="1">
      <c r="A35" s="72"/>
      <c r="B35" s="73" t="s">
        <v>17</v>
      </c>
      <c r="C35" s="74" t="s">
        <v>652</v>
      </c>
      <c r="D35" s="74" t="s">
        <v>203</v>
      </c>
      <c r="E35" s="75" t="s">
        <v>12</v>
      </c>
      <c r="F35" s="75" t="s">
        <v>22</v>
      </c>
      <c r="G35" s="74" t="s">
        <v>204</v>
      </c>
      <c r="H35" s="85">
        <v>45699</v>
      </c>
      <c r="I35" s="96" t="s">
        <v>130</v>
      </c>
      <c r="J35" s="96" t="s">
        <v>131</v>
      </c>
      <c r="K35" s="96">
        <v>0</v>
      </c>
      <c r="L35" s="96" t="s">
        <v>210</v>
      </c>
      <c r="M35" s="96" t="s">
        <v>201</v>
      </c>
      <c r="N35" s="74">
        <v>1</v>
      </c>
      <c r="O35" s="77">
        <v>3.4722222222222224E-4</v>
      </c>
    </row>
    <row r="36" spans="1:15" ht="54" customHeight="1" thickTop="1" thickBot="1">
      <c r="A36" s="72"/>
      <c r="B36" s="73" t="s">
        <v>17</v>
      </c>
      <c r="C36" s="74" t="s">
        <v>653</v>
      </c>
      <c r="D36" s="74" t="s">
        <v>208</v>
      </c>
      <c r="E36" s="75" t="s">
        <v>12</v>
      </c>
      <c r="F36" s="75" t="s">
        <v>22</v>
      </c>
      <c r="G36" s="74" t="s">
        <v>278</v>
      </c>
      <c r="H36" s="85">
        <v>45699</v>
      </c>
      <c r="I36" s="96" t="s">
        <v>85</v>
      </c>
      <c r="J36" s="96" t="s">
        <v>131</v>
      </c>
      <c r="K36" s="96">
        <v>0</v>
      </c>
      <c r="L36" s="96">
        <v>0</v>
      </c>
      <c r="M36" s="96" t="s">
        <v>211</v>
      </c>
      <c r="N36" s="74">
        <v>1</v>
      </c>
      <c r="O36" s="77">
        <v>3.4722222222222224E-4</v>
      </c>
    </row>
    <row r="37" spans="1:15" ht="54" customHeight="1" thickTop="1" thickBot="1">
      <c r="A37" s="72"/>
      <c r="B37" s="73" t="s">
        <v>17</v>
      </c>
      <c r="C37" s="74" t="s">
        <v>654</v>
      </c>
      <c r="D37" s="74" t="s">
        <v>213</v>
      </c>
      <c r="E37" s="75" t="s">
        <v>12</v>
      </c>
      <c r="F37" s="75" t="s">
        <v>22</v>
      </c>
      <c r="G37" s="74" t="s">
        <v>655</v>
      </c>
      <c r="H37" s="85">
        <v>45699</v>
      </c>
      <c r="I37" s="96" t="s">
        <v>130</v>
      </c>
      <c r="J37" s="96" t="s">
        <v>131</v>
      </c>
      <c r="K37" s="96">
        <v>0</v>
      </c>
      <c r="L37" s="96" t="s">
        <v>223</v>
      </c>
      <c r="M37" s="96" t="s">
        <v>201</v>
      </c>
      <c r="N37" s="74">
        <v>1</v>
      </c>
      <c r="O37" s="77">
        <v>5.7870370370370378E-4</v>
      </c>
    </row>
    <row r="38" spans="1:15" ht="54" customHeight="1" thickTop="1" thickBot="1">
      <c r="A38" s="72"/>
      <c r="B38" s="73" t="s">
        <v>17</v>
      </c>
      <c r="C38" s="74" t="s">
        <v>656</v>
      </c>
      <c r="D38" s="74" t="s">
        <v>217</v>
      </c>
      <c r="E38" s="75" t="s">
        <v>12</v>
      </c>
      <c r="F38" s="75" t="s">
        <v>22</v>
      </c>
      <c r="G38" s="74" t="s">
        <v>218</v>
      </c>
      <c r="H38" s="85">
        <v>45699</v>
      </c>
      <c r="I38" s="96" t="s">
        <v>130</v>
      </c>
      <c r="J38" s="96" t="s">
        <v>131</v>
      </c>
      <c r="K38" s="96">
        <v>0</v>
      </c>
      <c r="L38" s="96" t="s">
        <v>215</v>
      </c>
      <c r="M38" s="96" t="s">
        <v>201</v>
      </c>
      <c r="N38" s="74">
        <v>2</v>
      </c>
      <c r="O38" s="77">
        <v>6.9444444444444447E-4</v>
      </c>
    </row>
    <row r="39" spans="1:15" ht="54" customHeight="1" thickTop="1" thickBot="1">
      <c r="A39" s="72"/>
      <c r="B39" s="73" t="s">
        <v>17</v>
      </c>
      <c r="C39" s="74" t="s">
        <v>657</v>
      </c>
      <c r="D39" s="74" t="s">
        <v>221</v>
      </c>
      <c r="E39" s="75" t="s">
        <v>12</v>
      </c>
      <c r="F39" s="75" t="s">
        <v>22</v>
      </c>
      <c r="G39" s="74" t="s">
        <v>222</v>
      </c>
      <c r="H39" s="85">
        <v>45698</v>
      </c>
      <c r="I39" s="96" t="s">
        <v>56</v>
      </c>
      <c r="J39" s="96" t="s">
        <v>131</v>
      </c>
      <c r="K39" s="96">
        <v>0</v>
      </c>
      <c r="L39" s="96" t="s">
        <v>229</v>
      </c>
      <c r="M39" s="96" t="s">
        <v>201</v>
      </c>
      <c r="N39" s="74">
        <v>1</v>
      </c>
      <c r="O39" s="77">
        <v>3.4722222222222224E-4</v>
      </c>
    </row>
    <row r="40" spans="1:15" ht="54" customHeight="1" thickTop="1" thickBot="1">
      <c r="A40" s="72"/>
      <c r="B40" s="73" t="s">
        <v>17</v>
      </c>
      <c r="C40" s="74" t="s">
        <v>658</v>
      </c>
      <c r="D40" s="74" t="s">
        <v>225</v>
      </c>
      <c r="E40" s="75" t="s">
        <v>12</v>
      </c>
      <c r="F40" s="75" t="s">
        <v>22</v>
      </c>
      <c r="G40" s="74" t="s">
        <v>218</v>
      </c>
      <c r="H40" s="85">
        <v>45699</v>
      </c>
      <c r="I40" s="96" t="s">
        <v>130</v>
      </c>
      <c r="J40" s="96" t="s">
        <v>57</v>
      </c>
      <c r="K40" s="96">
        <v>0</v>
      </c>
      <c r="L40" s="96" t="s">
        <v>233</v>
      </c>
      <c r="M40" s="96" t="s">
        <v>201</v>
      </c>
      <c r="N40" s="74">
        <v>1</v>
      </c>
      <c r="O40" s="77">
        <v>1.0416666666666667E-3</v>
      </c>
    </row>
    <row r="41" spans="1:15" ht="54" customHeight="1" thickTop="1" thickBot="1">
      <c r="A41" s="72"/>
      <c r="B41" s="73" t="s">
        <v>17</v>
      </c>
      <c r="C41" s="74" t="s">
        <v>659</v>
      </c>
      <c r="D41" s="74" t="s">
        <v>227</v>
      </c>
      <c r="E41" s="75" t="s">
        <v>12</v>
      </c>
      <c r="F41" s="75" t="s">
        <v>22</v>
      </c>
      <c r="G41" s="74" t="s">
        <v>228</v>
      </c>
      <c r="H41" s="85">
        <v>45698</v>
      </c>
      <c r="I41" s="96" t="s">
        <v>130</v>
      </c>
      <c r="J41" s="96" t="s">
        <v>131</v>
      </c>
      <c r="K41" s="96">
        <v>0</v>
      </c>
      <c r="L41" s="96" t="s">
        <v>242</v>
      </c>
      <c r="M41" s="96" t="s">
        <v>201</v>
      </c>
      <c r="N41" s="74">
        <v>1</v>
      </c>
      <c r="O41" s="77">
        <v>1.1574074074074073E-4</v>
      </c>
    </row>
    <row r="42" spans="1:15" ht="54" customHeight="1" thickTop="1" thickBot="1">
      <c r="A42" s="72"/>
      <c r="B42" s="73" t="s">
        <v>17</v>
      </c>
      <c r="C42" s="74" t="s">
        <v>660</v>
      </c>
      <c r="D42" s="74" t="s">
        <v>231</v>
      </c>
      <c r="E42" s="75" t="s">
        <v>12</v>
      </c>
      <c r="F42" s="75" t="s">
        <v>22</v>
      </c>
      <c r="G42" s="74" t="s">
        <v>232</v>
      </c>
      <c r="H42" s="85">
        <v>45698</v>
      </c>
      <c r="I42" s="96" t="s">
        <v>130</v>
      </c>
      <c r="J42" s="96" t="s">
        <v>131</v>
      </c>
      <c r="K42" s="96">
        <v>0</v>
      </c>
      <c r="L42" s="96" t="s">
        <v>246</v>
      </c>
      <c r="M42" s="96" t="s">
        <v>234</v>
      </c>
      <c r="N42" s="74">
        <v>2</v>
      </c>
      <c r="O42" s="77">
        <v>3.4722222222222224E-4</v>
      </c>
    </row>
    <row r="43" spans="1:15" ht="54" customHeight="1" thickTop="1" thickBot="1">
      <c r="A43" s="72"/>
      <c r="B43" s="73" t="s">
        <v>17</v>
      </c>
      <c r="C43" s="74" t="s">
        <v>661</v>
      </c>
      <c r="D43" s="74" t="s">
        <v>240</v>
      </c>
      <c r="E43" s="75" t="s">
        <v>12</v>
      </c>
      <c r="F43" s="75" t="s">
        <v>22</v>
      </c>
      <c r="G43" s="74" t="s">
        <v>241</v>
      </c>
      <c r="H43" s="85">
        <v>45699</v>
      </c>
      <c r="I43" s="96" t="s">
        <v>130</v>
      </c>
      <c r="J43" s="96" t="s">
        <v>131</v>
      </c>
      <c r="K43" s="96">
        <v>0</v>
      </c>
      <c r="L43" s="96" t="s">
        <v>662</v>
      </c>
      <c r="M43" s="96" t="s">
        <v>201</v>
      </c>
      <c r="N43" s="74">
        <v>1</v>
      </c>
      <c r="O43" s="77">
        <v>6.9444444444444447E-4</v>
      </c>
    </row>
    <row r="44" spans="1:15" ht="54" customHeight="1" thickTop="1" thickBot="1">
      <c r="A44" s="72"/>
      <c r="B44" s="73" t="s">
        <v>17</v>
      </c>
      <c r="C44" s="74" t="s">
        <v>663</v>
      </c>
      <c r="D44" s="74" t="s">
        <v>664</v>
      </c>
      <c r="E44" s="75" t="s">
        <v>12</v>
      </c>
      <c r="F44" s="75" t="s">
        <v>22</v>
      </c>
      <c r="G44" s="74" t="s">
        <v>245</v>
      </c>
      <c r="H44" s="85">
        <v>45698</v>
      </c>
      <c r="I44" s="96" t="s">
        <v>130</v>
      </c>
      <c r="J44" s="96" t="s">
        <v>131</v>
      </c>
      <c r="K44" s="96">
        <v>0</v>
      </c>
      <c r="L44" s="96" t="s">
        <v>264</v>
      </c>
      <c r="M44" s="96" t="s">
        <v>234</v>
      </c>
      <c r="N44" s="74">
        <v>1</v>
      </c>
      <c r="O44" s="77">
        <v>6.9444444444444447E-4</v>
      </c>
    </row>
    <row r="45" spans="1:15" ht="54" customHeight="1" thickTop="1" thickBot="1">
      <c r="A45" s="72"/>
      <c r="B45" s="73" t="s">
        <v>17</v>
      </c>
      <c r="C45" s="74" t="s">
        <v>665</v>
      </c>
      <c r="D45" s="74" t="s">
        <v>666</v>
      </c>
      <c r="E45" s="75" t="s">
        <v>12</v>
      </c>
      <c r="F45" s="75" t="s">
        <v>22</v>
      </c>
      <c r="G45" s="74" t="s">
        <v>667</v>
      </c>
      <c r="H45" s="85">
        <v>45698</v>
      </c>
      <c r="I45" s="96" t="s">
        <v>56</v>
      </c>
      <c r="J45" s="96" t="s">
        <v>131</v>
      </c>
      <c r="K45" s="96">
        <v>0</v>
      </c>
      <c r="L45" s="96" t="s">
        <v>268</v>
      </c>
      <c r="M45" s="96" t="s">
        <v>201</v>
      </c>
      <c r="N45" s="74">
        <v>2</v>
      </c>
      <c r="O45" s="77">
        <v>3.4722222222222224E-4</v>
      </c>
    </row>
    <row r="46" spans="1:15" ht="54" customHeight="1" thickTop="1" thickBot="1">
      <c r="A46" s="72"/>
      <c r="B46" s="73" t="s">
        <v>17</v>
      </c>
      <c r="C46" s="74" t="s">
        <v>668</v>
      </c>
      <c r="D46" s="74" t="s">
        <v>262</v>
      </c>
      <c r="E46" s="75" t="s">
        <v>12</v>
      </c>
      <c r="F46" s="75" t="s">
        <v>22</v>
      </c>
      <c r="G46" s="74" t="s">
        <v>263</v>
      </c>
      <c r="H46" s="85">
        <v>45698</v>
      </c>
      <c r="I46" s="96" t="s">
        <v>56</v>
      </c>
      <c r="J46" s="96" t="s">
        <v>131</v>
      </c>
      <c r="K46" s="96">
        <v>0</v>
      </c>
      <c r="L46" s="96" t="s">
        <v>272</v>
      </c>
      <c r="M46" s="96" t="s">
        <v>201</v>
      </c>
      <c r="N46" s="74">
        <v>1</v>
      </c>
      <c r="O46" s="77">
        <v>3.4722222222222224E-4</v>
      </c>
    </row>
    <row r="47" spans="1:15" ht="54" customHeight="1" thickTop="1" thickBot="1">
      <c r="A47" s="72"/>
      <c r="B47" s="73" t="s">
        <v>17</v>
      </c>
      <c r="C47" s="74" t="s">
        <v>669</v>
      </c>
      <c r="D47" s="74" t="s">
        <v>266</v>
      </c>
      <c r="E47" s="75" t="s">
        <v>12</v>
      </c>
      <c r="F47" s="75" t="s">
        <v>22</v>
      </c>
      <c r="G47" s="74" t="s">
        <v>267</v>
      </c>
      <c r="H47" s="85">
        <v>45698</v>
      </c>
      <c r="I47" s="96" t="s">
        <v>56</v>
      </c>
      <c r="J47" s="96" t="s">
        <v>131</v>
      </c>
      <c r="K47" s="96">
        <v>0</v>
      </c>
      <c r="L47" s="96" t="s">
        <v>279</v>
      </c>
      <c r="M47" s="96" t="s">
        <v>201</v>
      </c>
      <c r="N47" s="74">
        <v>1</v>
      </c>
      <c r="O47" s="77">
        <v>3.4722222222222224E-4</v>
      </c>
    </row>
    <row r="48" spans="1:15" ht="54" customHeight="1" thickTop="1" thickBot="1">
      <c r="A48" s="72"/>
      <c r="B48" s="73" t="s">
        <v>17</v>
      </c>
      <c r="C48" s="74" t="s">
        <v>670</v>
      </c>
      <c r="D48" s="74" t="s">
        <v>671</v>
      </c>
      <c r="E48" s="75" t="s">
        <v>12</v>
      </c>
      <c r="F48" s="75" t="s">
        <v>22</v>
      </c>
      <c r="G48" s="74" t="s">
        <v>672</v>
      </c>
      <c r="H48" s="85">
        <v>45698</v>
      </c>
      <c r="I48" s="96" t="s">
        <v>56</v>
      </c>
      <c r="J48" s="96" t="s">
        <v>131</v>
      </c>
      <c r="K48" s="96">
        <v>0</v>
      </c>
      <c r="L48" s="96" t="s">
        <v>282</v>
      </c>
      <c r="M48" s="96" t="s">
        <v>201</v>
      </c>
      <c r="N48" s="74">
        <v>1</v>
      </c>
      <c r="O48" s="77">
        <v>3.4722222222222224E-4</v>
      </c>
    </row>
    <row r="49" spans="1:15" ht="54" customHeight="1" thickTop="1" thickBot="1">
      <c r="A49" s="72"/>
      <c r="B49" s="73" t="s">
        <v>17</v>
      </c>
      <c r="C49" s="74" t="s">
        <v>673</v>
      </c>
      <c r="D49" s="74" t="s">
        <v>519</v>
      </c>
      <c r="E49" s="75" t="s">
        <v>12</v>
      </c>
      <c r="F49" s="75" t="s">
        <v>22</v>
      </c>
      <c r="G49" s="74" t="s">
        <v>278</v>
      </c>
      <c r="H49" s="85">
        <v>45699</v>
      </c>
      <c r="I49" s="96" t="s">
        <v>85</v>
      </c>
      <c r="J49" s="96" t="s">
        <v>131</v>
      </c>
      <c r="K49" s="96">
        <v>0</v>
      </c>
      <c r="L49" s="96" t="s">
        <v>285</v>
      </c>
      <c r="M49" s="96" t="s">
        <v>211</v>
      </c>
      <c r="N49" s="74">
        <v>1</v>
      </c>
      <c r="O49" s="77">
        <v>3.4722222222222224E-4</v>
      </c>
    </row>
    <row r="50" spans="1:15" ht="54" customHeight="1" thickTop="1" thickBot="1">
      <c r="A50" s="72"/>
      <c r="B50" s="73" t="s">
        <v>17</v>
      </c>
      <c r="C50" s="74" t="s">
        <v>674</v>
      </c>
      <c r="D50" s="74" t="s">
        <v>281</v>
      </c>
      <c r="E50" s="75" t="s">
        <v>12</v>
      </c>
      <c r="F50" s="75" t="s">
        <v>22</v>
      </c>
      <c r="G50" s="74" t="s">
        <v>278</v>
      </c>
      <c r="H50" s="85">
        <v>45699</v>
      </c>
      <c r="I50" s="96" t="s">
        <v>85</v>
      </c>
      <c r="J50" s="96" t="s">
        <v>131</v>
      </c>
      <c r="K50" s="96">
        <v>0</v>
      </c>
      <c r="L50" s="96" t="s">
        <v>289</v>
      </c>
      <c r="M50" s="96" t="s">
        <v>211</v>
      </c>
      <c r="N50" s="74">
        <v>1</v>
      </c>
      <c r="O50" s="77">
        <v>5.2083333333333333E-4</v>
      </c>
    </row>
    <row r="51" spans="1:15" ht="54" customHeight="1" thickTop="1" thickBot="1">
      <c r="A51" s="72"/>
      <c r="B51" s="73" t="s">
        <v>17</v>
      </c>
      <c r="C51" s="74" t="s">
        <v>675</v>
      </c>
      <c r="D51" s="74" t="s">
        <v>676</v>
      </c>
      <c r="E51" s="75" t="s">
        <v>12</v>
      </c>
      <c r="F51" s="75" t="s">
        <v>22</v>
      </c>
      <c r="G51" s="74" t="s">
        <v>278</v>
      </c>
      <c r="H51" s="85">
        <v>45699</v>
      </c>
      <c r="I51" s="96" t="s">
        <v>85</v>
      </c>
      <c r="J51" s="96" t="s">
        <v>131</v>
      </c>
      <c r="K51" s="96">
        <v>0</v>
      </c>
      <c r="L51" s="96" t="s">
        <v>293</v>
      </c>
      <c r="M51" s="96" t="s">
        <v>211</v>
      </c>
      <c r="N51" s="74">
        <v>1</v>
      </c>
      <c r="O51" s="77">
        <v>6.9444444444444447E-4</v>
      </c>
    </row>
    <row r="52" spans="1:15" ht="54" customHeight="1" thickTop="1" thickBot="1">
      <c r="A52" s="72"/>
      <c r="B52" s="73" t="s">
        <v>17</v>
      </c>
      <c r="C52" s="74" t="s">
        <v>677</v>
      </c>
      <c r="D52" s="74" t="s">
        <v>287</v>
      </c>
      <c r="E52" s="75" t="s">
        <v>12</v>
      </c>
      <c r="F52" s="75" t="s">
        <v>22</v>
      </c>
      <c r="G52" s="75" t="s">
        <v>288</v>
      </c>
      <c r="H52" s="76">
        <v>45698</v>
      </c>
      <c r="I52" s="96" t="s">
        <v>56</v>
      </c>
      <c r="J52" s="96" t="s">
        <v>131</v>
      </c>
      <c r="K52" s="96">
        <v>0</v>
      </c>
      <c r="L52" s="96" t="s">
        <v>296</v>
      </c>
      <c r="M52" s="96" t="s">
        <v>201</v>
      </c>
      <c r="N52" s="74">
        <v>1</v>
      </c>
      <c r="O52" s="77">
        <v>3.4722222222222224E-4</v>
      </c>
    </row>
    <row r="53" spans="1:15" ht="54" customHeight="1" thickTop="1" thickBot="1">
      <c r="A53" s="72"/>
      <c r="B53" s="73" t="s">
        <v>17</v>
      </c>
      <c r="C53" s="74" t="s">
        <v>678</v>
      </c>
      <c r="D53" s="74" t="s">
        <v>291</v>
      </c>
      <c r="E53" s="75" t="s">
        <v>12</v>
      </c>
      <c r="F53" s="75" t="s">
        <v>22</v>
      </c>
      <c r="G53" s="74" t="s">
        <v>292</v>
      </c>
      <c r="H53" s="85">
        <v>45698</v>
      </c>
      <c r="I53" s="96" t="s">
        <v>130</v>
      </c>
      <c r="J53" s="96" t="s">
        <v>131</v>
      </c>
      <c r="K53" s="96">
        <v>0</v>
      </c>
      <c r="L53" s="96" t="s">
        <v>296</v>
      </c>
      <c r="M53" s="96" t="s">
        <v>201</v>
      </c>
      <c r="N53" s="74">
        <v>1</v>
      </c>
      <c r="O53" s="77">
        <v>6.9444444444444447E-4</v>
      </c>
    </row>
    <row r="54" spans="1:15" ht="54" customHeight="1" thickTop="1" thickBot="1">
      <c r="A54" s="72"/>
      <c r="B54" s="73" t="s">
        <v>17</v>
      </c>
      <c r="C54" s="74" t="s">
        <v>679</v>
      </c>
      <c r="D54" s="74" t="s">
        <v>295</v>
      </c>
      <c r="E54" s="75" t="s">
        <v>12</v>
      </c>
      <c r="F54" s="75" t="s">
        <v>22</v>
      </c>
      <c r="G54" s="74" t="s">
        <v>292</v>
      </c>
      <c r="H54" s="85">
        <v>45698</v>
      </c>
      <c r="I54" s="96" t="s">
        <v>130</v>
      </c>
      <c r="J54" s="96" t="s">
        <v>131</v>
      </c>
      <c r="K54" s="96">
        <v>0</v>
      </c>
      <c r="L54" s="96" t="s">
        <v>309</v>
      </c>
      <c r="M54" s="96" t="s">
        <v>201</v>
      </c>
      <c r="N54" s="74">
        <v>1</v>
      </c>
      <c r="O54" s="77">
        <v>3.4722222222222224E-4</v>
      </c>
    </row>
    <row r="55" spans="1:15" ht="54" customHeight="1" thickTop="1" thickBot="1">
      <c r="A55" s="72"/>
      <c r="B55" s="73" t="s">
        <v>17</v>
      </c>
      <c r="C55" s="74" t="s">
        <v>680</v>
      </c>
      <c r="D55" s="74" t="s">
        <v>298</v>
      </c>
      <c r="E55" s="75" t="s">
        <v>12</v>
      </c>
      <c r="F55" s="75" t="s">
        <v>22</v>
      </c>
      <c r="G55" s="74" t="s">
        <v>292</v>
      </c>
      <c r="H55" s="85">
        <v>45698</v>
      </c>
      <c r="I55" s="96" t="s">
        <v>130</v>
      </c>
      <c r="J55" s="96" t="s">
        <v>131</v>
      </c>
      <c r="K55" s="96">
        <v>0</v>
      </c>
      <c r="L55" s="96" t="s">
        <v>313</v>
      </c>
      <c r="M55" s="96" t="s">
        <v>201</v>
      </c>
      <c r="N55" s="74">
        <v>1</v>
      </c>
      <c r="O55" s="77">
        <v>3.4722222222222224E-4</v>
      </c>
    </row>
    <row r="56" spans="1:15" ht="54" customHeight="1" thickTop="1" thickBot="1">
      <c r="A56" s="72"/>
      <c r="B56" s="73" t="s">
        <v>17</v>
      </c>
      <c r="C56" s="74" t="s">
        <v>653</v>
      </c>
      <c r="D56" s="74" t="s">
        <v>681</v>
      </c>
      <c r="E56" s="75" t="s">
        <v>12</v>
      </c>
      <c r="F56" s="75" t="s">
        <v>22</v>
      </c>
      <c r="G56" s="74" t="s">
        <v>278</v>
      </c>
      <c r="H56" s="85">
        <v>45699</v>
      </c>
      <c r="I56" s="96" t="s">
        <v>85</v>
      </c>
      <c r="J56" s="96" t="s">
        <v>131</v>
      </c>
      <c r="K56" s="96">
        <v>0</v>
      </c>
      <c r="L56" s="96">
        <v>0</v>
      </c>
      <c r="M56" s="96" t="s">
        <v>211</v>
      </c>
      <c r="N56" s="74">
        <v>1</v>
      </c>
      <c r="O56" s="77">
        <v>3.4722222222222224E-4</v>
      </c>
    </row>
    <row r="57" spans="1:15" ht="54" customHeight="1" thickTop="1" thickBot="1">
      <c r="A57" s="72"/>
      <c r="B57" s="73" t="s">
        <v>17</v>
      </c>
      <c r="C57" s="74" t="s">
        <v>682</v>
      </c>
      <c r="D57" s="74" t="s">
        <v>683</v>
      </c>
      <c r="E57" s="75" t="s">
        <v>12</v>
      </c>
      <c r="F57" s="75" t="s">
        <v>22</v>
      </c>
      <c r="G57" s="75" t="s">
        <v>308</v>
      </c>
      <c r="H57" s="76">
        <v>45698</v>
      </c>
      <c r="I57" s="96" t="s">
        <v>56</v>
      </c>
      <c r="J57" s="96" t="s">
        <v>131</v>
      </c>
      <c r="K57" s="96">
        <v>0</v>
      </c>
      <c r="L57" s="96" t="s">
        <v>684</v>
      </c>
      <c r="M57" s="96" t="s">
        <v>201</v>
      </c>
      <c r="N57" s="74">
        <v>1</v>
      </c>
      <c r="O57" s="77">
        <v>8.6805555555555551E-4</v>
      </c>
    </row>
    <row r="58" spans="1:15" ht="54" customHeight="1" thickTop="1" thickBot="1">
      <c r="A58" s="72"/>
      <c r="B58" s="73" t="s">
        <v>17</v>
      </c>
      <c r="C58" s="74" t="s">
        <v>685</v>
      </c>
      <c r="D58" s="74" t="s">
        <v>311</v>
      </c>
      <c r="E58" s="75" t="s">
        <v>12</v>
      </c>
      <c r="F58" s="75" t="s">
        <v>22</v>
      </c>
      <c r="G58" s="74" t="s">
        <v>312</v>
      </c>
      <c r="H58" s="85">
        <v>45698</v>
      </c>
      <c r="I58" s="96" t="s">
        <v>130</v>
      </c>
      <c r="J58" s="96" t="s">
        <v>131</v>
      </c>
      <c r="K58" s="96">
        <v>0</v>
      </c>
      <c r="L58" s="96" t="s">
        <v>322</v>
      </c>
      <c r="M58" s="96" t="s">
        <v>201</v>
      </c>
      <c r="N58" s="74">
        <v>1</v>
      </c>
      <c r="O58" s="77">
        <v>6.9444444444444447E-4</v>
      </c>
    </row>
    <row r="59" spans="1:15" ht="54" customHeight="1" thickTop="1" thickBot="1">
      <c r="A59" s="72"/>
      <c r="B59" s="73" t="s">
        <v>17</v>
      </c>
      <c r="C59" s="74" t="s">
        <v>686</v>
      </c>
      <c r="D59" s="74" t="s">
        <v>318</v>
      </c>
      <c r="E59" s="75" t="s">
        <v>12</v>
      </c>
      <c r="F59" s="75" t="s">
        <v>22</v>
      </c>
      <c r="G59" s="74" t="s">
        <v>312</v>
      </c>
      <c r="H59" s="85">
        <v>45698</v>
      </c>
      <c r="I59" s="96" t="s">
        <v>130</v>
      </c>
      <c r="J59" s="96" t="s">
        <v>131</v>
      </c>
      <c r="K59" s="96">
        <v>0</v>
      </c>
      <c r="L59" s="96" t="s">
        <v>687</v>
      </c>
      <c r="M59" s="96" t="s">
        <v>201</v>
      </c>
      <c r="N59" s="74">
        <v>1</v>
      </c>
      <c r="O59" s="77">
        <v>6.9444444444444447E-4</v>
      </c>
    </row>
    <row r="60" spans="1:15" ht="54" customHeight="1" thickTop="1" thickBot="1">
      <c r="B60" s="109" t="s">
        <v>17</v>
      </c>
      <c r="C60" s="103" t="s">
        <v>688</v>
      </c>
      <c r="D60" s="103" t="s">
        <v>689</v>
      </c>
      <c r="E60" s="110" t="s">
        <v>22</v>
      </c>
      <c r="F60" s="110"/>
      <c r="G60" s="103"/>
      <c r="H60" s="103"/>
      <c r="I60" s="96" t="s">
        <v>85</v>
      </c>
      <c r="J60" s="96" t="s">
        <v>57</v>
      </c>
      <c r="K60" s="96">
        <v>0</v>
      </c>
      <c r="L60" s="96">
        <v>0</v>
      </c>
      <c r="M60" s="96" t="s">
        <v>120</v>
      </c>
      <c r="N60" s="103">
        <v>1</v>
      </c>
      <c r="O60" s="112">
        <v>6.9444444444444447E-4</v>
      </c>
    </row>
    <row r="61" spans="1:15" ht="54" customHeight="1" thickTop="1" thickBot="1">
      <c r="A61" s="72"/>
      <c r="B61" s="73" t="s">
        <v>17</v>
      </c>
      <c r="C61" s="74" t="s">
        <v>690</v>
      </c>
      <c r="D61" s="74" t="s">
        <v>320</v>
      </c>
      <c r="E61" s="75" t="s">
        <v>12</v>
      </c>
      <c r="F61" s="75" t="s">
        <v>22</v>
      </c>
      <c r="G61" s="74" t="s">
        <v>691</v>
      </c>
      <c r="H61" s="85">
        <v>45700</v>
      </c>
      <c r="I61" s="96" t="s">
        <v>56</v>
      </c>
      <c r="J61" s="96" t="s">
        <v>57</v>
      </c>
      <c r="K61" s="96">
        <v>0</v>
      </c>
      <c r="L61" s="96">
        <v>0</v>
      </c>
      <c r="M61" s="96" t="s">
        <v>143</v>
      </c>
      <c r="N61" s="74">
        <v>1</v>
      </c>
      <c r="O61" s="77">
        <v>1.7361111111111112E-4</v>
      </c>
    </row>
    <row r="62" spans="1:15" ht="54" customHeight="1" thickTop="1" thickBot="1">
      <c r="B62" s="109" t="s">
        <v>17</v>
      </c>
      <c r="C62" s="103" t="s">
        <v>692</v>
      </c>
      <c r="D62" s="103" t="s">
        <v>324</v>
      </c>
      <c r="E62" s="110" t="s">
        <v>22</v>
      </c>
      <c r="F62" s="110"/>
      <c r="G62" s="103"/>
      <c r="H62" s="103"/>
      <c r="I62" s="96" t="s">
        <v>56</v>
      </c>
      <c r="J62" s="96" t="s">
        <v>131</v>
      </c>
      <c r="K62" s="96">
        <v>0</v>
      </c>
      <c r="L62" s="96">
        <v>0</v>
      </c>
      <c r="M62" s="96" t="s">
        <v>234</v>
      </c>
      <c r="N62" s="103">
        <v>2</v>
      </c>
      <c r="O62" s="112">
        <v>5.2083333333333333E-4</v>
      </c>
    </row>
    <row r="63" spans="1:15" ht="54" customHeight="1" thickTop="1" thickBot="1">
      <c r="A63" s="72"/>
      <c r="B63" s="73" t="s">
        <v>17</v>
      </c>
      <c r="C63" s="74" t="s">
        <v>693</v>
      </c>
      <c r="D63" s="74" t="s">
        <v>694</v>
      </c>
      <c r="E63" s="75" t="s">
        <v>12</v>
      </c>
      <c r="F63" s="75" t="s">
        <v>22</v>
      </c>
      <c r="G63" s="74" t="s">
        <v>691</v>
      </c>
      <c r="H63" s="85">
        <v>45700</v>
      </c>
      <c r="I63" s="96" t="s">
        <v>56</v>
      </c>
      <c r="J63" s="96" t="s">
        <v>57</v>
      </c>
      <c r="K63" s="96">
        <v>0</v>
      </c>
      <c r="L63" s="96" t="s">
        <v>325</v>
      </c>
      <c r="M63" s="96" t="s">
        <v>143</v>
      </c>
      <c r="N63" s="74">
        <v>3</v>
      </c>
      <c r="O63" s="77">
        <v>5.2083333333333333E-4</v>
      </c>
    </row>
    <row r="64" spans="1:15" ht="54" customHeight="1" thickTop="1" thickBot="1">
      <c r="A64" s="72"/>
      <c r="B64" s="78" t="s">
        <v>17</v>
      </c>
      <c r="C64" s="79" t="s">
        <v>695</v>
      </c>
      <c r="D64" s="79" t="s">
        <v>329</v>
      </c>
      <c r="E64" s="82" t="s">
        <v>12</v>
      </c>
      <c r="F64" s="82" t="s">
        <v>22</v>
      </c>
      <c r="G64" s="79" t="s">
        <v>691</v>
      </c>
      <c r="H64" s="86">
        <v>45700</v>
      </c>
      <c r="I64" s="96" t="s">
        <v>56</v>
      </c>
      <c r="J64" s="96" t="s">
        <v>57</v>
      </c>
      <c r="K64" s="96">
        <v>0</v>
      </c>
      <c r="L64" s="96" t="s">
        <v>696</v>
      </c>
      <c r="M64" s="96" t="s">
        <v>143</v>
      </c>
      <c r="N64" s="79">
        <v>4</v>
      </c>
      <c r="O64" s="83">
        <v>5.2083333333333333E-4</v>
      </c>
    </row>
    <row r="65" spans="1:15" ht="54" customHeight="1" thickTop="1" thickBot="1">
      <c r="B65" s="104" t="s">
        <v>21</v>
      </c>
      <c r="C65" s="105" t="s">
        <v>697</v>
      </c>
      <c r="D65" s="105" t="s">
        <v>698</v>
      </c>
      <c r="E65" s="106" t="s">
        <v>22</v>
      </c>
      <c r="F65" s="106"/>
      <c r="G65" s="105"/>
      <c r="H65" s="105"/>
      <c r="I65" s="96" t="s">
        <v>130</v>
      </c>
      <c r="J65" s="96" t="s">
        <v>131</v>
      </c>
      <c r="K65" s="96">
        <v>0</v>
      </c>
      <c r="L65" s="96" t="s">
        <v>337</v>
      </c>
      <c r="M65" s="96" t="s">
        <v>333</v>
      </c>
      <c r="N65" s="105">
        <v>4</v>
      </c>
      <c r="O65" s="108">
        <v>4.1666666666666666E-3</v>
      </c>
    </row>
    <row r="66" spans="1:15" ht="54" customHeight="1" thickTop="1" thickBot="1">
      <c r="B66" s="109" t="s">
        <v>21</v>
      </c>
      <c r="C66" s="103" t="s">
        <v>699</v>
      </c>
      <c r="D66" s="103" t="s">
        <v>700</v>
      </c>
      <c r="E66" s="110" t="s">
        <v>22</v>
      </c>
      <c r="F66" s="110"/>
      <c r="G66" s="103"/>
      <c r="H66" s="103"/>
      <c r="I66" s="96" t="s">
        <v>130</v>
      </c>
      <c r="J66" s="96" t="s">
        <v>131</v>
      </c>
      <c r="K66" s="96">
        <v>0</v>
      </c>
      <c r="L66" s="96" t="s">
        <v>701</v>
      </c>
      <c r="M66" s="96" t="s">
        <v>333</v>
      </c>
      <c r="N66" s="103">
        <v>4</v>
      </c>
      <c r="O66" s="112">
        <v>1.3888888888888889E-3</v>
      </c>
    </row>
    <row r="67" spans="1:15" ht="54" customHeight="1" thickTop="1" thickBot="1">
      <c r="B67" s="109" t="s">
        <v>21</v>
      </c>
      <c r="C67" s="103" t="s">
        <v>702</v>
      </c>
      <c r="D67" s="103" t="s">
        <v>339</v>
      </c>
      <c r="E67" s="110" t="s">
        <v>22</v>
      </c>
      <c r="F67" s="110"/>
      <c r="G67" s="103"/>
      <c r="H67" s="103"/>
      <c r="I67" s="96" t="s">
        <v>130</v>
      </c>
      <c r="J67" s="96" t="s">
        <v>131</v>
      </c>
      <c r="K67" s="96">
        <v>0</v>
      </c>
      <c r="L67" s="96" t="s">
        <v>344</v>
      </c>
      <c r="M67" s="96" t="s">
        <v>341</v>
      </c>
      <c r="N67" s="103">
        <v>2</v>
      </c>
      <c r="O67" s="112">
        <v>2.0833333333333333E-3</v>
      </c>
    </row>
    <row r="68" spans="1:15" ht="54" customHeight="1" thickTop="1" thickBot="1">
      <c r="B68" s="109" t="s">
        <v>21</v>
      </c>
      <c r="C68" s="103" t="s">
        <v>703</v>
      </c>
      <c r="D68" s="103" t="s">
        <v>343</v>
      </c>
      <c r="E68" s="110" t="s">
        <v>22</v>
      </c>
      <c r="F68" s="110"/>
      <c r="G68" s="103"/>
      <c r="H68" s="103"/>
      <c r="I68" s="96" t="s">
        <v>130</v>
      </c>
      <c r="J68" s="96" t="s">
        <v>131</v>
      </c>
      <c r="K68" s="96">
        <v>0</v>
      </c>
      <c r="L68" s="96" t="s">
        <v>347</v>
      </c>
      <c r="M68" s="96" t="s">
        <v>341</v>
      </c>
      <c r="N68" s="103">
        <v>2</v>
      </c>
      <c r="O68" s="112">
        <v>2.0833333333333333E-3</v>
      </c>
    </row>
    <row r="69" spans="1:15" ht="54" customHeight="1" thickTop="1" thickBot="1">
      <c r="A69" s="72"/>
      <c r="B69" s="73" t="s">
        <v>21</v>
      </c>
      <c r="C69" s="74" t="s">
        <v>704</v>
      </c>
      <c r="D69" s="74" t="s">
        <v>346</v>
      </c>
      <c r="E69" s="75" t="s">
        <v>12</v>
      </c>
      <c r="F69" s="75" t="s">
        <v>22</v>
      </c>
      <c r="G69" s="74" t="s">
        <v>691</v>
      </c>
      <c r="H69" s="85">
        <v>45700</v>
      </c>
      <c r="I69" s="96" t="s">
        <v>56</v>
      </c>
      <c r="J69" s="96" t="s">
        <v>57</v>
      </c>
      <c r="K69" s="96">
        <v>0</v>
      </c>
      <c r="L69" s="96" t="s">
        <v>360</v>
      </c>
      <c r="M69" s="96" t="s">
        <v>143</v>
      </c>
      <c r="N69" s="74">
        <v>2</v>
      </c>
      <c r="O69" s="77">
        <v>6.9444444444444447E-4</v>
      </c>
    </row>
    <row r="70" spans="1:15" ht="54" customHeight="1" thickTop="1" thickBot="1">
      <c r="B70" s="109" t="s">
        <v>21</v>
      </c>
      <c r="C70" s="103" t="s">
        <v>705</v>
      </c>
      <c r="D70" s="103" t="s">
        <v>359</v>
      </c>
      <c r="E70" s="110" t="s">
        <v>22</v>
      </c>
      <c r="F70" s="110"/>
      <c r="G70" s="103"/>
      <c r="H70" s="103"/>
      <c r="I70" s="96" t="s">
        <v>130</v>
      </c>
      <c r="J70" s="96" t="s">
        <v>131</v>
      </c>
      <c r="K70" s="96">
        <v>0</v>
      </c>
      <c r="L70" s="96" t="s">
        <v>366</v>
      </c>
      <c r="M70" s="96" t="s">
        <v>201</v>
      </c>
      <c r="N70" s="103">
        <v>2</v>
      </c>
      <c r="O70" s="112">
        <v>1.736111111111111E-3</v>
      </c>
    </row>
    <row r="71" spans="1:15" ht="54" customHeight="1" thickTop="1" thickBot="1">
      <c r="B71" s="109" t="s">
        <v>21</v>
      </c>
      <c r="C71" s="103" t="s">
        <v>706</v>
      </c>
      <c r="D71" s="103" t="s">
        <v>707</v>
      </c>
      <c r="E71" s="110" t="s">
        <v>22</v>
      </c>
      <c r="F71" s="110"/>
      <c r="G71" s="103"/>
      <c r="H71" s="103"/>
      <c r="I71" s="96" t="s">
        <v>56</v>
      </c>
      <c r="J71" s="96" t="s">
        <v>131</v>
      </c>
      <c r="K71" s="96">
        <v>0</v>
      </c>
      <c r="L71" s="96" t="s">
        <v>363</v>
      </c>
      <c r="M71" s="96" t="s">
        <v>160</v>
      </c>
      <c r="N71" s="103">
        <v>1</v>
      </c>
      <c r="O71" s="112">
        <v>9.2592592592592585E-4</v>
      </c>
    </row>
    <row r="72" spans="1:15" ht="54" customHeight="1" thickTop="1" thickBot="1">
      <c r="B72" s="109" t="s">
        <v>21</v>
      </c>
      <c r="C72" s="103" t="s">
        <v>708</v>
      </c>
      <c r="D72" s="103" t="s">
        <v>709</v>
      </c>
      <c r="E72" s="110" t="s">
        <v>22</v>
      </c>
      <c r="F72" s="110"/>
      <c r="G72" s="103"/>
      <c r="H72" s="103"/>
      <c r="I72" s="96" t="s">
        <v>56</v>
      </c>
      <c r="J72" s="96" t="s">
        <v>131</v>
      </c>
      <c r="K72" s="96">
        <v>0</v>
      </c>
      <c r="L72" s="96" t="s">
        <v>369</v>
      </c>
      <c r="M72" s="96" t="s">
        <v>160</v>
      </c>
      <c r="N72" s="103">
        <v>2</v>
      </c>
      <c r="O72" s="112">
        <v>9.2592592592592585E-4</v>
      </c>
    </row>
    <row r="73" spans="1:15" ht="54" customHeight="1" thickTop="1" thickBot="1">
      <c r="B73" s="109" t="s">
        <v>21</v>
      </c>
      <c r="C73" s="103" t="s">
        <v>710</v>
      </c>
      <c r="D73" s="103" t="s">
        <v>368</v>
      </c>
      <c r="E73" s="110" t="s">
        <v>22</v>
      </c>
      <c r="F73" s="110"/>
      <c r="G73" s="110"/>
      <c r="H73" s="113"/>
      <c r="I73" s="96" t="s">
        <v>56</v>
      </c>
      <c r="J73" s="96" t="s">
        <v>57</v>
      </c>
      <c r="K73" s="96">
        <v>0</v>
      </c>
      <c r="L73" s="96" t="s">
        <v>372</v>
      </c>
      <c r="M73" s="96" t="s">
        <v>351</v>
      </c>
      <c r="N73" s="103">
        <v>1</v>
      </c>
      <c r="O73" s="112">
        <v>1.1574074074074073E-4</v>
      </c>
    </row>
    <row r="74" spans="1:15" ht="54" customHeight="1" thickTop="1" thickBot="1">
      <c r="B74" s="109" t="s">
        <v>21</v>
      </c>
      <c r="C74" s="103" t="s">
        <v>711</v>
      </c>
      <c r="D74" s="103" t="s">
        <v>371</v>
      </c>
      <c r="E74" s="110" t="s">
        <v>22</v>
      </c>
      <c r="F74" s="110"/>
      <c r="G74" s="103"/>
      <c r="H74" s="103"/>
      <c r="I74" s="96" t="s">
        <v>85</v>
      </c>
      <c r="J74" s="96" t="s">
        <v>57</v>
      </c>
      <c r="K74" s="96">
        <v>0</v>
      </c>
      <c r="L74" s="96" t="s">
        <v>119</v>
      </c>
      <c r="M74" s="96" t="s">
        <v>120</v>
      </c>
      <c r="N74" s="103">
        <v>1</v>
      </c>
      <c r="O74" s="112">
        <v>6.9444444444444447E-4</v>
      </c>
    </row>
    <row r="75" spans="1:15" ht="54" customHeight="1" thickTop="1" thickBot="1">
      <c r="B75" s="109" t="s">
        <v>21</v>
      </c>
      <c r="C75" s="103" t="s">
        <v>712</v>
      </c>
      <c r="D75" s="103" t="s">
        <v>391</v>
      </c>
      <c r="E75" s="110" t="s">
        <v>22</v>
      </c>
      <c r="F75" s="110"/>
      <c r="G75" s="103"/>
      <c r="H75" s="103"/>
      <c r="I75" s="96" t="s">
        <v>56</v>
      </c>
      <c r="J75" s="96" t="s">
        <v>57</v>
      </c>
      <c r="K75" s="96">
        <v>0</v>
      </c>
      <c r="L75" s="96" t="s">
        <v>112</v>
      </c>
      <c r="M75" s="96" t="s">
        <v>143</v>
      </c>
      <c r="N75" s="103">
        <v>2</v>
      </c>
      <c r="O75" s="112">
        <v>3.4722222222222224E-4</v>
      </c>
    </row>
    <row r="76" spans="1:15" ht="54" customHeight="1" thickTop="1" thickBot="1">
      <c r="B76" s="109" t="s">
        <v>21</v>
      </c>
      <c r="C76" s="103" t="s">
        <v>713</v>
      </c>
      <c r="D76" s="103" t="s">
        <v>714</v>
      </c>
      <c r="E76" s="110" t="s">
        <v>22</v>
      </c>
      <c r="F76" s="110"/>
      <c r="G76" s="103"/>
      <c r="H76" s="103"/>
      <c r="I76" s="96" t="s">
        <v>56</v>
      </c>
      <c r="J76" s="96" t="s">
        <v>57</v>
      </c>
      <c r="K76" s="96">
        <v>0</v>
      </c>
      <c r="L76" s="96" t="s">
        <v>115</v>
      </c>
      <c r="M76" s="96" t="s">
        <v>143</v>
      </c>
      <c r="N76" s="103">
        <v>2</v>
      </c>
      <c r="O76" s="112">
        <v>6.9444444444444447E-4</v>
      </c>
    </row>
    <row r="77" spans="1:15" ht="54" customHeight="1" thickTop="1" thickBot="1">
      <c r="B77" s="109" t="s">
        <v>21</v>
      </c>
      <c r="C77" s="103" t="s">
        <v>715</v>
      </c>
      <c r="D77" s="103" t="s">
        <v>409</v>
      </c>
      <c r="E77" s="110" t="s">
        <v>22</v>
      </c>
      <c r="F77" s="110"/>
      <c r="G77" s="103"/>
      <c r="H77" s="103"/>
      <c r="I77" s="96" t="s">
        <v>85</v>
      </c>
      <c r="J77" s="96" t="s">
        <v>131</v>
      </c>
      <c r="K77" s="96">
        <v>0</v>
      </c>
      <c r="L77" s="96" t="s">
        <v>401</v>
      </c>
      <c r="M77" s="96" t="s">
        <v>104</v>
      </c>
      <c r="N77" s="103">
        <v>2</v>
      </c>
      <c r="O77" s="112">
        <v>1.3888888888888889E-3</v>
      </c>
    </row>
    <row r="78" spans="1:15" ht="54" customHeight="1" thickTop="1" thickBot="1">
      <c r="A78" s="72"/>
      <c r="B78" s="73" t="s">
        <v>21</v>
      </c>
      <c r="C78" s="74" t="s">
        <v>716</v>
      </c>
      <c r="D78" s="74" t="s">
        <v>717</v>
      </c>
      <c r="E78" s="75" t="s">
        <v>12</v>
      </c>
      <c r="F78" s="75" t="s">
        <v>22</v>
      </c>
      <c r="G78" s="75" t="s">
        <v>388</v>
      </c>
      <c r="H78" s="76">
        <v>45712</v>
      </c>
      <c r="I78" s="96" t="s">
        <v>56</v>
      </c>
      <c r="J78" s="96" t="s">
        <v>57</v>
      </c>
      <c r="K78" s="96">
        <v>0</v>
      </c>
      <c r="L78" s="96" t="s">
        <v>718</v>
      </c>
      <c r="M78" s="96" t="s">
        <v>143</v>
      </c>
      <c r="N78" s="74">
        <v>1</v>
      </c>
      <c r="O78" s="77">
        <v>6.9444444444444447E-4</v>
      </c>
    </row>
    <row r="79" spans="1:15" ht="54" customHeight="1" thickTop="1" thickBot="1">
      <c r="B79" s="109" t="s">
        <v>21</v>
      </c>
      <c r="C79" s="103" t="s">
        <v>719</v>
      </c>
      <c r="D79" s="103" t="s">
        <v>400</v>
      </c>
      <c r="E79" s="110" t="s">
        <v>22</v>
      </c>
      <c r="F79" s="110"/>
      <c r="G79" s="103"/>
      <c r="H79" s="103"/>
      <c r="I79" s="96" t="s">
        <v>85</v>
      </c>
      <c r="J79" s="96" t="s">
        <v>57</v>
      </c>
      <c r="K79" s="96">
        <v>0</v>
      </c>
      <c r="L79" s="96" t="s">
        <v>123</v>
      </c>
      <c r="M79" s="96" t="s">
        <v>104</v>
      </c>
      <c r="N79" s="103">
        <v>4</v>
      </c>
      <c r="O79" s="112">
        <v>2.0833333333333333E-3</v>
      </c>
    </row>
    <row r="80" spans="1:15" ht="54" customHeight="1" thickTop="1" thickBot="1">
      <c r="B80" s="114" t="s">
        <v>21</v>
      </c>
      <c r="C80" s="115" t="s">
        <v>720</v>
      </c>
      <c r="D80" s="115" t="s">
        <v>721</v>
      </c>
      <c r="E80" s="116" t="s">
        <v>22</v>
      </c>
      <c r="F80" s="116"/>
      <c r="G80" s="115"/>
      <c r="H80" s="115"/>
      <c r="I80" s="96" t="s">
        <v>85</v>
      </c>
      <c r="J80" s="96" t="s">
        <v>57</v>
      </c>
      <c r="K80" s="96">
        <v>0</v>
      </c>
      <c r="L80" s="96" t="s">
        <v>722</v>
      </c>
      <c r="M80" s="96" t="s">
        <v>104</v>
      </c>
      <c r="N80" s="115">
        <v>2</v>
      </c>
      <c r="O80" s="117">
        <v>6.9444444444444447E-4</v>
      </c>
    </row>
    <row r="81" spans="2:15" ht="54" customHeight="1" thickTop="1" thickBot="1">
      <c r="B81" s="104" t="s">
        <v>25</v>
      </c>
      <c r="C81" s="105" t="s">
        <v>723</v>
      </c>
      <c r="D81" s="105" t="s">
        <v>429</v>
      </c>
      <c r="E81" s="106" t="s">
        <v>22</v>
      </c>
      <c r="F81" s="106"/>
      <c r="G81" s="105"/>
      <c r="H81" s="105"/>
      <c r="I81" s="96" t="s">
        <v>130</v>
      </c>
      <c r="J81" s="96" t="s">
        <v>57</v>
      </c>
      <c r="K81" s="96">
        <v>0</v>
      </c>
      <c r="L81" s="96" t="s">
        <v>423</v>
      </c>
      <c r="M81" s="96" t="s">
        <v>104</v>
      </c>
      <c r="N81" s="105">
        <v>1</v>
      </c>
      <c r="O81" s="108">
        <v>3.4722222222222224E-4</v>
      </c>
    </row>
    <row r="82" spans="2:15" ht="54" customHeight="1" thickTop="1" thickBot="1">
      <c r="B82" s="109" t="s">
        <v>25</v>
      </c>
      <c r="C82" s="103" t="s">
        <v>724</v>
      </c>
      <c r="D82" s="103" t="s">
        <v>422</v>
      </c>
      <c r="E82" s="110" t="s">
        <v>22</v>
      </c>
      <c r="F82" s="110"/>
      <c r="G82" s="103"/>
      <c r="H82" s="103"/>
      <c r="I82" s="96" t="s">
        <v>130</v>
      </c>
      <c r="J82" s="96" t="s">
        <v>57</v>
      </c>
      <c r="K82" s="96">
        <v>0</v>
      </c>
      <c r="L82" s="96" t="s">
        <v>420</v>
      </c>
      <c r="M82" s="96" t="s">
        <v>104</v>
      </c>
      <c r="N82" s="103">
        <v>1</v>
      </c>
      <c r="O82" s="112">
        <v>6.9444444444444447E-4</v>
      </c>
    </row>
    <row r="83" spans="2:15" ht="54" customHeight="1" thickTop="1" thickBot="1">
      <c r="B83" s="109" t="s">
        <v>25</v>
      </c>
      <c r="C83" s="103" t="s">
        <v>725</v>
      </c>
      <c r="D83" s="103" t="s">
        <v>419</v>
      </c>
      <c r="E83" s="110" t="s">
        <v>22</v>
      </c>
      <c r="F83" s="110"/>
      <c r="G83" s="103"/>
      <c r="H83" s="103"/>
      <c r="I83" s="96" t="s">
        <v>130</v>
      </c>
      <c r="J83" s="96" t="s">
        <v>57</v>
      </c>
      <c r="K83" s="96">
        <v>0</v>
      </c>
      <c r="L83" s="96" t="s">
        <v>433</v>
      </c>
      <c r="M83" s="96" t="s">
        <v>234</v>
      </c>
      <c r="N83" s="103">
        <v>1</v>
      </c>
      <c r="O83" s="112">
        <v>6.9444444444444447E-4</v>
      </c>
    </row>
    <row r="84" spans="2:15" ht="54" customHeight="1" thickTop="1" thickBot="1">
      <c r="B84" s="109" t="s">
        <v>25</v>
      </c>
      <c r="C84" s="103" t="s">
        <v>726</v>
      </c>
      <c r="D84" s="103" t="s">
        <v>727</v>
      </c>
      <c r="E84" s="110" t="s">
        <v>22</v>
      </c>
      <c r="F84" s="110"/>
      <c r="G84" s="103"/>
      <c r="H84" s="103"/>
      <c r="I84" s="96" t="s">
        <v>130</v>
      </c>
      <c r="J84" s="96" t="s">
        <v>57</v>
      </c>
      <c r="K84" s="96">
        <v>0</v>
      </c>
      <c r="L84" s="96" t="s">
        <v>436</v>
      </c>
      <c r="M84" s="96" t="s">
        <v>234</v>
      </c>
      <c r="N84" s="103">
        <v>1</v>
      </c>
      <c r="O84" s="112">
        <v>0</v>
      </c>
    </row>
    <row r="85" spans="2:15" ht="54" customHeight="1" thickTop="1" thickBot="1">
      <c r="B85" s="109" t="s">
        <v>25</v>
      </c>
      <c r="C85" s="103" t="s">
        <v>728</v>
      </c>
      <c r="D85" s="103" t="s">
        <v>435</v>
      </c>
      <c r="E85" s="110" t="s">
        <v>22</v>
      </c>
      <c r="F85" s="110"/>
      <c r="G85" s="103"/>
      <c r="H85" s="103"/>
      <c r="I85" s="96" t="s">
        <v>130</v>
      </c>
      <c r="J85" s="96" t="s">
        <v>57</v>
      </c>
      <c r="K85" s="96">
        <v>0</v>
      </c>
      <c r="L85" s="96" t="s">
        <v>381</v>
      </c>
      <c r="M85" s="96" t="s">
        <v>234</v>
      </c>
      <c r="N85" s="103">
        <v>2</v>
      </c>
      <c r="O85" s="112">
        <v>1.0416666666666667E-3</v>
      </c>
    </row>
    <row r="86" spans="2:15" ht="54" customHeight="1" thickTop="1" thickBot="1">
      <c r="B86" s="109" t="s">
        <v>25</v>
      </c>
      <c r="C86" s="103" t="s">
        <v>729</v>
      </c>
      <c r="D86" s="103" t="s">
        <v>730</v>
      </c>
      <c r="E86" s="110" t="s">
        <v>22</v>
      </c>
      <c r="F86" s="110"/>
      <c r="G86" s="103"/>
      <c r="H86" s="103"/>
      <c r="I86" s="96" t="s">
        <v>56</v>
      </c>
      <c r="J86" s="96" t="s">
        <v>57</v>
      </c>
      <c r="K86" s="96">
        <v>0</v>
      </c>
      <c r="L86" s="96" t="s">
        <v>430</v>
      </c>
      <c r="M86" s="96" t="s">
        <v>452</v>
      </c>
      <c r="N86" s="103">
        <v>2</v>
      </c>
      <c r="O86" s="112">
        <v>5.2083333333333333E-4</v>
      </c>
    </row>
    <row r="87" spans="2:15" ht="54" customHeight="1" thickTop="1" thickBot="1">
      <c r="B87" s="114" t="s">
        <v>25</v>
      </c>
      <c r="C87" s="115" t="s">
        <v>731</v>
      </c>
      <c r="D87" s="115" t="s">
        <v>444</v>
      </c>
      <c r="E87" s="116" t="s">
        <v>22</v>
      </c>
      <c r="F87" s="116"/>
      <c r="G87" s="115"/>
      <c r="H87" s="115"/>
      <c r="I87" s="96" t="s">
        <v>85</v>
      </c>
      <c r="J87" s="96" t="s">
        <v>57</v>
      </c>
      <c r="K87" s="96">
        <v>0</v>
      </c>
      <c r="L87" s="96" t="s">
        <v>445</v>
      </c>
      <c r="M87" s="96" t="s">
        <v>446</v>
      </c>
      <c r="N87" s="115">
        <v>2</v>
      </c>
      <c r="O87" s="117">
        <v>6.9444444444444447E-4</v>
      </c>
    </row>
    <row r="88" spans="2:15" ht="66" customHeight="1" thickTop="1" thickBot="1">
      <c r="B88" s="122" t="s">
        <v>732</v>
      </c>
      <c r="C88" s="123" t="s">
        <v>733</v>
      </c>
      <c r="D88" s="123" t="s">
        <v>457</v>
      </c>
      <c r="E88" s="124" t="s">
        <v>22</v>
      </c>
      <c r="F88" s="124"/>
      <c r="G88" s="124"/>
      <c r="H88" s="130"/>
      <c r="I88" s="96" t="s">
        <v>85</v>
      </c>
      <c r="J88" s="96" t="s">
        <v>131</v>
      </c>
      <c r="K88" s="96">
        <v>0</v>
      </c>
      <c r="L88" s="96" t="s">
        <v>734</v>
      </c>
      <c r="M88" s="96" t="s">
        <v>459</v>
      </c>
      <c r="N88" s="124">
        <v>2</v>
      </c>
      <c r="O88" s="131">
        <v>2.0013888888888891</v>
      </c>
    </row>
    <row r="89" spans="2:15" ht="15.75" thickTop="1"/>
    <row r="128" ht="66" customHeight="1"/>
  </sheetData>
  <autoFilter ref="B2:J88" xr:uid="{1F478E64-C5A9-4A43-89AA-045599EB1EC1}"/>
  <conditionalFormatting sqref="H18:H22 G21:G22 G16 C3:F10 G3:H12 C11:D12 C79:D87 G18 H30:H31 G49:H51 G53:H56 G32:H46 G23:H28 C15:D35 C74:D74 G58:H87 N64:O87 C37:D72 C36 C76:D77 C75">
    <cfRule type="expression" dxfId="264" priority="61">
      <formula>AND(OR($F3="No",$F3=""), $E3= "Yes",$G3&lt;&gt;"",$H3&lt;&gt;"")</formula>
    </cfRule>
  </conditionalFormatting>
  <conditionalFormatting sqref="H16">
    <cfRule type="expression" dxfId="263" priority="57">
      <formula>AND(OR($F16="No",$F16=""), $E16= "Yes",$G16&lt;&gt;"",$H16&lt;&gt;"")</formula>
    </cfRule>
  </conditionalFormatting>
  <conditionalFormatting sqref="E11:F12 E79:F87 E16:F16 E18:F20 E49:F51 E53:F56 E58:F72 E22:F28 E74:F77 E30:F46">
    <cfRule type="expression" dxfId="262" priority="55">
      <formula>AND(OR($F11="No",$F11=""), $E11= "Yes",$G11&lt;&gt;"",$H11&lt;&gt;"")</formula>
    </cfRule>
    <cfRule type="expression" dxfId="261" priority="56">
      <formula>AND(OR($E11="No",$E11=""), $F11= "Yes",$G11&lt;&gt;"",$H11&lt;&gt;"")</formula>
    </cfRule>
  </conditionalFormatting>
  <conditionalFormatting sqref="E21:F21">
    <cfRule type="expression" dxfId="260" priority="53">
      <formula>AND(OR($F21="No",$F21=""), $E21= "Yes",$G21&lt;&gt;"",$H21&lt;&gt;"")</formula>
    </cfRule>
    <cfRule type="expression" dxfId="259" priority="54">
      <formula>AND(OR($E21="No",$E21=""), $F21= "Yes",$G21&lt;&gt;"",$H21&lt;&gt;"")</formula>
    </cfRule>
  </conditionalFormatting>
  <conditionalFormatting sqref="I3:M88">
    <cfRule type="expression" dxfId="258" priority="52">
      <formula>AND(OR($F4="No",$F4=""), $E3= "Yes",$G3&lt;&gt;"",$H3&lt;&gt;"")</formula>
    </cfRule>
  </conditionalFormatting>
  <conditionalFormatting sqref="C78:D78">
    <cfRule type="expression" dxfId="257" priority="44">
      <formula>AND(OR($F78="No",$F78=""), $E78= "Yes",$G78&lt;&gt;"",$H78&lt;&gt;"")</formula>
    </cfRule>
  </conditionalFormatting>
  <conditionalFormatting sqref="E78:F78">
    <cfRule type="expression" dxfId="256" priority="42">
      <formula>AND(OR($F78="No",$F78=""), $E78= "Yes",$G78&lt;&gt;"",$H78&lt;&gt;"")</formula>
    </cfRule>
    <cfRule type="expression" dxfId="255" priority="43">
      <formula>AND(OR($E78="No",$E78=""), $F78= "Yes",$G78&lt;&gt;"",$H78&lt;&gt;"")</formula>
    </cfRule>
  </conditionalFormatting>
  <conditionalFormatting sqref="C73:D73">
    <cfRule type="expression" dxfId="254" priority="41">
      <formula>AND(OR($F73="No",$F73=""), $E73= "Yes",$G73&lt;&gt;"",$H73&lt;&gt;"")</formula>
    </cfRule>
  </conditionalFormatting>
  <conditionalFormatting sqref="E73:F73">
    <cfRule type="expression" dxfId="253" priority="39">
      <formula>AND(OR($F73="No",$F73=""), $E73= "Yes",$G73&lt;&gt;"",$H73&lt;&gt;"")</formula>
    </cfRule>
    <cfRule type="expression" dxfId="252" priority="40">
      <formula>AND(OR($E73="No",$E73=""), $F73= "Yes",$G73&lt;&gt;"",$H73&lt;&gt;"")</formula>
    </cfRule>
  </conditionalFormatting>
  <conditionalFormatting sqref="G15:H15">
    <cfRule type="expression" dxfId="251" priority="36">
      <formula>AND(OR($F15="No",$F15=""), $E15= "Yes",$G15&lt;&gt;"",$H15&lt;&gt;"")</formula>
    </cfRule>
  </conditionalFormatting>
  <conditionalFormatting sqref="E15:F15">
    <cfRule type="expression" dxfId="250" priority="34">
      <formula>AND(OR($F15="No",$F15=""), $E15= "Yes",$G15&lt;&gt;"",$H15&lt;&gt;"")</formula>
    </cfRule>
    <cfRule type="expression" dxfId="249" priority="35">
      <formula>AND(OR($E15="No",$E15=""), $F15= "Yes",$G15&lt;&gt;"",$H15&lt;&gt;"")</formula>
    </cfRule>
  </conditionalFormatting>
  <conditionalFormatting sqref="G17:H17">
    <cfRule type="expression" dxfId="248" priority="33">
      <formula>AND(OR($F17="No",$F17=""), $E17= "Yes",$G17&lt;&gt;"",$H17&lt;&gt;"")</formula>
    </cfRule>
  </conditionalFormatting>
  <conditionalFormatting sqref="E17:F17">
    <cfRule type="expression" dxfId="247" priority="31">
      <formula>AND(OR($F17="No",$F17=""), $E17= "Yes",$G17&lt;&gt;"",$H17&lt;&gt;"")</formula>
    </cfRule>
    <cfRule type="expression" dxfId="246" priority="32">
      <formula>AND(OR($E17="No",$E17=""), $F17= "Yes",$G17&lt;&gt;"",$H17&lt;&gt;"")</formula>
    </cfRule>
  </conditionalFormatting>
  <conditionalFormatting sqref="G19:G20">
    <cfRule type="expression" dxfId="245" priority="30">
      <formula>AND(OR($F19="No",$F19=""), $E19= "Yes",$G19&lt;&gt;"",$H19&lt;&gt;"")</formula>
    </cfRule>
  </conditionalFormatting>
  <conditionalFormatting sqref="G30:G31">
    <cfRule type="expression" dxfId="244" priority="29">
      <formula>AND(OR($F30="No",$F30=""), $E30= "Yes",$G30&lt;&gt;"",$H30&lt;&gt;"")</formula>
    </cfRule>
  </conditionalFormatting>
  <conditionalFormatting sqref="G47:H47">
    <cfRule type="expression" dxfId="243" priority="28">
      <formula>AND(OR($F47="No",$F47=""), $E47= "Yes",$G47&lt;&gt;"",$H47&lt;&gt;"")</formula>
    </cfRule>
  </conditionalFormatting>
  <conditionalFormatting sqref="E47:F47">
    <cfRule type="expression" dxfId="242" priority="26">
      <formula>AND(OR($F47="No",$F47=""), $E47= "Yes",$G47&lt;&gt;"",$H47&lt;&gt;"")</formula>
    </cfRule>
    <cfRule type="expression" dxfId="241" priority="27">
      <formula>AND(OR($E47="No",$E47=""), $F47= "Yes",$G47&lt;&gt;"",$H47&lt;&gt;"")</formula>
    </cfRule>
  </conditionalFormatting>
  <conditionalFormatting sqref="G52:H52">
    <cfRule type="expression" dxfId="240" priority="25">
      <formula>AND(OR($F52="No",$F52=""), $E52= "Yes",$G52&lt;&gt;"",$H52&lt;&gt;"")</formula>
    </cfRule>
  </conditionalFormatting>
  <conditionalFormatting sqref="E52:F52">
    <cfRule type="expression" dxfId="239" priority="23">
      <formula>AND(OR($F52="No",$F52=""), $E52= "Yes",$G52&lt;&gt;"",$H52&lt;&gt;"")</formula>
    </cfRule>
    <cfRule type="expression" dxfId="238" priority="24">
      <formula>AND(OR($E52="No",$E52=""), $F52= "Yes",$G52&lt;&gt;"",$H52&lt;&gt;"")</formula>
    </cfRule>
  </conditionalFormatting>
  <conditionalFormatting sqref="G48:H48">
    <cfRule type="expression" dxfId="237" priority="22">
      <formula>AND(OR($F48="No",$F48=""), $E48= "Yes",$G48&lt;&gt;"",$H48&lt;&gt;"")</formula>
    </cfRule>
  </conditionalFormatting>
  <conditionalFormatting sqref="E48:F48">
    <cfRule type="expression" dxfId="236" priority="20">
      <formula>AND(OR($F48="No",$F48=""), $E48= "Yes",$G48&lt;&gt;"",$H48&lt;&gt;"")</formula>
    </cfRule>
    <cfRule type="expression" dxfId="235" priority="21">
      <formula>AND(OR($E48="No",$E48=""), $F48= "Yes",$G48&lt;&gt;"",$H48&lt;&gt;"")</formula>
    </cfRule>
  </conditionalFormatting>
  <conditionalFormatting sqref="G57:H57">
    <cfRule type="expression" dxfId="234" priority="19">
      <formula>AND(OR($F57="No",$F57=""), $E57= "Yes",$G57&lt;&gt;"",$H57&lt;&gt;"")</formula>
    </cfRule>
  </conditionalFormatting>
  <conditionalFormatting sqref="E57:F57">
    <cfRule type="expression" dxfId="233" priority="17">
      <formula>AND(OR($F57="No",$F57=""), $E57= "Yes",$G57&lt;&gt;"",$H57&lt;&gt;"")</formula>
    </cfRule>
    <cfRule type="expression" dxfId="232" priority="18">
      <formula>AND(OR($E57="No",$E57=""), $F57= "Yes",$G57&lt;&gt;"",$H57&lt;&gt;"")</formula>
    </cfRule>
  </conditionalFormatting>
  <conditionalFormatting sqref="A2">
    <cfRule type="expression" dxfId="231" priority="15">
      <formula>AND(OR(#REF!="No",#REF!=""), #REF!= "Yes",#REF!&lt;&gt;"",#REF!&lt;&gt;"")</formula>
    </cfRule>
    <cfRule type="expression" dxfId="230" priority="16">
      <formula>AND(OR(#REF!="No",#REF!=""), #REF!= "Yes",#REF!&lt;&gt;"",#REF!&lt;&gt;"")</formula>
    </cfRule>
  </conditionalFormatting>
  <conditionalFormatting sqref="N3:O12 N29:O62 N15:O27">
    <cfRule type="expression" dxfId="229" priority="14">
      <formula>AND(OR($F3="No",$F3=""), $E3= "Yes",$G3&lt;&gt;"",$H3&lt;&gt;"")</formula>
    </cfRule>
  </conditionalFormatting>
  <conditionalFormatting sqref="N63:O63">
    <cfRule type="expression" dxfId="228" priority="13">
      <formula>AND(OR($E63="No",$E63=""), $D63= "Yes",$F63&lt;&gt;"",$G63&lt;&gt;"")</formula>
    </cfRule>
  </conditionalFormatting>
  <conditionalFormatting sqref="N28:O28">
    <cfRule type="expression" dxfId="227" priority="12">
      <formula>AND(OR($F28="No",$F28=""), $E28= "Yes",$G28&lt;&gt;"",$H28&lt;&gt;"")</formula>
    </cfRule>
  </conditionalFormatting>
  <conditionalFormatting sqref="C13:H14">
    <cfRule type="expression" dxfId="226" priority="10">
      <formula>AND(OR($F13="No",$F13=""), $E13= "Yes",$G13&lt;&gt;"",$H13&lt;&gt;"")</formula>
    </cfRule>
  </conditionalFormatting>
  <conditionalFormatting sqref="N13:O14">
    <cfRule type="expression" dxfId="225" priority="9">
      <formula>AND(OR($E13="No",$E13=""), $D13= "Yes",$F13&lt;&gt;"",$G13&lt;&gt;"")</formula>
    </cfRule>
  </conditionalFormatting>
  <conditionalFormatting sqref="N88:O88">
    <cfRule type="expression" dxfId="224" priority="8">
      <formula>AND(OR($F88="No",$F88=""), $E88= "Yes",$G88&lt;&gt;"",$H88&lt;&gt;"")</formula>
    </cfRule>
  </conditionalFormatting>
  <conditionalFormatting sqref="E88:H88">
    <cfRule type="expression" dxfId="223" priority="7">
      <formula>AND(OR($F88="No",$F88=""), $E88= "Yes",$G88&lt;&gt;"",$H88&lt;&gt;"")</formula>
    </cfRule>
  </conditionalFormatting>
  <conditionalFormatting sqref="D36">
    <cfRule type="expression" dxfId="222" priority="6">
      <formula>AND(OR($F36="No",$F36=""), $E36= "Yes",$G36&lt;&gt;"",$H36&lt;&gt;"")</formula>
    </cfRule>
  </conditionalFormatting>
  <conditionalFormatting sqref="D75">
    <cfRule type="expression" dxfId="221" priority="5">
      <formula>AND(OR($F75="No",$F75=""), $E75= "Yes",$G75&lt;&gt;"",$H75&lt;&gt;"")</formula>
    </cfRule>
  </conditionalFormatting>
  <conditionalFormatting sqref="H29">
    <cfRule type="expression" dxfId="220" priority="4">
      <formula>AND(OR($F29="No",$F29=""), $E29= "Yes",$G29&lt;&gt;"",$H29&lt;&gt;"")</formula>
    </cfRule>
  </conditionalFormatting>
  <conditionalFormatting sqref="E29:F29">
    <cfRule type="expression" dxfId="219" priority="2">
      <formula>AND(OR($F29="No",$F29=""), $E29= "Yes",$G29&lt;&gt;"",$H29&lt;&gt;"")</formula>
    </cfRule>
    <cfRule type="expression" dxfId="218" priority="3">
      <formula>AND(OR($E29="No",$E29=""), $F29= "Yes",$G29&lt;&gt;"",$H29&lt;&gt;"")</formula>
    </cfRule>
  </conditionalFormatting>
  <conditionalFormatting sqref="G29">
    <cfRule type="expression" dxfId="217" priority="1">
      <formula>AND(OR($F29="No",$F29=""), $E29= "Yes",$G29&lt;&gt;"",$H29&lt;&gt;"")</formula>
    </cfRule>
  </conditionalFormatting>
  <dataValidations count="2">
    <dataValidation type="list" allowBlank="1" showInputMessage="1" showErrorMessage="1" sqref="E3:E14 F11:F12 E15:F87" xr:uid="{92770EA0-4C05-489F-B8A6-B04F522C0848}">
      <formula1>"Yes, No"</formula1>
    </dataValidation>
    <dataValidation type="list" allowBlank="1" showInputMessage="1" showErrorMessage="1" sqref="B3:B30" xr:uid="{6474871C-EF48-4AB4-B8DC-3BAB07D91436}">
      <formula1>"Phase 1, Phase 2, Phase 3, Phase 4, "</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O128"/>
  <sheetViews>
    <sheetView zoomScale="60" zoomScaleNormal="60" workbookViewId="0">
      <pane ySplit="2" topLeftCell="A22" activePane="bottomLeft" state="frozen"/>
      <selection pane="bottomLeft" activeCell="G29" sqref="G29"/>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8.88671875" style="22" customWidth="1"/>
    <col min="12" max="12" width="15.5546875" style="22" customWidth="1"/>
    <col min="13" max="13" width="8.88671875" style="3" customWidth="1"/>
    <col min="14" max="14" width="10.109375" style="3" customWidth="1"/>
    <col min="15" max="17" width="8.88671875" style="3" customWidth="1"/>
    <col min="18" max="16384" width="8.88671875" style="3"/>
  </cols>
  <sheetData>
    <row r="1" spans="1:15" ht="21" customHeight="1" thickBot="1">
      <c r="B1" s="88" t="s">
        <v>44</v>
      </c>
      <c r="C1" s="62" t="s">
        <v>735</v>
      </c>
      <c r="D1" s="23"/>
      <c r="E1" s="23"/>
      <c r="F1" s="23"/>
      <c r="G1" s="23"/>
      <c r="H1" s="23"/>
      <c r="I1" s="23"/>
      <c r="J1" s="23"/>
      <c r="L1" s="23"/>
    </row>
    <row r="2" spans="1:15" s="10" customFormat="1" ht="87.95" customHeight="1" thickBot="1">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ht="54" customHeight="1" thickTop="1" thickBot="1">
      <c r="A3" s="72"/>
      <c r="B3" s="94" t="s">
        <v>11</v>
      </c>
      <c r="C3" s="95" t="s">
        <v>598</v>
      </c>
      <c r="D3" s="95" t="s">
        <v>599</v>
      </c>
      <c r="E3" s="95" t="s">
        <v>12</v>
      </c>
      <c r="F3" s="95" t="s">
        <v>22</v>
      </c>
      <c r="G3" s="95" t="s">
        <v>55</v>
      </c>
      <c r="H3" s="97" t="s">
        <v>55</v>
      </c>
      <c r="I3" s="96" t="s">
        <v>56</v>
      </c>
      <c r="J3" s="96" t="s">
        <v>57</v>
      </c>
      <c r="K3" s="96">
        <v>0</v>
      </c>
      <c r="L3" s="96" t="s">
        <v>463</v>
      </c>
      <c r="M3" s="96" t="s">
        <v>59</v>
      </c>
      <c r="N3" s="95">
        <v>2</v>
      </c>
      <c r="O3" s="98">
        <v>5.2083333333333333E-4</v>
      </c>
    </row>
    <row r="4" spans="1:15" ht="54" customHeight="1" thickTop="1" thickBot="1">
      <c r="A4" s="72"/>
      <c r="B4" s="73" t="s">
        <v>11</v>
      </c>
      <c r="C4" s="74" t="s">
        <v>600</v>
      </c>
      <c r="D4" s="74" t="s">
        <v>601</v>
      </c>
      <c r="E4" s="74" t="s">
        <v>12</v>
      </c>
      <c r="F4" s="74" t="s">
        <v>22</v>
      </c>
      <c r="G4" s="74" t="s">
        <v>55</v>
      </c>
      <c r="H4" s="85" t="s">
        <v>55</v>
      </c>
      <c r="I4" s="96" t="s">
        <v>56</v>
      </c>
      <c r="J4" s="96" t="s">
        <v>57</v>
      </c>
      <c r="K4" s="96">
        <v>0</v>
      </c>
      <c r="L4" s="96" t="s">
        <v>58</v>
      </c>
      <c r="M4" s="96" t="s">
        <v>59</v>
      </c>
      <c r="N4" s="74">
        <v>1</v>
      </c>
      <c r="O4" s="77">
        <v>2.4305555555555556E-3</v>
      </c>
    </row>
    <row r="5" spans="1:15" ht="54" customHeight="1" thickTop="1" thickBot="1">
      <c r="A5" s="72"/>
      <c r="B5" s="73" t="s">
        <v>11</v>
      </c>
      <c r="C5" s="74" t="s">
        <v>602</v>
      </c>
      <c r="D5" s="74" t="s">
        <v>465</v>
      </c>
      <c r="E5" s="74" t="s">
        <v>12</v>
      </c>
      <c r="F5" s="74" t="s">
        <v>22</v>
      </c>
      <c r="G5" s="74" t="s">
        <v>55</v>
      </c>
      <c r="H5" s="85" t="s">
        <v>55</v>
      </c>
      <c r="I5" s="96" t="s">
        <v>56</v>
      </c>
      <c r="J5" s="96" t="s">
        <v>57</v>
      </c>
      <c r="K5" s="96">
        <v>0</v>
      </c>
      <c r="L5" s="96" t="s">
        <v>62</v>
      </c>
      <c r="M5" s="96" t="s">
        <v>63</v>
      </c>
      <c r="N5" s="74">
        <v>1</v>
      </c>
      <c r="O5" s="77">
        <v>1.3888888888888889E-3</v>
      </c>
    </row>
    <row r="6" spans="1:15" ht="54" customHeight="1" thickTop="1" thickBot="1">
      <c r="A6" s="72"/>
      <c r="B6" s="73" t="s">
        <v>11</v>
      </c>
      <c r="C6" s="74" t="s">
        <v>603</v>
      </c>
      <c r="D6" s="74" t="s">
        <v>100</v>
      </c>
      <c r="E6" s="74" t="s">
        <v>12</v>
      </c>
      <c r="F6" s="74" t="s">
        <v>22</v>
      </c>
      <c r="G6" s="74" t="s">
        <v>55</v>
      </c>
      <c r="H6" s="85" t="s">
        <v>55</v>
      </c>
      <c r="I6" s="96" t="s">
        <v>56</v>
      </c>
      <c r="J6" s="96" t="s">
        <v>57</v>
      </c>
      <c r="K6" s="96">
        <v>0</v>
      </c>
      <c r="L6" s="96" t="s">
        <v>69</v>
      </c>
      <c r="M6" s="96" t="s">
        <v>70</v>
      </c>
      <c r="N6" s="74">
        <v>1</v>
      </c>
      <c r="O6" s="77">
        <v>3.4722222222222224E-4</v>
      </c>
    </row>
    <row r="7" spans="1:15" ht="54" customHeight="1" thickTop="1" thickBot="1">
      <c r="A7" s="72"/>
      <c r="B7" s="73" t="s">
        <v>11</v>
      </c>
      <c r="C7" s="74" t="s">
        <v>604</v>
      </c>
      <c r="D7" s="74" t="s">
        <v>605</v>
      </c>
      <c r="E7" s="74" t="s">
        <v>12</v>
      </c>
      <c r="F7" s="74" t="s">
        <v>22</v>
      </c>
      <c r="G7" s="74" t="s">
        <v>55</v>
      </c>
      <c r="H7" s="85" t="s">
        <v>55</v>
      </c>
      <c r="I7" s="96" t="s">
        <v>56</v>
      </c>
      <c r="J7" s="96" t="s">
        <v>57</v>
      </c>
      <c r="K7" s="96">
        <v>0</v>
      </c>
      <c r="L7" s="96" t="s">
        <v>91</v>
      </c>
      <c r="M7" s="96" t="s">
        <v>59</v>
      </c>
      <c r="N7" s="74">
        <v>1</v>
      </c>
      <c r="O7" s="77">
        <v>3.1249999999999997E-3</v>
      </c>
    </row>
    <row r="8" spans="1:15" ht="54" customHeight="1" thickTop="1" thickBot="1">
      <c r="A8" s="72"/>
      <c r="B8" s="73" t="s">
        <v>11</v>
      </c>
      <c r="C8" s="74" t="s">
        <v>606</v>
      </c>
      <c r="D8" s="74" t="s">
        <v>607</v>
      </c>
      <c r="E8" s="74" t="s">
        <v>12</v>
      </c>
      <c r="F8" s="74" t="s">
        <v>22</v>
      </c>
      <c r="G8" s="74" t="s">
        <v>55</v>
      </c>
      <c r="H8" s="85" t="s">
        <v>55</v>
      </c>
      <c r="I8" s="96" t="s">
        <v>56</v>
      </c>
      <c r="J8" s="96" t="s">
        <v>57</v>
      </c>
      <c r="K8" s="96">
        <v>0</v>
      </c>
      <c r="L8" s="96" t="s">
        <v>96</v>
      </c>
      <c r="M8" s="96" t="s">
        <v>59</v>
      </c>
      <c r="N8" s="74">
        <v>1</v>
      </c>
      <c r="O8" s="77">
        <v>8.1018518518518516E-4</v>
      </c>
    </row>
    <row r="9" spans="1:15" ht="54" customHeight="1" thickTop="1" thickBot="1">
      <c r="A9" s="72"/>
      <c r="B9" s="73" t="s">
        <v>11</v>
      </c>
      <c r="C9" s="74" t="s">
        <v>608</v>
      </c>
      <c r="D9" s="74" t="s">
        <v>102</v>
      </c>
      <c r="E9" s="74" t="s">
        <v>12</v>
      </c>
      <c r="F9" s="74" t="s">
        <v>22</v>
      </c>
      <c r="G9" s="74" t="s">
        <v>55</v>
      </c>
      <c r="H9" s="85" t="s">
        <v>55</v>
      </c>
      <c r="I9" s="96" t="s">
        <v>85</v>
      </c>
      <c r="J9" s="96" t="s">
        <v>57</v>
      </c>
      <c r="K9" s="96">
        <v>0</v>
      </c>
      <c r="L9" s="96" t="s">
        <v>103</v>
      </c>
      <c r="M9" s="96" t="s">
        <v>104</v>
      </c>
      <c r="N9" s="74">
        <v>1</v>
      </c>
      <c r="O9" s="77">
        <v>6.9444444444444447E-4</v>
      </c>
    </row>
    <row r="10" spans="1:15" ht="54" customHeight="1" thickTop="1" thickBot="1">
      <c r="A10" s="72"/>
      <c r="B10" s="73" t="s">
        <v>11</v>
      </c>
      <c r="C10" s="74" t="s">
        <v>609</v>
      </c>
      <c r="D10" s="74" t="s">
        <v>106</v>
      </c>
      <c r="E10" s="74" t="s">
        <v>12</v>
      </c>
      <c r="F10" s="74" t="s">
        <v>22</v>
      </c>
      <c r="G10" s="74" t="s">
        <v>55</v>
      </c>
      <c r="H10" s="85" t="s">
        <v>55</v>
      </c>
      <c r="I10" s="96" t="s">
        <v>85</v>
      </c>
      <c r="J10" s="96" t="s">
        <v>57</v>
      </c>
      <c r="K10" s="96">
        <v>0</v>
      </c>
      <c r="L10" s="96" t="s">
        <v>107</v>
      </c>
      <c r="M10" s="96" t="s">
        <v>104</v>
      </c>
      <c r="N10" s="74">
        <v>1</v>
      </c>
      <c r="O10" s="77">
        <v>6.9444444444444447E-4</v>
      </c>
    </row>
    <row r="11" spans="1:15" ht="54" customHeight="1" thickTop="1" thickBot="1">
      <c r="A11" s="72"/>
      <c r="B11" s="73" t="s">
        <v>11</v>
      </c>
      <c r="C11" s="74" t="s">
        <v>610</v>
      </c>
      <c r="D11" s="74" t="s">
        <v>114</v>
      </c>
      <c r="E11" s="75" t="s">
        <v>12</v>
      </c>
      <c r="F11" s="75" t="s">
        <v>22</v>
      </c>
      <c r="G11" s="74" t="s">
        <v>55</v>
      </c>
      <c r="H11" s="85" t="s">
        <v>55</v>
      </c>
      <c r="I11" s="96" t="s">
        <v>85</v>
      </c>
      <c r="J11" s="96" t="s">
        <v>57</v>
      </c>
      <c r="K11" s="96">
        <v>0</v>
      </c>
      <c r="L11" s="96" t="s">
        <v>115</v>
      </c>
      <c r="M11" s="96" t="s">
        <v>104</v>
      </c>
      <c r="N11" s="74">
        <v>2</v>
      </c>
      <c r="O11" s="77">
        <v>45.042187499999997</v>
      </c>
    </row>
    <row r="12" spans="1:15" ht="54" customHeight="1" thickTop="1" thickBot="1">
      <c r="A12" s="72"/>
      <c r="B12" s="73" t="s">
        <v>11</v>
      </c>
      <c r="C12" s="74" t="s">
        <v>611</v>
      </c>
      <c r="D12" s="74" t="s">
        <v>111</v>
      </c>
      <c r="E12" s="75" t="s">
        <v>12</v>
      </c>
      <c r="F12" s="75" t="s">
        <v>22</v>
      </c>
      <c r="G12" s="74" t="s">
        <v>55</v>
      </c>
      <c r="H12" s="85" t="s">
        <v>55</v>
      </c>
      <c r="I12" s="96" t="s">
        <v>85</v>
      </c>
      <c r="J12" s="96" t="s">
        <v>57</v>
      </c>
      <c r="K12" s="96">
        <v>0</v>
      </c>
      <c r="L12" s="96" t="s">
        <v>112</v>
      </c>
      <c r="M12" s="96" t="s">
        <v>104</v>
      </c>
      <c r="N12" s="74">
        <v>2</v>
      </c>
      <c r="O12" s="77">
        <v>45.000520833333333</v>
      </c>
    </row>
    <row r="13" spans="1:15" ht="54" customHeight="1" thickTop="1" thickBot="1">
      <c r="A13" s="84"/>
      <c r="B13" s="73" t="s">
        <v>11</v>
      </c>
      <c r="C13" s="74" t="s">
        <v>612</v>
      </c>
      <c r="D13" s="74" t="s">
        <v>117</v>
      </c>
      <c r="E13" s="74" t="s">
        <v>12</v>
      </c>
      <c r="F13" s="74" t="s">
        <v>22</v>
      </c>
      <c r="G13" s="74" t="s">
        <v>126</v>
      </c>
      <c r="H13" s="85" t="s">
        <v>55</v>
      </c>
      <c r="I13" s="96" t="s">
        <v>85</v>
      </c>
      <c r="J13" s="96" t="s">
        <v>57</v>
      </c>
      <c r="K13" s="96">
        <v>0</v>
      </c>
      <c r="L13" s="96" t="s">
        <v>119</v>
      </c>
      <c r="M13" s="96" t="s">
        <v>120</v>
      </c>
      <c r="N13" s="74">
        <v>1</v>
      </c>
      <c r="O13" s="77">
        <v>5.2083333333333333E-4</v>
      </c>
    </row>
    <row r="14" spans="1:15" ht="54" customHeight="1" thickTop="1" thickBot="1">
      <c r="A14" s="84"/>
      <c r="B14" s="78" t="s">
        <v>11</v>
      </c>
      <c r="C14" s="79" t="s">
        <v>613</v>
      </c>
      <c r="D14" s="79" t="s">
        <v>122</v>
      </c>
      <c r="E14" s="79" t="s">
        <v>12</v>
      </c>
      <c r="F14" s="79" t="s">
        <v>22</v>
      </c>
      <c r="G14" s="79" t="s">
        <v>126</v>
      </c>
      <c r="H14" s="86" t="s">
        <v>55</v>
      </c>
      <c r="I14" s="96" t="s">
        <v>85</v>
      </c>
      <c r="J14" s="96" t="s">
        <v>57</v>
      </c>
      <c r="K14" s="96">
        <v>0</v>
      </c>
      <c r="L14" s="96" t="s">
        <v>123</v>
      </c>
      <c r="M14" s="96" t="s">
        <v>120</v>
      </c>
      <c r="N14" s="79">
        <v>2</v>
      </c>
      <c r="O14" s="83">
        <v>6.9444444444444447E-4</v>
      </c>
    </row>
    <row r="15" spans="1:15" ht="54" customHeight="1" thickTop="1" thickBot="1">
      <c r="A15" s="72"/>
      <c r="B15" s="94" t="s">
        <v>14</v>
      </c>
      <c r="C15" s="95" t="s">
        <v>614</v>
      </c>
      <c r="D15" s="95" t="s">
        <v>615</v>
      </c>
      <c r="E15" s="96" t="s">
        <v>12</v>
      </c>
      <c r="F15" s="96" t="s">
        <v>22</v>
      </c>
      <c r="G15" s="96" t="s">
        <v>129</v>
      </c>
      <c r="H15" s="100">
        <v>45697</v>
      </c>
      <c r="I15" s="96" t="s">
        <v>130</v>
      </c>
      <c r="J15" s="96" t="s">
        <v>131</v>
      </c>
      <c r="K15" s="96">
        <v>0</v>
      </c>
      <c r="L15" s="96" t="s">
        <v>132</v>
      </c>
      <c r="M15" s="96" t="s">
        <v>104</v>
      </c>
      <c r="N15" s="95">
        <v>4</v>
      </c>
      <c r="O15" s="98">
        <v>1.736111111111111E-3</v>
      </c>
    </row>
    <row r="16" spans="1:15" ht="54" customHeight="1" thickTop="1" thickBot="1">
      <c r="A16" s="72"/>
      <c r="B16" s="73" t="s">
        <v>14</v>
      </c>
      <c r="C16" s="74" t="s">
        <v>616</v>
      </c>
      <c r="D16" s="74" t="s">
        <v>617</v>
      </c>
      <c r="E16" s="75" t="s">
        <v>12</v>
      </c>
      <c r="F16" s="75" t="s">
        <v>22</v>
      </c>
      <c r="G16" s="75" t="s">
        <v>129</v>
      </c>
      <c r="H16" s="85">
        <v>45709</v>
      </c>
      <c r="I16" s="96" t="s">
        <v>130</v>
      </c>
      <c r="J16" s="96" t="s">
        <v>131</v>
      </c>
      <c r="K16" s="96">
        <v>0</v>
      </c>
      <c r="L16" s="96" t="s">
        <v>132</v>
      </c>
      <c r="M16" s="96" t="s">
        <v>104</v>
      </c>
      <c r="N16" s="74">
        <v>4</v>
      </c>
      <c r="O16" s="77">
        <v>1.736111111111111E-3</v>
      </c>
    </row>
    <row r="17" spans="1:15" ht="54" customHeight="1" thickTop="1" thickBot="1">
      <c r="A17" s="72"/>
      <c r="B17" s="73" t="s">
        <v>14</v>
      </c>
      <c r="C17" s="74" t="s">
        <v>619</v>
      </c>
      <c r="D17" s="74" t="s">
        <v>620</v>
      </c>
      <c r="E17" s="75" t="s">
        <v>12</v>
      </c>
      <c r="F17" s="75" t="s">
        <v>22</v>
      </c>
      <c r="G17" s="75" t="s">
        <v>129</v>
      </c>
      <c r="H17" s="76">
        <v>45697</v>
      </c>
      <c r="I17" s="96" t="s">
        <v>130</v>
      </c>
      <c r="J17" s="96" t="s">
        <v>131</v>
      </c>
      <c r="K17" s="96">
        <v>0</v>
      </c>
      <c r="L17" s="96" t="s">
        <v>132</v>
      </c>
      <c r="M17" s="96" t="s">
        <v>104</v>
      </c>
      <c r="N17" s="74">
        <v>4</v>
      </c>
      <c r="O17" s="77">
        <v>1.736111111111111E-3</v>
      </c>
    </row>
    <row r="18" spans="1:15" ht="54" customHeight="1" thickTop="1" thickBot="1">
      <c r="A18" s="72"/>
      <c r="B18" s="73" t="s">
        <v>14</v>
      </c>
      <c r="C18" s="74" t="s">
        <v>621</v>
      </c>
      <c r="D18" s="74" t="s">
        <v>622</v>
      </c>
      <c r="E18" s="75" t="s">
        <v>12</v>
      </c>
      <c r="F18" s="75" t="s">
        <v>22</v>
      </c>
      <c r="G18" s="75" t="s">
        <v>129</v>
      </c>
      <c r="H18" s="85">
        <v>45709</v>
      </c>
      <c r="I18" s="96" t="s">
        <v>130</v>
      </c>
      <c r="J18" s="96" t="s">
        <v>131</v>
      </c>
      <c r="K18" s="96">
        <v>0</v>
      </c>
      <c r="L18" s="96" t="s">
        <v>132</v>
      </c>
      <c r="M18" s="96" t="s">
        <v>104</v>
      </c>
      <c r="N18" s="74">
        <v>4</v>
      </c>
      <c r="O18" s="77">
        <v>1.736111111111111E-3</v>
      </c>
    </row>
    <row r="19" spans="1:15" ht="54" customHeight="1" thickTop="1" thickBot="1">
      <c r="A19" s="72"/>
      <c r="B19" s="73" t="s">
        <v>14</v>
      </c>
      <c r="C19" s="74" t="s">
        <v>623</v>
      </c>
      <c r="D19" s="74" t="s">
        <v>140</v>
      </c>
      <c r="E19" s="75" t="s">
        <v>12</v>
      </c>
      <c r="F19" s="75" t="s">
        <v>22</v>
      </c>
      <c r="G19" s="75" t="s">
        <v>141</v>
      </c>
      <c r="H19" s="85">
        <v>45701</v>
      </c>
      <c r="I19" s="96" t="s">
        <v>130</v>
      </c>
      <c r="J19" s="96" t="s">
        <v>57</v>
      </c>
      <c r="K19" s="96">
        <v>0</v>
      </c>
      <c r="L19" s="96" t="s">
        <v>142</v>
      </c>
      <c r="M19" s="96" t="s">
        <v>143</v>
      </c>
      <c r="N19" s="74">
        <v>2</v>
      </c>
      <c r="O19" s="77">
        <v>5.2083333333333333E-4</v>
      </c>
    </row>
    <row r="20" spans="1:15" ht="54" customHeight="1" thickTop="1" thickBot="1">
      <c r="A20" s="72"/>
      <c r="B20" s="73" t="s">
        <v>14</v>
      </c>
      <c r="C20" s="74" t="s">
        <v>624</v>
      </c>
      <c r="D20" s="74" t="s">
        <v>140</v>
      </c>
      <c r="E20" s="75" t="s">
        <v>12</v>
      </c>
      <c r="F20" s="75" t="s">
        <v>22</v>
      </c>
      <c r="G20" s="75" t="s">
        <v>141</v>
      </c>
      <c r="H20" s="85">
        <v>45701</v>
      </c>
      <c r="I20" s="96" t="s">
        <v>130</v>
      </c>
      <c r="J20" s="96" t="s">
        <v>57</v>
      </c>
      <c r="K20" s="96">
        <v>0</v>
      </c>
      <c r="L20" s="96" t="s">
        <v>142</v>
      </c>
      <c r="M20" s="96" t="s">
        <v>143</v>
      </c>
      <c r="N20" s="74">
        <v>2</v>
      </c>
      <c r="O20" s="77">
        <v>5.2083333333333333E-4</v>
      </c>
    </row>
    <row r="21" spans="1:15" ht="54" customHeight="1" thickTop="1" thickBot="1">
      <c r="A21" s="72"/>
      <c r="B21" s="73" t="s">
        <v>14</v>
      </c>
      <c r="C21" s="74" t="s">
        <v>625</v>
      </c>
      <c r="D21" s="74" t="s">
        <v>146</v>
      </c>
      <c r="E21" s="75" t="s">
        <v>12</v>
      </c>
      <c r="F21" s="75" t="s">
        <v>22</v>
      </c>
      <c r="G21" s="74" t="s">
        <v>147</v>
      </c>
      <c r="H21" s="85">
        <v>45697</v>
      </c>
      <c r="I21" s="96" t="s">
        <v>130</v>
      </c>
      <c r="J21" s="96" t="s">
        <v>57</v>
      </c>
      <c r="K21" s="96">
        <v>0</v>
      </c>
      <c r="L21" s="96" t="s">
        <v>148</v>
      </c>
      <c r="M21" s="96" t="s">
        <v>143</v>
      </c>
      <c r="N21" s="74">
        <v>1</v>
      </c>
      <c r="O21" s="77">
        <v>2.3148148148148146E-4</v>
      </c>
    </row>
    <row r="22" spans="1:15" ht="54" customHeight="1" thickTop="1" thickBot="1">
      <c r="A22" s="72"/>
      <c r="B22" s="73" t="s">
        <v>14</v>
      </c>
      <c r="C22" s="74" t="s">
        <v>627</v>
      </c>
      <c r="D22" s="74" t="s">
        <v>150</v>
      </c>
      <c r="E22" s="75" t="s">
        <v>12</v>
      </c>
      <c r="F22" s="75" t="s">
        <v>22</v>
      </c>
      <c r="G22" s="74" t="s">
        <v>151</v>
      </c>
      <c r="H22" s="85">
        <v>45701</v>
      </c>
      <c r="I22" s="96" t="s">
        <v>130</v>
      </c>
      <c r="J22" s="96" t="s">
        <v>57</v>
      </c>
      <c r="K22" s="96">
        <v>0</v>
      </c>
      <c r="L22" s="96" t="s">
        <v>152</v>
      </c>
      <c r="M22" s="96" t="s">
        <v>143</v>
      </c>
      <c r="N22" s="74">
        <v>2</v>
      </c>
      <c r="O22" s="77">
        <v>2.3148148148148146E-4</v>
      </c>
    </row>
    <row r="23" spans="1:15" ht="54" customHeight="1" thickTop="1" thickBot="1">
      <c r="A23" s="72"/>
      <c r="B23" s="73" t="s">
        <v>14</v>
      </c>
      <c r="C23" s="74" t="s">
        <v>628</v>
      </c>
      <c r="D23" s="74" t="s">
        <v>484</v>
      </c>
      <c r="E23" s="75" t="s">
        <v>12</v>
      </c>
      <c r="F23" s="75" t="s">
        <v>22</v>
      </c>
      <c r="G23" s="75" t="s">
        <v>129</v>
      </c>
      <c r="H23" s="85">
        <v>45709</v>
      </c>
      <c r="I23" s="96" t="s">
        <v>130</v>
      </c>
      <c r="J23" s="96" t="s">
        <v>131</v>
      </c>
      <c r="K23" s="96">
        <v>0</v>
      </c>
      <c r="L23" s="96" t="s">
        <v>159</v>
      </c>
      <c r="M23" s="96" t="s">
        <v>160</v>
      </c>
      <c r="N23" s="74">
        <v>2</v>
      </c>
      <c r="O23" s="77">
        <v>4.6296296296296293E-4</v>
      </c>
    </row>
    <row r="24" spans="1:15" ht="54" customHeight="1" thickTop="1" thickBot="1">
      <c r="A24" s="72"/>
      <c r="B24" s="73" t="s">
        <v>14</v>
      </c>
      <c r="C24" s="74" t="s">
        <v>629</v>
      </c>
      <c r="D24" s="74" t="s">
        <v>630</v>
      </c>
      <c r="E24" s="75" t="s">
        <v>12</v>
      </c>
      <c r="F24" s="75" t="s">
        <v>22</v>
      </c>
      <c r="G24" s="75" t="s">
        <v>129</v>
      </c>
      <c r="H24" s="85">
        <v>45709</v>
      </c>
      <c r="I24" s="96" t="s">
        <v>130</v>
      </c>
      <c r="J24" s="96" t="s">
        <v>131</v>
      </c>
      <c r="K24" s="96">
        <v>0</v>
      </c>
      <c r="L24" s="96" t="s">
        <v>159</v>
      </c>
      <c r="M24" s="96" t="s">
        <v>160</v>
      </c>
      <c r="N24" s="74">
        <v>2</v>
      </c>
      <c r="O24" s="77">
        <v>4.6296296296296293E-4</v>
      </c>
    </row>
    <row r="25" spans="1:15" ht="54" customHeight="1" thickTop="1" thickBot="1">
      <c r="A25" s="72"/>
      <c r="B25" s="73" t="s">
        <v>14</v>
      </c>
      <c r="C25" s="74" t="s">
        <v>631</v>
      </c>
      <c r="D25" s="74" t="s">
        <v>486</v>
      </c>
      <c r="E25" s="75" t="s">
        <v>12</v>
      </c>
      <c r="F25" s="75" t="s">
        <v>22</v>
      </c>
      <c r="G25" s="75" t="s">
        <v>129</v>
      </c>
      <c r="H25" s="85">
        <v>45709</v>
      </c>
      <c r="I25" s="96" t="s">
        <v>56</v>
      </c>
      <c r="J25" s="96" t="s">
        <v>131</v>
      </c>
      <c r="K25" s="96">
        <v>0</v>
      </c>
      <c r="L25" s="96" t="s">
        <v>159</v>
      </c>
      <c r="M25" s="96" t="s">
        <v>160</v>
      </c>
      <c r="N25" s="74">
        <v>2</v>
      </c>
      <c r="O25" s="77">
        <v>4.6296296296296293E-4</v>
      </c>
    </row>
    <row r="26" spans="1:15" ht="54" customHeight="1" thickTop="1" thickBot="1">
      <c r="A26" s="72"/>
      <c r="B26" s="73" t="s">
        <v>14</v>
      </c>
      <c r="C26" s="74" t="s">
        <v>632</v>
      </c>
      <c r="D26" s="74" t="s">
        <v>633</v>
      </c>
      <c r="E26" s="75" t="s">
        <v>12</v>
      </c>
      <c r="F26" s="75" t="s">
        <v>22</v>
      </c>
      <c r="G26" s="75" t="s">
        <v>129</v>
      </c>
      <c r="H26" s="85">
        <v>45709</v>
      </c>
      <c r="I26" s="96" t="s">
        <v>56</v>
      </c>
      <c r="J26" s="96" t="s">
        <v>131</v>
      </c>
      <c r="K26" s="96">
        <v>0</v>
      </c>
      <c r="L26" s="96" t="s">
        <v>159</v>
      </c>
      <c r="M26" s="96" t="s">
        <v>160</v>
      </c>
      <c r="N26" s="74">
        <v>2</v>
      </c>
      <c r="O26" s="77">
        <v>4.6296296296296293E-4</v>
      </c>
    </row>
    <row r="27" spans="1:15" ht="54" customHeight="1" thickTop="1" thickBot="1">
      <c r="B27" s="109" t="s">
        <v>14</v>
      </c>
      <c r="C27" s="103" t="s">
        <v>634</v>
      </c>
      <c r="D27" s="103" t="s">
        <v>177</v>
      </c>
      <c r="E27" s="110" t="s">
        <v>22</v>
      </c>
      <c r="F27" s="110"/>
      <c r="G27" s="103"/>
      <c r="H27" s="103"/>
      <c r="I27" s="96" t="s">
        <v>56</v>
      </c>
      <c r="J27" s="96" t="s">
        <v>57</v>
      </c>
      <c r="K27" s="96">
        <v>0</v>
      </c>
      <c r="L27" s="96" t="s">
        <v>178</v>
      </c>
      <c r="M27" s="96" t="s">
        <v>143</v>
      </c>
      <c r="N27" s="103">
        <v>2</v>
      </c>
      <c r="O27" s="112">
        <v>6.9444444444444447E-4</v>
      </c>
    </row>
    <row r="28" spans="1:15" ht="54" customHeight="1" thickTop="1" thickBot="1">
      <c r="A28" s="72"/>
      <c r="B28" s="78" t="s">
        <v>14</v>
      </c>
      <c r="C28" s="79" t="s">
        <v>636</v>
      </c>
      <c r="D28" s="79" t="s">
        <v>173</v>
      </c>
      <c r="E28" s="82" t="s">
        <v>12</v>
      </c>
      <c r="F28" s="82" t="s">
        <v>22</v>
      </c>
      <c r="G28" s="79" t="s">
        <v>174</v>
      </c>
      <c r="H28" s="86">
        <v>45708</v>
      </c>
      <c r="I28" s="96" t="s">
        <v>56</v>
      </c>
      <c r="J28" s="96" t="s">
        <v>57</v>
      </c>
      <c r="K28" s="96">
        <v>0</v>
      </c>
      <c r="L28" s="96" t="s">
        <v>175</v>
      </c>
      <c r="M28" s="96" t="s">
        <v>104</v>
      </c>
      <c r="N28" s="79">
        <v>1</v>
      </c>
      <c r="O28" s="83">
        <v>6.9444444444444447E-4</v>
      </c>
    </row>
    <row r="29" spans="1:15" ht="54" customHeight="1">
      <c r="B29" s="104" t="s">
        <v>17</v>
      </c>
      <c r="C29" s="105" t="s">
        <v>638</v>
      </c>
      <c r="D29" s="105" t="s">
        <v>180</v>
      </c>
      <c r="E29" s="106" t="s">
        <v>12</v>
      </c>
      <c r="F29" s="106" t="s">
        <v>22</v>
      </c>
      <c r="G29" s="106" t="s">
        <v>181</v>
      </c>
      <c r="H29" s="118">
        <v>45961</v>
      </c>
      <c r="I29" s="96" t="s">
        <v>56</v>
      </c>
      <c r="J29" s="96" t="s">
        <v>57</v>
      </c>
      <c r="K29" s="96">
        <v>0</v>
      </c>
      <c r="L29" s="96" t="s">
        <v>635</v>
      </c>
      <c r="M29" s="96" t="s">
        <v>183</v>
      </c>
      <c r="N29" s="105">
        <v>2</v>
      </c>
      <c r="O29" s="108">
        <v>1.0416666666666667E-3</v>
      </c>
    </row>
    <row r="30" spans="1:15" ht="54" customHeight="1" thickTop="1" thickBot="1">
      <c r="A30" s="72"/>
      <c r="B30" s="73" t="s">
        <v>17</v>
      </c>
      <c r="C30" s="74" t="s">
        <v>640</v>
      </c>
      <c r="D30" s="74" t="s">
        <v>185</v>
      </c>
      <c r="E30" s="75" t="s">
        <v>12</v>
      </c>
      <c r="F30" s="75" t="s">
        <v>22</v>
      </c>
      <c r="G30" s="74" t="s">
        <v>736</v>
      </c>
      <c r="H30" s="85">
        <v>45702</v>
      </c>
      <c r="I30" s="96" t="s">
        <v>130</v>
      </c>
      <c r="J30" s="96" t="s">
        <v>57</v>
      </c>
      <c r="K30" s="96">
        <v>0</v>
      </c>
      <c r="L30" s="96" t="s">
        <v>187</v>
      </c>
      <c r="M30" s="96" t="s">
        <v>143</v>
      </c>
      <c r="N30" s="74">
        <v>2</v>
      </c>
      <c r="O30" s="77">
        <v>1.5624999999999999E-3</v>
      </c>
    </row>
    <row r="31" spans="1:15" ht="54" customHeight="1" thickTop="1" thickBot="1">
      <c r="A31" s="72"/>
      <c r="B31" s="73" t="s">
        <v>17</v>
      </c>
      <c r="C31" s="74" t="s">
        <v>643</v>
      </c>
      <c r="D31" s="74" t="s">
        <v>644</v>
      </c>
      <c r="E31" s="75" t="s">
        <v>12</v>
      </c>
      <c r="F31" s="75" t="s">
        <v>22</v>
      </c>
      <c r="G31" s="74" t="s">
        <v>736</v>
      </c>
      <c r="H31" s="85">
        <v>45702</v>
      </c>
      <c r="I31" s="96" t="s">
        <v>130</v>
      </c>
      <c r="J31" s="96" t="s">
        <v>131</v>
      </c>
      <c r="K31" s="96">
        <v>0</v>
      </c>
      <c r="L31" s="96" t="s">
        <v>639</v>
      </c>
      <c r="M31" s="96" t="s">
        <v>143</v>
      </c>
      <c r="N31" s="74">
        <v>2</v>
      </c>
      <c r="O31" s="77">
        <v>5.2083333333333333E-4</v>
      </c>
    </row>
    <row r="32" spans="1:15" ht="54" customHeight="1" thickTop="1" thickBot="1">
      <c r="A32" s="72"/>
      <c r="B32" s="73" t="s">
        <v>17</v>
      </c>
      <c r="C32" s="74" t="s">
        <v>646</v>
      </c>
      <c r="D32" s="74" t="s">
        <v>647</v>
      </c>
      <c r="E32" s="75" t="s">
        <v>12</v>
      </c>
      <c r="F32" s="75" t="s">
        <v>22</v>
      </c>
      <c r="G32" s="74" t="s">
        <v>147</v>
      </c>
      <c r="H32" s="85">
        <v>45697</v>
      </c>
      <c r="I32" s="96" t="s">
        <v>130</v>
      </c>
      <c r="J32" s="96" t="s">
        <v>57</v>
      </c>
      <c r="K32" s="96">
        <v>0</v>
      </c>
      <c r="L32" s="96" t="s">
        <v>642</v>
      </c>
      <c r="M32" s="96" t="s">
        <v>143</v>
      </c>
      <c r="N32" s="74">
        <v>2</v>
      </c>
      <c r="O32" s="77">
        <v>6.9444444444444447E-4</v>
      </c>
    </row>
    <row r="33" spans="1:15" ht="54" customHeight="1" thickTop="1" thickBot="1">
      <c r="A33" s="72"/>
      <c r="B33" s="73" t="s">
        <v>17</v>
      </c>
      <c r="C33" s="74" t="s">
        <v>648</v>
      </c>
      <c r="D33" s="74" t="s">
        <v>649</v>
      </c>
      <c r="E33" s="75" t="s">
        <v>12</v>
      </c>
      <c r="F33" s="75" t="s">
        <v>22</v>
      </c>
      <c r="G33" s="74" t="s">
        <v>147</v>
      </c>
      <c r="H33" s="85">
        <v>45697</v>
      </c>
      <c r="I33" s="96" t="s">
        <v>130</v>
      </c>
      <c r="J33" s="96" t="s">
        <v>57</v>
      </c>
      <c r="K33" s="96">
        <v>0</v>
      </c>
      <c r="L33" s="96" t="s">
        <v>190</v>
      </c>
      <c r="M33" s="96" t="s">
        <v>143</v>
      </c>
      <c r="N33" s="74">
        <v>2</v>
      </c>
      <c r="O33" s="77">
        <v>6.9444444444444447E-4</v>
      </c>
    </row>
    <row r="34" spans="1:15" ht="54" customHeight="1" thickTop="1" thickBot="1">
      <c r="A34" s="72"/>
      <c r="B34" s="73" t="s">
        <v>17</v>
      </c>
      <c r="C34" s="74" t="s">
        <v>651</v>
      </c>
      <c r="D34" s="74" t="s">
        <v>203</v>
      </c>
      <c r="E34" s="75" t="s">
        <v>12</v>
      </c>
      <c r="F34" s="75" t="s">
        <v>22</v>
      </c>
      <c r="G34" s="74" t="s">
        <v>204</v>
      </c>
      <c r="H34" s="85">
        <v>45699</v>
      </c>
      <c r="I34" s="96" t="s">
        <v>130</v>
      </c>
      <c r="J34" s="96" t="s">
        <v>131</v>
      </c>
      <c r="K34" s="96">
        <v>0</v>
      </c>
      <c r="L34" s="96" t="s">
        <v>205</v>
      </c>
      <c r="M34" s="96" t="s">
        <v>201</v>
      </c>
      <c r="N34" s="74">
        <v>1</v>
      </c>
      <c r="O34" s="77">
        <v>3.4722222222222224E-4</v>
      </c>
    </row>
    <row r="35" spans="1:15" ht="54" customHeight="1" thickTop="1" thickBot="1">
      <c r="A35" s="72"/>
      <c r="B35" s="73" t="s">
        <v>17</v>
      </c>
      <c r="C35" s="74" t="s">
        <v>652</v>
      </c>
      <c r="D35" s="74" t="s">
        <v>203</v>
      </c>
      <c r="E35" s="75" t="s">
        <v>12</v>
      </c>
      <c r="F35" s="75" t="s">
        <v>22</v>
      </c>
      <c r="G35" s="74" t="s">
        <v>204</v>
      </c>
      <c r="H35" s="85">
        <v>45699</v>
      </c>
      <c r="I35" s="96" t="s">
        <v>130</v>
      </c>
      <c r="J35" s="96" t="s">
        <v>131</v>
      </c>
      <c r="K35" s="96">
        <v>0</v>
      </c>
      <c r="L35" s="96" t="s">
        <v>205</v>
      </c>
      <c r="M35" s="96" t="s">
        <v>201</v>
      </c>
      <c r="N35" s="74">
        <v>1</v>
      </c>
      <c r="O35" s="77">
        <v>3.4722222222222224E-4</v>
      </c>
    </row>
    <row r="36" spans="1:15" ht="54" customHeight="1" thickTop="1" thickBot="1">
      <c r="A36" s="72"/>
      <c r="B36" s="73" t="s">
        <v>17</v>
      </c>
      <c r="C36" s="74" t="s">
        <v>653</v>
      </c>
      <c r="D36" s="74" t="s">
        <v>208</v>
      </c>
      <c r="E36" s="75" t="s">
        <v>12</v>
      </c>
      <c r="F36" s="75" t="s">
        <v>22</v>
      </c>
      <c r="G36" s="74" t="s">
        <v>278</v>
      </c>
      <c r="H36" s="85">
        <v>45699</v>
      </c>
      <c r="I36" s="96" t="s">
        <v>85</v>
      </c>
      <c r="J36" s="96" t="s">
        <v>131</v>
      </c>
      <c r="K36" s="96">
        <v>0</v>
      </c>
      <c r="L36" s="96" t="s">
        <v>210</v>
      </c>
      <c r="M36" s="96" t="s">
        <v>211</v>
      </c>
      <c r="N36" s="74">
        <v>1</v>
      </c>
      <c r="O36" s="77">
        <v>3.4722222222222224E-4</v>
      </c>
    </row>
    <row r="37" spans="1:15" ht="54" customHeight="1" thickTop="1" thickBot="1">
      <c r="A37" s="72"/>
      <c r="B37" s="73" t="s">
        <v>17</v>
      </c>
      <c r="C37" s="74" t="s">
        <v>654</v>
      </c>
      <c r="D37" s="74" t="s">
        <v>213</v>
      </c>
      <c r="E37" s="75" t="s">
        <v>12</v>
      </c>
      <c r="F37" s="75" t="s">
        <v>22</v>
      </c>
      <c r="G37" s="74" t="s">
        <v>737</v>
      </c>
      <c r="H37" s="85">
        <v>45699</v>
      </c>
      <c r="I37" s="96" t="s">
        <v>130</v>
      </c>
      <c r="J37" s="96" t="s">
        <v>131</v>
      </c>
      <c r="K37" s="96">
        <v>0</v>
      </c>
      <c r="L37" s="96" t="s">
        <v>215</v>
      </c>
      <c r="M37" s="96" t="s">
        <v>201</v>
      </c>
      <c r="N37" s="74">
        <v>1</v>
      </c>
      <c r="O37" s="77">
        <v>5.7870370370370378E-4</v>
      </c>
    </row>
    <row r="38" spans="1:15" ht="54" customHeight="1" thickTop="1" thickBot="1">
      <c r="A38" s="72"/>
      <c r="B38" s="73" t="s">
        <v>17</v>
      </c>
      <c r="C38" s="74" t="s">
        <v>656</v>
      </c>
      <c r="D38" s="74" t="s">
        <v>217</v>
      </c>
      <c r="E38" s="75" t="s">
        <v>12</v>
      </c>
      <c r="F38" s="75" t="s">
        <v>22</v>
      </c>
      <c r="G38" s="74" t="s">
        <v>218</v>
      </c>
      <c r="H38" s="85">
        <v>45699</v>
      </c>
      <c r="I38" s="96" t="s">
        <v>130</v>
      </c>
      <c r="J38" s="96" t="s">
        <v>131</v>
      </c>
      <c r="K38" s="96">
        <v>0</v>
      </c>
      <c r="L38" s="96" t="s">
        <v>219</v>
      </c>
      <c r="M38" s="96" t="s">
        <v>201</v>
      </c>
      <c r="N38" s="74">
        <v>2</v>
      </c>
      <c r="O38" s="77">
        <v>6.9444444444444447E-4</v>
      </c>
    </row>
    <row r="39" spans="1:15" ht="54" customHeight="1" thickTop="1" thickBot="1">
      <c r="A39" s="72"/>
      <c r="B39" s="73" t="s">
        <v>17</v>
      </c>
      <c r="C39" s="74" t="s">
        <v>657</v>
      </c>
      <c r="D39" s="74" t="s">
        <v>221</v>
      </c>
      <c r="E39" s="75" t="s">
        <v>12</v>
      </c>
      <c r="F39" s="75" t="s">
        <v>22</v>
      </c>
      <c r="G39" s="74" t="s">
        <v>222</v>
      </c>
      <c r="H39" s="85">
        <v>45698</v>
      </c>
      <c r="I39" s="96" t="s">
        <v>130</v>
      </c>
      <c r="J39" s="96" t="s">
        <v>131</v>
      </c>
      <c r="K39" s="96">
        <v>0</v>
      </c>
      <c r="L39" s="96" t="s">
        <v>223</v>
      </c>
      <c r="M39" s="96" t="s">
        <v>201</v>
      </c>
      <c r="N39" s="74">
        <v>1</v>
      </c>
      <c r="O39" s="77">
        <v>3.4722222222222224E-4</v>
      </c>
    </row>
    <row r="40" spans="1:15" ht="54" customHeight="1" thickTop="1" thickBot="1">
      <c r="A40" s="72"/>
      <c r="B40" s="73" t="s">
        <v>17</v>
      </c>
      <c r="C40" s="74" t="s">
        <v>658</v>
      </c>
      <c r="D40" s="74" t="s">
        <v>225</v>
      </c>
      <c r="E40" s="75" t="s">
        <v>12</v>
      </c>
      <c r="F40" s="75" t="s">
        <v>22</v>
      </c>
      <c r="G40" s="74" t="s">
        <v>218</v>
      </c>
      <c r="H40" s="85">
        <v>45699</v>
      </c>
      <c r="I40" s="96" t="s">
        <v>130</v>
      </c>
      <c r="J40" s="96" t="s">
        <v>57</v>
      </c>
      <c r="K40" s="96">
        <v>0</v>
      </c>
      <c r="L40" s="96" t="s">
        <v>215</v>
      </c>
      <c r="M40" s="96" t="s">
        <v>201</v>
      </c>
      <c r="N40" s="74">
        <v>1</v>
      </c>
      <c r="O40" s="77">
        <v>1.0416666666666667E-3</v>
      </c>
    </row>
    <row r="41" spans="1:15" ht="54" customHeight="1" thickTop="1" thickBot="1">
      <c r="A41" s="72"/>
      <c r="B41" s="73" t="s">
        <v>17</v>
      </c>
      <c r="C41" s="74" t="s">
        <v>659</v>
      </c>
      <c r="D41" s="74" t="s">
        <v>227</v>
      </c>
      <c r="E41" s="75" t="s">
        <v>12</v>
      </c>
      <c r="F41" s="75" t="s">
        <v>22</v>
      </c>
      <c r="G41" s="74" t="s">
        <v>228</v>
      </c>
      <c r="H41" s="85">
        <v>45698</v>
      </c>
      <c r="I41" s="96" t="s">
        <v>56</v>
      </c>
      <c r="J41" s="96" t="s">
        <v>131</v>
      </c>
      <c r="K41" s="96">
        <v>0</v>
      </c>
      <c r="L41" s="96" t="s">
        <v>229</v>
      </c>
      <c r="M41" s="96" t="s">
        <v>201</v>
      </c>
      <c r="N41" s="74">
        <v>1</v>
      </c>
      <c r="O41" s="77">
        <v>1.1574074074074073E-4</v>
      </c>
    </row>
    <row r="42" spans="1:15" ht="54" customHeight="1" thickTop="1" thickBot="1">
      <c r="A42" s="72"/>
      <c r="B42" s="73" t="s">
        <v>17</v>
      </c>
      <c r="C42" s="74" t="s">
        <v>660</v>
      </c>
      <c r="D42" s="74" t="s">
        <v>231</v>
      </c>
      <c r="E42" s="75" t="s">
        <v>12</v>
      </c>
      <c r="F42" s="75" t="s">
        <v>22</v>
      </c>
      <c r="G42" s="74" t="s">
        <v>232</v>
      </c>
      <c r="H42" s="85">
        <v>45698</v>
      </c>
      <c r="I42" s="96" t="s">
        <v>130</v>
      </c>
      <c r="J42" s="96" t="s">
        <v>131</v>
      </c>
      <c r="K42" s="96">
        <v>0</v>
      </c>
      <c r="L42" s="96" t="s">
        <v>233</v>
      </c>
      <c r="M42" s="96" t="s">
        <v>234</v>
      </c>
      <c r="N42" s="74">
        <v>2</v>
      </c>
      <c r="O42" s="77">
        <v>3.4722222222222224E-4</v>
      </c>
    </row>
    <row r="43" spans="1:15" ht="54" customHeight="1" thickTop="1" thickBot="1">
      <c r="A43" s="72"/>
      <c r="B43" s="73" t="s">
        <v>17</v>
      </c>
      <c r="C43" s="74" t="s">
        <v>661</v>
      </c>
      <c r="D43" s="74" t="s">
        <v>240</v>
      </c>
      <c r="E43" s="75" t="s">
        <v>12</v>
      </c>
      <c r="F43" s="75" t="s">
        <v>22</v>
      </c>
      <c r="G43" s="74" t="s">
        <v>241</v>
      </c>
      <c r="H43" s="85">
        <v>45699</v>
      </c>
      <c r="I43" s="96" t="s">
        <v>130</v>
      </c>
      <c r="J43" s="96" t="s">
        <v>131</v>
      </c>
      <c r="K43" s="96">
        <v>0</v>
      </c>
      <c r="L43" s="96" t="s">
        <v>242</v>
      </c>
      <c r="M43" s="96" t="s">
        <v>201</v>
      </c>
      <c r="N43" s="74">
        <v>1</v>
      </c>
      <c r="O43" s="77">
        <v>6.9444444444444447E-4</v>
      </c>
    </row>
    <row r="44" spans="1:15" ht="54" customHeight="1" thickTop="1" thickBot="1">
      <c r="A44" s="72"/>
      <c r="B44" s="73" t="s">
        <v>17</v>
      </c>
      <c r="C44" s="74" t="s">
        <v>663</v>
      </c>
      <c r="D44" s="74" t="s">
        <v>664</v>
      </c>
      <c r="E44" s="75" t="s">
        <v>12</v>
      </c>
      <c r="F44" s="75" t="s">
        <v>22</v>
      </c>
      <c r="G44" s="74" t="s">
        <v>738</v>
      </c>
      <c r="H44" s="85">
        <v>45698</v>
      </c>
      <c r="I44" s="96" t="s">
        <v>130</v>
      </c>
      <c r="J44" s="96" t="s">
        <v>131</v>
      </c>
      <c r="K44" s="96">
        <v>0</v>
      </c>
      <c r="L44" s="96" t="s">
        <v>739</v>
      </c>
      <c r="M44" s="96" t="s">
        <v>234</v>
      </c>
      <c r="N44" s="74">
        <v>1</v>
      </c>
      <c r="O44" s="77">
        <v>6.9444444444444447E-4</v>
      </c>
    </row>
    <row r="45" spans="1:15" ht="54" customHeight="1" thickTop="1" thickBot="1">
      <c r="A45" s="72"/>
      <c r="B45" s="73" t="s">
        <v>17</v>
      </c>
      <c r="C45" s="74" t="s">
        <v>665</v>
      </c>
      <c r="D45" s="74" t="s">
        <v>666</v>
      </c>
      <c r="E45" s="75" t="s">
        <v>12</v>
      </c>
      <c r="F45" s="75" t="s">
        <v>22</v>
      </c>
      <c r="G45" s="74" t="s">
        <v>667</v>
      </c>
      <c r="H45" s="85">
        <v>45698</v>
      </c>
      <c r="I45" s="96" t="s">
        <v>130</v>
      </c>
      <c r="J45" s="96" t="s">
        <v>131</v>
      </c>
      <c r="K45" s="96">
        <v>0</v>
      </c>
      <c r="L45" s="96" t="s">
        <v>662</v>
      </c>
      <c r="M45" s="96" t="s">
        <v>201</v>
      </c>
      <c r="N45" s="74">
        <v>2</v>
      </c>
      <c r="O45" s="77">
        <v>3.4722222222222224E-4</v>
      </c>
    </row>
    <row r="46" spans="1:15" ht="54" customHeight="1" thickTop="1" thickBot="1">
      <c r="A46" s="72"/>
      <c r="B46" s="73" t="s">
        <v>17</v>
      </c>
      <c r="C46" s="74" t="s">
        <v>668</v>
      </c>
      <c r="D46" s="74" t="s">
        <v>262</v>
      </c>
      <c r="E46" s="75" t="s">
        <v>12</v>
      </c>
      <c r="F46" s="75" t="s">
        <v>22</v>
      </c>
      <c r="G46" s="74" t="s">
        <v>263</v>
      </c>
      <c r="H46" s="85">
        <v>45698</v>
      </c>
      <c r="I46" s="96" t="s">
        <v>130</v>
      </c>
      <c r="J46" s="96" t="s">
        <v>131</v>
      </c>
      <c r="K46" s="96">
        <v>0</v>
      </c>
      <c r="L46" s="96" t="s">
        <v>264</v>
      </c>
      <c r="M46" s="96" t="s">
        <v>201</v>
      </c>
      <c r="N46" s="74">
        <v>1</v>
      </c>
      <c r="O46" s="77">
        <v>3.4722222222222224E-4</v>
      </c>
    </row>
    <row r="47" spans="1:15" ht="54" customHeight="1" thickTop="1" thickBot="1">
      <c r="A47" s="72"/>
      <c r="B47" s="73" t="s">
        <v>17</v>
      </c>
      <c r="C47" s="74" t="s">
        <v>669</v>
      </c>
      <c r="D47" s="74" t="s">
        <v>266</v>
      </c>
      <c r="E47" s="75" t="s">
        <v>12</v>
      </c>
      <c r="F47" s="75" t="s">
        <v>22</v>
      </c>
      <c r="G47" s="74" t="s">
        <v>267</v>
      </c>
      <c r="H47" s="85">
        <v>45698</v>
      </c>
      <c r="I47" s="96" t="s">
        <v>56</v>
      </c>
      <c r="J47" s="96" t="s">
        <v>131</v>
      </c>
      <c r="K47" s="96">
        <v>0</v>
      </c>
      <c r="L47" s="96" t="s">
        <v>268</v>
      </c>
      <c r="M47" s="96" t="s">
        <v>201</v>
      </c>
      <c r="N47" s="74">
        <v>1</v>
      </c>
      <c r="O47" s="77">
        <v>3.4722222222222224E-4</v>
      </c>
    </row>
    <row r="48" spans="1:15" ht="54" customHeight="1" thickTop="1" thickBot="1">
      <c r="A48" s="72"/>
      <c r="B48" s="73" t="s">
        <v>17</v>
      </c>
      <c r="C48" s="74" t="s">
        <v>670</v>
      </c>
      <c r="D48" s="74" t="s">
        <v>671</v>
      </c>
      <c r="E48" s="75" t="s">
        <v>12</v>
      </c>
      <c r="F48" s="75" t="s">
        <v>22</v>
      </c>
      <c r="G48" s="74" t="s">
        <v>672</v>
      </c>
      <c r="H48" s="85">
        <v>45698</v>
      </c>
      <c r="I48" s="96" t="s">
        <v>56</v>
      </c>
      <c r="J48" s="96" t="s">
        <v>131</v>
      </c>
      <c r="K48" s="96">
        <v>0</v>
      </c>
      <c r="L48" s="96" t="s">
        <v>272</v>
      </c>
      <c r="M48" s="96" t="s">
        <v>201</v>
      </c>
      <c r="N48" s="74">
        <v>1</v>
      </c>
      <c r="O48" s="77">
        <v>3.4722222222222224E-4</v>
      </c>
    </row>
    <row r="49" spans="1:15" ht="54" customHeight="1" thickTop="1" thickBot="1">
      <c r="A49" s="72"/>
      <c r="B49" s="73" t="s">
        <v>17</v>
      </c>
      <c r="C49" s="74" t="s">
        <v>673</v>
      </c>
      <c r="D49" s="74" t="s">
        <v>519</v>
      </c>
      <c r="E49" s="75" t="s">
        <v>12</v>
      </c>
      <c r="F49" s="75" t="s">
        <v>22</v>
      </c>
      <c r="G49" s="74" t="s">
        <v>278</v>
      </c>
      <c r="H49" s="85">
        <v>45699</v>
      </c>
      <c r="I49" s="96" t="s">
        <v>85</v>
      </c>
      <c r="J49" s="96" t="s">
        <v>131</v>
      </c>
      <c r="K49" s="96">
        <v>0</v>
      </c>
      <c r="L49" s="96" t="s">
        <v>279</v>
      </c>
      <c r="M49" s="96" t="s">
        <v>211</v>
      </c>
      <c r="N49" s="74">
        <v>1</v>
      </c>
      <c r="O49" s="77">
        <v>3.4722222222222224E-4</v>
      </c>
    </row>
    <row r="50" spans="1:15" ht="54" customHeight="1" thickTop="1" thickBot="1">
      <c r="A50" s="72"/>
      <c r="B50" s="73" t="s">
        <v>17</v>
      </c>
      <c r="C50" s="74" t="s">
        <v>674</v>
      </c>
      <c r="D50" s="74" t="s">
        <v>281</v>
      </c>
      <c r="E50" s="75" t="s">
        <v>12</v>
      </c>
      <c r="F50" s="75" t="s">
        <v>22</v>
      </c>
      <c r="G50" s="74" t="s">
        <v>278</v>
      </c>
      <c r="H50" s="85">
        <v>45699</v>
      </c>
      <c r="I50" s="96" t="s">
        <v>85</v>
      </c>
      <c r="J50" s="96" t="s">
        <v>131</v>
      </c>
      <c r="K50" s="96">
        <v>0</v>
      </c>
      <c r="L50" s="96" t="s">
        <v>282</v>
      </c>
      <c r="M50" s="96" t="s">
        <v>211</v>
      </c>
      <c r="N50" s="74">
        <v>1</v>
      </c>
      <c r="O50" s="77">
        <v>5.2083333333333333E-4</v>
      </c>
    </row>
    <row r="51" spans="1:15" ht="54" customHeight="1" thickTop="1" thickBot="1">
      <c r="A51" s="72"/>
      <c r="B51" s="73" t="s">
        <v>17</v>
      </c>
      <c r="C51" s="74" t="s">
        <v>675</v>
      </c>
      <c r="D51" s="74" t="s">
        <v>676</v>
      </c>
      <c r="E51" s="75" t="s">
        <v>12</v>
      </c>
      <c r="F51" s="75" t="s">
        <v>22</v>
      </c>
      <c r="G51" s="74" t="s">
        <v>278</v>
      </c>
      <c r="H51" s="85">
        <v>45699</v>
      </c>
      <c r="I51" s="96" t="s">
        <v>85</v>
      </c>
      <c r="J51" s="96" t="s">
        <v>131</v>
      </c>
      <c r="K51" s="96">
        <v>0</v>
      </c>
      <c r="L51" s="96" t="s">
        <v>285</v>
      </c>
      <c r="M51" s="96" t="s">
        <v>211</v>
      </c>
      <c r="N51" s="74">
        <v>1</v>
      </c>
      <c r="O51" s="77">
        <v>6.9444444444444447E-4</v>
      </c>
    </row>
    <row r="52" spans="1:15" ht="54" customHeight="1" thickTop="1" thickBot="1">
      <c r="A52" s="72"/>
      <c r="B52" s="73" t="s">
        <v>17</v>
      </c>
      <c r="C52" s="74" t="s">
        <v>677</v>
      </c>
      <c r="D52" s="74" t="s">
        <v>287</v>
      </c>
      <c r="E52" s="75" t="s">
        <v>12</v>
      </c>
      <c r="F52" s="75" t="s">
        <v>22</v>
      </c>
      <c r="G52" s="75" t="s">
        <v>288</v>
      </c>
      <c r="H52" s="76">
        <v>45698</v>
      </c>
      <c r="I52" s="96" t="s">
        <v>56</v>
      </c>
      <c r="J52" s="96" t="s">
        <v>131</v>
      </c>
      <c r="K52" s="96">
        <v>0</v>
      </c>
      <c r="L52" s="96" t="s">
        <v>289</v>
      </c>
      <c r="M52" s="96" t="s">
        <v>201</v>
      </c>
      <c r="N52" s="74">
        <v>1</v>
      </c>
      <c r="O52" s="77">
        <v>3.4722222222222224E-4</v>
      </c>
    </row>
    <row r="53" spans="1:15" ht="54" customHeight="1" thickTop="1" thickBot="1">
      <c r="A53" s="72"/>
      <c r="B53" s="73" t="s">
        <v>17</v>
      </c>
      <c r="C53" s="74" t="s">
        <v>678</v>
      </c>
      <c r="D53" s="74" t="s">
        <v>291</v>
      </c>
      <c r="E53" s="75" t="s">
        <v>12</v>
      </c>
      <c r="F53" s="75" t="s">
        <v>22</v>
      </c>
      <c r="G53" s="74" t="s">
        <v>740</v>
      </c>
      <c r="H53" s="85">
        <v>45698</v>
      </c>
      <c r="I53" s="96" t="s">
        <v>130</v>
      </c>
      <c r="J53" s="96" t="s">
        <v>131</v>
      </c>
      <c r="K53" s="96">
        <v>0</v>
      </c>
      <c r="L53" s="96" t="s">
        <v>293</v>
      </c>
      <c r="M53" s="96" t="s">
        <v>201</v>
      </c>
      <c r="N53" s="74">
        <v>1</v>
      </c>
      <c r="O53" s="77">
        <v>6.9444444444444447E-4</v>
      </c>
    </row>
    <row r="54" spans="1:15" ht="54" customHeight="1" thickTop="1" thickBot="1">
      <c r="A54" s="72"/>
      <c r="B54" s="73" t="s">
        <v>17</v>
      </c>
      <c r="C54" s="74" t="s">
        <v>679</v>
      </c>
      <c r="D54" s="74" t="s">
        <v>295</v>
      </c>
      <c r="E54" s="75" t="s">
        <v>12</v>
      </c>
      <c r="F54" s="75" t="s">
        <v>22</v>
      </c>
      <c r="G54" s="74" t="s">
        <v>740</v>
      </c>
      <c r="H54" s="85">
        <v>45698</v>
      </c>
      <c r="I54" s="96" t="s">
        <v>130</v>
      </c>
      <c r="J54" s="96" t="s">
        <v>131</v>
      </c>
      <c r="K54" s="96">
        <v>0</v>
      </c>
      <c r="L54" s="96" t="s">
        <v>296</v>
      </c>
      <c r="M54" s="96" t="s">
        <v>201</v>
      </c>
      <c r="N54" s="74">
        <v>1</v>
      </c>
      <c r="O54" s="77">
        <v>3.4722222222222224E-4</v>
      </c>
    </row>
    <row r="55" spans="1:15" ht="54" customHeight="1" thickTop="1" thickBot="1">
      <c r="A55" s="72"/>
      <c r="B55" s="73" t="s">
        <v>17</v>
      </c>
      <c r="C55" s="74" t="s">
        <v>680</v>
      </c>
      <c r="D55" s="74" t="s">
        <v>298</v>
      </c>
      <c r="E55" s="75" t="s">
        <v>12</v>
      </c>
      <c r="F55" s="75" t="s">
        <v>22</v>
      </c>
      <c r="G55" s="74" t="s">
        <v>740</v>
      </c>
      <c r="H55" s="85">
        <v>45698</v>
      </c>
      <c r="I55" s="96" t="s">
        <v>130</v>
      </c>
      <c r="J55" s="96" t="s">
        <v>131</v>
      </c>
      <c r="K55" s="96">
        <v>0</v>
      </c>
      <c r="L55" s="96" t="s">
        <v>296</v>
      </c>
      <c r="M55" s="96" t="s">
        <v>201</v>
      </c>
      <c r="N55" s="74">
        <v>1</v>
      </c>
      <c r="O55" s="77">
        <v>3.4722222222222224E-4</v>
      </c>
    </row>
    <row r="56" spans="1:15" ht="54" customHeight="1" thickTop="1" thickBot="1">
      <c r="A56" s="72"/>
      <c r="B56" s="73" t="s">
        <v>17</v>
      </c>
      <c r="C56" s="74" t="s">
        <v>653</v>
      </c>
      <c r="D56" s="74" t="s">
        <v>681</v>
      </c>
      <c r="E56" s="75" t="s">
        <v>12</v>
      </c>
      <c r="F56" s="75" t="s">
        <v>22</v>
      </c>
      <c r="G56" s="74" t="s">
        <v>278</v>
      </c>
      <c r="H56" s="85">
        <v>45699</v>
      </c>
      <c r="I56" s="96" t="s">
        <v>85</v>
      </c>
      <c r="J56" s="96" t="s">
        <v>131</v>
      </c>
      <c r="K56" s="96">
        <v>0</v>
      </c>
      <c r="L56" s="96" t="s">
        <v>210</v>
      </c>
      <c r="M56" s="96" t="s">
        <v>211</v>
      </c>
      <c r="N56" s="74">
        <v>1</v>
      </c>
      <c r="O56" s="77">
        <v>3.4722222222222224E-4</v>
      </c>
    </row>
    <row r="57" spans="1:15" ht="54" customHeight="1" thickTop="1" thickBot="1">
      <c r="A57" s="72"/>
      <c r="B57" s="73" t="s">
        <v>17</v>
      </c>
      <c r="C57" s="74" t="s">
        <v>682</v>
      </c>
      <c r="D57" s="74" t="s">
        <v>683</v>
      </c>
      <c r="E57" s="75" t="s">
        <v>12</v>
      </c>
      <c r="F57" s="75" t="s">
        <v>22</v>
      </c>
      <c r="G57" s="75" t="s">
        <v>308</v>
      </c>
      <c r="H57" s="76">
        <v>45698</v>
      </c>
      <c r="I57" s="96" t="s">
        <v>56</v>
      </c>
      <c r="J57" s="96" t="s">
        <v>131</v>
      </c>
      <c r="K57" s="96">
        <v>0</v>
      </c>
      <c r="L57" s="96" t="s">
        <v>309</v>
      </c>
      <c r="M57" s="96" t="s">
        <v>201</v>
      </c>
      <c r="N57" s="74">
        <v>1</v>
      </c>
      <c r="O57" s="77">
        <v>8.6805555555555551E-4</v>
      </c>
    </row>
    <row r="58" spans="1:15" ht="54" customHeight="1" thickTop="1" thickBot="1">
      <c r="A58" s="72"/>
      <c r="B58" s="73" t="s">
        <v>17</v>
      </c>
      <c r="C58" s="74" t="s">
        <v>685</v>
      </c>
      <c r="D58" s="74" t="s">
        <v>311</v>
      </c>
      <c r="E58" s="75" t="s">
        <v>12</v>
      </c>
      <c r="F58" s="75" t="s">
        <v>22</v>
      </c>
      <c r="G58" s="74" t="s">
        <v>741</v>
      </c>
      <c r="H58" s="85">
        <v>45698</v>
      </c>
      <c r="I58" s="96" t="s">
        <v>130</v>
      </c>
      <c r="J58" s="96" t="s">
        <v>131</v>
      </c>
      <c r="K58" s="96">
        <v>0</v>
      </c>
      <c r="L58" s="96" t="s">
        <v>313</v>
      </c>
      <c r="M58" s="96" t="s">
        <v>201</v>
      </c>
      <c r="N58" s="74">
        <v>1</v>
      </c>
      <c r="O58" s="77">
        <v>6.9444444444444447E-4</v>
      </c>
    </row>
    <row r="59" spans="1:15" ht="54" customHeight="1" thickTop="1" thickBot="1">
      <c r="A59" s="72"/>
      <c r="B59" s="73" t="s">
        <v>17</v>
      </c>
      <c r="C59" s="74" t="s">
        <v>686</v>
      </c>
      <c r="D59" s="74" t="s">
        <v>318</v>
      </c>
      <c r="E59" s="75" t="s">
        <v>12</v>
      </c>
      <c r="F59" s="75" t="s">
        <v>22</v>
      </c>
      <c r="G59" s="74" t="s">
        <v>741</v>
      </c>
      <c r="H59" s="85">
        <v>45698</v>
      </c>
      <c r="I59" s="96" t="s">
        <v>130</v>
      </c>
      <c r="J59" s="96" t="s">
        <v>131</v>
      </c>
      <c r="K59" s="96">
        <v>0</v>
      </c>
      <c r="L59" s="96" t="s">
        <v>313</v>
      </c>
      <c r="M59" s="96" t="s">
        <v>201</v>
      </c>
      <c r="N59" s="74">
        <v>1</v>
      </c>
      <c r="O59" s="77">
        <v>6.9444444444444447E-4</v>
      </c>
    </row>
    <row r="60" spans="1:15" ht="54" customHeight="1" thickTop="1" thickBot="1">
      <c r="B60" s="109" t="s">
        <v>17</v>
      </c>
      <c r="C60" s="103" t="s">
        <v>688</v>
      </c>
      <c r="D60" s="103" t="s">
        <v>689</v>
      </c>
      <c r="E60" s="110" t="s">
        <v>22</v>
      </c>
      <c r="F60" s="110"/>
      <c r="G60" s="103"/>
      <c r="H60" s="103"/>
      <c r="I60" s="96" t="s">
        <v>130</v>
      </c>
      <c r="J60" s="96" t="s">
        <v>57</v>
      </c>
      <c r="K60" s="96">
        <v>0</v>
      </c>
      <c r="L60" s="96" t="s">
        <v>684</v>
      </c>
      <c r="M60" s="96" t="s">
        <v>120</v>
      </c>
      <c r="N60" s="103">
        <v>1</v>
      </c>
      <c r="O60" s="112">
        <v>6.9444444444444447E-4</v>
      </c>
    </row>
    <row r="61" spans="1:15" ht="54" customHeight="1" thickTop="1" thickBot="1">
      <c r="A61" s="72"/>
      <c r="B61" s="73" t="s">
        <v>17</v>
      </c>
      <c r="C61" s="74" t="s">
        <v>690</v>
      </c>
      <c r="D61" s="74" t="s">
        <v>320</v>
      </c>
      <c r="E61" s="75" t="s">
        <v>12</v>
      </c>
      <c r="F61" s="75" t="s">
        <v>22</v>
      </c>
      <c r="G61" s="74" t="s">
        <v>742</v>
      </c>
      <c r="H61" s="85">
        <v>45700</v>
      </c>
      <c r="I61" s="96" t="s">
        <v>130</v>
      </c>
      <c r="J61" s="96" t="s">
        <v>57</v>
      </c>
      <c r="K61" s="96">
        <v>0</v>
      </c>
      <c r="L61" s="96" t="s">
        <v>322</v>
      </c>
      <c r="M61" s="96" t="s">
        <v>143</v>
      </c>
      <c r="N61" s="74">
        <v>1</v>
      </c>
      <c r="O61" s="77">
        <v>1.7361111111111112E-4</v>
      </c>
    </row>
    <row r="62" spans="1:15" ht="54" customHeight="1" thickTop="1" thickBot="1">
      <c r="B62" s="109" t="s">
        <v>17</v>
      </c>
      <c r="C62" s="103" t="s">
        <v>692</v>
      </c>
      <c r="D62" s="103" t="s">
        <v>324</v>
      </c>
      <c r="E62" s="110" t="s">
        <v>22</v>
      </c>
      <c r="F62" s="110"/>
      <c r="G62" s="103"/>
      <c r="H62" s="103"/>
      <c r="I62" s="96" t="s">
        <v>130</v>
      </c>
      <c r="J62" s="96" t="s">
        <v>131</v>
      </c>
      <c r="K62" s="96">
        <v>0</v>
      </c>
      <c r="L62" s="96" t="s">
        <v>325</v>
      </c>
      <c r="M62" s="96" t="s">
        <v>234</v>
      </c>
      <c r="N62" s="103">
        <v>2</v>
      </c>
      <c r="O62" s="112">
        <v>5.2083333333333333E-4</v>
      </c>
    </row>
    <row r="63" spans="1:15" ht="54" customHeight="1" thickTop="1" thickBot="1">
      <c r="A63" s="72"/>
      <c r="B63" s="73" t="s">
        <v>17</v>
      </c>
      <c r="C63" s="74" t="s">
        <v>693</v>
      </c>
      <c r="D63" s="74" t="s">
        <v>694</v>
      </c>
      <c r="E63" s="75" t="s">
        <v>12</v>
      </c>
      <c r="F63" s="75" t="s">
        <v>22</v>
      </c>
      <c r="G63" s="74" t="s">
        <v>742</v>
      </c>
      <c r="H63" s="85">
        <v>45700</v>
      </c>
      <c r="I63" s="96" t="s">
        <v>56</v>
      </c>
      <c r="J63" s="96" t="s">
        <v>57</v>
      </c>
      <c r="K63" s="96">
        <v>0</v>
      </c>
      <c r="L63" s="96">
        <v>0</v>
      </c>
      <c r="M63" s="96" t="s">
        <v>143</v>
      </c>
      <c r="N63" s="74">
        <v>3</v>
      </c>
      <c r="O63" s="77">
        <v>5.2083333333333333E-4</v>
      </c>
    </row>
    <row r="64" spans="1:15" ht="54" customHeight="1" thickTop="1" thickBot="1">
      <c r="A64" s="72"/>
      <c r="B64" s="78" t="s">
        <v>17</v>
      </c>
      <c r="C64" s="79" t="s">
        <v>695</v>
      </c>
      <c r="D64" s="79" t="s">
        <v>329</v>
      </c>
      <c r="E64" s="82" t="s">
        <v>12</v>
      </c>
      <c r="F64" s="82" t="s">
        <v>22</v>
      </c>
      <c r="G64" s="79" t="s">
        <v>742</v>
      </c>
      <c r="H64" s="86">
        <v>45700</v>
      </c>
      <c r="I64" s="96" t="s">
        <v>56</v>
      </c>
      <c r="J64" s="96" t="s">
        <v>57</v>
      </c>
      <c r="K64" s="96">
        <v>0</v>
      </c>
      <c r="L64" s="96">
        <v>0</v>
      </c>
      <c r="M64" s="96" t="s">
        <v>143</v>
      </c>
      <c r="N64" s="79">
        <v>4</v>
      </c>
      <c r="O64" s="83">
        <v>5.2083333333333333E-4</v>
      </c>
    </row>
    <row r="65" spans="1:15" ht="54" customHeight="1" thickTop="1" thickBot="1">
      <c r="B65" s="104" t="s">
        <v>21</v>
      </c>
      <c r="C65" s="105" t="s">
        <v>743</v>
      </c>
      <c r="D65" s="105" t="s">
        <v>744</v>
      </c>
      <c r="E65" s="106" t="s">
        <v>22</v>
      </c>
      <c r="F65" s="106"/>
      <c r="G65" s="105"/>
      <c r="H65" s="105"/>
      <c r="I65" s="96" t="s">
        <v>56</v>
      </c>
      <c r="J65" s="96" t="s">
        <v>131</v>
      </c>
      <c r="K65" s="96">
        <v>0</v>
      </c>
      <c r="L65" s="96" t="s">
        <v>696</v>
      </c>
      <c r="M65" s="96" t="s">
        <v>333</v>
      </c>
      <c r="N65" s="105">
        <v>4</v>
      </c>
      <c r="O65" s="108">
        <v>4.1666666666666666E-3</v>
      </c>
    </row>
    <row r="66" spans="1:15" ht="54" customHeight="1" thickTop="1" thickBot="1">
      <c r="B66" s="109" t="s">
        <v>21</v>
      </c>
      <c r="C66" s="103" t="s">
        <v>699</v>
      </c>
      <c r="D66" s="103" t="s">
        <v>700</v>
      </c>
      <c r="E66" s="110" t="s">
        <v>22</v>
      </c>
      <c r="F66" s="110"/>
      <c r="G66" s="103"/>
      <c r="H66" s="103"/>
      <c r="I66" s="96" t="s">
        <v>56</v>
      </c>
      <c r="J66" s="96" t="s">
        <v>131</v>
      </c>
      <c r="K66" s="96">
        <v>0</v>
      </c>
      <c r="L66" s="96" t="s">
        <v>337</v>
      </c>
      <c r="M66" s="96" t="s">
        <v>333</v>
      </c>
      <c r="N66" s="103">
        <v>4</v>
      </c>
      <c r="O66" s="112">
        <v>1.3888888888888889E-3</v>
      </c>
    </row>
    <row r="67" spans="1:15" ht="54" customHeight="1" thickTop="1" thickBot="1">
      <c r="B67" s="109" t="s">
        <v>21</v>
      </c>
      <c r="C67" s="103" t="s">
        <v>702</v>
      </c>
      <c r="D67" s="103" t="s">
        <v>339</v>
      </c>
      <c r="E67" s="110" t="s">
        <v>22</v>
      </c>
      <c r="F67" s="110"/>
      <c r="G67" s="103"/>
      <c r="H67" s="103"/>
      <c r="I67" s="96" t="s">
        <v>130</v>
      </c>
      <c r="J67" s="96" t="s">
        <v>131</v>
      </c>
      <c r="K67" s="96">
        <v>0</v>
      </c>
      <c r="L67" s="96" t="s">
        <v>701</v>
      </c>
      <c r="M67" s="96" t="s">
        <v>341</v>
      </c>
      <c r="N67" s="103">
        <v>2</v>
      </c>
      <c r="O67" s="112">
        <v>2.0833333333333333E-3</v>
      </c>
    </row>
    <row r="68" spans="1:15" ht="54" customHeight="1" thickTop="1" thickBot="1">
      <c r="B68" s="109" t="s">
        <v>21</v>
      </c>
      <c r="C68" s="103" t="s">
        <v>703</v>
      </c>
      <c r="D68" s="103" t="s">
        <v>343</v>
      </c>
      <c r="E68" s="110" t="s">
        <v>22</v>
      </c>
      <c r="F68" s="110"/>
      <c r="G68" s="103"/>
      <c r="H68" s="103"/>
      <c r="I68" s="96" t="s">
        <v>130</v>
      </c>
      <c r="J68" s="96" t="s">
        <v>131</v>
      </c>
      <c r="K68" s="96">
        <v>0</v>
      </c>
      <c r="L68" s="96" t="s">
        <v>344</v>
      </c>
      <c r="M68" s="96" t="s">
        <v>341</v>
      </c>
      <c r="N68" s="103">
        <v>2</v>
      </c>
      <c r="O68" s="112">
        <v>2.0833333333333333E-3</v>
      </c>
    </row>
    <row r="69" spans="1:15" ht="54" customHeight="1" thickTop="1" thickBot="1">
      <c r="A69" s="72"/>
      <c r="B69" s="73" t="s">
        <v>21</v>
      </c>
      <c r="C69" s="74" t="s">
        <v>704</v>
      </c>
      <c r="D69" s="74" t="s">
        <v>346</v>
      </c>
      <c r="E69" s="75" t="s">
        <v>12</v>
      </c>
      <c r="F69" s="75" t="s">
        <v>22</v>
      </c>
      <c r="G69" s="74" t="s">
        <v>742</v>
      </c>
      <c r="H69" s="85">
        <v>45700</v>
      </c>
      <c r="I69" s="96" t="s">
        <v>130</v>
      </c>
      <c r="J69" s="96" t="s">
        <v>57</v>
      </c>
      <c r="K69" s="96">
        <v>0</v>
      </c>
      <c r="L69" s="96" t="s">
        <v>347</v>
      </c>
      <c r="M69" s="96" t="s">
        <v>143</v>
      </c>
      <c r="N69" s="74">
        <v>2</v>
      </c>
      <c r="O69" s="77">
        <v>6.9444444444444447E-4</v>
      </c>
    </row>
    <row r="70" spans="1:15" ht="54" customHeight="1" thickTop="1" thickBot="1">
      <c r="B70" s="109" t="s">
        <v>21</v>
      </c>
      <c r="C70" s="103" t="s">
        <v>705</v>
      </c>
      <c r="D70" s="103" t="s">
        <v>359</v>
      </c>
      <c r="E70" s="110" t="s">
        <v>22</v>
      </c>
      <c r="F70" s="110"/>
      <c r="G70" s="103"/>
      <c r="H70" s="103"/>
      <c r="I70" s="96" t="s">
        <v>130</v>
      </c>
      <c r="J70" s="96" t="s">
        <v>131</v>
      </c>
      <c r="K70" s="96">
        <v>0</v>
      </c>
      <c r="L70" s="96" t="s">
        <v>360</v>
      </c>
      <c r="M70" s="96" t="s">
        <v>201</v>
      </c>
      <c r="N70" s="103">
        <v>2</v>
      </c>
      <c r="O70" s="112">
        <v>1.736111111111111E-3</v>
      </c>
    </row>
    <row r="71" spans="1:15" ht="54" customHeight="1" thickTop="1" thickBot="1">
      <c r="B71" s="109" t="s">
        <v>21</v>
      </c>
      <c r="C71" s="103" t="s">
        <v>706</v>
      </c>
      <c r="D71" s="103" t="s">
        <v>707</v>
      </c>
      <c r="E71" s="110" t="s">
        <v>22</v>
      </c>
      <c r="F71" s="110"/>
      <c r="G71" s="103"/>
      <c r="H71" s="103"/>
      <c r="I71" s="96" t="s">
        <v>56</v>
      </c>
      <c r="J71" s="96" t="s">
        <v>131</v>
      </c>
      <c r="K71" s="96">
        <v>0</v>
      </c>
      <c r="L71" s="96" t="s">
        <v>366</v>
      </c>
      <c r="M71" s="96" t="s">
        <v>160</v>
      </c>
      <c r="N71" s="103">
        <v>1</v>
      </c>
      <c r="O71" s="112">
        <v>9.2592592592592585E-4</v>
      </c>
    </row>
    <row r="72" spans="1:15" ht="54" customHeight="1" thickTop="1" thickBot="1">
      <c r="B72" s="109" t="s">
        <v>21</v>
      </c>
      <c r="C72" s="103" t="s">
        <v>708</v>
      </c>
      <c r="D72" s="103" t="s">
        <v>709</v>
      </c>
      <c r="E72" s="110" t="s">
        <v>22</v>
      </c>
      <c r="F72" s="110"/>
      <c r="G72" s="103"/>
      <c r="H72" s="103"/>
      <c r="I72" s="96" t="s">
        <v>130</v>
      </c>
      <c r="J72" s="96" t="s">
        <v>131</v>
      </c>
      <c r="K72" s="96">
        <v>0</v>
      </c>
      <c r="L72" s="96" t="s">
        <v>363</v>
      </c>
      <c r="M72" s="96" t="s">
        <v>160</v>
      </c>
      <c r="N72" s="103">
        <v>2</v>
      </c>
      <c r="O72" s="112">
        <v>9.2592592592592585E-4</v>
      </c>
    </row>
    <row r="73" spans="1:15" ht="54" customHeight="1" thickTop="1" thickBot="1">
      <c r="B73" s="109" t="s">
        <v>21</v>
      </c>
      <c r="C73" s="103" t="s">
        <v>710</v>
      </c>
      <c r="D73" s="103" t="s">
        <v>368</v>
      </c>
      <c r="E73" s="110" t="s">
        <v>22</v>
      </c>
      <c r="F73" s="110"/>
      <c r="G73" s="110"/>
      <c r="H73" s="113"/>
      <c r="I73" s="96" t="s">
        <v>56</v>
      </c>
      <c r="J73" s="96" t="s">
        <v>57</v>
      </c>
      <c r="K73" s="96">
        <v>0</v>
      </c>
      <c r="L73" s="96" t="s">
        <v>369</v>
      </c>
      <c r="M73" s="96" t="s">
        <v>351</v>
      </c>
      <c r="N73" s="103">
        <v>1</v>
      </c>
      <c r="O73" s="112">
        <v>1.1574074074074073E-4</v>
      </c>
    </row>
    <row r="74" spans="1:15" ht="54" customHeight="1" thickTop="1" thickBot="1">
      <c r="B74" s="109" t="s">
        <v>21</v>
      </c>
      <c r="C74" s="103" t="s">
        <v>711</v>
      </c>
      <c r="D74" s="103" t="s">
        <v>371</v>
      </c>
      <c r="E74" s="110" t="s">
        <v>22</v>
      </c>
      <c r="F74" s="110"/>
      <c r="G74" s="103"/>
      <c r="H74" s="103"/>
      <c r="I74" s="96" t="s">
        <v>56</v>
      </c>
      <c r="J74" s="96" t="s">
        <v>57</v>
      </c>
      <c r="K74" s="96">
        <v>0</v>
      </c>
      <c r="L74" s="96" t="s">
        <v>372</v>
      </c>
      <c r="M74" s="96" t="s">
        <v>120</v>
      </c>
      <c r="N74" s="103">
        <v>1</v>
      </c>
      <c r="O74" s="112">
        <v>6.9444444444444447E-4</v>
      </c>
    </row>
    <row r="75" spans="1:15" ht="54" customHeight="1" thickTop="1" thickBot="1">
      <c r="B75" s="109" t="s">
        <v>21</v>
      </c>
      <c r="C75" s="103" t="s">
        <v>712</v>
      </c>
      <c r="D75" s="103" t="s">
        <v>391</v>
      </c>
      <c r="E75" s="110" t="s">
        <v>22</v>
      </c>
      <c r="F75" s="110"/>
      <c r="G75" s="103"/>
      <c r="H75" s="103"/>
      <c r="I75" s="96" t="s">
        <v>56</v>
      </c>
      <c r="J75" s="96" t="s">
        <v>57</v>
      </c>
      <c r="K75" s="96">
        <v>0</v>
      </c>
      <c r="L75" s="96" t="s">
        <v>392</v>
      </c>
      <c r="M75" s="96" t="s">
        <v>143</v>
      </c>
      <c r="N75" s="103">
        <v>2</v>
      </c>
      <c r="O75" s="112">
        <v>3.4722222222222224E-4</v>
      </c>
    </row>
    <row r="76" spans="1:15" ht="54" customHeight="1" thickTop="1" thickBot="1">
      <c r="B76" s="109" t="s">
        <v>21</v>
      </c>
      <c r="C76" s="103" t="s">
        <v>713</v>
      </c>
      <c r="D76" s="103" t="s">
        <v>714</v>
      </c>
      <c r="E76" s="110" t="s">
        <v>22</v>
      </c>
      <c r="F76" s="110"/>
      <c r="G76" s="103"/>
      <c r="H76" s="103"/>
      <c r="I76" s="96" t="s">
        <v>56</v>
      </c>
      <c r="J76" s="96" t="s">
        <v>57</v>
      </c>
      <c r="K76" s="96">
        <v>0</v>
      </c>
      <c r="L76" s="96" t="s">
        <v>395</v>
      </c>
      <c r="M76" s="96" t="s">
        <v>143</v>
      </c>
      <c r="N76" s="103">
        <v>2</v>
      </c>
      <c r="O76" s="112">
        <v>6.9444444444444447E-4</v>
      </c>
    </row>
    <row r="77" spans="1:15" ht="54" customHeight="1" thickTop="1" thickBot="1">
      <c r="B77" s="109" t="s">
        <v>21</v>
      </c>
      <c r="C77" s="103" t="s">
        <v>715</v>
      </c>
      <c r="D77" s="103" t="s">
        <v>409</v>
      </c>
      <c r="E77" s="110" t="s">
        <v>22</v>
      </c>
      <c r="F77" s="110"/>
      <c r="G77" s="103"/>
      <c r="H77" s="103"/>
      <c r="I77" s="96" t="s">
        <v>56</v>
      </c>
      <c r="J77" s="96" t="s">
        <v>131</v>
      </c>
      <c r="K77" s="96">
        <v>0</v>
      </c>
      <c r="L77" s="96" t="s">
        <v>718</v>
      </c>
      <c r="M77" s="96" t="s">
        <v>104</v>
      </c>
      <c r="N77" s="103">
        <v>2</v>
      </c>
      <c r="O77" s="112">
        <v>1.3888888888888889E-3</v>
      </c>
    </row>
    <row r="78" spans="1:15" ht="54" customHeight="1" thickTop="1" thickBot="1">
      <c r="A78" s="72"/>
      <c r="B78" s="73" t="s">
        <v>21</v>
      </c>
      <c r="C78" s="74" t="s">
        <v>716</v>
      </c>
      <c r="D78" s="74" t="s">
        <v>717</v>
      </c>
      <c r="E78" s="75" t="s">
        <v>12</v>
      </c>
      <c r="F78" s="75" t="s">
        <v>22</v>
      </c>
      <c r="G78" s="75" t="s">
        <v>388</v>
      </c>
      <c r="H78" s="76">
        <v>45702</v>
      </c>
      <c r="I78" s="96" t="s">
        <v>56</v>
      </c>
      <c r="J78" s="96" t="s">
        <v>57</v>
      </c>
      <c r="K78" s="96">
        <v>0</v>
      </c>
      <c r="L78" s="96" t="s">
        <v>389</v>
      </c>
      <c r="M78" s="96" t="s">
        <v>143</v>
      </c>
      <c r="N78" s="74">
        <v>1</v>
      </c>
      <c r="O78" s="77">
        <v>6.9444444444444447E-4</v>
      </c>
    </row>
    <row r="79" spans="1:15" ht="54" customHeight="1" thickTop="1" thickBot="1">
      <c r="B79" s="109" t="s">
        <v>21</v>
      </c>
      <c r="C79" s="103" t="s">
        <v>719</v>
      </c>
      <c r="D79" s="103" t="s">
        <v>400</v>
      </c>
      <c r="E79" s="110" t="s">
        <v>22</v>
      </c>
      <c r="F79" s="110"/>
      <c r="G79" s="103"/>
      <c r="H79" s="103"/>
      <c r="I79" s="96" t="s">
        <v>85</v>
      </c>
      <c r="J79" s="96" t="s">
        <v>57</v>
      </c>
      <c r="K79" s="96">
        <v>0</v>
      </c>
      <c r="L79" s="96" t="s">
        <v>401</v>
      </c>
      <c r="M79" s="96" t="s">
        <v>104</v>
      </c>
      <c r="N79" s="103">
        <v>4</v>
      </c>
      <c r="O79" s="112">
        <v>2.0833333333333333E-3</v>
      </c>
    </row>
    <row r="80" spans="1:15" ht="54" customHeight="1" thickTop="1" thickBot="1">
      <c r="B80" s="114" t="s">
        <v>21</v>
      </c>
      <c r="C80" s="115" t="s">
        <v>720</v>
      </c>
      <c r="D80" s="115" t="s">
        <v>721</v>
      </c>
      <c r="E80" s="116" t="s">
        <v>22</v>
      </c>
      <c r="F80" s="116"/>
      <c r="G80" s="115"/>
      <c r="H80" s="115"/>
      <c r="I80" s="96" t="s">
        <v>85</v>
      </c>
      <c r="J80" s="96" t="s">
        <v>57</v>
      </c>
      <c r="K80" s="96">
        <v>0</v>
      </c>
      <c r="L80" s="96" t="s">
        <v>722</v>
      </c>
      <c r="M80" s="96" t="s">
        <v>104</v>
      </c>
      <c r="N80" s="115">
        <v>2</v>
      </c>
      <c r="O80" s="117">
        <v>6.9444444444444447E-4</v>
      </c>
    </row>
    <row r="81" spans="2:15" ht="54" customHeight="1" thickTop="1" thickBot="1">
      <c r="B81" s="104" t="s">
        <v>25</v>
      </c>
      <c r="C81" s="105" t="s">
        <v>723</v>
      </c>
      <c r="D81" s="105" t="s">
        <v>429</v>
      </c>
      <c r="E81" s="106" t="s">
        <v>22</v>
      </c>
      <c r="F81" s="106"/>
      <c r="G81" s="105"/>
      <c r="H81" s="105"/>
      <c r="I81" s="96" t="s">
        <v>130</v>
      </c>
      <c r="J81" s="96" t="s">
        <v>57</v>
      </c>
      <c r="K81" s="96">
        <v>0</v>
      </c>
      <c r="L81" s="96" t="s">
        <v>430</v>
      </c>
      <c r="M81" s="96" t="s">
        <v>104</v>
      </c>
      <c r="N81" s="105">
        <v>1</v>
      </c>
      <c r="O81" s="108">
        <v>3.4722222222222224E-4</v>
      </c>
    </row>
    <row r="82" spans="2:15" ht="54" customHeight="1" thickTop="1" thickBot="1">
      <c r="B82" s="109" t="s">
        <v>25</v>
      </c>
      <c r="C82" s="103" t="s">
        <v>724</v>
      </c>
      <c r="D82" s="103" t="s">
        <v>422</v>
      </c>
      <c r="E82" s="110" t="s">
        <v>22</v>
      </c>
      <c r="F82" s="110"/>
      <c r="G82" s="103"/>
      <c r="H82" s="103"/>
      <c r="I82" s="96" t="s">
        <v>130</v>
      </c>
      <c r="J82" s="96" t="s">
        <v>57</v>
      </c>
      <c r="K82" s="96">
        <v>0</v>
      </c>
      <c r="L82" s="96" t="s">
        <v>423</v>
      </c>
      <c r="M82" s="96" t="s">
        <v>104</v>
      </c>
      <c r="N82" s="103">
        <v>1</v>
      </c>
      <c r="O82" s="112">
        <v>6.9444444444444447E-4</v>
      </c>
    </row>
    <row r="83" spans="2:15" ht="54" customHeight="1" thickTop="1" thickBot="1">
      <c r="B83" s="109" t="s">
        <v>25</v>
      </c>
      <c r="C83" s="103" t="s">
        <v>725</v>
      </c>
      <c r="D83" s="103" t="s">
        <v>419</v>
      </c>
      <c r="E83" s="110" t="s">
        <v>22</v>
      </c>
      <c r="F83" s="110"/>
      <c r="G83" s="103"/>
      <c r="H83" s="103"/>
      <c r="I83" s="96" t="s">
        <v>130</v>
      </c>
      <c r="J83" s="96" t="s">
        <v>57</v>
      </c>
      <c r="K83" s="96">
        <v>0</v>
      </c>
      <c r="L83" s="96" t="s">
        <v>420</v>
      </c>
      <c r="M83" s="96" t="s">
        <v>234</v>
      </c>
      <c r="N83" s="103">
        <v>1</v>
      </c>
      <c r="O83" s="112">
        <v>6.9444444444444447E-4</v>
      </c>
    </row>
    <row r="84" spans="2:15" ht="54" customHeight="1" thickTop="1" thickBot="1">
      <c r="B84" s="109" t="s">
        <v>25</v>
      </c>
      <c r="C84" s="103" t="s">
        <v>726</v>
      </c>
      <c r="D84" s="103" t="s">
        <v>727</v>
      </c>
      <c r="E84" s="110" t="s">
        <v>22</v>
      </c>
      <c r="F84" s="110"/>
      <c r="G84" s="103"/>
      <c r="H84" s="103"/>
      <c r="I84" s="96" t="s">
        <v>130</v>
      </c>
      <c r="J84" s="96" t="s">
        <v>57</v>
      </c>
      <c r="K84" s="96">
        <v>0</v>
      </c>
      <c r="L84" s="96" t="s">
        <v>433</v>
      </c>
      <c r="M84" s="96" t="s">
        <v>234</v>
      </c>
      <c r="N84" s="103">
        <v>1</v>
      </c>
      <c r="O84" s="112">
        <v>0</v>
      </c>
    </row>
    <row r="85" spans="2:15" ht="54" customHeight="1" thickTop="1" thickBot="1">
      <c r="B85" s="109" t="s">
        <v>25</v>
      </c>
      <c r="C85" s="103" t="s">
        <v>728</v>
      </c>
      <c r="D85" s="103" t="s">
        <v>435</v>
      </c>
      <c r="E85" s="110" t="s">
        <v>22</v>
      </c>
      <c r="F85" s="110"/>
      <c r="G85" s="103"/>
      <c r="H85" s="103"/>
      <c r="I85" s="96" t="s">
        <v>130</v>
      </c>
      <c r="J85" s="96" t="s">
        <v>57</v>
      </c>
      <c r="K85" s="96">
        <v>0</v>
      </c>
      <c r="L85" s="96" t="s">
        <v>436</v>
      </c>
      <c r="M85" s="96" t="s">
        <v>234</v>
      </c>
      <c r="N85" s="103">
        <v>2</v>
      </c>
      <c r="O85" s="112">
        <v>1.0416666666666667E-3</v>
      </c>
    </row>
    <row r="86" spans="2:15" ht="54" customHeight="1" thickTop="1" thickBot="1">
      <c r="B86" s="109" t="s">
        <v>25</v>
      </c>
      <c r="C86" s="103" t="s">
        <v>729</v>
      </c>
      <c r="D86" s="103" t="s">
        <v>730</v>
      </c>
      <c r="E86" s="110" t="s">
        <v>22</v>
      </c>
      <c r="F86" s="110"/>
      <c r="G86" s="103"/>
      <c r="H86" s="103"/>
      <c r="I86" s="96" t="s">
        <v>56</v>
      </c>
      <c r="J86" s="96" t="s">
        <v>57</v>
      </c>
      <c r="K86" s="96">
        <v>0</v>
      </c>
      <c r="L86" s="96" t="s">
        <v>381</v>
      </c>
      <c r="M86" s="96" t="s">
        <v>452</v>
      </c>
      <c r="N86" s="103">
        <v>2</v>
      </c>
      <c r="O86" s="112">
        <v>5.2083333333333333E-4</v>
      </c>
    </row>
    <row r="87" spans="2:15" ht="54" customHeight="1" thickTop="1" thickBot="1">
      <c r="B87" s="114" t="s">
        <v>25</v>
      </c>
      <c r="C87" s="115" t="s">
        <v>731</v>
      </c>
      <c r="D87" s="115" t="s">
        <v>444</v>
      </c>
      <c r="E87" s="116" t="s">
        <v>22</v>
      </c>
      <c r="F87" s="116"/>
      <c r="G87" s="115"/>
      <c r="H87" s="115"/>
      <c r="I87" s="96" t="s">
        <v>85</v>
      </c>
      <c r="J87" s="96" t="s">
        <v>57</v>
      </c>
      <c r="K87" s="96">
        <v>0</v>
      </c>
      <c r="L87" s="96" t="s">
        <v>445</v>
      </c>
      <c r="M87" s="96" t="s">
        <v>446</v>
      </c>
      <c r="N87" s="115">
        <v>2</v>
      </c>
      <c r="O87" s="117">
        <v>6.9444444444444447E-4</v>
      </c>
    </row>
    <row r="88" spans="2:15" ht="66" customHeight="1" thickTop="1" thickBot="1">
      <c r="B88" s="122" t="s">
        <v>732</v>
      </c>
      <c r="C88" s="123" t="s">
        <v>733</v>
      </c>
      <c r="D88" s="123" t="s">
        <v>457</v>
      </c>
      <c r="E88" s="124" t="s">
        <v>22</v>
      </c>
      <c r="F88" s="124"/>
      <c r="G88" s="124"/>
      <c r="H88" s="130"/>
      <c r="I88" s="96" t="s">
        <v>85</v>
      </c>
      <c r="J88" s="96" t="s">
        <v>131</v>
      </c>
      <c r="K88" s="96">
        <v>0</v>
      </c>
      <c r="L88" s="96" t="s">
        <v>734</v>
      </c>
      <c r="M88" s="96" t="s">
        <v>459</v>
      </c>
      <c r="N88" s="124">
        <v>2</v>
      </c>
      <c r="O88" s="131">
        <v>2.0013888888888891</v>
      </c>
    </row>
    <row r="89" spans="2:15" ht="15.75" thickTop="1"/>
    <row r="128" ht="66" customHeight="1"/>
  </sheetData>
  <autoFilter ref="A2:O88" xr:uid="{1F478E64-C5A9-4A43-89AA-045599EB1EC1}"/>
  <conditionalFormatting sqref="G21:G22 C3:F10 G3:H12 C11:D12 C79:D87 C61:D72 H18:H22 G49:H51 G53:H56 G27:H28 C15:D59 C74:D74 G58:H87 C76:D77 C75 G30:H46">
    <cfRule type="expression" dxfId="216" priority="85">
      <formula>AND(OR($F3="No",$F3=""), $E3= "Yes",$G3&lt;&gt;"",$H3&lt;&gt;"")</formula>
    </cfRule>
  </conditionalFormatting>
  <conditionalFormatting sqref="H16">
    <cfRule type="expression" dxfId="215" priority="81">
      <formula>AND(OR($F16="No",$F16=""), $E16= "Yes",$G16&lt;&gt;"",$H16&lt;&gt;"")</formula>
    </cfRule>
  </conditionalFormatting>
  <conditionalFormatting sqref="E11:F12 E79:F87 E61:F72 E19:F20 E49:F51 E53:F56 E58:F59 E22:F22 E27:F28 E74:F77 E30:F46">
    <cfRule type="expression" dxfId="214" priority="78">
      <formula>AND(OR($F11="No",$F11=""), $E11= "Yes",$G11&lt;&gt;"",$H11&lt;&gt;"")</formula>
    </cfRule>
    <cfRule type="expression" dxfId="213" priority="79">
      <formula>AND(OR($E11="No",$E11=""), $F11= "Yes",$G11&lt;&gt;"",$H11&lt;&gt;"")</formula>
    </cfRule>
  </conditionalFormatting>
  <conditionalFormatting sqref="E21:F21">
    <cfRule type="expression" dxfId="212" priority="76">
      <formula>AND(OR($F21="No",$F21=""), $E21= "Yes",$G21&lt;&gt;"",$H21&lt;&gt;"")</formula>
    </cfRule>
    <cfRule type="expression" dxfId="211" priority="77">
      <formula>AND(OR($E21="No",$E21=""), $F21= "Yes",$G21&lt;&gt;"",$H21&lt;&gt;"")</formula>
    </cfRule>
  </conditionalFormatting>
  <conditionalFormatting sqref="I3:M88">
    <cfRule type="expression" dxfId="210" priority="75">
      <formula>AND(OR($F4="No",$F4=""), $E3= "Yes",$G3&lt;&gt;"",$H3&lt;&gt;"")</formula>
    </cfRule>
  </conditionalFormatting>
  <conditionalFormatting sqref="C78:D78">
    <cfRule type="expression" dxfId="209" priority="68">
      <formula>AND(OR($F78="No",$F78=""), $E78= "Yes",$G78&lt;&gt;"",$H78&lt;&gt;"")</formula>
    </cfRule>
  </conditionalFormatting>
  <conditionalFormatting sqref="E78:F78">
    <cfRule type="expression" dxfId="208" priority="66">
      <formula>AND(OR($F78="No",$F78=""), $E78= "Yes",$G78&lt;&gt;"",$H78&lt;&gt;"")</formula>
    </cfRule>
    <cfRule type="expression" dxfId="207" priority="67">
      <formula>AND(OR($E78="No",$E78=""), $F78= "Yes",$G78&lt;&gt;"",$H78&lt;&gt;"")</formula>
    </cfRule>
  </conditionalFormatting>
  <conditionalFormatting sqref="C73:D73">
    <cfRule type="expression" dxfId="206" priority="65">
      <formula>AND(OR($F73="No",$F73=""), $E73= "Yes",$G73&lt;&gt;"",$H73&lt;&gt;"")</formula>
    </cfRule>
  </conditionalFormatting>
  <conditionalFormatting sqref="E73:F73">
    <cfRule type="expression" dxfId="205" priority="63">
      <formula>AND(OR($F73="No",$F73=""), $E73= "Yes",$G73&lt;&gt;"",$H73&lt;&gt;"")</formula>
    </cfRule>
    <cfRule type="expression" dxfId="204" priority="64">
      <formula>AND(OR($E73="No",$E73=""), $F73= "Yes",$G73&lt;&gt;"",$H73&lt;&gt;"")</formula>
    </cfRule>
  </conditionalFormatting>
  <conditionalFormatting sqref="C60:D60">
    <cfRule type="expression" dxfId="203" priority="62">
      <formula>AND(OR($F60="No",$F60=""), $E60= "Yes",$G60&lt;&gt;"",$H60&lt;&gt;"")</formula>
    </cfRule>
  </conditionalFormatting>
  <conditionalFormatting sqref="E60:F60">
    <cfRule type="expression" dxfId="202" priority="60">
      <formula>AND(OR($F60="No",$F60=""), $E60= "Yes",$G60&lt;&gt;"",$H60&lt;&gt;"")</formula>
    </cfRule>
    <cfRule type="expression" dxfId="201" priority="61">
      <formula>AND(OR($E60="No",$E60=""), $F60= "Yes",$G60&lt;&gt;"",$H60&lt;&gt;"")</formula>
    </cfRule>
  </conditionalFormatting>
  <conditionalFormatting sqref="G15:H15">
    <cfRule type="expression" dxfId="200" priority="57">
      <formula>AND(OR($F15="No",$F15=""), $E15= "Yes",$G15&lt;&gt;"",$H15&lt;&gt;"")</formula>
    </cfRule>
  </conditionalFormatting>
  <conditionalFormatting sqref="E15:F15">
    <cfRule type="expression" dxfId="199" priority="55">
      <formula>AND(OR($F15="No",$F15=""), $E15= "Yes",$G15&lt;&gt;"",$H15&lt;&gt;"")</formula>
    </cfRule>
    <cfRule type="expression" dxfId="198" priority="56">
      <formula>AND(OR($E15="No",$E15=""), $F15= "Yes",$G15&lt;&gt;"",$H15&lt;&gt;"")</formula>
    </cfRule>
  </conditionalFormatting>
  <conditionalFormatting sqref="G17:H17">
    <cfRule type="expression" dxfId="197" priority="54">
      <formula>AND(OR($F17="No",$F17=""), $E17= "Yes",$G17&lt;&gt;"",$H17&lt;&gt;"")</formula>
    </cfRule>
  </conditionalFormatting>
  <conditionalFormatting sqref="E17:F17">
    <cfRule type="expression" dxfId="196" priority="52">
      <formula>AND(OR($F17="No",$F17=""), $E17= "Yes",$G17&lt;&gt;"",$H17&lt;&gt;"")</formula>
    </cfRule>
    <cfRule type="expression" dxfId="195" priority="53">
      <formula>AND(OR($E17="No",$E17=""), $F17= "Yes",$G17&lt;&gt;"",$H17&lt;&gt;"")</formula>
    </cfRule>
  </conditionalFormatting>
  <conditionalFormatting sqref="G19:G20">
    <cfRule type="expression" dxfId="194" priority="51">
      <formula>AND(OR($F19="No",$F19=""), $E19= "Yes",$G19&lt;&gt;"",$H19&lt;&gt;"")</formula>
    </cfRule>
  </conditionalFormatting>
  <conditionalFormatting sqref="G47:H47">
    <cfRule type="expression" dxfId="193" priority="50">
      <formula>AND(OR($F47="No",$F47=""), $E47= "Yes",$G47&lt;&gt;"",$H47&lt;&gt;"")</formula>
    </cfRule>
  </conditionalFormatting>
  <conditionalFormatting sqref="E47:F47">
    <cfRule type="expression" dxfId="192" priority="48">
      <formula>AND(OR($F47="No",$F47=""), $E47= "Yes",$G47&lt;&gt;"",$H47&lt;&gt;"")</formula>
    </cfRule>
    <cfRule type="expression" dxfId="191" priority="49">
      <formula>AND(OR($E47="No",$E47=""), $F47= "Yes",$G47&lt;&gt;"",$H47&lt;&gt;"")</formula>
    </cfRule>
  </conditionalFormatting>
  <conditionalFormatting sqref="G52:H52">
    <cfRule type="expression" dxfId="190" priority="47">
      <formula>AND(OR($F52="No",$F52=""), $E52= "Yes",$G52&lt;&gt;"",$H52&lt;&gt;"")</formula>
    </cfRule>
  </conditionalFormatting>
  <conditionalFormatting sqref="E52:F52">
    <cfRule type="expression" dxfId="189" priority="45">
      <formula>AND(OR($F52="No",$F52=""), $E52= "Yes",$G52&lt;&gt;"",$H52&lt;&gt;"")</formula>
    </cfRule>
    <cfRule type="expression" dxfId="188" priority="46">
      <formula>AND(OR($E52="No",$E52=""), $F52= "Yes",$G52&lt;&gt;"",$H52&lt;&gt;"")</formula>
    </cfRule>
  </conditionalFormatting>
  <conditionalFormatting sqref="G48:H48">
    <cfRule type="expression" dxfId="187" priority="44">
      <formula>AND(OR($F48="No",$F48=""), $E48= "Yes",$G48&lt;&gt;"",$H48&lt;&gt;"")</formula>
    </cfRule>
  </conditionalFormatting>
  <conditionalFormatting sqref="E48:F48">
    <cfRule type="expression" dxfId="186" priority="42">
      <formula>AND(OR($F48="No",$F48=""), $E48= "Yes",$G48&lt;&gt;"",$H48&lt;&gt;"")</formula>
    </cfRule>
    <cfRule type="expression" dxfId="185" priority="43">
      <formula>AND(OR($E48="No",$E48=""), $F48= "Yes",$G48&lt;&gt;"",$H48&lt;&gt;"")</formula>
    </cfRule>
  </conditionalFormatting>
  <conditionalFormatting sqref="G57:H57">
    <cfRule type="expression" dxfId="184" priority="41">
      <formula>AND(OR($F57="No",$F57=""), $E57= "Yes",$G57&lt;&gt;"",$H57&lt;&gt;"")</formula>
    </cfRule>
  </conditionalFormatting>
  <conditionalFormatting sqref="E57:F57">
    <cfRule type="expression" dxfId="183" priority="39">
      <formula>AND(OR($F57="No",$F57=""), $E57= "Yes",$G57&lt;&gt;"",$H57&lt;&gt;"")</formula>
    </cfRule>
    <cfRule type="expression" dxfId="182" priority="40">
      <formula>AND(OR($E57="No",$E57=""), $F57= "Yes",$G57&lt;&gt;"",$H57&lt;&gt;"")</formula>
    </cfRule>
  </conditionalFormatting>
  <conditionalFormatting sqref="G16">
    <cfRule type="expression" dxfId="181" priority="38">
      <formula>AND(OR($F16="No",$F16=""), $E16= "Yes",$G16&lt;&gt;"",$H16&lt;&gt;"")</formula>
    </cfRule>
  </conditionalFormatting>
  <conditionalFormatting sqref="E16:F16">
    <cfRule type="expression" dxfId="180" priority="36">
      <formula>AND(OR($F16="No",$F16=""), $E16= "Yes",$G16&lt;&gt;"",$H16&lt;&gt;"")</formula>
    </cfRule>
    <cfRule type="expression" dxfId="179" priority="37">
      <formula>AND(OR($E16="No",$E16=""), $F16= "Yes",$G16&lt;&gt;"",$H16&lt;&gt;"")</formula>
    </cfRule>
  </conditionalFormatting>
  <conditionalFormatting sqref="G18">
    <cfRule type="expression" dxfId="178" priority="35">
      <formula>AND(OR($F18="No",$F18=""), $E18= "Yes",$G18&lt;&gt;"",$H18&lt;&gt;"")</formula>
    </cfRule>
  </conditionalFormatting>
  <conditionalFormatting sqref="E18:F18">
    <cfRule type="expression" dxfId="177" priority="33">
      <formula>AND(OR($F18="No",$F18=""), $E18= "Yes",$G18&lt;&gt;"",$H18&lt;&gt;"")</formula>
    </cfRule>
    <cfRule type="expression" dxfId="176" priority="34">
      <formula>AND(OR($E18="No",$E18=""), $F18= "Yes",$G18&lt;&gt;"",$H18&lt;&gt;"")</formula>
    </cfRule>
  </conditionalFormatting>
  <conditionalFormatting sqref="H23">
    <cfRule type="expression" dxfId="175" priority="32">
      <formula>AND(OR($F23="No",$F23=""), $E23= "Yes",$G23&lt;&gt;"",$H23&lt;&gt;"")</formula>
    </cfRule>
  </conditionalFormatting>
  <conditionalFormatting sqref="G23">
    <cfRule type="expression" dxfId="174" priority="31">
      <formula>AND(OR($F23="No",$F23=""), $E23= "Yes",$G23&lt;&gt;"",$H23&lt;&gt;"")</formula>
    </cfRule>
  </conditionalFormatting>
  <conditionalFormatting sqref="E23:F23">
    <cfRule type="expression" dxfId="173" priority="29">
      <formula>AND(OR($F23="No",$F23=""), $E23= "Yes",$G23&lt;&gt;"",$H23&lt;&gt;"")</formula>
    </cfRule>
    <cfRule type="expression" dxfId="172" priority="30">
      <formula>AND(OR($E23="No",$E23=""), $F23= "Yes",$G23&lt;&gt;"",$H23&lt;&gt;"")</formula>
    </cfRule>
  </conditionalFormatting>
  <conditionalFormatting sqref="H24">
    <cfRule type="expression" dxfId="171" priority="28">
      <formula>AND(OR($F24="No",$F24=""), $E24= "Yes",$G24&lt;&gt;"",$H24&lt;&gt;"")</formula>
    </cfRule>
  </conditionalFormatting>
  <conditionalFormatting sqref="G24">
    <cfRule type="expression" dxfId="170" priority="27">
      <formula>AND(OR($F24="No",$F24=""), $E24= "Yes",$G24&lt;&gt;"",$H24&lt;&gt;"")</formula>
    </cfRule>
  </conditionalFormatting>
  <conditionalFormatting sqref="E24:F24">
    <cfRule type="expression" dxfId="169" priority="25">
      <formula>AND(OR($F24="No",$F24=""), $E24= "Yes",$G24&lt;&gt;"",$H24&lt;&gt;"")</formula>
    </cfRule>
    <cfRule type="expression" dxfId="168" priority="26">
      <formula>AND(OR($E24="No",$E24=""), $F24= "Yes",$G24&lt;&gt;"",$H24&lt;&gt;"")</formula>
    </cfRule>
  </conditionalFormatting>
  <conditionalFormatting sqref="H25">
    <cfRule type="expression" dxfId="167" priority="24">
      <formula>AND(OR($F25="No",$F25=""), $E25= "Yes",$G25&lt;&gt;"",$H25&lt;&gt;"")</formula>
    </cfRule>
  </conditionalFormatting>
  <conditionalFormatting sqref="G25">
    <cfRule type="expression" dxfId="166" priority="23">
      <formula>AND(OR($F25="No",$F25=""), $E25= "Yes",$G25&lt;&gt;"",$H25&lt;&gt;"")</formula>
    </cfRule>
  </conditionalFormatting>
  <conditionalFormatting sqref="E25:F25">
    <cfRule type="expression" dxfId="165" priority="21">
      <formula>AND(OR($F25="No",$F25=""), $E25= "Yes",$G25&lt;&gt;"",$H25&lt;&gt;"")</formula>
    </cfRule>
    <cfRule type="expression" dxfId="164" priority="22">
      <formula>AND(OR($E25="No",$E25=""), $F25= "Yes",$G25&lt;&gt;"",$H25&lt;&gt;"")</formula>
    </cfRule>
  </conditionalFormatting>
  <conditionalFormatting sqref="H26">
    <cfRule type="expression" dxfId="163" priority="20">
      <formula>AND(OR($F26="No",$F26=""), $E26= "Yes",$G26&lt;&gt;"",$H26&lt;&gt;"")</formula>
    </cfRule>
  </conditionalFormatting>
  <conditionalFormatting sqref="G26">
    <cfRule type="expression" dxfId="162" priority="19">
      <formula>AND(OR($F26="No",$F26=""), $E26= "Yes",$G26&lt;&gt;"",$H26&lt;&gt;"")</formula>
    </cfRule>
  </conditionalFormatting>
  <conditionalFormatting sqref="E26:F26">
    <cfRule type="expression" dxfId="161" priority="17">
      <formula>AND(OR($F26="No",$F26=""), $E26= "Yes",$G26&lt;&gt;"",$H26&lt;&gt;"")</formula>
    </cfRule>
    <cfRule type="expression" dxfId="160" priority="18">
      <formula>AND(OR($E26="No",$E26=""), $F26= "Yes",$G26&lt;&gt;"",$H26&lt;&gt;"")</formula>
    </cfRule>
  </conditionalFormatting>
  <conditionalFormatting sqref="A2">
    <cfRule type="expression" dxfId="159" priority="15">
      <formula>AND(OR(#REF!="No",#REF!=""), #REF!= "Yes",#REF!&lt;&gt;"",#REF!&lt;&gt;"")</formula>
    </cfRule>
    <cfRule type="expression" dxfId="158" priority="16">
      <formula>AND(OR(#REF!="No",#REF!=""), #REF!= "Yes",#REF!&lt;&gt;"",#REF!&lt;&gt;"")</formula>
    </cfRule>
  </conditionalFormatting>
  <conditionalFormatting sqref="N3:O12 N29:O64 N15:O27 N66:O87">
    <cfRule type="expression" dxfId="157" priority="14">
      <formula>AND(OR($E3="No",$E3=""), $D3= "Yes",$F3&lt;&gt;"",$G3&lt;&gt;"")</formula>
    </cfRule>
  </conditionalFormatting>
  <conditionalFormatting sqref="N65:O65">
    <cfRule type="expression" dxfId="156" priority="13">
      <formula>AND(OR($F65="No",$F65=""), $E65= "Yes",$G65&lt;&gt;"",$H65&lt;&gt;"")</formula>
    </cfRule>
  </conditionalFormatting>
  <conditionalFormatting sqref="N28:O28">
    <cfRule type="expression" dxfId="155" priority="12">
      <formula>AND(OR($F28="No",$F28=""), $E28= "Yes",$G28&lt;&gt;"",$H28&lt;&gt;"")</formula>
    </cfRule>
  </conditionalFormatting>
  <conditionalFormatting sqref="C13:H14">
    <cfRule type="expression" dxfId="154" priority="10">
      <formula>AND(OR($F13="No",$F13=""), $E13= "Yes",$G13&lt;&gt;"",$H13&lt;&gt;"")</formula>
    </cfRule>
  </conditionalFormatting>
  <conditionalFormatting sqref="N13:O14">
    <cfRule type="expression" dxfId="153" priority="9">
      <formula>AND(OR($E13="No",$E13=""), $D13= "Yes",$F13&lt;&gt;"",$G13&lt;&gt;"")</formula>
    </cfRule>
  </conditionalFormatting>
  <conditionalFormatting sqref="N88:O88">
    <cfRule type="expression" dxfId="152" priority="8">
      <formula>AND(OR($F88="No",$F88=""), $E88= "Yes",$G88&lt;&gt;"",$H88&lt;&gt;"")</formula>
    </cfRule>
  </conditionalFormatting>
  <conditionalFormatting sqref="E88:H88">
    <cfRule type="expression" dxfId="151" priority="7">
      <formula>AND(OR($F88="No",$F88=""), $E88= "Yes",$G88&lt;&gt;"",$H88&lt;&gt;"")</formula>
    </cfRule>
  </conditionalFormatting>
  <conditionalFormatting sqref="D75">
    <cfRule type="expression" dxfId="150" priority="6">
      <formula>AND(OR($F75="No",$F75=""), $E75= "Yes",$G75&lt;&gt;"",$H75&lt;&gt;"")</formula>
    </cfRule>
  </conditionalFormatting>
  <conditionalFormatting sqref="H29">
    <cfRule type="expression" dxfId="149" priority="5">
      <formula>AND(OR($F29="No",$F29=""), $E29= "Yes",$G29&lt;&gt;"",$H29&lt;&gt;"")</formula>
    </cfRule>
  </conditionalFormatting>
  <conditionalFormatting sqref="E29:F29">
    <cfRule type="expression" dxfId="148" priority="3">
      <formula>AND(OR($F29="No",$F29=""), $E29= "Yes",$G29&lt;&gt;"",$H29&lt;&gt;"")</formula>
    </cfRule>
    <cfRule type="expression" dxfId="147" priority="4">
      <formula>AND(OR($E29="No",$E29=""), $F29= "Yes",$G29&lt;&gt;"",$H29&lt;&gt;"")</formula>
    </cfRule>
  </conditionalFormatting>
  <conditionalFormatting sqref="G29">
    <cfRule type="expression" dxfId="146" priority="1">
      <formula>AND(OR($F29="No",$F29=""), $E29= "Yes",$G29&lt;&gt;"",$H29&lt;&gt;"")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E3:E14 F11:F12 E15:F87" xr:uid="{DC18D1DE-4330-45F8-AA50-116294833802}">
      <formula1>"Yes, No"</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28"/>
  <sheetViews>
    <sheetView zoomScale="60" zoomScaleNormal="60" workbookViewId="0">
      <pane ySplit="2" topLeftCell="A32" activePane="bottomLeft" state="frozen"/>
      <selection pane="bottomLeft" activeCell="E42" sqref="E42"/>
    </sheetView>
  </sheetViews>
  <sheetFormatPr defaultRowHeight="15"/>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8.88671875" style="3" customWidth="1"/>
    <col min="12" max="12" width="16.88671875" style="22" customWidth="1"/>
    <col min="13" max="13" width="8.88671875" style="3" customWidth="1"/>
    <col min="14" max="14" width="10" style="3" customWidth="1"/>
    <col min="15" max="17" width="8.88671875" style="3" customWidth="1"/>
    <col min="18" max="16384" width="8.88671875" style="3"/>
  </cols>
  <sheetData>
    <row r="1" spans="1:15" ht="21" customHeight="1" thickBot="1">
      <c r="B1" s="88" t="s">
        <v>44</v>
      </c>
      <c r="C1" s="62" t="s">
        <v>745</v>
      </c>
      <c r="D1" s="23"/>
      <c r="E1" s="23"/>
      <c r="F1" s="23"/>
      <c r="G1" s="23"/>
      <c r="H1" s="23"/>
      <c r="I1" s="23"/>
      <c r="J1" s="23"/>
      <c r="K1" s="22"/>
      <c r="L1" s="23"/>
    </row>
    <row r="2" spans="1:15" s="10" customFormat="1" ht="87.95" customHeight="1" thickBot="1">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ht="54" customHeight="1" thickTop="1" thickBot="1">
      <c r="A3" s="72"/>
      <c r="B3" s="94" t="s">
        <v>11</v>
      </c>
      <c r="C3" s="95" t="s">
        <v>746</v>
      </c>
      <c r="D3" s="95" t="s">
        <v>465</v>
      </c>
      <c r="E3" s="95" t="s">
        <v>12</v>
      </c>
      <c r="F3" s="95" t="s">
        <v>22</v>
      </c>
      <c r="G3" s="95" t="s">
        <v>55</v>
      </c>
      <c r="H3" s="97" t="s">
        <v>55</v>
      </c>
      <c r="I3" s="96" t="s">
        <v>56</v>
      </c>
      <c r="J3" s="96" t="s">
        <v>57</v>
      </c>
      <c r="K3" s="96">
        <v>0</v>
      </c>
      <c r="L3" s="96" t="s">
        <v>62</v>
      </c>
      <c r="M3" s="96" t="s">
        <v>63</v>
      </c>
      <c r="N3" s="95">
        <v>1</v>
      </c>
      <c r="O3" s="98">
        <v>1.3888888888888889E-3</v>
      </c>
    </row>
    <row r="4" spans="1:15" ht="54" customHeight="1" thickTop="1" thickBot="1">
      <c r="A4" s="72"/>
      <c r="B4" s="73" t="s">
        <v>11</v>
      </c>
      <c r="C4" s="74" t="s">
        <v>747</v>
      </c>
      <c r="D4" s="74" t="s">
        <v>748</v>
      </c>
      <c r="E4" s="74" t="s">
        <v>12</v>
      </c>
      <c r="F4" s="74" t="s">
        <v>22</v>
      </c>
      <c r="G4" s="74" t="s">
        <v>55</v>
      </c>
      <c r="H4" s="85" t="s">
        <v>55</v>
      </c>
      <c r="I4" s="96" t="s">
        <v>56</v>
      </c>
      <c r="J4" s="96" t="s">
        <v>57</v>
      </c>
      <c r="K4" s="96">
        <v>0</v>
      </c>
      <c r="L4" s="96" t="s">
        <v>91</v>
      </c>
      <c r="M4" s="96" t="s">
        <v>59</v>
      </c>
      <c r="N4" s="74">
        <v>1</v>
      </c>
      <c r="O4" s="77">
        <v>2.0833333333333333E-3</v>
      </c>
    </row>
    <row r="5" spans="1:15" ht="54" customHeight="1" thickTop="1" thickBot="1">
      <c r="A5" s="72"/>
      <c r="B5" s="78" t="s">
        <v>11</v>
      </c>
      <c r="C5" s="79" t="s">
        <v>749</v>
      </c>
      <c r="D5" s="79" t="s">
        <v>469</v>
      </c>
      <c r="E5" s="79" t="s">
        <v>12</v>
      </c>
      <c r="F5" s="79" t="s">
        <v>22</v>
      </c>
      <c r="G5" s="79" t="s">
        <v>55</v>
      </c>
      <c r="H5" s="86" t="s">
        <v>55</v>
      </c>
      <c r="I5" s="96" t="s">
        <v>56</v>
      </c>
      <c r="J5" s="96" t="s">
        <v>57</v>
      </c>
      <c r="K5" s="96">
        <v>0</v>
      </c>
      <c r="L5" s="96" t="s">
        <v>96</v>
      </c>
      <c r="M5" s="96" t="s">
        <v>59</v>
      </c>
      <c r="N5" s="79">
        <v>1</v>
      </c>
      <c r="O5" s="83">
        <v>1.0416666666666667E-3</v>
      </c>
    </row>
    <row r="6" spans="1:15" ht="54" customHeight="1" thickTop="1" thickBot="1">
      <c r="A6" s="72"/>
      <c r="B6" s="94" t="s">
        <v>14</v>
      </c>
      <c r="C6" s="95" t="s">
        <v>750</v>
      </c>
      <c r="D6" s="95" t="s">
        <v>751</v>
      </c>
      <c r="E6" s="96" t="s">
        <v>12</v>
      </c>
      <c r="F6" s="96" t="s">
        <v>22</v>
      </c>
      <c r="G6" s="96" t="s">
        <v>129</v>
      </c>
      <c r="H6" s="100">
        <v>45697</v>
      </c>
      <c r="I6" s="96" t="s">
        <v>130</v>
      </c>
      <c r="J6" s="96" t="s">
        <v>131</v>
      </c>
      <c r="K6" s="96">
        <v>0</v>
      </c>
      <c r="L6" s="96" t="s">
        <v>132</v>
      </c>
      <c r="M6" s="96" t="s">
        <v>104</v>
      </c>
      <c r="N6" s="95">
        <v>4</v>
      </c>
      <c r="O6" s="98">
        <v>1.736111111111111E-3</v>
      </c>
    </row>
    <row r="7" spans="1:15" ht="54" customHeight="1" thickTop="1" thickBot="1">
      <c r="A7" s="72"/>
      <c r="B7" s="73" t="s">
        <v>14</v>
      </c>
      <c r="C7" s="74" t="s">
        <v>752</v>
      </c>
      <c r="D7" s="74" t="s">
        <v>753</v>
      </c>
      <c r="E7" s="75" t="s">
        <v>12</v>
      </c>
      <c r="F7" s="75" t="s">
        <v>22</v>
      </c>
      <c r="G7" s="74" t="s">
        <v>129</v>
      </c>
      <c r="H7" s="85">
        <v>45709</v>
      </c>
      <c r="I7" s="96" t="s">
        <v>130</v>
      </c>
      <c r="J7" s="96" t="s">
        <v>131</v>
      </c>
      <c r="K7" s="96">
        <v>0</v>
      </c>
      <c r="L7" s="96" t="s">
        <v>132</v>
      </c>
      <c r="M7" s="96" t="s">
        <v>104</v>
      </c>
      <c r="N7" s="74">
        <v>4</v>
      </c>
      <c r="O7" s="77">
        <v>1.736111111111111E-3</v>
      </c>
    </row>
    <row r="8" spans="1:15" ht="54" customHeight="1" thickTop="1" thickBot="1">
      <c r="A8" s="72"/>
      <c r="B8" s="73" t="s">
        <v>14</v>
      </c>
      <c r="C8" s="74" t="s">
        <v>754</v>
      </c>
      <c r="D8" s="74" t="s">
        <v>755</v>
      </c>
      <c r="E8" s="75" t="s">
        <v>12</v>
      </c>
      <c r="F8" s="75" t="s">
        <v>22</v>
      </c>
      <c r="G8" s="75" t="s">
        <v>129</v>
      </c>
      <c r="H8" s="76">
        <v>45697</v>
      </c>
      <c r="I8" s="96" t="s">
        <v>130</v>
      </c>
      <c r="J8" s="96" t="s">
        <v>131</v>
      </c>
      <c r="K8" s="96">
        <v>0</v>
      </c>
      <c r="L8" s="96" t="s">
        <v>132</v>
      </c>
      <c r="M8" s="96" t="s">
        <v>104</v>
      </c>
      <c r="N8" s="74">
        <v>4</v>
      </c>
      <c r="O8" s="77">
        <v>1.736111111111111E-3</v>
      </c>
    </row>
    <row r="9" spans="1:15" ht="54" customHeight="1" thickTop="1" thickBot="1">
      <c r="A9" s="72"/>
      <c r="B9" s="73" t="s">
        <v>14</v>
      </c>
      <c r="C9" s="74" t="s">
        <v>756</v>
      </c>
      <c r="D9" s="74" t="s">
        <v>757</v>
      </c>
      <c r="E9" s="75" t="s">
        <v>12</v>
      </c>
      <c r="F9" s="75" t="s">
        <v>22</v>
      </c>
      <c r="G9" s="74" t="s">
        <v>129</v>
      </c>
      <c r="H9" s="85">
        <v>45709</v>
      </c>
      <c r="I9" s="96" t="s">
        <v>130</v>
      </c>
      <c r="J9" s="96" t="s">
        <v>131</v>
      </c>
      <c r="K9" s="96">
        <v>0</v>
      </c>
      <c r="L9" s="96" t="s">
        <v>132</v>
      </c>
      <c r="M9" s="96" t="s">
        <v>104</v>
      </c>
      <c r="N9" s="74">
        <v>4</v>
      </c>
      <c r="O9" s="77">
        <v>1.736111111111111E-3</v>
      </c>
    </row>
    <row r="10" spans="1:15" ht="54" customHeight="1" thickTop="1" thickBot="1">
      <c r="A10" s="72"/>
      <c r="B10" s="73" t="s">
        <v>14</v>
      </c>
      <c r="C10" s="74" t="s">
        <v>758</v>
      </c>
      <c r="D10" s="74" t="s">
        <v>481</v>
      </c>
      <c r="E10" s="75" t="s">
        <v>12</v>
      </c>
      <c r="F10" s="75" t="s">
        <v>22</v>
      </c>
      <c r="G10" s="75" t="s">
        <v>759</v>
      </c>
      <c r="H10" s="85">
        <v>45701</v>
      </c>
      <c r="I10" s="96" t="s">
        <v>130</v>
      </c>
      <c r="J10" s="96" t="s">
        <v>57</v>
      </c>
      <c r="K10" s="96">
        <v>0</v>
      </c>
      <c r="L10" s="96" t="s">
        <v>482</v>
      </c>
      <c r="M10" s="96" t="s">
        <v>143</v>
      </c>
      <c r="N10" s="74">
        <v>1</v>
      </c>
      <c r="O10" s="77">
        <v>6.9444444444444447E-4</v>
      </c>
    </row>
    <row r="11" spans="1:15" ht="54" customHeight="1" thickTop="1" thickBot="1">
      <c r="A11" s="72"/>
      <c r="B11" s="73" t="s">
        <v>14</v>
      </c>
      <c r="C11" s="74" t="s">
        <v>760</v>
      </c>
      <c r="D11" s="74" t="s">
        <v>484</v>
      </c>
      <c r="E11" s="75" t="s">
        <v>12</v>
      </c>
      <c r="F11" s="75" t="s">
        <v>22</v>
      </c>
      <c r="G11" s="74" t="s">
        <v>129</v>
      </c>
      <c r="H11" s="85">
        <v>45709</v>
      </c>
      <c r="I11" s="96" t="s">
        <v>56</v>
      </c>
      <c r="J11" s="96" t="s">
        <v>131</v>
      </c>
      <c r="K11" s="96">
        <v>0</v>
      </c>
      <c r="L11" s="96" t="s">
        <v>159</v>
      </c>
      <c r="M11" s="96" t="s">
        <v>160</v>
      </c>
      <c r="N11" s="74">
        <v>2</v>
      </c>
      <c r="O11" s="77">
        <v>4.6296296296296293E-4</v>
      </c>
    </row>
    <row r="12" spans="1:15" ht="54" customHeight="1" thickTop="1" thickBot="1">
      <c r="A12" s="72"/>
      <c r="B12" s="73" t="s">
        <v>14</v>
      </c>
      <c r="C12" s="74" t="s">
        <v>761</v>
      </c>
      <c r="D12" s="74" t="s">
        <v>486</v>
      </c>
      <c r="E12" s="75" t="s">
        <v>12</v>
      </c>
      <c r="F12" s="75" t="s">
        <v>22</v>
      </c>
      <c r="G12" s="74" t="s">
        <v>129</v>
      </c>
      <c r="H12" s="85">
        <v>45709</v>
      </c>
      <c r="I12" s="96" t="s">
        <v>56</v>
      </c>
      <c r="J12" s="96" t="s">
        <v>131</v>
      </c>
      <c r="K12" s="96">
        <v>0</v>
      </c>
      <c r="L12" s="96" t="s">
        <v>159</v>
      </c>
      <c r="M12" s="96" t="s">
        <v>160</v>
      </c>
      <c r="N12" s="74">
        <v>2</v>
      </c>
      <c r="O12" s="77">
        <v>4.6296296296296293E-4</v>
      </c>
    </row>
    <row r="13" spans="1:15" ht="54" customHeight="1" thickTop="1" thickBot="1">
      <c r="A13" s="72"/>
      <c r="B13" s="78" t="s">
        <v>14</v>
      </c>
      <c r="C13" s="79" t="s">
        <v>762</v>
      </c>
      <c r="D13" s="79" t="s">
        <v>488</v>
      </c>
      <c r="E13" s="82" t="s">
        <v>12</v>
      </c>
      <c r="F13" s="82" t="s">
        <v>22</v>
      </c>
      <c r="G13" s="79" t="s">
        <v>174</v>
      </c>
      <c r="H13" s="86">
        <v>45708</v>
      </c>
      <c r="I13" s="96" t="s">
        <v>85</v>
      </c>
      <c r="J13" s="96" t="s">
        <v>57</v>
      </c>
      <c r="K13" s="96">
        <v>0</v>
      </c>
      <c r="L13" s="96" t="s">
        <v>489</v>
      </c>
      <c r="M13" s="96" t="s">
        <v>104</v>
      </c>
      <c r="N13" s="79">
        <v>1</v>
      </c>
      <c r="O13" s="83">
        <v>6.9444444444444447E-4</v>
      </c>
    </row>
    <row r="14" spans="1:15" ht="54" customHeight="1" thickTop="1" thickBot="1">
      <c r="A14" s="72"/>
      <c r="B14" s="94" t="s">
        <v>17</v>
      </c>
      <c r="C14" s="95" t="s">
        <v>763</v>
      </c>
      <c r="D14" s="95" t="s">
        <v>203</v>
      </c>
      <c r="E14" s="96" t="s">
        <v>12</v>
      </c>
      <c r="F14" s="96" t="s">
        <v>22</v>
      </c>
      <c r="G14" s="95" t="s">
        <v>204</v>
      </c>
      <c r="H14" s="97">
        <v>45699</v>
      </c>
      <c r="I14" s="96" t="s">
        <v>130</v>
      </c>
      <c r="J14" s="96" t="s">
        <v>131</v>
      </c>
      <c r="K14" s="96">
        <v>0</v>
      </c>
      <c r="L14" s="96" t="s">
        <v>205</v>
      </c>
      <c r="M14" s="96" t="s">
        <v>201</v>
      </c>
      <c r="N14" s="95">
        <v>1</v>
      </c>
      <c r="O14" s="98">
        <v>3.4722222222222224E-4</v>
      </c>
    </row>
    <row r="15" spans="1:15" ht="54" customHeight="1" thickTop="1" thickBot="1">
      <c r="A15" s="72"/>
      <c r="B15" s="73" t="s">
        <v>17</v>
      </c>
      <c r="C15" s="74" t="s">
        <v>764</v>
      </c>
      <c r="D15" s="74" t="s">
        <v>203</v>
      </c>
      <c r="E15" s="75" t="s">
        <v>12</v>
      </c>
      <c r="F15" s="75" t="s">
        <v>22</v>
      </c>
      <c r="G15" s="74" t="s">
        <v>204</v>
      </c>
      <c r="H15" s="85">
        <v>45699</v>
      </c>
      <c r="I15" s="96" t="s">
        <v>130</v>
      </c>
      <c r="J15" s="96" t="s">
        <v>131</v>
      </c>
      <c r="K15" s="96">
        <v>0</v>
      </c>
      <c r="L15" s="96" t="s">
        <v>205</v>
      </c>
      <c r="M15" s="96" t="s">
        <v>201</v>
      </c>
      <c r="N15" s="74">
        <v>1</v>
      </c>
      <c r="O15" s="77">
        <v>3.4722222222222224E-4</v>
      </c>
    </row>
    <row r="16" spans="1:15" ht="54" customHeight="1" thickTop="1" thickBot="1">
      <c r="A16" s="72"/>
      <c r="B16" s="73" t="s">
        <v>17</v>
      </c>
      <c r="C16" s="74" t="s">
        <v>765</v>
      </c>
      <c r="D16" s="74" t="s">
        <v>766</v>
      </c>
      <c r="E16" s="75" t="s">
        <v>12</v>
      </c>
      <c r="F16" s="75" t="s">
        <v>22</v>
      </c>
      <c r="G16" s="74" t="s">
        <v>278</v>
      </c>
      <c r="H16" s="85">
        <v>45699</v>
      </c>
      <c r="I16" s="96" t="s">
        <v>85</v>
      </c>
      <c r="J16" s="96" t="s">
        <v>131</v>
      </c>
      <c r="K16" s="96">
        <v>0</v>
      </c>
      <c r="L16" s="96" t="s">
        <v>210</v>
      </c>
      <c r="M16" s="96" t="s">
        <v>211</v>
      </c>
      <c r="N16" s="74">
        <v>1</v>
      </c>
      <c r="O16" s="77">
        <v>3.4722222222222224E-4</v>
      </c>
    </row>
    <row r="17" spans="1:15" ht="54" customHeight="1" thickTop="1" thickBot="1">
      <c r="A17" s="72"/>
      <c r="B17" s="73" t="s">
        <v>17</v>
      </c>
      <c r="C17" s="74" t="s">
        <v>767</v>
      </c>
      <c r="D17" s="74" t="s">
        <v>213</v>
      </c>
      <c r="E17" s="75" t="s">
        <v>12</v>
      </c>
      <c r="F17" s="75" t="s">
        <v>22</v>
      </c>
      <c r="G17" s="74" t="s">
        <v>737</v>
      </c>
      <c r="H17" s="85">
        <v>45699</v>
      </c>
      <c r="I17" s="96" t="s">
        <v>130</v>
      </c>
      <c r="J17" s="96" t="s">
        <v>131</v>
      </c>
      <c r="K17" s="96">
        <v>0</v>
      </c>
      <c r="L17" s="96" t="s">
        <v>215</v>
      </c>
      <c r="M17" s="96" t="s">
        <v>211</v>
      </c>
      <c r="N17" s="74">
        <v>1</v>
      </c>
      <c r="O17" s="77">
        <v>5.7870370370370378E-4</v>
      </c>
    </row>
    <row r="18" spans="1:15" ht="54" customHeight="1" thickTop="1" thickBot="1">
      <c r="A18" s="72"/>
      <c r="B18" s="73" t="s">
        <v>17</v>
      </c>
      <c r="C18" s="74" t="s">
        <v>768</v>
      </c>
      <c r="D18" s="74" t="s">
        <v>217</v>
      </c>
      <c r="E18" s="75" t="s">
        <v>12</v>
      </c>
      <c r="F18" s="75" t="s">
        <v>22</v>
      </c>
      <c r="G18" s="74" t="s">
        <v>218</v>
      </c>
      <c r="H18" s="85">
        <v>45699</v>
      </c>
      <c r="I18" s="96" t="s">
        <v>130</v>
      </c>
      <c r="J18" s="96" t="s">
        <v>131</v>
      </c>
      <c r="K18" s="96">
        <v>0</v>
      </c>
      <c r="L18" s="96" t="s">
        <v>219</v>
      </c>
      <c r="M18" s="96" t="s">
        <v>201</v>
      </c>
      <c r="N18" s="74">
        <v>2</v>
      </c>
      <c r="O18" s="77">
        <v>6.9444444444444447E-4</v>
      </c>
    </row>
    <row r="19" spans="1:15" ht="54" customHeight="1" thickTop="1" thickBot="1">
      <c r="A19" s="72"/>
      <c r="B19" s="73" t="s">
        <v>17</v>
      </c>
      <c r="C19" s="74" t="s">
        <v>769</v>
      </c>
      <c r="D19" s="74" t="s">
        <v>221</v>
      </c>
      <c r="E19" s="75" t="s">
        <v>12</v>
      </c>
      <c r="F19" s="75" t="s">
        <v>22</v>
      </c>
      <c r="G19" s="74" t="s">
        <v>222</v>
      </c>
      <c r="H19" s="85">
        <v>45698</v>
      </c>
      <c r="I19" s="96" t="s">
        <v>56</v>
      </c>
      <c r="J19" s="96" t="s">
        <v>131</v>
      </c>
      <c r="K19" s="96">
        <v>0</v>
      </c>
      <c r="L19" s="96" t="s">
        <v>223</v>
      </c>
      <c r="M19" s="96" t="s">
        <v>201</v>
      </c>
      <c r="N19" s="74">
        <v>1</v>
      </c>
      <c r="O19" s="77">
        <v>3.4722222222222224E-4</v>
      </c>
    </row>
    <row r="20" spans="1:15" ht="54" customHeight="1" thickTop="1" thickBot="1">
      <c r="A20" s="72"/>
      <c r="B20" s="73" t="s">
        <v>17</v>
      </c>
      <c r="C20" s="74" t="s">
        <v>770</v>
      </c>
      <c r="D20" s="74" t="s">
        <v>225</v>
      </c>
      <c r="E20" s="75" t="s">
        <v>12</v>
      </c>
      <c r="F20" s="75" t="s">
        <v>22</v>
      </c>
      <c r="G20" s="74" t="s">
        <v>218</v>
      </c>
      <c r="H20" s="85">
        <v>45699</v>
      </c>
      <c r="I20" s="96" t="s">
        <v>130</v>
      </c>
      <c r="J20" s="96" t="s">
        <v>57</v>
      </c>
      <c r="K20" s="96">
        <v>0</v>
      </c>
      <c r="L20" s="96" t="s">
        <v>215</v>
      </c>
      <c r="M20" s="96" t="s">
        <v>201</v>
      </c>
      <c r="N20" s="74">
        <v>1</v>
      </c>
      <c r="O20" s="77">
        <v>1.0416666666666667E-3</v>
      </c>
    </row>
    <row r="21" spans="1:15" ht="54" customHeight="1" thickTop="1" thickBot="1">
      <c r="A21" s="72"/>
      <c r="B21" s="73" t="s">
        <v>17</v>
      </c>
      <c r="C21" s="74" t="s">
        <v>771</v>
      </c>
      <c r="D21" s="74" t="s">
        <v>227</v>
      </c>
      <c r="E21" s="75" t="s">
        <v>12</v>
      </c>
      <c r="F21" s="75" t="s">
        <v>22</v>
      </c>
      <c r="G21" s="74" t="s">
        <v>772</v>
      </c>
      <c r="H21" s="85">
        <v>45697</v>
      </c>
      <c r="I21" s="96" t="s">
        <v>130</v>
      </c>
      <c r="J21" s="96" t="s">
        <v>131</v>
      </c>
      <c r="K21" s="96">
        <v>0</v>
      </c>
      <c r="L21" s="96" t="s">
        <v>229</v>
      </c>
      <c r="M21" s="96" t="s">
        <v>201</v>
      </c>
      <c r="N21" s="74">
        <v>1</v>
      </c>
      <c r="O21" s="77">
        <v>1.1574074074074073E-4</v>
      </c>
    </row>
    <row r="22" spans="1:15" ht="54" customHeight="1" thickTop="1" thickBot="1">
      <c r="A22" s="72"/>
      <c r="B22" s="73" t="s">
        <v>17</v>
      </c>
      <c r="C22" s="74" t="s">
        <v>773</v>
      </c>
      <c r="D22" s="74" t="s">
        <v>501</v>
      </c>
      <c r="E22" s="75" t="s">
        <v>12</v>
      </c>
      <c r="F22" s="75" t="s">
        <v>22</v>
      </c>
      <c r="G22" s="74" t="s">
        <v>278</v>
      </c>
      <c r="H22" s="85">
        <v>45699</v>
      </c>
      <c r="I22" s="96" t="s">
        <v>85</v>
      </c>
      <c r="J22" s="96" t="s">
        <v>131</v>
      </c>
      <c r="K22" s="96">
        <v>0</v>
      </c>
      <c r="L22" s="96" t="s">
        <v>502</v>
      </c>
      <c r="M22" s="96" t="s">
        <v>211</v>
      </c>
      <c r="N22" s="74">
        <v>1</v>
      </c>
      <c r="O22" s="77">
        <v>3.4722222222222224E-4</v>
      </c>
    </row>
    <row r="23" spans="1:15" ht="54" customHeight="1" thickTop="1" thickBot="1">
      <c r="A23" s="72"/>
      <c r="B23" s="73" t="s">
        <v>17</v>
      </c>
      <c r="C23" s="74" t="s">
        <v>774</v>
      </c>
      <c r="D23" s="74" t="s">
        <v>240</v>
      </c>
      <c r="E23" s="75" t="s">
        <v>12</v>
      </c>
      <c r="F23" s="75" t="s">
        <v>22</v>
      </c>
      <c r="G23" s="74" t="s">
        <v>241</v>
      </c>
      <c r="H23" s="85">
        <v>45699</v>
      </c>
      <c r="I23" s="96" t="s">
        <v>130</v>
      </c>
      <c r="J23" s="96" t="s">
        <v>131</v>
      </c>
      <c r="K23" s="96">
        <v>0</v>
      </c>
      <c r="L23" s="96" t="s">
        <v>242</v>
      </c>
      <c r="M23" s="96" t="s">
        <v>201</v>
      </c>
      <c r="N23" s="74">
        <v>1</v>
      </c>
      <c r="O23" s="77">
        <v>6.9444444444444447E-4</v>
      </c>
    </row>
    <row r="24" spans="1:15" ht="54" customHeight="1" thickTop="1" thickBot="1">
      <c r="A24" s="72"/>
      <c r="B24" s="73" t="s">
        <v>17</v>
      </c>
      <c r="C24" s="74" t="s">
        <v>775</v>
      </c>
      <c r="D24" s="74" t="s">
        <v>266</v>
      </c>
      <c r="E24" s="75" t="s">
        <v>12</v>
      </c>
      <c r="F24" s="75" t="s">
        <v>22</v>
      </c>
      <c r="G24" s="74" t="s">
        <v>267</v>
      </c>
      <c r="H24" s="85">
        <v>45698</v>
      </c>
      <c r="I24" s="96" t="s">
        <v>56</v>
      </c>
      <c r="J24" s="96" t="s">
        <v>131</v>
      </c>
      <c r="K24" s="96">
        <v>0</v>
      </c>
      <c r="L24" s="96" t="s">
        <v>268</v>
      </c>
      <c r="M24" s="96" t="s">
        <v>201</v>
      </c>
      <c r="N24" s="74">
        <v>1</v>
      </c>
      <c r="O24" s="77">
        <v>3.4722222222222224E-4</v>
      </c>
    </row>
    <row r="25" spans="1:15" ht="54" customHeight="1" thickTop="1" thickBot="1">
      <c r="A25" s="72"/>
      <c r="B25" s="73" t="s">
        <v>17</v>
      </c>
      <c r="C25" s="74" t="s">
        <v>776</v>
      </c>
      <c r="D25" s="74" t="s">
        <v>519</v>
      </c>
      <c r="E25" s="75" t="s">
        <v>12</v>
      </c>
      <c r="F25" s="75" t="s">
        <v>22</v>
      </c>
      <c r="G25" s="74" t="s">
        <v>278</v>
      </c>
      <c r="H25" s="85">
        <v>45699</v>
      </c>
      <c r="I25" s="96" t="s">
        <v>85</v>
      </c>
      <c r="J25" s="96" t="s">
        <v>131</v>
      </c>
      <c r="K25" s="96">
        <v>0</v>
      </c>
      <c r="L25" s="96" t="s">
        <v>279</v>
      </c>
      <c r="M25" s="96" t="s">
        <v>211</v>
      </c>
      <c r="N25" s="74">
        <v>1</v>
      </c>
      <c r="O25" s="77">
        <v>3.4722222222222224E-4</v>
      </c>
    </row>
    <row r="26" spans="1:15" ht="54" customHeight="1" thickTop="1" thickBot="1">
      <c r="A26" s="72"/>
      <c r="B26" s="73" t="s">
        <v>17</v>
      </c>
      <c r="C26" s="74" t="s">
        <v>777</v>
      </c>
      <c r="D26" s="74" t="s">
        <v>521</v>
      </c>
      <c r="E26" s="75" t="s">
        <v>12</v>
      </c>
      <c r="F26" s="75" t="s">
        <v>22</v>
      </c>
      <c r="G26" s="74" t="s">
        <v>278</v>
      </c>
      <c r="H26" s="85">
        <v>45699</v>
      </c>
      <c r="I26" s="96" t="s">
        <v>85</v>
      </c>
      <c r="J26" s="96" t="s">
        <v>131</v>
      </c>
      <c r="K26" s="96">
        <v>0</v>
      </c>
      <c r="L26" s="96" t="s">
        <v>285</v>
      </c>
      <c r="M26" s="96" t="s">
        <v>211</v>
      </c>
      <c r="N26" s="74">
        <v>1</v>
      </c>
      <c r="O26" s="77">
        <v>6.9444444444444447E-4</v>
      </c>
    </row>
    <row r="27" spans="1:15" ht="54" customHeight="1" thickTop="1" thickBot="1">
      <c r="A27" s="72"/>
      <c r="B27" s="73" t="s">
        <v>17</v>
      </c>
      <c r="C27" s="74" t="s">
        <v>778</v>
      </c>
      <c r="D27" s="74" t="s">
        <v>287</v>
      </c>
      <c r="E27" s="75" t="s">
        <v>12</v>
      </c>
      <c r="F27" s="75" t="s">
        <v>22</v>
      </c>
      <c r="G27" s="75" t="s">
        <v>288</v>
      </c>
      <c r="H27" s="76">
        <v>45698</v>
      </c>
      <c r="I27" s="96" t="s">
        <v>56</v>
      </c>
      <c r="J27" s="96" t="s">
        <v>131</v>
      </c>
      <c r="K27" s="96">
        <v>0</v>
      </c>
      <c r="L27" s="96" t="s">
        <v>289</v>
      </c>
      <c r="M27" s="96" t="s">
        <v>201</v>
      </c>
      <c r="N27" s="74">
        <v>1</v>
      </c>
      <c r="O27" s="77">
        <v>3.4722222222222224E-4</v>
      </c>
    </row>
    <row r="28" spans="1:15" ht="54" customHeight="1" thickTop="1" thickBot="1">
      <c r="A28" s="72"/>
      <c r="B28" s="73" t="s">
        <v>17</v>
      </c>
      <c r="C28" s="74" t="s">
        <v>779</v>
      </c>
      <c r="D28" s="74" t="s">
        <v>291</v>
      </c>
      <c r="E28" s="75" t="s">
        <v>12</v>
      </c>
      <c r="F28" s="75" t="s">
        <v>22</v>
      </c>
      <c r="G28" s="74" t="s">
        <v>780</v>
      </c>
      <c r="H28" s="85">
        <v>45698</v>
      </c>
      <c r="I28" s="96" t="s">
        <v>130</v>
      </c>
      <c r="J28" s="96" t="s">
        <v>131</v>
      </c>
      <c r="K28" s="96">
        <v>0</v>
      </c>
      <c r="L28" s="96" t="s">
        <v>293</v>
      </c>
      <c r="M28" s="96" t="s">
        <v>201</v>
      </c>
      <c r="N28" s="74">
        <v>1</v>
      </c>
      <c r="O28" s="77">
        <v>6.9444444444444447E-4</v>
      </c>
    </row>
    <row r="29" spans="1:15" ht="54" customHeight="1" thickTop="1" thickBot="1">
      <c r="A29" s="72"/>
      <c r="B29" s="73" t="s">
        <v>17</v>
      </c>
      <c r="C29" s="74" t="s">
        <v>781</v>
      </c>
      <c r="D29" s="74" t="s">
        <v>782</v>
      </c>
      <c r="E29" s="75" t="s">
        <v>12</v>
      </c>
      <c r="F29" s="75" t="s">
        <v>22</v>
      </c>
      <c r="G29" s="75" t="s">
        <v>308</v>
      </c>
      <c r="H29" s="76">
        <v>45698</v>
      </c>
      <c r="I29" s="96" t="s">
        <v>56</v>
      </c>
      <c r="J29" s="96" t="s">
        <v>131</v>
      </c>
      <c r="K29" s="96">
        <v>0</v>
      </c>
      <c r="L29" s="96" t="s">
        <v>309</v>
      </c>
      <c r="M29" s="96" t="s">
        <v>201</v>
      </c>
      <c r="N29" s="74">
        <v>1</v>
      </c>
      <c r="O29" s="77">
        <v>8.6805555555555551E-4</v>
      </c>
    </row>
    <row r="30" spans="1:15" ht="54" customHeight="1" thickTop="1" thickBot="1">
      <c r="A30" s="72"/>
      <c r="B30" s="73" t="s">
        <v>17</v>
      </c>
      <c r="C30" s="74" t="s">
        <v>783</v>
      </c>
      <c r="D30" s="74" t="s">
        <v>534</v>
      </c>
      <c r="E30" s="75" t="s">
        <v>12</v>
      </c>
      <c r="F30" s="75" t="s">
        <v>22</v>
      </c>
      <c r="G30" s="74" t="s">
        <v>741</v>
      </c>
      <c r="H30" s="85">
        <v>45698</v>
      </c>
      <c r="I30" s="96" t="s">
        <v>130</v>
      </c>
      <c r="J30" s="96" t="s">
        <v>131</v>
      </c>
      <c r="K30" s="96">
        <v>0</v>
      </c>
      <c r="L30" s="96" t="s">
        <v>313</v>
      </c>
      <c r="M30" s="96" t="s">
        <v>201</v>
      </c>
      <c r="N30" s="74">
        <v>1</v>
      </c>
      <c r="O30" s="77">
        <v>6.9444444444444447E-4</v>
      </c>
    </row>
    <row r="31" spans="1:15" ht="54" customHeight="1" thickTop="1" thickBot="1">
      <c r="A31" s="72"/>
      <c r="B31" s="78" t="s">
        <v>17</v>
      </c>
      <c r="C31" s="79" t="s">
        <v>784</v>
      </c>
      <c r="D31" s="79" t="s">
        <v>536</v>
      </c>
      <c r="E31" s="82" t="s">
        <v>12</v>
      </c>
      <c r="F31" s="82" t="s">
        <v>22</v>
      </c>
      <c r="G31" s="79" t="s">
        <v>741</v>
      </c>
      <c r="H31" s="86">
        <v>45698</v>
      </c>
      <c r="I31" s="96" t="s">
        <v>130</v>
      </c>
      <c r="J31" s="96" t="s">
        <v>131</v>
      </c>
      <c r="K31" s="96">
        <v>0</v>
      </c>
      <c r="L31" s="96" t="s">
        <v>313</v>
      </c>
      <c r="M31" s="96" t="s">
        <v>201</v>
      </c>
      <c r="N31" s="79">
        <v>1</v>
      </c>
      <c r="O31" s="83">
        <v>6.9444444444444447E-4</v>
      </c>
    </row>
    <row r="32" spans="1:15" ht="54" customHeight="1" thickTop="1" thickBot="1">
      <c r="B32" s="104" t="s">
        <v>21</v>
      </c>
      <c r="C32" s="105" t="s">
        <v>785</v>
      </c>
      <c r="D32" s="105" t="s">
        <v>786</v>
      </c>
      <c r="E32" s="106" t="s">
        <v>22</v>
      </c>
      <c r="F32" s="106"/>
      <c r="G32" s="105"/>
      <c r="H32" s="105"/>
      <c r="I32" s="96" t="s">
        <v>130</v>
      </c>
      <c r="J32" s="96" t="s">
        <v>131</v>
      </c>
      <c r="K32" s="96">
        <v>0</v>
      </c>
      <c r="L32" s="96" t="s">
        <v>344</v>
      </c>
      <c r="M32" s="96" t="s">
        <v>341</v>
      </c>
      <c r="N32" s="105">
        <v>2</v>
      </c>
      <c r="O32" s="108">
        <v>2.0833333333333333E-3</v>
      </c>
    </row>
    <row r="33" spans="2:15" ht="54" customHeight="1" thickTop="1" thickBot="1">
      <c r="B33" s="109" t="s">
        <v>21</v>
      </c>
      <c r="C33" s="103" t="s">
        <v>787</v>
      </c>
      <c r="D33" s="103" t="s">
        <v>788</v>
      </c>
      <c r="E33" s="110" t="s">
        <v>22</v>
      </c>
      <c r="F33" s="110"/>
      <c r="G33" s="103"/>
      <c r="H33" s="103"/>
      <c r="I33" s="96" t="s">
        <v>130</v>
      </c>
      <c r="J33" s="96" t="s">
        <v>131</v>
      </c>
      <c r="K33" s="96">
        <v>0</v>
      </c>
      <c r="L33" s="96" t="s">
        <v>344</v>
      </c>
      <c r="M33" s="96" t="s">
        <v>341</v>
      </c>
      <c r="N33" s="103">
        <v>2</v>
      </c>
      <c r="O33" s="112">
        <v>2.0833333333333333E-3</v>
      </c>
    </row>
    <row r="34" spans="2:15" ht="54" customHeight="1" thickTop="1" thickBot="1">
      <c r="B34" s="109" t="s">
        <v>21</v>
      </c>
      <c r="C34" s="103" t="s">
        <v>789</v>
      </c>
      <c r="D34" s="103" t="s">
        <v>790</v>
      </c>
      <c r="E34" s="110" t="str">
        <f>'UNDM 4 Car'!E66</f>
        <v>No</v>
      </c>
      <c r="F34" s="110">
        <f>'UNDM 4 Car'!F66</f>
        <v>0</v>
      </c>
      <c r="G34" s="110">
        <f>'UNDM 4 Car'!G66</f>
        <v>0</v>
      </c>
      <c r="H34" s="110">
        <f>'UNDM 4 Car'!H66</f>
        <v>0</v>
      </c>
      <c r="I34" s="96" t="s">
        <v>130</v>
      </c>
      <c r="J34" s="96" t="s">
        <v>131</v>
      </c>
      <c r="K34" s="96">
        <v>0</v>
      </c>
      <c r="L34" s="96" t="s">
        <v>337</v>
      </c>
      <c r="M34" s="96" t="s">
        <v>333</v>
      </c>
      <c r="N34" s="103">
        <v>4</v>
      </c>
      <c r="O34" s="112">
        <v>5.208333333333333E-3</v>
      </c>
    </row>
    <row r="35" spans="2:15" ht="54" customHeight="1" thickTop="1" thickBot="1">
      <c r="B35" s="109" t="s">
        <v>21</v>
      </c>
      <c r="C35" s="103" t="s">
        <v>791</v>
      </c>
      <c r="D35" s="103" t="s">
        <v>544</v>
      </c>
      <c r="E35" s="110" t="str">
        <f>'Trailer 4 Car'!E44</f>
        <v>No</v>
      </c>
      <c r="F35" s="110">
        <f>'Trailer 4 Car'!F44</f>
        <v>0</v>
      </c>
      <c r="G35" s="110">
        <f>'Trailer 4 Car'!G44</f>
        <v>0</v>
      </c>
      <c r="H35" s="110">
        <f>'Trailer 4 Car'!H44</f>
        <v>0</v>
      </c>
      <c r="I35" s="96" t="s">
        <v>130</v>
      </c>
      <c r="J35" s="96" t="s">
        <v>131</v>
      </c>
      <c r="K35" s="96">
        <v>0</v>
      </c>
      <c r="L35" s="96" t="s">
        <v>337</v>
      </c>
      <c r="M35" s="96" t="s">
        <v>333</v>
      </c>
      <c r="N35" s="103">
        <v>4</v>
      </c>
      <c r="O35" s="112">
        <v>5.208333333333333E-3</v>
      </c>
    </row>
    <row r="36" spans="2:15" ht="54" customHeight="1" thickTop="1" thickBot="1">
      <c r="B36" s="109" t="s">
        <v>21</v>
      </c>
      <c r="C36" s="103" t="s">
        <v>792</v>
      </c>
      <c r="D36" s="103" t="s">
        <v>359</v>
      </c>
      <c r="E36" s="110" t="s">
        <v>22</v>
      </c>
      <c r="F36" s="110"/>
      <c r="G36" s="103"/>
      <c r="H36" s="103"/>
      <c r="I36" s="96" t="s">
        <v>130</v>
      </c>
      <c r="J36" s="96" t="s">
        <v>131</v>
      </c>
      <c r="K36" s="96">
        <v>0</v>
      </c>
      <c r="L36" s="96" t="s">
        <v>360</v>
      </c>
      <c r="M36" s="96" t="s">
        <v>201</v>
      </c>
      <c r="N36" s="103">
        <v>2</v>
      </c>
      <c r="O36" s="112">
        <v>1.736111111111111E-3</v>
      </c>
    </row>
    <row r="37" spans="2:15" ht="54" customHeight="1" thickTop="1" thickBot="1">
      <c r="B37" s="109" t="s">
        <v>21</v>
      </c>
      <c r="C37" s="103" t="s">
        <v>793</v>
      </c>
      <c r="D37" s="103" t="s">
        <v>794</v>
      </c>
      <c r="E37" s="110" t="s">
        <v>22</v>
      </c>
      <c r="F37" s="110"/>
      <c r="G37" s="103"/>
      <c r="H37" s="103"/>
      <c r="I37" s="96" t="s">
        <v>56</v>
      </c>
      <c r="J37" s="96" t="s">
        <v>131</v>
      </c>
      <c r="K37" s="96">
        <v>0</v>
      </c>
      <c r="L37" s="96" t="s">
        <v>363</v>
      </c>
      <c r="M37" s="96" t="s">
        <v>160</v>
      </c>
      <c r="N37" s="103">
        <v>2</v>
      </c>
      <c r="O37" s="112">
        <v>4.6296296296296293E-4</v>
      </c>
    </row>
    <row r="38" spans="2:15" ht="54" customHeight="1" thickTop="1" thickBot="1">
      <c r="B38" s="109" t="s">
        <v>21</v>
      </c>
      <c r="C38" s="103" t="s">
        <v>795</v>
      </c>
      <c r="D38" s="103" t="s">
        <v>400</v>
      </c>
      <c r="E38" s="110" t="s">
        <v>22</v>
      </c>
      <c r="F38" s="110"/>
      <c r="G38" s="103"/>
      <c r="H38" s="103"/>
      <c r="I38" s="96" t="s">
        <v>85</v>
      </c>
      <c r="J38" s="96" t="s">
        <v>57</v>
      </c>
      <c r="K38" s="96">
        <v>0</v>
      </c>
      <c r="L38" s="96" t="s">
        <v>401</v>
      </c>
      <c r="M38" s="96" t="s">
        <v>104</v>
      </c>
      <c r="N38" s="103">
        <v>4</v>
      </c>
      <c r="O38" s="112">
        <v>2.0833333333333333E-3</v>
      </c>
    </row>
    <row r="39" spans="2:15" ht="54" customHeight="1" thickTop="1" thickBot="1">
      <c r="B39" s="114" t="s">
        <v>21</v>
      </c>
      <c r="C39" s="115" t="s">
        <v>796</v>
      </c>
      <c r="D39" s="115" t="s">
        <v>721</v>
      </c>
      <c r="E39" s="116" t="s">
        <v>22</v>
      </c>
      <c r="F39" s="116"/>
      <c r="G39" s="115"/>
      <c r="H39" s="115"/>
      <c r="I39" s="96" t="s">
        <v>56</v>
      </c>
      <c r="J39" s="96" t="s">
        <v>57</v>
      </c>
      <c r="K39" s="96">
        <v>0</v>
      </c>
      <c r="L39" s="96" t="s">
        <v>722</v>
      </c>
      <c r="M39" s="96" t="s">
        <v>104</v>
      </c>
      <c r="N39" s="115">
        <v>2</v>
      </c>
      <c r="O39" s="117">
        <v>6.9444444444444447E-4</v>
      </c>
    </row>
    <row r="40" spans="2:15" ht="54" customHeight="1" thickTop="1" thickBot="1">
      <c r="B40" s="104" t="s">
        <v>25</v>
      </c>
      <c r="C40" s="105" t="s">
        <v>797</v>
      </c>
      <c r="D40" s="105" t="s">
        <v>419</v>
      </c>
      <c r="E40" s="106" t="s">
        <v>22</v>
      </c>
      <c r="F40" s="106"/>
      <c r="G40" s="105"/>
      <c r="H40" s="105"/>
      <c r="I40" s="96" t="s">
        <v>130</v>
      </c>
      <c r="J40" s="96" t="s">
        <v>57</v>
      </c>
      <c r="K40" s="96">
        <v>0</v>
      </c>
      <c r="L40" s="96" t="s">
        <v>420</v>
      </c>
      <c r="M40" s="96" t="s">
        <v>234</v>
      </c>
      <c r="N40" s="105">
        <v>1</v>
      </c>
      <c r="O40" s="108">
        <v>6.9444444444444447E-4</v>
      </c>
    </row>
    <row r="41" spans="2:15" ht="54" customHeight="1" thickTop="1">
      <c r="B41" s="109" t="s">
        <v>25</v>
      </c>
      <c r="C41" s="103" t="s">
        <v>798</v>
      </c>
      <c r="D41" s="103" t="s">
        <v>799</v>
      </c>
      <c r="E41" s="110" t="s">
        <v>22</v>
      </c>
      <c r="F41" s="110"/>
      <c r="G41" s="103"/>
      <c r="H41" s="103"/>
      <c r="I41" s="96" t="s">
        <v>130</v>
      </c>
      <c r="J41" s="96" t="s">
        <v>57</v>
      </c>
      <c r="K41" s="96">
        <v>0</v>
      </c>
      <c r="L41" s="96">
        <v>0</v>
      </c>
      <c r="M41" s="96" t="s">
        <v>424</v>
      </c>
      <c r="N41" s="103">
        <v>1</v>
      </c>
      <c r="O41" s="112">
        <v>3.4722222222222224E-4</v>
      </c>
    </row>
    <row r="42" spans="2:15" ht="15.75" thickBot="1">
      <c r="B42" s="132"/>
      <c r="C42" s="116"/>
      <c r="D42" s="116"/>
      <c r="E42" s="116"/>
      <c r="F42" s="116"/>
      <c r="G42" s="116"/>
      <c r="H42" s="116"/>
      <c r="I42" s="116"/>
      <c r="J42" s="116"/>
      <c r="K42" s="120"/>
      <c r="L42" s="116"/>
      <c r="M42" s="120"/>
      <c r="N42" s="120"/>
      <c r="O42" s="133"/>
    </row>
    <row r="43" spans="2:15" ht="15.75" thickTop="1"/>
    <row r="88" ht="66" customHeight="1"/>
    <row r="128" ht="66" customHeight="1"/>
  </sheetData>
  <autoFilter ref="A2:O41" xr:uid="{A1F54CA9-D850-4C56-9250-200AD4095B93}"/>
  <conditionalFormatting sqref="C3:D9 G7 C11:D15 G11:H23 H9:H10 B41:D41 G9 G25:H26 G28:H28 G30:H33 C36:D40 D34:D35 G36:H40 C17:D21 C16 C23:D33 C22">
    <cfRule type="expression" dxfId="145" priority="59">
      <formula>AND(OR($F3="No",$F3=""), $E3= "Yes",$G3&lt;&gt;"",$H3&lt;&gt;"")</formula>
    </cfRule>
  </conditionalFormatting>
  <conditionalFormatting sqref="E3:F5">
    <cfRule type="expression" dxfId="144" priority="58">
      <formula>AND(OR($F3="No",$F3=""), $E3= "Yes",$G3&lt;&gt;"",$H3&lt;&gt;"")</formula>
    </cfRule>
  </conditionalFormatting>
  <conditionalFormatting sqref="C10:D10">
    <cfRule type="expression" dxfId="143" priority="169">
      <formula>AND(OR($F10="No",$F10=""), $E10= "Yes",#REF!&lt;&gt;"",$H10&lt;&gt;"")</formula>
    </cfRule>
  </conditionalFormatting>
  <conditionalFormatting sqref="H7">
    <cfRule type="expression" dxfId="142" priority="48">
      <formula>AND(OR($F7="No",$F7=""), $E7= "Yes",$G7&lt;&gt;"",$H7&lt;&gt;"")</formula>
    </cfRule>
  </conditionalFormatting>
  <conditionalFormatting sqref="G3:H5">
    <cfRule type="expression" dxfId="141" priority="47">
      <formula>AND(OR($F3="No",$F3=""), $E3= "Yes",$G3&lt;&gt;"",$H3&lt;&gt;"")</formula>
    </cfRule>
  </conditionalFormatting>
  <conditionalFormatting sqref="G41:H41">
    <cfRule type="expression" dxfId="140" priority="41">
      <formula>AND(OR($F41="No",$F41=""), $E41= "Yes",$G41&lt;&gt;"",$H41&lt;&gt;"")</formula>
    </cfRule>
  </conditionalFormatting>
  <conditionalFormatting sqref="I3:M41">
    <cfRule type="expression" dxfId="139" priority="38">
      <formula>AND(OR($F4="No",$F4=""), $E3= "Yes",$G3&lt;&gt;"",$H3&lt;&gt;"")</formula>
    </cfRule>
  </conditionalFormatting>
  <conditionalFormatting sqref="E7:F7 E9:F23 E25:F26 E28:F28 E30:F33 E36:F41 E34:H35">
    <cfRule type="expression" dxfId="138" priority="31">
      <formula>AND(OR($F7="No",$F7=""), $E7= "Yes",$G7&lt;&gt;"",$H7&lt;&gt;"")</formula>
    </cfRule>
    <cfRule type="expression" dxfId="137" priority="32">
      <formula>AND(OR($E7="No",$E7=""), $F7= "Yes",$G7&lt;&gt;"",$H7&lt;&gt;"")</formula>
    </cfRule>
  </conditionalFormatting>
  <conditionalFormatting sqref="G6:H6">
    <cfRule type="expression" dxfId="136" priority="28">
      <formula>AND(OR($F6="No",$F6=""), $E6= "Yes",$G6&lt;&gt;"",$H6&lt;&gt;"")</formula>
    </cfRule>
  </conditionalFormatting>
  <conditionalFormatting sqref="E6:F6">
    <cfRule type="expression" dxfId="135" priority="26">
      <formula>AND(OR($F6="No",$F6=""), $E6= "Yes",$G6&lt;&gt;"",$H6&lt;&gt;"")</formula>
    </cfRule>
    <cfRule type="expression" dxfId="134" priority="27">
      <formula>AND(OR($E6="No",$E6=""), $F6= "Yes",$G6&lt;&gt;"",$H6&lt;&gt;"")</formula>
    </cfRule>
  </conditionalFormatting>
  <conditionalFormatting sqref="G8:H8">
    <cfRule type="expression" dxfId="133" priority="25">
      <formula>AND(OR($F8="No",$F8=""), $E8= "Yes",$G8&lt;&gt;"",$H8&lt;&gt;"")</formula>
    </cfRule>
  </conditionalFormatting>
  <conditionalFormatting sqref="E8:F8">
    <cfRule type="expression" dxfId="132" priority="23">
      <formula>AND(OR($F8="No",$F8=""), $E8= "Yes",$G8&lt;&gt;"",$H8&lt;&gt;"")</formula>
    </cfRule>
    <cfRule type="expression" dxfId="131" priority="24">
      <formula>AND(OR($E8="No",$E8=""), $F8= "Yes",$G8&lt;&gt;"",$H8&lt;&gt;"")</formula>
    </cfRule>
  </conditionalFormatting>
  <conditionalFormatting sqref="G24:H24">
    <cfRule type="expression" dxfId="130" priority="22">
      <formula>AND(OR($F24="No",$F24=""), $E24= "Yes",$G24&lt;&gt;"",$H24&lt;&gt;"")</formula>
    </cfRule>
  </conditionalFormatting>
  <conditionalFormatting sqref="E24:F24">
    <cfRule type="expression" dxfId="129" priority="20">
      <formula>AND(OR($F24="No",$F24=""), $E24= "Yes",$G24&lt;&gt;"",$H24&lt;&gt;"")</formula>
    </cfRule>
    <cfRule type="expression" dxfId="128" priority="21">
      <formula>AND(OR($E24="No",$E24=""), $F24= "Yes",$G24&lt;&gt;"",$H24&lt;&gt;"")</formula>
    </cfRule>
  </conditionalFormatting>
  <conditionalFormatting sqref="G27:H27">
    <cfRule type="expression" dxfId="127" priority="19">
      <formula>AND(OR($F27="No",$F27=""), $E27= "Yes",$G27&lt;&gt;"",$H27&lt;&gt;"")</formula>
    </cfRule>
  </conditionalFormatting>
  <conditionalFormatting sqref="E27:F27">
    <cfRule type="expression" dxfId="126" priority="17">
      <formula>AND(OR($F27="No",$F27=""), $E27= "Yes",$G27&lt;&gt;"",$H27&lt;&gt;"")</formula>
    </cfRule>
    <cfRule type="expression" dxfId="125" priority="18">
      <formula>AND(OR($E27="No",$E27=""), $F27= "Yes",$G27&lt;&gt;"",$H27&lt;&gt;"")</formula>
    </cfRule>
  </conditionalFormatting>
  <conditionalFormatting sqref="G29:H29">
    <cfRule type="expression" dxfId="124" priority="16">
      <formula>AND(OR($F29="No",$F29=""), $E29= "Yes",$G29&lt;&gt;"",$H29&lt;&gt;"")</formula>
    </cfRule>
  </conditionalFormatting>
  <conditionalFormatting sqref="E29:F29">
    <cfRule type="expression" dxfId="123" priority="14">
      <formula>AND(OR($F29="No",$F29=""), $E29= "Yes",$G29&lt;&gt;"",$H29&lt;&gt;"")</formula>
    </cfRule>
    <cfRule type="expression" dxfId="122" priority="15">
      <formula>AND(OR($E29="No",$E29=""), $F29= "Yes",$G29&lt;&gt;"",$H29&lt;&gt;"")</formula>
    </cfRule>
  </conditionalFormatting>
  <conditionalFormatting sqref="A2">
    <cfRule type="expression" dxfId="121" priority="12">
      <formula>AND(OR(#REF!="No",#REF!=""), #REF!= "Yes",#REF!&lt;&gt;"",#REF!&lt;&gt;"")</formula>
    </cfRule>
    <cfRule type="expression" dxfId="120" priority="13">
      <formula>AND(OR(#REF!="No",#REF!=""), #REF!= "Yes",#REF!&lt;&gt;"",#REF!&lt;&gt;"")</formula>
    </cfRule>
  </conditionalFormatting>
  <conditionalFormatting sqref="N3:O3 N5:O12 N35:O36 N38:O40 N14:O31">
    <cfRule type="expression" dxfId="119" priority="11">
      <formula>AND(OR($F3="No",$F3=""), $E3= "Yes",$G3&lt;&gt;"",$H3&lt;&gt;"")</formula>
    </cfRule>
  </conditionalFormatting>
  <conditionalFormatting sqref="N4:O4">
    <cfRule type="expression" dxfId="118" priority="10">
      <formula>AND(OR($F4="No",$F4=""), $E4= "Yes",$G4&lt;&gt;"",$H4&lt;&gt;"")</formula>
    </cfRule>
  </conditionalFormatting>
  <conditionalFormatting sqref="N32:O32">
    <cfRule type="expression" dxfId="117" priority="9">
      <formula>AND(OR($F32="No",$F32=""), $E32= "Yes",$G32&lt;&gt;"",$H32&lt;&gt;"")</formula>
    </cfRule>
  </conditionalFormatting>
  <conditionalFormatting sqref="N33:O33">
    <cfRule type="expression" dxfId="116" priority="8">
      <formula>AND(OR($F33="No",$F33=""), $E33= "Yes",$G33&lt;&gt;"",$H33&lt;&gt;"")</formula>
    </cfRule>
  </conditionalFormatting>
  <conditionalFormatting sqref="N34:O34">
    <cfRule type="expression" dxfId="115" priority="7">
      <formula>AND(OR($F34="No",$F34=""), $E34= "Yes",$G34&lt;&gt;"",$H34&lt;&gt;"")</formula>
    </cfRule>
  </conditionalFormatting>
  <conditionalFormatting sqref="N37:O37">
    <cfRule type="expression" dxfId="114" priority="6">
      <formula>AND(OR($F37="No",$F37=""), $E37= "Yes",$G37&lt;&gt;"",$H37&lt;&gt;"")</formula>
    </cfRule>
  </conditionalFormatting>
  <conditionalFormatting sqref="N41:O41">
    <cfRule type="expression" dxfId="113" priority="5">
      <formula>AND(OR($E41="No",$E41=""), $D41= "Yes",$F41&lt;&gt;"",$G41&lt;&gt;"")</formula>
    </cfRule>
  </conditionalFormatting>
  <conditionalFormatting sqref="N13:O13">
    <cfRule type="expression" dxfId="112" priority="4">
      <formula>AND(OR($F13="No",$F13=""), $E13= "Yes",$G13&lt;&gt;"",$H13&lt;&gt;"")</formula>
    </cfRule>
  </conditionalFormatting>
  <conditionalFormatting sqref="C34:C35">
    <cfRule type="expression" dxfId="111" priority="3">
      <formula>AND(OR($F34="No",$F34=""), $E34= "Yes",$G34&lt;&gt;"",$H34&lt;&gt;"")</formula>
    </cfRule>
  </conditionalFormatting>
  <conditionalFormatting sqref="D16">
    <cfRule type="expression" dxfId="110" priority="2">
      <formula>AND(OR($F16="No",$F16=""), $E16= "Yes",$G16&lt;&gt;"",$H16&lt;&gt;"")</formula>
    </cfRule>
  </conditionalFormatting>
  <conditionalFormatting sqref="D22">
    <cfRule type="expression" dxfId="109" priority="1">
      <formula>AND(OR($F22="No",$F22=""), $E22= "Yes",$G22&lt;&gt;"",$H22&lt;&gt;"")</formula>
    </cfRule>
  </conditionalFormatting>
  <dataValidations count="1">
    <dataValidation type="list" allowBlank="1" showInputMessage="1" showErrorMessage="1" sqref="E3:E5 E6:F33 E3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28"/>
  <sheetViews>
    <sheetView zoomScale="60" zoomScaleNormal="60" workbookViewId="0">
      <pane ySplit="2" topLeftCell="A46" activePane="bottomLeft" state="frozen"/>
      <selection pane="bottomLeft" activeCell="G57" sqref="G57"/>
    </sheetView>
  </sheetViews>
  <sheetFormatPr defaultRowHeight="15"/>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1" width="10.33203125" style="22" customWidth="1"/>
    <col min="12" max="12" width="15.88671875" style="22" customWidth="1"/>
    <col min="13" max="13" width="8.88671875" style="3" customWidth="1"/>
    <col min="14" max="14" width="10.33203125" style="3" customWidth="1"/>
    <col min="15" max="17" width="8.88671875" style="3" customWidth="1"/>
    <col min="18" max="16384" width="8.88671875" style="3"/>
  </cols>
  <sheetData>
    <row r="1" spans="1:15" ht="21" customHeight="1" thickBot="1">
      <c r="B1" s="88" t="s">
        <v>44</v>
      </c>
      <c r="C1" s="62" t="s">
        <v>800</v>
      </c>
      <c r="D1" s="23"/>
      <c r="E1" s="23"/>
      <c r="F1" s="23"/>
      <c r="G1" s="23"/>
      <c r="H1" s="23"/>
      <c r="I1" s="23"/>
      <c r="J1" s="23"/>
      <c r="L1" s="23"/>
    </row>
    <row r="2" spans="1:15" s="10" customFormat="1" ht="87.95" customHeight="1" thickBot="1">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row>
    <row r="3" spans="1:15" ht="54" customHeight="1" thickTop="1" thickBot="1">
      <c r="A3" s="72"/>
      <c r="B3" s="94" t="s">
        <v>11</v>
      </c>
      <c r="C3" s="95" t="s">
        <v>461</v>
      </c>
      <c r="D3" s="95" t="s">
        <v>462</v>
      </c>
      <c r="E3" s="95" t="s">
        <v>12</v>
      </c>
      <c r="F3" s="95" t="s">
        <v>22</v>
      </c>
      <c r="G3" s="95" t="s">
        <v>55</v>
      </c>
      <c r="H3" s="97" t="s">
        <v>55</v>
      </c>
      <c r="I3" s="96" t="s">
        <v>56</v>
      </c>
      <c r="J3" s="96" t="s">
        <v>57</v>
      </c>
      <c r="K3" s="96">
        <v>0</v>
      </c>
      <c r="L3" s="96" t="s">
        <v>463</v>
      </c>
      <c r="M3" s="96" t="s">
        <v>59</v>
      </c>
      <c r="N3" s="95">
        <v>2</v>
      </c>
      <c r="O3" s="98">
        <v>5.2083333333333333E-4</v>
      </c>
    </row>
    <row r="4" spans="1:15" ht="54" customHeight="1" thickTop="1" thickBot="1">
      <c r="A4" s="72"/>
      <c r="B4" s="73" t="s">
        <v>11</v>
      </c>
      <c r="C4" s="74" t="s">
        <v>464</v>
      </c>
      <c r="D4" s="74" t="s">
        <v>465</v>
      </c>
      <c r="E4" s="74" t="s">
        <v>12</v>
      </c>
      <c r="F4" s="74" t="s">
        <v>22</v>
      </c>
      <c r="G4" s="74" t="s">
        <v>55</v>
      </c>
      <c r="H4" s="85" t="s">
        <v>55</v>
      </c>
      <c r="I4" s="96" t="s">
        <v>56</v>
      </c>
      <c r="J4" s="96" t="s">
        <v>57</v>
      </c>
      <c r="K4" s="96">
        <v>0</v>
      </c>
      <c r="L4" s="96" t="s">
        <v>62</v>
      </c>
      <c r="M4" s="96" t="s">
        <v>63</v>
      </c>
      <c r="N4" s="74">
        <v>1</v>
      </c>
      <c r="O4" s="77">
        <v>1.3888888888888889E-3</v>
      </c>
    </row>
    <row r="5" spans="1:15" ht="54" customHeight="1" thickTop="1" thickBot="1">
      <c r="A5" s="72"/>
      <c r="B5" s="73" t="s">
        <v>11</v>
      </c>
      <c r="C5" s="74" t="s">
        <v>466</v>
      </c>
      <c r="D5" s="74" t="s">
        <v>467</v>
      </c>
      <c r="E5" s="74" t="s">
        <v>12</v>
      </c>
      <c r="F5" s="74" t="s">
        <v>22</v>
      </c>
      <c r="G5" s="74" t="s">
        <v>55</v>
      </c>
      <c r="H5" s="85" t="s">
        <v>55</v>
      </c>
      <c r="I5" s="96" t="s">
        <v>56</v>
      </c>
      <c r="J5" s="96" t="s">
        <v>57</v>
      </c>
      <c r="K5" s="96">
        <v>0</v>
      </c>
      <c r="L5" s="96" t="s">
        <v>91</v>
      </c>
      <c r="M5" s="96" t="s">
        <v>59</v>
      </c>
      <c r="N5" s="74">
        <v>1</v>
      </c>
      <c r="O5" s="77">
        <v>2.0833333333333333E-3</v>
      </c>
    </row>
    <row r="6" spans="1:15" ht="54" customHeight="1" thickTop="1" thickBot="1">
      <c r="A6" s="72"/>
      <c r="B6" s="78" t="s">
        <v>11</v>
      </c>
      <c r="C6" s="79" t="s">
        <v>468</v>
      </c>
      <c r="D6" s="79" t="s">
        <v>469</v>
      </c>
      <c r="E6" s="79" t="s">
        <v>12</v>
      </c>
      <c r="F6" s="79" t="s">
        <v>22</v>
      </c>
      <c r="G6" s="79" t="s">
        <v>55</v>
      </c>
      <c r="H6" s="86" t="s">
        <v>55</v>
      </c>
      <c r="I6" s="96" t="s">
        <v>56</v>
      </c>
      <c r="J6" s="96" t="s">
        <v>57</v>
      </c>
      <c r="K6" s="96">
        <v>0</v>
      </c>
      <c r="L6" s="96" t="s">
        <v>96</v>
      </c>
      <c r="M6" s="96" t="s">
        <v>59</v>
      </c>
      <c r="N6" s="79">
        <v>1</v>
      </c>
      <c r="O6" s="83">
        <v>1.0416666666666667E-3</v>
      </c>
    </row>
    <row r="7" spans="1:15" ht="54" customHeight="1" thickTop="1" thickBot="1">
      <c r="A7" s="72"/>
      <c r="B7" s="94" t="s">
        <v>14</v>
      </c>
      <c r="C7" s="95" t="s">
        <v>470</v>
      </c>
      <c r="D7" s="95" t="s">
        <v>471</v>
      </c>
      <c r="E7" s="96" t="s">
        <v>12</v>
      </c>
      <c r="F7" s="96" t="s">
        <v>22</v>
      </c>
      <c r="G7" s="96" t="s">
        <v>472</v>
      </c>
      <c r="H7" s="100">
        <v>45697</v>
      </c>
      <c r="I7" s="96" t="s">
        <v>130</v>
      </c>
      <c r="J7" s="96" t="s">
        <v>131</v>
      </c>
      <c r="K7" s="96">
        <v>0</v>
      </c>
      <c r="L7" s="96" t="s">
        <v>132</v>
      </c>
      <c r="M7" s="96" t="s">
        <v>104</v>
      </c>
      <c r="N7" s="95">
        <v>4</v>
      </c>
      <c r="O7" s="98">
        <v>1.736111111111111E-3</v>
      </c>
    </row>
    <row r="8" spans="1:15" ht="54" customHeight="1" thickTop="1" thickBot="1">
      <c r="A8" s="72"/>
      <c r="B8" s="73" t="s">
        <v>14</v>
      </c>
      <c r="C8" s="74" t="s">
        <v>473</v>
      </c>
      <c r="D8" s="74" t="s">
        <v>474</v>
      </c>
      <c r="E8" s="75" t="s">
        <v>12</v>
      </c>
      <c r="F8" s="75" t="s">
        <v>22</v>
      </c>
      <c r="G8" s="74" t="s">
        <v>618</v>
      </c>
      <c r="H8" s="85">
        <v>45708</v>
      </c>
      <c r="I8" s="96" t="s">
        <v>130</v>
      </c>
      <c r="J8" s="96" t="s">
        <v>131</v>
      </c>
      <c r="K8" s="96">
        <v>0</v>
      </c>
      <c r="L8" s="96" t="s">
        <v>132</v>
      </c>
      <c r="M8" s="96" t="s">
        <v>104</v>
      </c>
      <c r="N8" s="74">
        <v>4</v>
      </c>
      <c r="O8" s="77">
        <v>1.736111111111111E-3</v>
      </c>
    </row>
    <row r="9" spans="1:15" ht="54" customHeight="1" thickTop="1" thickBot="1">
      <c r="A9" s="72"/>
      <c r="B9" s="73" t="s">
        <v>14</v>
      </c>
      <c r="C9" s="74" t="s">
        <v>476</v>
      </c>
      <c r="D9" s="74" t="s">
        <v>477</v>
      </c>
      <c r="E9" s="75" t="s">
        <v>12</v>
      </c>
      <c r="F9" s="75" t="s">
        <v>22</v>
      </c>
      <c r="G9" s="75" t="s">
        <v>472</v>
      </c>
      <c r="H9" s="76">
        <v>45697</v>
      </c>
      <c r="I9" s="96" t="s">
        <v>130</v>
      </c>
      <c r="J9" s="96" t="s">
        <v>131</v>
      </c>
      <c r="K9" s="96">
        <v>0</v>
      </c>
      <c r="L9" s="96" t="s">
        <v>132</v>
      </c>
      <c r="M9" s="96" t="s">
        <v>104</v>
      </c>
      <c r="N9" s="74">
        <v>4</v>
      </c>
      <c r="O9" s="77">
        <v>1.736111111111111E-3</v>
      </c>
    </row>
    <row r="10" spans="1:15" ht="54" customHeight="1" thickTop="1" thickBot="1">
      <c r="A10" s="72"/>
      <c r="B10" s="73" t="s">
        <v>14</v>
      </c>
      <c r="C10" s="74" t="s">
        <v>478</v>
      </c>
      <c r="D10" s="74" t="s">
        <v>479</v>
      </c>
      <c r="E10" s="75" t="s">
        <v>12</v>
      </c>
      <c r="F10" s="75" t="s">
        <v>22</v>
      </c>
      <c r="G10" s="74" t="s">
        <v>618</v>
      </c>
      <c r="H10" s="85">
        <v>45708</v>
      </c>
      <c r="I10" s="96" t="s">
        <v>130</v>
      </c>
      <c r="J10" s="96" t="s">
        <v>131</v>
      </c>
      <c r="K10" s="96">
        <v>0</v>
      </c>
      <c r="L10" s="96" t="s">
        <v>132</v>
      </c>
      <c r="M10" s="96" t="s">
        <v>104</v>
      </c>
      <c r="N10" s="74">
        <v>4</v>
      </c>
      <c r="O10" s="77">
        <v>1.736111111111111E-3</v>
      </c>
    </row>
    <row r="11" spans="1:15" ht="54" customHeight="1" thickTop="1" thickBot="1">
      <c r="A11" s="72"/>
      <c r="B11" s="73" t="s">
        <v>14</v>
      </c>
      <c r="C11" s="74" t="s">
        <v>480</v>
      </c>
      <c r="D11" s="74" t="s">
        <v>481</v>
      </c>
      <c r="E11" s="75" t="s">
        <v>12</v>
      </c>
      <c r="F11" s="75" t="s">
        <v>22</v>
      </c>
      <c r="G11" s="74" t="s">
        <v>151</v>
      </c>
      <c r="H11" s="85">
        <v>45701</v>
      </c>
      <c r="I11" s="96" t="s">
        <v>130</v>
      </c>
      <c r="J11" s="96" t="s">
        <v>57</v>
      </c>
      <c r="K11" s="96">
        <v>0</v>
      </c>
      <c r="L11" s="96" t="s">
        <v>482</v>
      </c>
      <c r="M11" s="96" t="s">
        <v>143</v>
      </c>
      <c r="N11" s="74">
        <v>1</v>
      </c>
      <c r="O11" s="77">
        <v>6.9444444444444447E-4</v>
      </c>
    </row>
    <row r="12" spans="1:15" ht="54" customHeight="1" thickTop="1" thickBot="1">
      <c r="A12" s="72"/>
      <c r="B12" s="73" t="s">
        <v>14</v>
      </c>
      <c r="C12" s="74" t="s">
        <v>483</v>
      </c>
      <c r="D12" s="74" t="s">
        <v>484</v>
      </c>
      <c r="E12" s="75" t="s">
        <v>12</v>
      </c>
      <c r="F12" s="75" t="s">
        <v>22</v>
      </c>
      <c r="G12" s="74" t="s">
        <v>618</v>
      </c>
      <c r="H12" s="85">
        <v>45708</v>
      </c>
      <c r="I12" s="96" t="s">
        <v>56</v>
      </c>
      <c r="J12" s="96" t="s">
        <v>131</v>
      </c>
      <c r="K12" s="96">
        <v>0</v>
      </c>
      <c r="L12" s="96" t="s">
        <v>159</v>
      </c>
      <c r="M12" s="96" t="s">
        <v>160</v>
      </c>
      <c r="N12" s="74">
        <v>2</v>
      </c>
      <c r="O12" s="77">
        <v>4.6296296296296293E-4</v>
      </c>
    </row>
    <row r="13" spans="1:15" ht="54" customHeight="1" thickTop="1" thickBot="1">
      <c r="A13" s="72"/>
      <c r="B13" s="73" t="s">
        <v>14</v>
      </c>
      <c r="C13" s="74" t="s">
        <v>485</v>
      </c>
      <c r="D13" s="74" t="s">
        <v>486</v>
      </c>
      <c r="E13" s="75" t="s">
        <v>12</v>
      </c>
      <c r="F13" s="75" t="s">
        <v>22</v>
      </c>
      <c r="G13" s="74" t="s">
        <v>618</v>
      </c>
      <c r="H13" s="85">
        <v>45708</v>
      </c>
      <c r="I13" s="96" t="s">
        <v>56</v>
      </c>
      <c r="J13" s="96" t="s">
        <v>131</v>
      </c>
      <c r="K13" s="96">
        <v>0</v>
      </c>
      <c r="L13" s="96" t="s">
        <v>159</v>
      </c>
      <c r="M13" s="96" t="s">
        <v>160</v>
      </c>
      <c r="N13" s="74">
        <v>2</v>
      </c>
      <c r="O13" s="77">
        <v>4.6296296296296293E-4</v>
      </c>
    </row>
    <row r="14" spans="1:15" ht="54" customHeight="1" thickTop="1" thickBot="1">
      <c r="A14" s="72"/>
      <c r="B14" s="78" t="s">
        <v>14</v>
      </c>
      <c r="C14" s="79" t="s">
        <v>487</v>
      </c>
      <c r="D14" s="79" t="s">
        <v>488</v>
      </c>
      <c r="E14" s="82" t="s">
        <v>12</v>
      </c>
      <c r="F14" s="82" t="s">
        <v>22</v>
      </c>
      <c r="G14" s="79" t="s">
        <v>174</v>
      </c>
      <c r="H14" s="86">
        <v>45708</v>
      </c>
      <c r="I14" s="96" t="s">
        <v>85</v>
      </c>
      <c r="J14" s="96" t="s">
        <v>57</v>
      </c>
      <c r="K14" s="96">
        <v>0</v>
      </c>
      <c r="L14" s="96" t="s">
        <v>489</v>
      </c>
      <c r="M14" s="96" t="s">
        <v>104</v>
      </c>
      <c r="N14" s="79">
        <v>1</v>
      </c>
      <c r="O14" s="83">
        <v>6.9444444444444447E-4</v>
      </c>
    </row>
    <row r="15" spans="1:15" ht="54" customHeight="1" thickTop="1" thickBot="1">
      <c r="A15" s="72"/>
      <c r="B15" s="94" t="s">
        <v>17</v>
      </c>
      <c r="C15" s="95" t="s">
        <v>801</v>
      </c>
      <c r="D15" s="95" t="s">
        <v>203</v>
      </c>
      <c r="E15" s="96" t="s">
        <v>12</v>
      </c>
      <c r="F15" s="96" t="s">
        <v>22</v>
      </c>
      <c r="G15" s="95" t="s">
        <v>204</v>
      </c>
      <c r="H15" s="97">
        <v>45699</v>
      </c>
      <c r="I15" s="96" t="s">
        <v>130</v>
      </c>
      <c r="J15" s="96" t="s">
        <v>131</v>
      </c>
      <c r="K15" s="96">
        <v>0</v>
      </c>
      <c r="L15" s="96" t="s">
        <v>205</v>
      </c>
      <c r="M15" s="96" t="s">
        <v>201</v>
      </c>
      <c r="N15" s="95">
        <v>1</v>
      </c>
      <c r="O15" s="98">
        <v>3.4722222222222224E-4</v>
      </c>
    </row>
    <row r="16" spans="1:15" ht="54" customHeight="1" thickTop="1" thickBot="1">
      <c r="A16" s="72"/>
      <c r="B16" s="73" t="s">
        <v>17</v>
      </c>
      <c r="C16" s="74" t="s">
        <v>491</v>
      </c>
      <c r="D16" s="74" t="s">
        <v>203</v>
      </c>
      <c r="E16" s="75" t="s">
        <v>12</v>
      </c>
      <c r="F16" s="75" t="s">
        <v>22</v>
      </c>
      <c r="G16" s="74" t="s">
        <v>204</v>
      </c>
      <c r="H16" s="85">
        <v>45699</v>
      </c>
      <c r="I16" s="96" t="s">
        <v>130</v>
      </c>
      <c r="J16" s="96" t="s">
        <v>131</v>
      </c>
      <c r="K16" s="96">
        <v>0</v>
      </c>
      <c r="L16" s="96" t="s">
        <v>205</v>
      </c>
      <c r="M16" s="96" t="s">
        <v>201</v>
      </c>
      <c r="N16" s="74">
        <v>1</v>
      </c>
      <c r="O16" s="77">
        <v>3.4722222222222224E-4</v>
      </c>
    </row>
    <row r="17" spans="1:15" ht="54" customHeight="1" thickTop="1" thickBot="1">
      <c r="A17" s="72"/>
      <c r="B17" s="73" t="s">
        <v>17</v>
      </c>
      <c r="C17" s="74" t="s">
        <v>802</v>
      </c>
      <c r="D17" s="74" t="s">
        <v>803</v>
      </c>
      <c r="E17" s="75" t="s">
        <v>12</v>
      </c>
      <c r="F17" s="75" t="s">
        <v>22</v>
      </c>
      <c r="G17" s="74" t="s">
        <v>278</v>
      </c>
      <c r="H17" s="85">
        <v>45699</v>
      </c>
      <c r="I17" s="96" t="s">
        <v>85</v>
      </c>
      <c r="J17" s="96" t="s">
        <v>131</v>
      </c>
      <c r="K17" s="96">
        <v>0</v>
      </c>
      <c r="L17" s="96" t="s">
        <v>210</v>
      </c>
      <c r="M17" s="96" t="s">
        <v>211</v>
      </c>
      <c r="N17" s="74">
        <v>1</v>
      </c>
      <c r="O17" s="77">
        <v>3.4722222222222224E-4</v>
      </c>
    </row>
    <row r="18" spans="1:15" ht="54" customHeight="1" thickTop="1" thickBot="1">
      <c r="A18" s="72"/>
      <c r="B18" s="73" t="s">
        <v>17</v>
      </c>
      <c r="C18" s="74" t="s">
        <v>494</v>
      </c>
      <c r="D18" s="74" t="s">
        <v>213</v>
      </c>
      <c r="E18" s="75" t="s">
        <v>12</v>
      </c>
      <c r="F18" s="75" t="s">
        <v>22</v>
      </c>
      <c r="G18" s="74" t="s">
        <v>737</v>
      </c>
      <c r="H18" s="85">
        <v>45699</v>
      </c>
      <c r="I18" s="96" t="s">
        <v>130</v>
      </c>
      <c r="J18" s="96" t="s">
        <v>131</v>
      </c>
      <c r="K18" s="96">
        <v>0</v>
      </c>
      <c r="L18" s="96" t="s">
        <v>215</v>
      </c>
      <c r="M18" s="96" t="s">
        <v>201</v>
      </c>
      <c r="N18" s="74">
        <v>1</v>
      </c>
      <c r="O18" s="77">
        <v>5.7870370370370378E-4</v>
      </c>
    </row>
    <row r="19" spans="1:15" ht="54" customHeight="1" thickTop="1" thickBot="1">
      <c r="A19" s="72"/>
      <c r="B19" s="73" t="s">
        <v>17</v>
      </c>
      <c r="C19" s="74" t="s">
        <v>495</v>
      </c>
      <c r="D19" s="74" t="s">
        <v>217</v>
      </c>
      <c r="E19" s="75" t="s">
        <v>12</v>
      </c>
      <c r="F19" s="75" t="s">
        <v>22</v>
      </c>
      <c r="G19" s="74" t="s">
        <v>218</v>
      </c>
      <c r="H19" s="85">
        <v>45699</v>
      </c>
      <c r="I19" s="96" t="s">
        <v>130</v>
      </c>
      <c r="J19" s="96" t="s">
        <v>131</v>
      </c>
      <c r="K19" s="96">
        <v>0</v>
      </c>
      <c r="L19" s="96" t="s">
        <v>219</v>
      </c>
      <c r="M19" s="96" t="s">
        <v>201</v>
      </c>
      <c r="N19" s="74">
        <v>2</v>
      </c>
      <c r="O19" s="77">
        <v>6.9444444444444447E-4</v>
      </c>
    </row>
    <row r="20" spans="1:15" ht="54" customHeight="1" thickTop="1" thickBot="1">
      <c r="A20" s="72"/>
      <c r="B20" s="73" t="s">
        <v>17</v>
      </c>
      <c r="C20" s="74" t="s">
        <v>496</v>
      </c>
      <c r="D20" s="74" t="s">
        <v>221</v>
      </c>
      <c r="E20" s="75" t="s">
        <v>12</v>
      </c>
      <c r="F20" s="75" t="s">
        <v>22</v>
      </c>
      <c r="G20" s="74" t="s">
        <v>222</v>
      </c>
      <c r="H20" s="85">
        <v>45698</v>
      </c>
      <c r="I20" s="96" t="s">
        <v>56</v>
      </c>
      <c r="J20" s="96" t="s">
        <v>131</v>
      </c>
      <c r="K20" s="96">
        <v>0</v>
      </c>
      <c r="L20" s="96" t="s">
        <v>223</v>
      </c>
      <c r="M20" s="96" t="s">
        <v>201</v>
      </c>
      <c r="N20" s="74">
        <v>1</v>
      </c>
      <c r="O20" s="77">
        <v>3.4722222222222224E-4</v>
      </c>
    </row>
    <row r="21" spans="1:15" ht="54" customHeight="1" thickTop="1" thickBot="1">
      <c r="A21" s="72"/>
      <c r="B21" s="73" t="s">
        <v>17</v>
      </c>
      <c r="C21" s="74" t="s">
        <v>497</v>
      </c>
      <c r="D21" s="74" t="s">
        <v>225</v>
      </c>
      <c r="E21" s="75" t="s">
        <v>12</v>
      </c>
      <c r="F21" s="75" t="s">
        <v>22</v>
      </c>
      <c r="G21" s="74" t="s">
        <v>218</v>
      </c>
      <c r="H21" s="85">
        <v>45699</v>
      </c>
      <c r="I21" s="96" t="s">
        <v>130</v>
      </c>
      <c r="J21" s="96" t="s">
        <v>57</v>
      </c>
      <c r="K21" s="96">
        <v>0</v>
      </c>
      <c r="L21" s="96" t="s">
        <v>215</v>
      </c>
      <c r="M21" s="96" t="s">
        <v>201</v>
      </c>
      <c r="N21" s="74">
        <v>1</v>
      </c>
      <c r="O21" s="77">
        <v>1.0416666666666667E-3</v>
      </c>
    </row>
    <row r="22" spans="1:15" ht="54" customHeight="1" thickTop="1" thickBot="1">
      <c r="A22" s="72"/>
      <c r="B22" s="73" t="s">
        <v>17</v>
      </c>
      <c r="C22" s="74" t="s">
        <v>499</v>
      </c>
      <c r="D22" s="74" t="s">
        <v>227</v>
      </c>
      <c r="E22" s="75" t="s">
        <v>12</v>
      </c>
      <c r="F22" s="75" t="s">
        <v>22</v>
      </c>
      <c r="G22" s="74" t="s">
        <v>228</v>
      </c>
      <c r="H22" s="85">
        <v>45698</v>
      </c>
      <c r="I22" s="96" t="s">
        <v>130</v>
      </c>
      <c r="J22" s="96" t="s">
        <v>131</v>
      </c>
      <c r="K22" s="96">
        <v>0</v>
      </c>
      <c r="L22" s="96" t="s">
        <v>229</v>
      </c>
      <c r="M22" s="96" t="s">
        <v>201</v>
      </c>
      <c r="N22" s="74">
        <v>1</v>
      </c>
      <c r="O22" s="77">
        <v>1.1574074074074073E-4</v>
      </c>
    </row>
    <row r="23" spans="1:15" ht="54" customHeight="1" thickTop="1" thickBot="1">
      <c r="A23" s="72"/>
      <c r="B23" s="73" t="s">
        <v>17</v>
      </c>
      <c r="C23" s="74" t="s">
        <v>500</v>
      </c>
      <c r="D23" s="74" t="s">
        <v>501</v>
      </c>
      <c r="E23" s="75" t="s">
        <v>12</v>
      </c>
      <c r="F23" s="75" t="s">
        <v>22</v>
      </c>
      <c r="G23" s="74" t="s">
        <v>278</v>
      </c>
      <c r="H23" s="85">
        <v>45699</v>
      </c>
      <c r="I23" s="96" t="s">
        <v>85</v>
      </c>
      <c r="J23" s="96" t="s">
        <v>131</v>
      </c>
      <c r="K23" s="96">
        <v>0</v>
      </c>
      <c r="L23" s="96" t="s">
        <v>502</v>
      </c>
      <c r="M23" s="96" t="s">
        <v>211</v>
      </c>
      <c r="N23" s="74">
        <v>1</v>
      </c>
      <c r="O23" s="77">
        <v>3.4722222222222224E-4</v>
      </c>
    </row>
    <row r="24" spans="1:15" ht="54" customHeight="1" thickTop="1" thickBot="1">
      <c r="A24" s="72"/>
      <c r="B24" s="73" t="s">
        <v>17</v>
      </c>
      <c r="C24" s="74" t="s">
        <v>503</v>
      </c>
      <c r="D24" s="74" t="s">
        <v>240</v>
      </c>
      <c r="E24" s="75" t="s">
        <v>12</v>
      </c>
      <c r="F24" s="75" t="s">
        <v>22</v>
      </c>
      <c r="G24" s="74" t="s">
        <v>241</v>
      </c>
      <c r="H24" s="85">
        <v>45699</v>
      </c>
      <c r="I24" s="96" t="s">
        <v>130</v>
      </c>
      <c r="J24" s="96" t="s">
        <v>131</v>
      </c>
      <c r="K24" s="96">
        <v>0</v>
      </c>
      <c r="L24" s="96" t="s">
        <v>242</v>
      </c>
      <c r="M24" s="96" t="s">
        <v>201</v>
      </c>
      <c r="N24" s="74">
        <v>1</v>
      </c>
      <c r="O24" s="77">
        <v>6.9444444444444447E-4</v>
      </c>
    </row>
    <row r="25" spans="1:15" ht="54" customHeight="1" thickTop="1" thickBot="1">
      <c r="A25" s="72"/>
      <c r="B25" s="73" t="s">
        <v>17</v>
      </c>
      <c r="C25" s="74" t="s">
        <v>504</v>
      </c>
      <c r="D25" s="74" t="s">
        <v>266</v>
      </c>
      <c r="E25" s="75" t="s">
        <v>12</v>
      </c>
      <c r="F25" s="75" t="s">
        <v>22</v>
      </c>
      <c r="G25" s="74" t="s">
        <v>267</v>
      </c>
      <c r="H25" s="85">
        <v>45698</v>
      </c>
      <c r="I25" s="96" t="s">
        <v>56</v>
      </c>
      <c r="J25" s="96" t="s">
        <v>131</v>
      </c>
      <c r="K25" s="96">
        <v>0</v>
      </c>
      <c r="L25" s="96" t="s">
        <v>268</v>
      </c>
      <c r="M25" s="96" t="s">
        <v>201</v>
      </c>
      <c r="N25" s="74">
        <v>1</v>
      </c>
      <c r="O25" s="77">
        <v>3.4722222222222224E-4</v>
      </c>
    </row>
    <row r="26" spans="1:15" ht="54" customHeight="1" thickTop="1" thickBot="1">
      <c r="A26" s="72"/>
      <c r="B26" s="73" t="s">
        <v>17</v>
      </c>
      <c r="C26" s="74" t="s">
        <v>505</v>
      </c>
      <c r="D26" s="74" t="s">
        <v>506</v>
      </c>
      <c r="E26" s="75" t="s">
        <v>12</v>
      </c>
      <c r="F26" s="75" t="s">
        <v>22</v>
      </c>
      <c r="G26" s="74" t="s">
        <v>804</v>
      </c>
      <c r="H26" s="85">
        <v>45698</v>
      </c>
      <c r="I26" s="96" t="s">
        <v>56</v>
      </c>
      <c r="J26" s="96" t="s">
        <v>131</v>
      </c>
      <c r="K26" s="96">
        <v>0</v>
      </c>
      <c r="L26" s="96" t="s">
        <v>508</v>
      </c>
      <c r="M26" s="96" t="s">
        <v>201</v>
      </c>
      <c r="N26" s="74">
        <v>2</v>
      </c>
      <c r="O26" s="77">
        <v>2.3148148148148146E-4</v>
      </c>
    </row>
    <row r="27" spans="1:15" ht="54" customHeight="1" thickTop="1" thickBot="1">
      <c r="A27" s="72"/>
      <c r="B27" s="73" t="s">
        <v>17</v>
      </c>
      <c r="C27" s="74" t="s">
        <v>509</v>
      </c>
      <c r="D27" s="74" t="s">
        <v>510</v>
      </c>
      <c r="E27" s="75" t="s">
        <v>12</v>
      </c>
      <c r="F27" s="75" t="s">
        <v>22</v>
      </c>
      <c r="G27" s="74" t="s">
        <v>278</v>
      </c>
      <c r="H27" s="85">
        <v>45699</v>
      </c>
      <c r="I27" s="96" t="s">
        <v>85</v>
      </c>
      <c r="J27" s="96" t="s">
        <v>131</v>
      </c>
      <c r="K27" s="96">
        <v>0</v>
      </c>
      <c r="L27" s="96" t="s">
        <v>511</v>
      </c>
      <c r="M27" s="96" t="s">
        <v>211</v>
      </c>
      <c r="N27" s="74">
        <v>1</v>
      </c>
      <c r="O27" s="77">
        <v>3.4722222222222224E-4</v>
      </c>
    </row>
    <row r="28" spans="1:15" ht="54" customHeight="1" thickTop="1" thickBot="1">
      <c r="A28" s="72"/>
      <c r="B28" s="73" t="s">
        <v>17</v>
      </c>
      <c r="C28" s="74" t="s">
        <v>512</v>
      </c>
      <c r="D28" s="74" t="s">
        <v>513</v>
      </c>
      <c r="E28" s="75" t="s">
        <v>12</v>
      </c>
      <c r="F28" s="75" t="s">
        <v>22</v>
      </c>
      <c r="G28" s="74" t="s">
        <v>804</v>
      </c>
      <c r="H28" s="85">
        <v>45698</v>
      </c>
      <c r="I28" s="96" t="s">
        <v>56</v>
      </c>
      <c r="J28" s="96" t="s">
        <v>131</v>
      </c>
      <c r="K28" s="96">
        <v>0</v>
      </c>
      <c r="L28" s="96" t="s">
        <v>514</v>
      </c>
      <c r="M28" s="96" t="s">
        <v>201</v>
      </c>
      <c r="N28" s="74">
        <v>1</v>
      </c>
      <c r="O28" s="77">
        <v>4.6296296296296293E-4</v>
      </c>
    </row>
    <row r="29" spans="1:15" ht="54" customHeight="1" thickTop="1" thickBot="1">
      <c r="B29" s="109" t="s">
        <v>17</v>
      </c>
      <c r="C29" s="103" t="s">
        <v>515</v>
      </c>
      <c r="D29" s="103" t="s">
        <v>516</v>
      </c>
      <c r="E29" s="110" t="s">
        <v>22</v>
      </c>
      <c r="F29" s="110"/>
      <c r="G29" s="103"/>
      <c r="H29" s="103"/>
      <c r="I29" s="96" t="s">
        <v>56</v>
      </c>
      <c r="J29" s="96" t="s">
        <v>57</v>
      </c>
      <c r="K29" s="96">
        <v>0</v>
      </c>
      <c r="L29" s="96" t="s">
        <v>517</v>
      </c>
      <c r="M29" s="96" t="s">
        <v>201</v>
      </c>
      <c r="N29" s="103">
        <v>1</v>
      </c>
      <c r="O29" s="112">
        <v>6.9444444444444447E-4</v>
      </c>
    </row>
    <row r="30" spans="1:15" ht="54" customHeight="1" thickTop="1" thickBot="1">
      <c r="A30" s="72"/>
      <c r="B30" s="73" t="s">
        <v>17</v>
      </c>
      <c r="C30" s="74" t="s">
        <v>518</v>
      </c>
      <c r="D30" s="74" t="s">
        <v>519</v>
      </c>
      <c r="E30" s="75" t="s">
        <v>12</v>
      </c>
      <c r="F30" s="75" t="s">
        <v>22</v>
      </c>
      <c r="G30" s="74" t="s">
        <v>278</v>
      </c>
      <c r="H30" s="85">
        <v>45699</v>
      </c>
      <c r="I30" s="96" t="s">
        <v>85</v>
      </c>
      <c r="J30" s="96" t="s">
        <v>131</v>
      </c>
      <c r="K30" s="96">
        <v>0</v>
      </c>
      <c r="L30" s="96" t="s">
        <v>279</v>
      </c>
      <c r="M30" s="96" t="s">
        <v>211</v>
      </c>
      <c r="N30" s="74">
        <v>1</v>
      </c>
      <c r="O30" s="77">
        <v>3.4722222222222224E-4</v>
      </c>
    </row>
    <row r="31" spans="1:15" ht="54" customHeight="1" thickTop="1" thickBot="1">
      <c r="A31" s="72"/>
      <c r="B31" s="73" t="s">
        <v>17</v>
      </c>
      <c r="C31" s="74" t="s">
        <v>520</v>
      </c>
      <c r="D31" s="74" t="s">
        <v>521</v>
      </c>
      <c r="E31" s="75" t="s">
        <v>12</v>
      </c>
      <c r="F31" s="75" t="s">
        <v>22</v>
      </c>
      <c r="G31" s="74" t="s">
        <v>278</v>
      </c>
      <c r="H31" s="85">
        <v>45699</v>
      </c>
      <c r="I31" s="96" t="s">
        <v>85</v>
      </c>
      <c r="J31" s="96" t="s">
        <v>131</v>
      </c>
      <c r="K31" s="96">
        <v>0</v>
      </c>
      <c r="L31" s="96" t="s">
        <v>285</v>
      </c>
      <c r="M31" s="96" t="s">
        <v>211</v>
      </c>
      <c r="N31" s="74">
        <v>1</v>
      </c>
      <c r="O31" s="77">
        <v>6.9444444444444447E-4</v>
      </c>
    </row>
    <row r="32" spans="1:15" ht="54" customHeight="1" thickTop="1" thickBot="1">
      <c r="A32" s="72"/>
      <c r="B32" s="73" t="s">
        <v>17</v>
      </c>
      <c r="C32" s="74" t="s">
        <v>522</v>
      </c>
      <c r="D32" s="74" t="s">
        <v>287</v>
      </c>
      <c r="E32" s="75" t="s">
        <v>12</v>
      </c>
      <c r="F32" s="75" t="s">
        <v>22</v>
      </c>
      <c r="G32" s="75" t="s">
        <v>288</v>
      </c>
      <c r="H32" s="76">
        <v>45698</v>
      </c>
      <c r="I32" s="96" t="s">
        <v>56</v>
      </c>
      <c r="J32" s="96" t="s">
        <v>131</v>
      </c>
      <c r="K32" s="96">
        <v>0</v>
      </c>
      <c r="L32" s="96" t="s">
        <v>289</v>
      </c>
      <c r="M32" s="96" t="s">
        <v>201</v>
      </c>
      <c r="N32" s="74">
        <v>1</v>
      </c>
      <c r="O32" s="77">
        <v>3.4722222222222224E-4</v>
      </c>
    </row>
    <row r="33" spans="1:15" ht="54" customHeight="1" thickTop="1" thickBot="1">
      <c r="B33" s="109" t="s">
        <v>17</v>
      </c>
      <c r="C33" s="103" t="s">
        <v>523</v>
      </c>
      <c r="D33" s="103" t="s">
        <v>524</v>
      </c>
      <c r="E33" s="110" t="s">
        <v>22</v>
      </c>
      <c r="F33" s="110"/>
      <c r="G33" s="103"/>
      <c r="H33" s="103"/>
      <c r="I33" s="96" t="s">
        <v>56</v>
      </c>
      <c r="J33" s="96" t="s">
        <v>131</v>
      </c>
      <c r="K33" s="96">
        <v>0</v>
      </c>
      <c r="L33" s="96" t="s">
        <v>525</v>
      </c>
      <c r="M33" s="96" t="s">
        <v>201</v>
      </c>
      <c r="N33" s="103">
        <v>1</v>
      </c>
      <c r="O33" s="112">
        <v>5.7870370370370378E-4</v>
      </c>
    </row>
    <row r="34" spans="1:15" ht="54" customHeight="1" thickTop="1" thickBot="1">
      <c r="A34" s="72"/>
      <c r="B34" s="73" t="s">
        <v>17</v>
      </c>
      <c r="C34" s="74" t="s">
        <v>526</v>
      </c>
      <c r="D34" s="74" t="s">
        <v>527</v>
      </c>
      <c r="E34" s="75" t="s">
        <v>12</v>
      </c>
      <c r="F34" s="75" t="s">
        <v>22</v>
      </c>
      <c r="G34" s="74" t="s">
        <v>804</v>
      </c>
      <c r="H34" s="85">
        <v>45698</v>
      </c>
      <c r="I34" s="96" t="s">
        <v>56</v>
      </c>
      <c r="J34" s="96" t="s">
        <v>131</v>
      </c>
      <c r="K34" s="96">
        <v>0</v>
      </c>
      <c r="L34" s="96" t="s">
        <v>528</v>
      </c>
      <c r="M34" s="96" t="s">
        <v>201</v>
      </c>
      <c r="N34" s="74">
        <v>1</v>
      </c>
      <c r="O34" s="77">
        <v>2.3148148148148146E-4</v>
      </c>
    </row>
    <row r="35" spans="1:15" ht="54" customHeight="1" thickTop="1" thickBot="1">
      <c r="A35" s="72"/>
      <c r="B35" s="73" t="s">
        <v>17</v>
      </c>
      <c r="C35" s="74" t="s">
        <v>529</v>
      </c>
      <c r="D35" s="74" t="s">
        <v>291</v>
      </c>
      <c r="E35" s="75" t="s">
        <v>12</v>
      </c>
      <c r="F35" s="75" t="s">
        <v>22</v>
      </c>
      <c r="G35" s="74" t="s">
        <v>780</v>
      </c>
      <c r="H35" s="85">
        <v>45698</v>
      </c>
      <c r="I35" s="96" t="s">
        <v>130</v>
      </c>
      <c r="J35" s="96" t="s">
        <v>131</v>
      </c>
      <c r="K35" s="96">
        <v>0</v>
      </c>
      <c r="L35" s="96" t="s">
        <v>293</v>
      </c>
      <c r="M35" s="96" t="s">
        <v>201</v>
      </c>
      <c r="N35" s="74">
        <v>1</v>
      </c>
      <c r="O35" s="77">
        <v>6.9444444444444447E-4</v>
      </c>
    </row>
    <row r="36" spans="1:15" ht="54" customHeight="1" thickTop="1" thickBot="1">
      <c r="A36" s="72"/>
      <c r="B36" s="73" t="s">
        <v>17</v>
      </c>
      <c r="C36" s="74" t="s">
        <v>531</v>
      </c>
      <c r="D36" s="74" t="s">
        <v>532</v>
      </c>
      <c r="E36" s="75" t="s">
        <v>12</v>
      </c>
      <c r="F36" s="75" t="s">
        <v>22</v>
      </c>
      <c r="G36" s="75" t="s">
        <v>308</v>
      </c>
      <c r="H36" s="76">
        <v>45698</v>
      </c>
      <c r="I36" s="96" t="s">
        <v>130</v>
      </c>
      <c r="J36" s="96" t="s">
        <v>131</v>
      </c>
      <c r="K36" s="96">
        <v>0</v>
      </c>
      <c r="L36" s="96" t="s">
        <v>309</v>
      </c>
      <c r="M36" s="96" t="s">
        <v>201</v>
      </c>
      <c r="N36" s="74">
        <v>1</v>
      </c>
      <c r="O36" s="77">
        <v>8.6805555555555551E-4</v>
      </c>
    </row>
    <row r="37" spans="1:15" ht="54" customHeight="1" thickTop="1" thickBot="1">
      <c r="A37" s="72"/>
      <c r="B37" s="73" t="s">
        <v>17</v>
      </c>
      <c r="C37" s="74" t="s">
        <v>802</v>
      </c>
      <c r="D37" s="74" t="s">
        <v>681</v>
      </c>
      <c r="E37" s="75" t="s">
        <v>12</v>
      </c>
      <c r="F37" s="75" t="s">
        <v>22</v>
      </c>
      <c r="G37" s="74" t="s">
        <v>278</v>
      </c>
      <c r="H37" s="85">
        <v>45699</v>
      </c>
      <c r="I37" s="96" t="s">
        <v>85</v>
      </c>
      <c r="J37" s="96" t="s">
        <v>131</v>
      </c>
      <c r="K37" s="96">
        <v>0</v>
      </c>
      <c r="L37" s="96" t="s">
        <v>210</v>
      </c>
      <c r="M37" s="96" t="s">
        <v>211</v>
      </c>
      <c r="N37" s="74">
        <v>1</v>
      </c>
      <c r="O37" s="77">
        <v>3.4722222222222224E-4</v>
      </c>
    </row>
    <row r="38" spans="1:15" ht="54" customHeight="1" thickTop="1" thickBot="1">
      <c r="A38" s="72"/>
      <c r="B38" s="73" t="s">
        <v>17</v>
      </c>
      <c r="C38" s="74" t="s">
        <v>533</v>
      </c>
      <c r="D38" s="74" t="s">
        <v>534</v>
      </c>
      <c r="E38" s="75" t="s">
        <v>12</v>
      </c>
      <c r="F38" s="75" t="s">
        <v>22</v>
      </c>
      <c r="G38" s="74" t="s">
        <v>741</v>
      </c>
      <c r="H38" s="85">
        <v>45698</v>
      </c>
      <c r="I38" s="96" t="s">
        <v>130</v>
      </c>
      <c r="J38" s="96" t="s">
        <v>131</v>
      </c>
      <c r="K38" s="96">
        <v>0</v>
      </c>
      <c r="L38" s="96" t="s">
        <v>313</v>
      </c>
      <c r="M38" s="96" t="s">
        <v>201</v>
      </c>
      <c r="N38" s="74">
        <v>1</v>
      </c>
      <c r="O38" s="77">
        <v>6.9444444444444447E-4</v>
      </c>
    </row>
    <row r="39" spans="1:15" ht="54" customHeight="1" thickTop="1" thickBot="1">
      <c r="A39" s="72"/>
      <c r="B39" s="78" t="s">
        <v>17</v>
      </c>
      <c r="C39" s="79" t="s">
        <v>535</v>
      </c>
      <c r="D39" s="79" t="s">
        <v>536</v>
      </c>
      <c r="E39" s="82" t="s">
        <v>12</v>
      </c>
      <c r="F39" s="82" t="s">
        <v>22</v>
      </c>
      <c r="G39" s="79" t="s">
        <v>741</v>
      </c>
      <c r="H39" s="86">
        <v>45698</v>
      </c>
      <c r="I39" s="96" t="s">
        <v>130</v>
      </c>
      <c r="J39" s="96" t="s">
        <v>131</v>
      </c>
      <c r="K39" s="96">
        <v>0</v>
      </c>
      <c r="L39" s="96" t="s">
        <v>313</v>
      </c>
      <c r="M39" s="96" t="s">
        <v>201</v>
      </c>
      <c r="N39" s="79">
        <v>1</v>
      </c>
      <c r="O39" s="83">
        <v>6.9444444444444447E-4</v>
      </c>
    </row>
    <row r="40" spans="1:15" ht="54" customHeight="1" thickTop="1" thickBot="1">
      <c r="A40" s="72"/>
      <c r="B40" s="94" t="s">
        <v>17</v>
      </c>
      <c r="C40" s="95" t="s">
        <v>537</v>
      </c>
      <c r="D40" s="95" t="s">
        <v>538</v>
      </c>
      <c r="E40" s="96" t="s">
        <v>12</v>
      </c>
      <c r="F40" s="96" t="s">
        <v>22</v>
      </c>
      <c r="G40" s="95" t="s">
        <v>539</v>
      </c>
      <c r="H40" s="97">
        <v>45698</v>
      </c>
      <c r="I40" s="96" t="s">
        <v>56</v>
      </c>
      <c r="J40" s="96" t="s">
        <v>57</v>
      </c>
      <c r="K40" s="96">
        <v>0</v>
      </c>
      <c r="L40" s="96" t="s">
        <v>540</v>
      </c>
      <c r="M40" s="96" t="s">
        <v>143</v>
      </c>
      <c r="N40" s="95">
        <v>2</v>
      </c>
      <c r="O40" s="98">
        <v>4.6296296296296293E-4</v>
      </c>
    </row>
    <row r="41" spans="1:15" ht="54" customHeight="1" thickTop="1" thickBot="1">
      <c r="B41" s="109" t="s">
        <v>21</v>
      </c>
      <c r="C41" s="103" t="s">
        <v>541</v>
      </c>
      <c r="D41" s="103" t="s">
        <v>542</v>
      </c>
      <c r="E41" s="110" t="s">
        <v>22</v>
      </c>
      <c r="F41" s="110"/>
      <c r="G41" s="103"/>
      <c r="H41" s="103"/>
      <c r="I41" s="96" t="s">
        <v>130</v>
      </c>
      <c r="J41" s="96" t="s">
        <v>131</v>
      </c>
      <c r="K41" s="96">
        <v>0</v>
      </c>
      <c r="L41" s="96" t="s">
        <v>344</v>
      </c>
      <c r="M41" s="96" t="s">
        <v>341</v>
      </c>
      <c r="N41" s="103">
        <v>2</v>
      </c>
      <c r="O41" s="112">
        <v>2.0833333333333333E-3</v>
      </c>
    </row>
    <row r="42" spans="1:15" ht="54" customHeight="1" thickTop="1" thickBot="1">
      <c r="B42" s="109" t="s">
        <v>21</v>
      </c>
      <c r="C42" s="103" t="s">
        <v>805</v>
      </c>
      <c r="D42" s="103" t="s">
        <v>806</v>
      </c>
      <c r="E42" s="110" t="str">
        <f>'DM 4 Car'!E89</f>
        <v>No</v>
      </c>
      <c r="F42" s="110">
        <f>'DM 4 Car'!F89</f>
        <v>0</v>
      </c>
      <c r="G42" s="110">
        <f>'DM 4 Car'!G89</f>
        <v>0</v>
      </c>
      <c r="H42" s="110">
        <f>'DM 4 Car'!H89</f>
        <v>0</v>
      </c>
      <c r="I42" s="96" t="s">
        <v>130</v>
      </c>
      <c r="J42" s="96" t="s">
        <v>131</v>
      </c>
      <c r="K42" s="96">
        <v>0</v>
      </c>
      <c r="L42" s="96" t="s">
        <v>337</v>
      </c>
      <c r="M42" s="96" t="s">
        <v>341</v>
      </c>
      <c r="N42" s="103">
        <v>4</v>
      </c>
      <c r="O42" s="112">
        <v>5.208333333333333E-3</v>
      </c>
    </row>
    <row r="43" spans="1:15" ht="54" customHeight="1" thickTop="1" thickBot="1">
      <c r="B43" s="109" t="s">
        <v>21</v>
      </c>
      <c r="C43" s="103" t="s">
        <v>545</v>
      </c>
      <c r="D43" s="103" t="s">
        <v>546</v>
      </c>
      <c r="E43" s="110" t="s">
        <v>22</v>
      </c>
      <c r="F43" s="110"/>
      <c r="G43" s="103"/>
      <c r="H43" s="103"/>
      <c r="I43" s="96" t="s">
        <v>130</v>
      </c>
      <c r="J43" s="96" t="s">
        <v>131</v>
      </c>
      <c r="K43" s="96">
        <v>0</v>
      </c>
      <c r="L43" s="96" t="s">
        <v>344</v>
      </c>
      <c r="M43" s="96" t="s">
        <v>341</v>
      </c>
      <c r="N43" s="103">
        <v>2</v>
      </c>
      <c r="O43" s="112">
        <v>2.0833333333333333E-3</v>
      </c>
    </row>
    <row r="44" spans="1:15" ht="54" customHeight="1" thickTop="1" thickBot="1">
      <c r="B44" s="109" t="s">
        <v>21</v>
      </c>
      <c r="C44" s="103" t="s">
        <v>807</v>
      </c>
      <c r="D44" s="103" t="s">
        <v>808</v>
      </c>
      <c r="E44" s="110" t="s">
        <v>22</v>
      </c>
      <c r="F44" s="110"/>
      <c r="G44" s="103"/>
      <c r="H44" s="103"/>
      <c r="I44" s="96" t="s">
        <v>130</v>
      </c>
      <c r="J44" s="96" t="s">
        <v>131</v>
      </c>
      <c r="K44" s="96">
        <v>0</v>
      </c>
      <c r="L44" s="96" t="s">
        <v>337</v>
      </c>
      <c r="M44" s="96" t="s">
        <v>341</v>
      </c>
      <c r="N44" s="103">
        <v>4</v>
      </c>
      <c r="O44" s="112">
        <v>5.208333333333333E-3</v>
      </c>
    </row>
    <row r="45" spans="1:15" ht="54" customHeight="1" thickTop="1" thickBot="1">
      <c r="B45" s="109" t="s">
        <v>21</v>
      </c>
      <c r="C45" s="103" t="s">
        <v>549</v>
      </c>
      <c r="D45" s="103" t="s">
        <v>550</v>
      </c>
      <c r="E45" s="110" t="s">
        <v>22</v>
      </c>
      <c r="F45" s="110"/>
      <c r="G45" s="103"/>
      <c r="H45" s="103"/>
      <c r="I45" s="96" t="s">
        <v>130</v>
      </c>
      <c r="J45" s="96" t="s">
        <v>131</v>
      </c>
      <c r="K45" s="96">
        <v>0</v>
      </c>
      <c r="L45" s="96" t="s">
        <v>551</v>
      </c>
      <c r="M45" s="96" t="s">
        <v>201</v>
      </c>
      <c r="N45" s="103">
        <v>2</v>
      </c>
      <c r="O45" s="112">
        <v>2.0833333333333333E-3</v>
      </c>
    </row>
    <row r="46" spans="1:15" ht="54" customHeight="1" thickTop="1" thickBot="1">
      <c r="B46" s="109" t="s">
        <v>21</v>
      </c>
      <c r="C46" s="103" t="s">
        <v>552</v>
      </c>
      <c r="D46" s="103" t="s">
        <v>359</v>
      </c>
      <c r="E46" s="110" t="s">
        <v>22</v>
      </c>
      <c r="F46" s="110"/>
      <c r="G46" s="103"/>
      <c r="H46" s="103"/>
      <c r="I46" s="96" t="s">
        <v>130</v>
      </c>
      <c r="J46" s="96" t="s">
        <v>131</v>
      </c>
      <c r="K46" s="96">
        <v>0</v>
      </c>
      <c r="L46" s="96" t="s">
        <v>360</v>
      </c>
      <c r="M46" s="96" t="s">
        <v>201</v>
      </c>
      <c r="N46" s="103">
        <v>2</v>
      </c>
      <c r="O46" s="112">
        <v>3.4722222222222224E-4</v>
      </c>
    </row>
    <row r="47" spans="1:15" ht="54" customHeight="1" thickTop="1" thickBot="1">
      <c r="B47" s="109" t="s">
        <v>21</v>
      </c>
      <c r="C47" s="103" t="s">
        <v>553</v>
      </c>
      <c r="D47" s="103" t="s">
        <v>809</v>
      </c>
      <c r="E47" s="110" t="s">
        <v>22</v>
      </c>
      <c r="F47" s="110"/>
      <c r="G47" s="103"/>
      <c r="H47" s="103"/>
      <c r="I47" s="96" t="s">
        <v>56</v>
      </c>
      <c r="J47" s="96" t="s">
        <v>131</v>
      </c>
      <c r="K47" s="96">
        <v>0</v>
      </c>
      <c r="L47" s="96" t="s">
        <v>363</v>
      </c>
      <c r="M47" s="96" t="s">
        <v>160</v>
      </c>
      <c r="N47" s="103">
        <v>2</v>
      </c>
      <c r="O47" s="112">
        <v>4.6296296296296293E-4</v>
      </c>
    </row>
    <row r="48" spans="1:15" ht="54" customHeight="1" thickTop="1" thickBot="1">
      <c r="B48" s="109" t="s">
        <v>21</v>
      </c>
      <c r="C48" s="103" t="s">
        <v>555</v>
      </c>
      <c r="D48" s="103" t="s">
        <v>556</v>
      </c>
      <c r="E48" s="110" t="s">
        <v>22</v>
      </c>
      <c r="F48" s="110"/>
      <c r="G48" s="103"/>
      <c r="H48" s="103"/>
      <c r="I48" s="96" t="s">
        <v>130</v>
      </c>
      <c r="J48" s="96" t="s">
        <v>131</v>
      </c>
      <c r="K48" s="96">
        <v>0</v>
      </c>
      <c r="L48" s="96" t="s">
        <v>557</v>
      </c>
      <c r="M48" s="96" t="s">
        <v>201</v>
      </c>
      <c r="N48" s="103">
        <v>1</v>
      </c>
      <c r="O48" s="112">
        <v>6.9444444444444447E-4</v>
      </c>
    </row>
    <row r="49" spans="1:15" ht="54" customHeight="1" thickTop="1" thickBot="1">
      <c r="A49" s="72"/>
      <c r="B49" s="73" t="s">
        <v>21</v>
      </c>
      <c r="C49" s="74" t="s">
        <v>558</v>
      </c>
      <c r="D49" s="74" t="s">
        <v>559</v>
      </c>
      <c r="E49" s="75" t="s">
        <v>12</v>
      </c>
      <c r="F49" s="75" t="s">
        <v>22</v>
      </c>
      <c r="G49" s="74" t="s">
        <v>810</v>
      </c>
      <c r="H49" s="85">
        <v>45698</v>
      </c>
      <c r="I49" s="96" t="s">
        <v>130</v>
      </c>
      <c r="J49" s="96" t="s">
        <v>131</v>
      </c>
      <c r="K49" s="96">
        <v>0</v>
      </c>
      <c r="L49" s="96" t="s">
        <v>561</v>
      </c>
      <c r="M49" s="96" t="s">
        <v>234</v>
      </c>
      <c r="N49" s="74">
        <v>1</v>
      </c>
      <c r="O49" s="77">
        <v>3.4722222222222224E-4</v>
      </c>
    </row>
    <row r="50" spans="1:15" ht="54" customHeight="1" thickTop="1" thickBot="1">
      <c r="A50" s="72"/>
      <c r="B50" s="73" t="s">
        <v>21</v>
      </c>
      <c r="C50" s="74" t="s">
        <v>562</v>
      </c>
      <c r="D50" s="74" t="s">
        <v>811</v>
      </c>
      <c r="E50" s="75" t="s">
        <v>12</v>
      </c>
      <c r="F50" s="75" t="s">
        <v>22</v>
      </c>
      <c r="G50" s="74" t="s">
        <v>278</v>
      </c>
      <c r="H50" s="85">
        <v>45699</v>
      </c>
      <c r="I50" s="96" t="s">
        <v>85</v>
      </c>
      <c r="J50" s="96" t="s">
        <v>131</v>
      </c>
      <c r="K50" s="96">
        <v>0</v>
      </c>
      <c r="L50" s="96" t="s">
        <v>812</v>
      </c>
      <c r="M50" s="96" t="s">
        <v>211</v>
      </c>
      <c r="N50" s="74">
        <v>1</v>
      </c>
      <c r="O50" s="77">
        <v>6.9444444444444447E-4</v>
      </c>
    </row>
    <row r="51" spans="1:15" ht="54" customHeight="1" thickTop="1" thickBot="1">
      <c r="A51" s="72"/>
      <c r="B51" s="73" t="s">
        <v>21</v>
      </c>
      <c r="C51" s="74" t="s">
        <v>813</v>
      </c>
      <c r="D51" s="74" t="s">
        <v>565</v>
      </c>
      <c r="E51" s="75" t="s">
        <v>12</v>
      </c>
      <c r="F51" s="75" t="s">
        <v>22</v>
      </c>
      <c r="G51" s="74" t="s">
        <v>539</v>
      </c>
      <c r="H51" s="85">
        <v>45698</v>
      </c>
      <c r="I51" s="96" t="s">
        <v>56</v>
      </c>
      <c r="J51" s="96" t="s">
        <v>57</v>
      </c>
      <c r="K51" s="96">
        <v>0</v>
      </c>
      <c r="L51" s="96" t="s">
        <v>566</v>
      </c>
      <c r="M51" s="96" t="s">
        <v>143</v>
      </c>
      <c r="N51" s="74">
        <v>2</v>
      </c>
      <c r="O51" s="77">
        <v>2.0833333333333333E-3</v>
      </c>
    </row>
    <row r="52" spans="1:15" ht="54" customHeight="1" thickTop="1" thickBot="1">
      <c r="A52" s="72"/>
      <c r="B52" s="73" t="s">
        <v>21</v>
      </c>
      <c r="C52" s="74" t="s">
        <v>567</v>
      </c>
      <c r="D52" s="74" t="s">
        <v>568</v>
      </c>
      <c r="E52" s="75" t="s">
        <v>12</v>
      </c>
      <c r="F52" s="75" t="s">
        <v>22</v>
      </c>
      <c r="G52" s="74" t="s">
        <v>539</v>
      </c>
      <c r="H52" s="85">
        <v>45698</v>
      </c>
      <c r="I52" s="96" t="s">
        <v>56</v>
      </c>
      <c r="J52" s="96" t="s">
        <v>57</v>
      </c>
      <c r="K52" s="96">
        <v>0</v>
      </c>
      <c r="L52" s="96" t="s">
        <v>569</v>
      </c>
      <c r="M52" s="96" t="s">
        <v>143</v>
      </c>
      <c r="N52" s="74">
        <v>2</v>
      </c>
      <c r="O52" s="77">
        <v>6.9444444444444447E-4</v>
      </c>
    </row>
    <row r="53" spans="1:15" ht="54" customHeight="1" thickTop="1" thickBot="1">
      <c r="B53" s="109" t="s">
        <v>21</v>
      </c>
      <c r="C53" s="103" t="s">
        <v>814</v>
      </c>
      <c r="D53" s="103" t="s">
        <v>571</v>
      </c>
      <c r="E53" s="110" t="s">
        <v>22</v>
      </c>
      <c r="F53" s="110"/>
      <c r="G53" s="103"/>
      <c r="H53" s="103"/>
      <c r="I53" s="96" t="s">
        <v>56</v>
      </c>
      <c r="J53" s="96" t="s">
        <v>57</v>
      </c>
      <c r="K53" s="96">
        <v>0</v>
      </c>
      <c r="L53" s="96" t="s">
        <v>572</v>
      </c>
      <c r="M53" s="96" t="s">
        <v>59</v>
      </c>
      <c r="N53" s="103">
        <v>2</v>
      </c>
      <c r="O53" s="112">
        <v>6.9444444444444447E-4</v>
      </c>
    </row>
    <row r="54" spans="1:15" ht="54" customHeight="1" thickTop="1" thickBot="1">
      <c r="A54" s="72"/>
      <c r="B54" s="73" t="s">
        <v>21</v>
      </c>
      <c r="C54" s="74" t="s">
        <v>573</v>
      </c>
      <c r="D54" s="74" t="s">
        <v>574</v>
      </c>
      <c r="E54" s="75" t="s">
        <v>12</v>
      </c>
      <c r="F54" s="75" t="s">
        <v>22</v>
      </c>
      <c r="G54" s="74" t="s">
        <v>539</v>
      </c>
      <c r="H54" s="85">
        <v>45698</v>
      </c>
      <c r="I54" s="96" t="s">
        <v>56</v>
      </c>
      <c r="J54" s="96" t="s">
        <v>57</v>
      </c>
      <c r="K54" s="96">
        <v>0</v>
      </c>
      <c r="L54" s="96" t="s">
        <v>575</v>
      </c>
      <c r="M54" s="96" t="s">
        <v>143</v>
      </c>
      <c r="N54" s="74">
        <v>2</v>
      </c>
      <c r="O54" s="77">
        <v>6.9444444444444447E-4</v>
      </c>
    </row>
    <row r="55" spans="1:15" ht="54" customHeight="1" thickTop="1" thickBot="1">
      <c r="B55" s="109" t="s">
        <v>21</v>
      </c>
      <c r="C55" s="103" t="s">
        <v>815</v>
      </c>
      <c r="D55" s="103" t="s">
        <v>400</v>
      </c>
      <c r="E55" s="110" t="s">
        <v>22</v>
      </c>
      <c r="F55" s="110"/>
      <c r="G55" s="103"/>
      <c r="H55" s="103"/>
      <c r="I55" s="96" t="s">
        <v>85</v>
      </c>
      <c r="J55" s="96" t="s">
        <v>57</v>
      </c>
      <c r="K55" s="96">
        <v>0</v>
      </c>
      <c r="L55" s="96" t="s">
        <v>401</v>
      </c>
      <c r="M55" s="96" t="s">
        <v>104</v>
      </c>
      <c r="N55" s="103">
        <v>4</v>
      </c>
      <c r="O55" s="112">
        <v>2.0833333333333333E-3</v>
      </c>
    </row>
    <row r="56" spans="1:15" ht="54" customHeight="1" thickTop="1" thickBot="1">
      <c r="B56" s="114" t="s">
        <v>21</v>
      </c>
      <c r="C56" s="115" t="s">
        <v>816</v>
      </c>
      <c r="D56" s="115" t="s">
        <v>721</v>
      </c>
      <c r="E56" s="116" t="s">
        <v>22</v>
      </c>
      <c r="F56" s="116"/>
      <c r="G56" s="115"/>
      <c r="H56" s="115"/>
      <c r="I56" s="96" t="s">
        <v>56</v>
      </c>
      <c r="J56" s="96" t="s">
        <v>57</v>
      </c>
      <c r="K56" s="96">
        <v>0</v>
      </c>
      <c r="L56" s="96" t="s">
        <v>722</v>
      </c>
      <c r="M56" s="96" t="s">
        <v>104</v>
      </c>
      <c r="N56" s="115">
        <v>2</v>
      </c>
      <c r="O56" s="117">
        <v>6.9444444444444447E-4</v>
      </c>
    </row>
    <row r="57" spans="1:15" ht="54" customHeight="1" thickTop="1" thickBot="1">
      <c r="B57" s="104" t="s">
        <v>25</v>
      </c>
      <c r="C57" s="105" t="s">
        <v>592</v>
      </c>
      <c r="D57" s="105" t="s">
        <v>419</v>
      </c>
      <c r="E57" s="106" t="s">
        <v>22</v>
      </c>
      <c r="F57" s="106"/>
      <c r="G57" s="105"/>
      <c r="H57" s="105"/>
      <c r="I57" s="96" t="s">
        <v>130</v>
      </c>
      <c r="J57" s="96" t="s">
        <v>57</v>
      </c>
      <c r="K57" s="96">
        <v>0</v>
      </c>
      <c r="L57" s="96" t="s">
        <v>420</v>
      </c>
      <c r="M57" s="96" t="s">
        <v>234</v>
      </c>
      <c r="N57" s="105">
        <v>1</v>
      </c>
      <c r="O57" s="108">
        <v>6.9444444444444447E-4</v>
      </c>
    </row>
    <row r="58" spans="1:15" ht="54" customHeight="1" thickTop="1" thickBot="1">
      <c r="B58" s="109" t="s">
        <v>25</v>
      </c>
      <c r="C58" s="103" t="s">
        <v>593</v>
      </c>
      <c r="D58" s="103" t="s">
        <v>817</v>
      </c>
      <c r="E58" s="110" t="s">
        <v>22</v>
      </c>
      <c r="F58" s="110"/>
      <c r="G58" s="103"/>
      <c r="H58" s="103"/>
      <c r="I58" s="96" t="s">
        <v>130</v>
      </c>
      <c r="J58" s="96" t="s">
        <v>57</v>
      </c>
      <c r="K58" s="96">
        <v>0</v>
      </c>
      <c r="L58" s="96" t="s">
        <v>410</v>
      </c>
      <c r="M58" s="96" t="s">
        <v>424</v>
      </c>
      <c r="N58" s="103">
        <v>1</v>
      </c>
      <c r="O58" s="112">
        <v>3.4722222222222224E-4</v>
      </c>
    </row>
    <row r="59" spans="1:15" ht="54" customHeight="1" thickTop="1">
      <c r="B59" s="109" t="s">
        <v>25</v>
      </c>
      <c r="C59" s="103" t="s">
        <v>595</v>
      </c>
      <c r="D59" s="103" t="s">
        <v>596</v>
      </c>
      <c r="E59" s="110" t="s">
        <v>22</v>
      </c>
      <c r="F59" s="110"/>
      <c r="G59" s="103"/>
      <c r="H59" s="103"/>
      <c r="I59" s="96" t="s">
        <v>56</v>
      </c>
      <c r="J59" s="96" t="s">
        <v>57</v>
      </c>
      <c r="K59" s="96">
        <v>0</v>
      </c>
      <c r="L59" s="96" t="s">
        <v>451</v>
      </c>
      <c r="M59" s="96" t="s">
        <v>104</v>
      </c>
      <c r="N59" s="103">
        <v>1</v>
      </c>
      <c r="O59" s="112">
        <v>1.0416666666666667E-3</v>
      </c>
    </row>
    <row r="60" spans="1:15" ht="15.75" thickBot="1">
      <c r="B60" s="132"/>
      <c r="C60" s="116"/>
      <c r="D60" s="116"/>
      <c r="E60" s="116"/>
      <c r="F60" s="116"/>
      <c r="G60" s="116"/>
      <c r="H60" s="116"/>
      <c r="I60" s="116"/>
      <c r="J60" s="116"/>
      <c r="K60" s="116"/>
      <c r="L60" s="116"/>
      <c r="M60" s="120"/>
      <c r="N60" s="120"/>
      <c r="O60" s="133"/>
    </row>
    <row r="61" spans="1:15" ht="15.75" thickTop="1"/>
    <row r="88" ht="66" customHeight="1"/>
    <row r="128" ht="66" customHeight="1"/>
  </sheetData>
  <autoFilter ref="B2:L59" xr:uid="{85B947FD-98C2-42CC-BC6A-AE5670D4F10B}"/>
  <phoneticPr fontId="8" type="noConversion"/>
  <conditionalFormatting sqref="B3:F6 G8 B7:D16 G10:H24 G27:H27 G33:H33 G35:H35 G29:H31 G37:H41 B43:D49 B42 D42 G43:H59 B51:D59 B50:C50 B38:D41 B37:C37 B28:D36 B27:C27 B24:D26 B23:C23 B18:D22 B17:C17">
    <cfRule type="expression" dxfId="108" priority="56">
      <formula>AND(OR($F3="No",$F3=""), $E3= "Yes",$G3&lt;&gt;"",$H3&lt;&gt;"")</formula>
    </cfRule>
  </conditionalFormatting>
  <conditionalFormatting sqref="H8">
    <cfRule type="expression" dxfId="107" priority="54">
      <formula>AND(OR($F8="No",$F8=""), $E8= "Yes",$G8&lt;&gt;"",$H8&lt;&gt;"")</formula>
    </cfRule>
  </conditionalFormatting>
  <conditionalFormatting sqref="G3:H6">
    <cfRule type="expression" dxfId="106" priority="53">
      <formula>AND(OR($F3="No",$F3=""), $E3= "Yes",$G3&lt;&gt;"",$H3&lt;&gt;"")</formula>
    </cfRule>
  </conditionalFormatting>
  <conditionalFormatting sqref="E8:F8 E10:F24 E27:F27 E33:F33 E35:F35 E29:F31 E37:F41 E43:F59 E42:H42">
    <cfRule type="expression" dxfId="105" priority="49">
      <formula>AND(OR($F8="No",$F8=""), $E8= "Yes",$G8&lt;&gt;"",$H8&lt;&gt;"")</formula>
    </cfRule>
    <cfRule type="expression" dxfId="104" priority="50">
      <formula>AND(OR($E8="No",$E8=""), $F8= "Yes",$G8&lt;&gt;"",$H8&lt;&gt;"")</formula>
    </cfRule>
  </conditionalFormatting>
  <conditionalFormatting sqref="I3:M59">
    <cfRule type="expression" dxfId="103" priority="48">
      <formula>AND(OR($F4="No",$F4=""), $E3= "Yes",$G3&lt;&gt;"",$H3&lt;&gt;"")</formula>
    </cfRule>
  </conditionalFormatting>
  <conditionalFormatting sqref="G7:H7">
    <cfRule type="expression" dxfId="102" priority="35">
      <formula>AND(OR($F7="No",$F7=""), $E7= "Yes",$G7&lt;&gt;"",$H7&lt;&gt;"")</formula>
    </cfRule>
  </conditionalFormatting>
  <conditionalFormatting sqref="E7:F7">
    <cfRule type="expression" dxfId="101" priority="33">
      <formula>AND(OR($F7="No",$F7=""), $E7= "Yes",$G7&lt;&gt;"",$H7&lt;&gt;"")</formula>
    </cfRule>
    <cfRule type="expression" dxfId="100" priority="34">
      <formula>AND(OR($E7="No",$E7=""), $F7= "Yes",$G7&lt;&gt;"",$H7&lt;&gt;"")</formula>
    </cfRule>
  </conditionalFormatting>
  <conditionalFormatting sqref="G9:H9">
    <cfRule type="expression" dxfId="99" priority="32">
      <formula>AND(OR($F9="No",$F9=""), $E9= "Yes",$G9&lt;&gt;"",$H9&lt;&gt;"")</formula>
    </cfRule>
  </conditionalFormatting>
  <conditionalFormatting sqref="E9:F9">
    <cfRule type="expression" dxfId="98" priority="30">
      <formula>AND(OR($F9="No",$F9=""), $E9= "Yes",$G9&lt;&gt;"",$H9&lt;&gt;"")</formula>
    </cfRule>
    <cfRule type="expression" dxfId="97" priority="31">
      <formula>AND(OR($E9="No",$E9=""), $F9= "Yes",$G9&lt;&gt;"",$H9&lt;&gt;"")</formula>
    </cfRule>
  </conditionalFormatting>
  <conditionalFormatting sqref="G25:H25">
    <cfRule type="expression" dxfId="96" priority="29">
      <formula>AND(OR($F25="No",$F25=""), $E25= "Yes",$G25&lt;&gt;"",$H25&lt;&gt;"")</formula>
    </cfRule>
  </conditionalFormatting>
  <conditionalFormatting sqref="E25:F25">
    <cfRule type="expression" dxfId="95" priority="27">
      <formula>AND(OR($F25="No",$F25=""), $E25= "Yes",$G25&lt;&gt;"",$H25&lt;&gt;"")</formula>
    </cfRule>
    <cfRule type="expression" dxfId="94" priority="28">
      <formula>AND(OR($E25="No",$E25=""), $F25= "Yes",$G25&lt;&gt;"",$H25&lt;&gt;"")</formula>
    </cfRule>
  </conditionalFormatting>
  <conditionalFormatting sqref="G32:H32">
    <cfRule type="expression" dxfId="93" priority="26">
      <formula>AND(OR($F32="No",$F32=""), $E32= "Yes",$G32&lt;&gt;"",$H32&lt;&gt;"")</formula>
    </cfRule>
  </conditionalFormatting>
  <conditionalFormatting sqref="E32:F32">
    <cfRule type="expression" dxfId="92" priority="24">
      <formula>AND(OR($F32="No",$F32=""), $E32= "Yes",$G32&lt;&gt;"",$H32&lt;&gt;"")</formula>
    </cfRule>
    <cfRule type="expression" dxfId="91" priority="25">
      <formula>AND(OR($E32="No",$E32=""), $F32= "Yes",$G32&lt;&gt;"",$H32&lt;&gt;"")</formula>
    </cfRule>
  </conditionalFormatting>
  <conditionalFormatting sqref="G34:H34">
    <cfRule type="expression" dxfId="90" priority="23">
      <formula>AND(OR($F34="No",$F34=""), $E34= "Yes",$G34&lt;&gt;"",$H34&lt;&gt;"")</formula>
    </cfRule>
  </conditionalFormatting>
  <conditionalFormatting sqref="E34:F34">
    <cfRule type="expression" dxfId="89" priority="21">
      <formula>AND(OR($F34="No",$F34=""), $E34= "Yes",$G34&lt;&gt;"",$H34&lt;&gt;"")</formula>
    </cfRule>
    <cfRule type="expression" dxfId="88" priority="22">
      <formula>AND(OR($E34="No",$E34=""), $F34= "Yes",$G34&lt;&gt;"",$H34&lt;&gt;"")</formula>
    </cfRule>
  </conditionalFormatting>
  <conditionalFormatting sqref="G26:H26">
    <cfRule type="expression" dxfId="87" priority="20">
      <formula>AND(OR($F26="No",$F26=""), $E26= "Yes",$G26&lt;&gt;"",$H26&lt;&gt;"")</formula>
    </cfRule>
  </conditionalFormatting>
  <conditionalFormatting sqref="E26:F26">
    <cfRule type="expression" dxfId="86" priority="18">
      <formula>AND(OR($F26="No",$F26=""), $E26= "Yes",$G26&lt;&gt;"",$H26&lt;&gt;"")</formula>
    </cfRule>
    <cfRule type="expression" dxfId="85" priority="19">
      <formula>AND(OR($E26="No",$E26=""), $F26= "Yes",$G26&lt;&gt;"",$H26&lt;&gt;"")</formula>
    </cfRule>
  </conditionalFormatting>
  <conditionalFormatting sqref="G28:H28">
    <cfRule type="expression" dxfId="84" priority="17">
      <formula>AND(OR($F28="No",$F28=""), $E28= "Yes",$G28&lt;&gt;"",$H28&lt;&gt;"")</formula>
    </cfRule>
  </conditionalFormatting>
  <conditionalFormatting sqref="E28:F28">
    <cfRule type="expression" dxfId="83" priority="15">
      <formula>AND(OR($F28="No",$F28=""), $E28= "Yes",$G28&lt;&gt;"",$H28&lt;&gt;"")</formula>
    </cfRule>
    <cfRule type="expression" dxfId="82" priority="16">
      <formula>AND(OR($E28="No",$E28=""), $F28= "Yes",$G28&lt;&gt;"",$H28&lt;&gt;"")</formula>
    </cfRule>
  </conditionalFormatting>
  <conditionalFormatting sqref="G36:H36">
    <cfRule type="expression" dxfId="81" priority="14">
      <formula>AND(OR($F36="No",$F36=""), $E36= "Yes",$G36&lt;&gt;"",$H36&lt;&gt;"")</formula>
    </cfRule>
  </conditionalFormatting>
  <conditionalFormatting sqref="E36:F36">
    <cfRule type="expression" dxfId="80" priority="12">
      <formula>AND(OR($F36="No",$F36=""), $E36= "Yes",$G36&lt;&gt;"",$H36&lt;&gt;"")</formula>
    </cfRule>
    <cfRule type="expression" dxfId="79" priority="13">
      <formula>AND(OR($E36="No",$E36=""), $F36= "Yes",$G36&lt;&gt;"",$H36&lt;&gt;"")</formula>
    </cfRule>
  </conditionalFormatting>
  <conditionalFormatting sqref="A2">
    <cfRule type="expression" dxfId="78" priority="10">
      <formula>AND(OR(#REF!="No",#REF!=""), #REF!= "Yes",#REF!&lt;&gt;"",#REF!&lt;&gt;"")</formula>
    </cfRule>
    <cfRule type="expression" dxfId="77" priority="11">
      <formula>AND(OR(#REF!="No",#REF!=""), #REF!= "Yes",#REF!&lt;&gt;"",#REF!&lt;&gt;"")</formula>
    </cfRule>
  </conditionalFormatting>
  <conditionalFormatting sqref="N3:O13 N59:O59 N15:O57">
    <cfRule type="expression" dxfId="76" priority="9">
      <formula>AND(OR($F3="No",$F3=""), $E3= "Yes",$G3&lt;&gt;"",$H3&lt;&gt;"")</formula>
    </cfRule>
  </conditionalFormatting>
  <conditionalFormatting sqref="N58:O58">
    <cfRule type="expression" dxfId="75" priority="8">
      <formula>AND(OR($E58="No",$E58=""), $D58= "Yes",$F58&lt;&gt;"",$G58&lt;&gt;"")</formula>
    </cfRule>
  </conditionalFormatting>
  <conditionalFormatting sqref="N14:O14">
    <cfRule type="expression" dxfId="74" priority="7">
      <formula>AND(OR($F14="No",$F14=""), $E14= "Yes",$G14&lt;&gt;"",$H14&lt;&gt;"")</formula>
    </cfRule>
  </conditionalFormatting>
  <conditionalFormatting sqref="C42">
    <cfRule type="expression" dxfId="73" priority="6">
      <formula>AND(OR($F42="No",$F42=""), $E42= "Yes",#REF!&lt;&gt;"",$H42&lt;&gt;"")</formula>
    </cfRule>
  </conditionalFormatting>
  <conditionalFormatting sqref="D50">
    <cfRule type="expression" dxfId="72" priority="5">
      <formula>AND(OR($F50="No",$F50=""), $E50= "Yes",$G50&lt;&gt;"",$H50&lt;&gt;"")</formula>
    </cfRule>
  </conditionalFormatting>
  <conditionalFormatting sqref="D37">
    <cfRule type="expression" dxfId="71" priority="4">
      <formula>AND(OR($F37="No",$F37=""), $E37= "Yes",$G37&lt;&gt;"",$H37&lt;&gt;"")</formula>
    </cfRule>
  </conditionalFormatting>
  <conditionalFormatting sqref="D27">
    <cfRule type="expression" dxfId="70" priority="3">
      <formula>AND(OR($F27="No",$F27=""), $E27= "Yes",$G27&lt;&gt;"",$H27&lt;&gt;"")</formula>
    </cfRule>
  </conditionalFormatting>
  <conditionalFormatting sqref="D23">
    <cfRule type="expression" dxfId="69" priority="2">
      <formula>AND(OR($F23="No",$F23=""), $E23= "Yes",$G23&lt;&gt;"",$H23&lt;&gt;"")</formula>
    </cfRule>
  </conditionalFormatting>
  <conditionalFormatting sqref="D17">
    <cfRule type="expression" dxfId="68" priority="1">
      <formula>AND(OR($F17="No",$F17=""), $E17= "Yes",$G17&lt;&gt;"",$H17&lt;&gt;"")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xr:uid="{683EDFB9-D5FF-4226-A0F9-B0D32E5CEB84}">
      <formula1>"Yes, No"</formula1>
    </dataValidation>
  </dataValidations>
  <pageMargins left="0.7" right="0.7" top="0.75" bottom="0.75" header="0.3" footer="0.3"/>
  <pageSetup paperSize="9" scale="40"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29"/>
  <sheetViews>
    <sheetView tabSelected="1" showWhiteSpace="0" zoomScale="60" zoomScaleNormal="60" workbookViewId="0">
      <pane ySplit="2" topLeftCell="A38" activePane="bottomLeft" state="frozen"/>
      <selection pane="bottomLeft" activeCell="G43" sqref="G43"/>
    </sheetView>
  </sheetViews>
  <sheetFormatPr defaultColWidth="8.88671875" defaultRowHeight="15"/>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0.77734375" style="22" customWidth="1"/>
    <col min="12" max="12" width="16.109375" style="22" customWidth="1"/>
    <col min="13" max="13" width="8.88671875" style="3" customWidth="1"/>
    <col min="14" max="14" width="10.21875" style="3" customWidth="1"/>
    <col min="15" max="17" width="8.88671875" style="3" customWidth="1"/>
    <col min="18" max="16384" width="8.88671875" style="3"/>
  </cols>
  <sheetData>
    <row r="1" spans="1:72" ht="21" customHeight="1" thickBot="1">
      <c r="B1" s="88" t="s">
        <v>44</v>
      </c>
      <c r="C1" s="62" t="s">
        <v>818</v>
      </c>
      <c r="D1" s="23"/>
      <c r="E1" s="23"/>
      <c r="F1" s="23"/>
      <c r="G1" s="23"/>
      <c r="H1" s="23"/>
      <c r="I1" s="23"/>
      <c r="J1" s="23"/>
      <c r="L1" s="23"/>
    </row>
    <row r="2" spans="1:72" s="10" customFormat="1" ht="87.95" customHeight="1" thickBot="1">
      <c r="A2" s="50" t="s">
        <v>38</v>
      </c>
      <c r="B2" s="64" t="s">
        <v>39</v>
      </c>
      <c r="C2" s="65" t="s">
        <v>40</v>
      </c>
      <c r="D2" s="66" t="s">
        <v>41</v>
      </c>
      <c r="E2" s="67" t="s">
        <v>24</v>
      </c>
      <c r="F2" s="67" t="s">
        <v>20</v>
      </c>
      <c r="G2" s="68" t="s">
        <v>42</v>
      </c>
      <c r="H2" s="68" t="s">
        <v>43</v>
      </c>
      <c r="I2" s="63" t="s">
        <v>46</v>
      </c>
      <c r="J2" s="63" t="s">
        <v>47</v>
      </c>
      <c r="K2" s="63" t="s">
        <v>48</v>
      </c>
      <c r="L2" s="63" t="s">
        <v>49</v>
      </c>
      <c r="M2" s="63" t="s">
        <v>50</v>
      </c>
      <c r="N2" s="63" t="s">
        <v>51</v>
      </c>
      <c r="O2" s="63" t="s">
        <v>52</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ht="54" customHeight="1" thickTop="1" thickBot="1">
      <c r="A3" s="72"/>
      <c r="B3" s="94" t="s">
        <v>11</v>
      </c>
      <c r="C3" s="95" t="s">
        <v>53</v>
      </c>
      <c r="D3" s="95" t="s">
        <v>54</v>
      </c>
      <c r="E3" s="96" t="s">
        <v>12</v>
      </c>
      <c r="F3" s="96" t="s">
        <v>22</v>
      </c>
      <c r="G3" s="95" t="s">
        <v>55</v>
      </c>
      <c r="H3" s="97" t="s">
        <v>55</v>
      </c>
      <c r="I3" s="96" t="s">
        <v>56</v>
      </c>
      <c r="J3" s="96" t="s">
        <v>57</v>
      </c>
      <c r="K3" s="96">
        <v>0</v>
      </c>
      <c r="L3" s="96" t="s">
        <v>58</v>
      </c>
      <c r="M3" s="96" t="s">
        <v>59</v>
      </c>
      <c r="N3" s="95">
        <v>1</v>
      </c>
      <c r="O3" s="98">
        <v>5.2083333333333333E-4</v>
      </c>
    </row>
    <row r="4" spans="1:72" ht="54" customHeight="1" thickTop="1" thickBot="1">
      <c r="A4" s="72"/>
      <c r="B4" s="73" t="s">
        <v>11</v>
      </c>
      <c r="C4" s="90" t="s">
        <v>60</v>
      </c>
      <c r="D4" s="74" t="s">
        <v>61</v>
      </c>
      <c r="E4" s="75" t="s">
        <v>12</v>
      </c>
      <c r="F4" s="75" t="s">
        <v>22</v>
      </c>
      <c r="G4" s="74" t="s">
        <v>55</v>
      </c>
      <c r="H4" s="85" t="s">
        <v>55</v>
      </c>
      <c r="I4" s="96" t="s">
        <v>56</v>
      </c>
      <c r="J4" s="96" t="s">
        <v>57</v>
      </c>
      <c r="K4" s="96">
        <v>0</v>
      </c>
      <c r="L4" s="96" t="s">
        <v>62</v>
      </c>
      <c r="M4" s="96" t="s">
        <v>63</v>
      </c>
      <c r="N4" s="74">
        <v>1</v>
      </c>
      <c r="O4" s="77">
        <v>3.4722222222222224E-4</v>
      </c>
    </row>
    <row r="5" spans="1:72" ht="54" customHeight="1" thickTop="1" thickBot="1">
      <c r="A5" s="72"/>
      <c r="B5" s="73" t="s">
        <v>11</v>
      </c>
      <c r="C5" s="74" t="s">
        <v>64</v>
      </c>
      <c r="D5" s="74" t="s">
        <v>61</v>
      </c>
      <c r="E5" s="75" t="s">
        <v>12</v>
      </c>
      <c r="F5" s="75" t="s">
        <v>22</v>
      </c>
      <c r="G5" s="74" t="s">
        <v>55</v>
      </c>
      <c r="H5" s="85" t="s">
        <v>55</v>
      </c>
      <c r="I5" s="96" t="s">
        <v>56</v>
      </c>
      <c r="J5" s="96" t="s">
        <v>57</v>
      </c>
      <c r="K5" s="96">
        <v>0</v>
      </c>
      <c r="L5" s="96" t="s">
        <v>62</v>
      </c>
      <c r="M5" s="96" t="s">
        <v>63</v>
      </c>
      <c r="N5" s="74">
        <v>1</v>
      </c>
      <c r="O5" s="77">
        <v>3.4722222222222224E-4</v>
      </c>
    </row>
    <row r="6" spans="1:72" ht="54" customHeight="1" thickTop="1" thickBot="1">
      <c r="A6" s="72"/>
      <c r="B6" s="73" t="s">
        <v>11</v>
      </c>
      <c r="C6" s="74" t="s">
        <v>65</v>
      </c>
      <c r="D6" s="74" t="s">
        <v>66</v>
      </c>
      <c r="E6" s="75" t="s">
        <v>12</v>
      </c>
      <c r="F6" s="75" t="s">
        <v>22</v>
      </c>
      <c r="G6" s="74" t="s">
        <v>55</v>
      </c>
      <c r="H6" s="85" t="s">
        <v>55</v>
      </c>
      <c r="I6" s="96" t="s">
        <v>56</v>
      </c>
      <c r="J6" s="96" t="s">
        <v>57</v>
      </c>
      <c r="K6" s="96">
        <v>0</v>
      </c>
      <c r="L6" s="96" t="s">
        <v>62</v>
      </c>
      <c r="M6" s="96" t="s">
        <v>63</v>
      </c>
      <c r="N6" s="74">
        <v>1</v>
      </c>
      <c r="O6" s="77">
        <v>1.3888888888888889E-3</v>
      </c>
    </row>
    <row r="7" spans="1:72" ht="54" customHeight="1" thickTop="1" thickBot="1">
      <c r="A7" s="72"/>
      <c r="B7" s="73" t="s">
        <v>11</v>
      </c>
      <c r="C7" s="74" t="s">
        <v>67</v>
      </c>
      <c r="D7" s="74" t="s">
        <v>68</v>
      </c>
      <c r="E7" s="75" t="s">
        <v>12</v>
      </c>
      <c r="F7" s="75" t="s">
        <v>22</v>
      </c>
      <c r="G7" s="74" t="s">
        <v>55</v>
      </c>
      <c r="H7" s="85" t="s">
        <v>55</v>
      </c>
      <c r="I7" s="96" t="s">
        <v>56</v>
      </c>
      <c r="J7" s="96" t="s">
        <v>57</v>
      </c>
      <c r="K7" s="96">
        <v>0</v>
      </c>
      <c r="L7" s="96" t="s">
        <v>69</v>
      </c>
      <c r="M7" s="96" t="s">
        <v>70</v>
      </c>
      <c r="N7" s="74">
        <v>1</v>
      </c>
      <c r="O7" s="77">
        <v>1.2152777777777778E-3</v>
      </c>
    </row>
    <row r="8" spans="1:72" ht="54" customHeight="1" thickTop="1" thickBot="1">
      <c r="A8" s="72"/>
      <c r="B8" s="73" t="s">
        <v>11</v>
      </c>
      <c r="C8" s="74" t="s">
        <v>71</v>
      </c>
      <c r="D8" s="74" t="s">
        <v>72</v>
      </c>
      <c r="E8" s="75" t="s">
        <v>12</v>
      </c>
      <c r="F8" s="75" t="s">
        <v>22</v>
      </c>
      <c r="G8" s="74" t="s">
        <v>55</v>
      </c>
      <c r="H8" s="85" t="s">
        <v>55</v>
      </c>
      <c r="I8" s="96" t="s">
        <v>56</v>
      </c>
      <c r="J8" s="96" t="s">
        <v>57</v>
      </c>
      <c r="K8" s="96">
        <v>0</v>
      </c>
      <c r="L8" s="96" t="s">
        <v>69</v>
      </c>
      <c r="M8" s="96" t="s">
        <v>70</v>
      </c>
      <c r="N8" s="74">
        <v>1</v>
      </c>
      <c r="O8" s="77">
        <v>3.4722222222222224E-4</v>
      </c>
    </row>
    <row r="9" spans="1:72" ht="54" customHeight="1" thickTop="1" thickBot="1">
      <c r="A9" s="72"/>
      <c r="B9" s="73" t="s">
        <v>11</v>
      </c>
      <c r="C9" s="74" t="s">
        <v>73</v>
      </c>
      <c r="D9" s="74" t="s">
        <v>74</v>
      </c>
      <c r="E9" s="75" t="s">
        <v>12</v>
      </c>
      <c r="F9" s="75" t="s">
        <v>22</v>
      </c>
      <c r="G9" s="74" t="s">
        <v>819</v>
      </c>
      <c r="H9" s="85">
        <v>45700</v>
      </c>
      <c r="I9" s="96" t="s">
        <v>56</v>
      </c>
      <c r="J9" s="96" t="s">
        <v>57</v>
      </c>
      <c r="K9" s="96">
        <v>0</v>
      </c>
      <c r="L9" s="96" t="s">
        <v>76</v>
      </c>
      <c r="M9" s="96" t="s">
        <v>59</v>
      </c>
      <c r="N9" s="74">
        <v>2</v>
      </c>
      <c r="O9" s="77">
        <v>3.4722222222222224E-4</v>
      </c>
    </row>
    <row r="10" spans="1:72" ht="54" customHeight="1" thickTop="1" thickBot="1">
      <c r="A10" s="72"/>
      <c r="B10" s="73" t="s">
        <v>11</v>
      </c>
      <c r="C10" s="74" t="s">
        <v>77</v>
      </c>
      <c r="D10" s="74" t="s">
        <v>78</v>
      </c>
      <c r="E10" s="75" t="s">
        <v>12</v>
      </c>
      <c r="F10" s="75" t="s">
        <v>22</v>
      </c>
      <c r="G10" s="74" t="s">
        <v>55</v>
      </c>
      <c r="H10" s="85" t="s">
        <v>55</v>
      </c>
      <c r="I10" s="96" t="s">
        <v>56</v>
      </c>
      <c r="J10" s="96" t="s">
        <v>57</v>
      </c>
      <c r="K10" s="96">
        <v>0</v>
      </c>
      <c r="L10" s="96" t="s">
        <v>79</v>
      </c>
      <c r="M10" s="96" t="s">
        <v>59</v>
      </c>
      <c r="N10" s="74">
        <v>1</v>
      </c>
      <c r="O10" s="77">
        <v>1.3888888888888889E-3</v>
      </c>
    </row>
    <row r="11" spans="1:72" ht="54" customHeight="1" thickTop="1" thickBot="1">
      <c r="A11" s="72"/>
      <c r="B11" s="73" t="s">
        <v>11</v>
      </c>
      <c r="C11" s="74" t="s">
        <v>80</v>
      </c>
      <c r="D11" s="74" t="s">
        <v>81</v>
      </c>
      <c r="E11" s="75" t="s">
        <v>12</v>
      </c>
      <c r="F11" s="75" t="s">
        <v>22</v>
      </c>
      <c r="G11" s="74" t="s">
        <v>55</v>
      </c>
      <c r="H11" s="85" t="s">
        <v>55</v>
      </c>
      <c r="I11" s="96" t="s">
        <v>56</v>
      </c>
      <c r="J11" s="96" t="s">
        <v>57</v>
      </c>
      <c r="K11" s="96">
        <v>0</v>
      </c>
      <c r="L11" s="96" t="s">
        <v>82</v>
      </c>
      <c r="M11" s="96" t="s">
        <v>59</v>
      </c>
      <c r="N11" s="74">
        <v>1</v>
      </c>
      <c r="O11" s="77">
        <v>3.4722222222222224E-4</v>
      </c>
    </row>
    <row r="12" spans="1:72" ht="54" customHeight="1" thickTop="1" thickBot="1">
      <c r="A12" s="72"/>
      <c r="B12" s="73" t="s">
        <v>11</v>
      </c>
      <c r="C12" s="74" t="s">
        <v>83</v>
      </c>
      <c r="D12" s="74" t="s">
        <v>84</v>
      </c>
      <c r="E12" s="75" t="s">
        <v>12</v>
      </c>
      <c r="F12" s="75" t="s">
        <v>22</v>
      </c>
      <c r="G12" s="74" t="s">
        <v>55</v>
      </c>
      <c r="H12" s="85" t="s">
        <v>55</v>
      </c>
      <c r="I12" s="96" t="s">
        <v>85</v>
      </c>
      <c r="J12" s="96" t="s">
        <v>57</v>
      </c>
      <c r="K12" s="96">
        <v>0</v>
      </c>
      <c r="L12" s="96" t="s">
        <v>87</v>
      </c>
      <c r="M12" s="96" t="s">
        <v>88</v>
      </c>
      <c r="N12" s="74">
        <v>1</v>
      </c>
      <c r="O12" s="77">
        <v>3.4722222222222224E-4</v>
      </c>
    </row>
    <row r="13" spans="1:72" ht="54" customHeight="1" thickTop="1" thickBot="1">
      <c r="A13" s="72"/>
      <c r="B13" s="73" t="s">
        <v>11</v>
      </c>
      <c r="C13" s="74" t="s">
        <v>89</v>
      </c>
      <c r="D13" s="74" t="s">
        <v>90</v>
      </c>
      <c r="E13" s="75" t="s">
        <v>12</v>
      </c>
      <c r="F13" s="75" t="s">
        <v>22</v>
      </c>
      <c r="G13" s="74" t="s">
        <v>55</v>
      </c>
      <c r="H13" s="85" t="s">
        <v>55</v>
      </c>
      <c r="I13" s="96" t="s">
        <v>56</v>
      </c>
      <c r="J13" s="96" t="s">
        <v>57</v>
      </c>
      <c r="K13" s="96">
        <v>0</v>
      </c>
      <c r="L13" s="96" t="s">
        <v>91</v>
      </c>
      <c r="M13" s="96" t="s">
        <v>59</v>
      </c>
      <c r="N13" s="74">
        <v>1</v>
      </c>
      <c r="O13" s="77">
        <v>1.3888888888888889E-3</v>
      </c>
    </row>
    <row r="14" spans="1:72" ht="54" customHeight="1" thickTop="1" thickBot="1">
      <c r="A14" s="72"/>
      <c r="B14" s="73" t="s">
        <v>11</v>
      </c>
      <c r="C14" s="74" t="s">
        <v>92</v>
      </c>
      <c r="D14" s="74" t="s">
        <v>93</v>
      </c>
      <c r="E14" s="75" t="s">
        <v>12</v>
      </c>
      <c r="F14" s="75" t="s">
        <v>22</v>
      </c>
      <c r="G14" s="74" t="s">
        <v>55</v>
      </c>
      <c r="H14" s="85" t="s">
        <v>55</v>
      </c>
      <c r="I14" s="96" t="s">
        <v>56</v>
      </c>
      <c r="J14" s="96" t="s">
        <v>57</v>
      </c>
      <c r="K14" s="96">
        <v>0</v>
      </c>
      <c r="L14" s="96" t="s">
        <v>91</v>
      </c>
      <c r="M14" s="96" t="s">
        <v>59</v>
      </c>
      <c r="N14" s="74">
        <v>1</v>
      </c>
      <c r="O14" s="77">
        <v>1.3888888888888889E-3</v>
      </c>
    </row>
    <row r="15" spans="1:72" ht="54" customHeight="1" thickTop="1" thickBot="1">
      <c r="A15" s="72"/>
      <c r="B15" s="73" t="s">
        <v>11</v>
      </c>
      <c r="C15" s="74" t="s">
        <v>94</v>
      </c>
      <c r="D15" s="74" t="s">
        <v>95</v>
      </c>
      <c r="E15" s="75" t="s">
        <v>12</v>
      </c>
      <c r="F15" s="75" t="s">
        <v>22</v>
      </c>
      <c r="G15" s="74" t="s">
        <v>55</v>
      </c>
      <c r="H15" s="85" t="s">
        <v>55</v>
      </c>
      <c r="I15" s="96" t="s">
        <v>56</v>
      </c>
      <c r="J15" s="96" t="s">
        <v>57</v>
      </c>
      <c r="K15" s="96">
        <v>0</v>
      </c>
      <c r="L15" s="96" t="s">
        <v>96</v>
      </c>
      <c r="M15" s="96" t="s">
        <v>59</v>
      </c>
      <c r="N15" s="74">
        <v>1</v>
      </c>
      <c r="O15" s="77">
        <v>5.2083333333333333E-4</v>
      </c>
    </row>
    <row r="16" spans="1:72" ht="54" customHeight="1" thickTop="1" thickBot="1">
      <c r="A16" s="72"/>
      <c r="B16" s="73" t="s">
        <v>11</v>
      </c>
      <c r="C16" s="74" t="s">
        <v>97</v>
      </c>
      <c r="D16" s="74" t="s">
        <v>98</v>
      </c>
      <c r="E16" s="75" t="s">
        <v>12</v>
      </c>
      <c r="F16" s="75" t="s">
        <v>22</v>
      </c>
      <c r="G16" s="74" t="s">
        <v>55</v>
      </c>
      <c r="H16" s="85" t="s">
        <v>55</v>
      </c>
      <c r="I16" s="96" t="s">
        <v>56</v>
      </c>
      <c r="J16" s="96" t="s">
        <v>57</v>
      </c>
      <c r="K16" s="96">
        <v>0</v>
      </c>
      <c r="L16" s="96" t="s">
        <v>96</v>
      </c>
      <c r="M16" s="96" t="s">
        <v>59</v>
      </c>
      <c r="N16" s="74">
        <v>1</v>
      </c>
      <c r="O16" s="77">
        <v>5.2083333333333333E-4</v>
      </c>
    </row>
    <row r="17" spans="1:15" ht="54" customHeight="1" thickTop="1" thickBot="1">
      <c r="A17" s="72"/>
      <c r="B17" s="73" t="s">
        <v>11</v>
      </c>
      <c r="C17" s="74" t="s">
        <v>99</v>
      </c>
      <c r="D17" s="74" t="s">
        <v>100</v>
      </c>
      <c r="E17" s="75" t="s">
        <v>12</v>
      </c>
      <c r="F17" s="75" t="s">
        <v>22</v>
      </c>
      <c r="G17" s="74" t="s">
        <v>55</v>
      </c>
      <c r="H17" s="85" t="s">
        <v>55</v>
      </c>
      <c r="I17" s="96" t="s">
        <v>56</v>
      </c>
      <c r="J17" s="96" t="s">
        <v>57</v>
      </c>
      <c r="K17" s="96">
        <v>0</v>
      </c>
      <c r="L17" s="96" t="s">
        <v>96</v>
      </c>
      <c r="M17" s="96" t="s">
        <v>59</v>
      </c>
      <c r="N17" s="74">
        <v>1</v>
      </c>
      <c r="O17" s="77">
        <v>3.4722222222222224E-4</v>
      </c>
    </row>
    <row r="18" spans="1:15" ht="54" customHeight="1" thickTop="1" thickBot="1">
      <c r="A18" s="72"/>
      <c r="B18" s="73" t="s">
        <v>11</v>
      </c>
      <c r="C18" s="74" t="s">
        <v>101</v>
      </c>
      <c r="D18" s="74" t="s">
        <v>102</v>
      </c>
      <c r="E18" s="75" t="s">
        <v>12</v>
      </c>
      <c r="F18" s="75" t="s">
        <v>22</v>
      </c>
      <c r="G18" s="74" t="s">
        <v>55</v>
      </c>
      <c r="H18" s="85" t="s">
        <v>55</v>
      </c>
      <c r="I18" s="96" t="s">
        <v>85</v>
      </c>
      <c r="J18" s="96" t="s">
        <v>57</v>
      </c>
      <c r="K18" s="96">
        <v>0</v>
      </c>
      <c r="L18" s="96" t="s">
        <v>103</v>
      </c>
      <c r="M18" s="96" t="s">
        <v>104</v>
      </c>
      <c r="N18" s="74">
        <v>1</v>
      </c>
      <c r="O18" s="77">
        <v>6.9444444444444447E-4</v>
      </c>
    </row>
    <row r="19" spans="1:15" ht="54" customHeight="1" thickTop="1" thickBot="1">
      <c r="A19" s="72"/>
      <c r="B19" s="73" t="s">
        <v>11</v>
      </c>
      <c r="C19" s="74" t="s">
        <v>105</v>
      </c>
      <c r="D19" s="74" t="s">
        <v>106</v>
      </c>
      <c r="E19" s="75" t="s">
        <v>12</v>
      </c>
      <c r="F19" s="75" t="s">
        <v>22</v>
      </c>
      <c r="G19" s="74" t="s">
        <v>55</v>
      </c>
      <c r="H19" s="85" t="s">
        <v>55</v>
      </c>
      <c r="I19" s="96" t="s">
        <v>85</v>
      </c>
      <c r="J19" s="96" t="s">
        <v>57</v>
      </c>
      <c r="K19" s="96">
        <v>0</v>
      </c>
      <c r="L19" s="96" t="s">
        <v>107</v>
      </c>
      <c r="M19" s="96" t="s">
        <v>104</v>
      </c>
      <c r="N19" s="74">
        <v>1</v>
      </c>
      <c r="O19" s="77">
        <v>6.9444444444444447E-4</v>
      </c>
    </row>
    <row r="20" spans="1:15" ht="54" customHeight="1" thickTop="1" thickBot="1">
      <c r="A20" s="72"/>
      <c r="B20" s="73" t="s">
        <v>11</v>
      </c>
      <c r="C20" s="74" t="s">
        <v>108</v>
      </c>
      <c r="D20" s="74" t="s">
        <v>109</v>
      </c>
      <c r="E20" s="75" t="s">
        <v>12</v>
      </c>
      <c r="F20" s="75" t="s">
        <v>22</v>
      </c>
      <c r="G20" s="91" t="s">
        <v>55</v>
      </c>
      <c r="H20" s="92" t="s">
        <v>55</v>
      </c>
      <c r="I20" s="96" t="s">
        <v>56</v>
      </c>
      <c r="J20" s="96" t="s">
        <v>57</v>
      </c>
      <c r="K20" s="96">
        <v>0</v>
      </c>
      <c r="L20" s="96">
        <v>0</v>
      </c>
      <c r="M20" s="96" t="s">
        <v>59</v>
      </c>
      <c r="N20" s="74">
        <v>2</v>
      </c>
      <c r="O20" s="77">
        <v>5.2083333333333333E-4</v>
      </c>
    </row>
    <row r="21" spans="1:15" ht="54" customHeight="1" thickTop="1" thickBot="1">
      <c r="A21" s="72"/>
      <c r="B21" s="73" t="s">
        <v>11</v>
      </c>
      <c r="C21" s="74" t="s">
        <v>110</v>
      </c>
      <c r="D21" s="74" t="s">
        <v>111</v>
      </c>
      <c r="E21" s="75" t="s">
        <v>12</v>
      </c>
      <c r="F21" s="75" t="s">
        <v>22</v>
      </c>
      <c r="G21" s="91" t="s">
        <v>55</v>
      </c>
      <c r="H21" s="92" t="s">
        <v>55</v>
      </c>
      <c r="I21" s="96" t="s">
        <v>85</v>
      </c>
      <c r="J21" s="96" t="s">
        <v>57</v>
      </c>
      <c r="K21" s="96">
        <v>0</v>
      </c>
      <c r="L21" s="96" t="s">
        <v>112</v>
      </c>
      <c r="M21" s="96" t="s">
        <v>104</v>
      </c>
      <c r="N21" s="74">
        <v>2</v>
      </c>
      <c r="O21" s="77">
        <v>45.000520833333333</v>
      </c>
    </row>
    <row r="22" spans="1:15" ht="54" customHeight="1" thickTop="1" thickBot="1">
      <c r="A22" s="72"/>
      <c r="B22" s="73" t="s">
        <v>11</v>
      </c>
      <c r="C22" s="74" t="s">
        <v>113</v>
      </c>
      <c r="D22" s="74" t="s">
        <v>114</v>
      </c>
      <c r="E22" s="75" t="s">
        <v>12</v>
      </c>
      <c r="F22" s="75" t="s">
        <v>22</v>
      </c>
      <c r="G22" s="91" t="s">
        <v>55</v>
      </c>
      <c r="H22" s="92" t="s">
        <v>55</v>
      </c>
      <c r="I22" s="96" t="s">
        <v>85</v>
      </c>
      <c r="J22" s="96" t="s">
        <v>57</v>
      </c>
      <c r="K22" s="96">
        <v>0</v>
      </c>
      <c r="L22" s="96" t="s">
        <v>115</v>
      </c>
      <c r="M22" s="96" t="s">
        <v>104</v>
      </c>
      <c r="N22" s="74">
        <v>2</v>
      </c>
      <c r="O22" s="77">
        <v>45.042187499999997</v>
      </c>
    </row>
    <row r="23" spans="1:15" ht="54" customHeight="1" thickTop="1" thickBot="1">
      <c r="A23" s="72"/>
      <c r="B23" s="73" t="s">
        <v>11</v>
      </c>
      <c r="C23" s="74" t="s">
        <v>116</v>
      </c>
      <c r="D23" s="74" t="s">
        <v>117</v>
      </c>
      <c r="E23" s="75" t="s">
        <v>12</v>
      </c>
      <c r="F23" s="75" t="s">
        <v>22</v>
      </c>
      <c r="G23" s="75" t="s">
        <v>118</v>
      </c>
      <c r="H23" s="76" t="s">
        <v>55</v>
      </c>
      <c r="I23" s="96" t="s">
        <v>85</v>
      </c>
      <c r="J23" s="96" t="s">
        <v>57</v>
      </c>
      <c r="K23" s="96">
        <v>0</v>
      </c>
      <c r="L23" s="96" t="s">
        <v>119</v>
      </c>
      <c r="M23" s="96" t="s">
        <v>120</v>
      </c>
      <c r="N23" s="74">
        <v>1</v>
      </c>
      <c r="O23" s="77">
        <v>5.2083333333333333E-4</v>
      </c>
    </row>
    <row r="24" spans="1:15" ht="54" customHeight="1" thickTop="1" thickBot="1">
      <c r="A24" s="72"/>
      <c r="B24" s="73" t="s">
        <v>11</v>
      </c>
      <c r="C24" s="74" t="s">
        <v>121</v>
      </c>
      <c r="D24" s="74" t="s">
        <v>122</v>
      </c>
      <c r="E24" s="75" t="s">
        <v>12</v>
      </c>
      <c r="F24" s="75" t="s">
        <v>22</v>
      </c>
      <c r="G24" s="75" t="s">
        <v>118</v>
      </c>
      <c r="H24" s="76" t="s">
        <v>55</v>
      </c>
      <c r="I24" s="96" t="s">
        <v>85</v>
      </c>
      <c r="J24" s="96" t="s">
        <v>57</v>
      </c>
      <c r="K24" s="96">
        <v>0</v>
      </c>
      <c r="L24" s="96" t="s">
        <v>123</v>
      </c>
      <c r="M24" s="96" t="s">
        <v>120</v>
      </c>
      <c r="N24" s="74">
        <v>2</v>
      </c>
      <c r="O24" s="77">
        <v>6.9444444444444447E-4</v>
      </c>
    </row>
    <row r="25" spans="1:15" ht="54" customHeight="1" thickTop="1" thickBot="1">
      <c r="A25" s="72"/>
      <c r="B25" s="78" t="s">
        <v>11</v>
      </c>
      <c r="C25" s="79" t="s">
        <v>124</v>
      </c>
      <c r="D25" s="79" t="s">
        <v>125</v>
      </c>
      <c r="E25" s="80" t="s">
        <v>12</v>
      </c>
      <c r="F25" s="80" t="s">
        <v>22</v>
      </c>
      <c r="G25" s="80" t="s">
        <v>126</v>
      </c>
      <c r="H25" s="81" t="s">
        <v>55</v>
      </c>
      <c r="I25" s="96" t="s">
        <v>85</v>
      </c>
      <c r="J25" s="96" t="s">
        <v>57</v>
      </c>
      <c r="K25" s="96">
        <v>0</v>
      </c>
      <c r="L25" s="96">
        <v>0</v>
      </c>
      <c r="M25" s="96" t="s">
        <v>104</v>
      </c>
      <c r="N25" s="79"/>
      <c r="O25" s="83"/>
    </row>
    <row r="26" spans="1:15" ht="54" customHeight="1" thickTop="1" thickBot="1">
      <c r="A26" s="72"/>
      <c r="B26" s="94" t="s">
        <v>14</v>
      </c>
      <c r="C26" s="95" t="s">
        <v>127</v>
      </c>
      <c r="D26" s="95" t="s">
        <v>128</v>
      </c>
      <c r="E26" s="96" t="s">
        <v>12</v>
      </c>
      <c r="F26" s="96" t="s">
        <v>22</v>
      </c>
      <c r="G26" s="96" t="s">
        <v>129</v>
      </c>
      <c r="H26" s="100">
        <v>45697</v>
      </c>
      <c r="I26" s="96" t="s">
        <v>130</v>
      </c>
      <c r="J26" s="96" t="s">
        <v>131</v>
      </c>
      <c r="K26" s="96">
        <v>0</v>
      </c>
      <c r="L26" s="96" t="s">
        <v>132</v>
      </c>
      <c r="M26" s="96" t="s">
        <v>104</v>
      </c>
      <c r="N26" s="95">
        <v>4</v>
      </c>
      <c r="O26" s="98">
        <v>1.736111111111111E-3</v>
      </c>
    </row>
    <row r="27" spans="1:15" ht="54" customHeight="1" thickTop="1" thickBot="1">
      <c r="A27" s="72"/>
      <c r="B27" s="73" t="s">
        <v>14</v>
      </c>
      <c r="C27" s="74" t="s">
        <v>133</v>
      </c>
      <c r="D27" s="74" t="s">
        <v>134</v>
      </c>
      <c r="E27" s="75" t="s">
        <v>12</v>
      </c>
      <c r="F27" s="75" t="s">
        <v>22</v>
      </c>
      <c r="G27" s="75" t="s">
        <v>618</v>
      </c>
      <c r="H27" s="76">
        <v>45708</v>
      </c>
      <c r="I27" s="96" t="s">
        <v>130</v>
      </c>
      <c r="J27" s="96" t="s">
        <v>131</v>
      </c>
      <c r="K27" s="96">
        <v>0</v>
      </c>
      <c r="L27" s="96" t="s">
        <v>132</v>
      </c>
      <c r="M27" s="96" t="s">
        <v>104</v>
      </c>
      <c r="N27" s="74">
        <v>4</v>
      </c>
      <c r="O27" s="77">
        <v>1.736111111111111E-3</v>
      </c>
    </row>
    <row r="28" spans="1:15" ht="54" customHeight="1" thickTop="1" thickBot="1">
      <c r="A28" s="72"/>
      <c r="B28" s="73" t="s">
        <v>14</v>
      </c>
      <c r="C28" s="74" t="s">
        <v>135</v>
      </c>
      <c r="D28" s="74" t="s">
        <v>136</v>
      </c>
      <c r="E28" s="75" t="s">
        <v>12</v>
      </c>
      <c r="F28" s="75" t="s">
        <v>22</v>
      </c>
      <c r="G28" s="75" t="s">
        <v>129</v>
      </c>
      <c r="H28" s="76">
        <v>45697</v>
      </c>
      <c r="I28" s="96" t="s">
        <v>130</v>
      </c>
      <c r="J28" s="96" t="s">
        <v>131</v>
      </c>
      <c r="K28" s="96">
        <v>0</v>
      </c>
      <c r="L28" s="96" t="s">
        <v>132</v>
      </c>
      <c r="M28" s="96" t="s">
        <v>104</v>
      </c>
      <c r="N28" s="74">
        <v>4</v>
      </c>
      <c r="O28" s="77">
        <v>1.736111111111111E-3</v>
      </c>
    </row>
    <row r="29" spans="1:15" ht="54" customHeight="1" thickTop="1" thickBot="1">
      <c r="A29" s="72"/>
      <c r="B29" s="73" t="s">
        <v>14</v>
      </c>
      <c r="C29" s="74" t="s">
        <v>137</v>
      </c>
      <c r="D29" s="74" t="s">
        <v>138</v>
      </c>
      <c r="E29" s="75" t="s">
        <v>12</v>
      </c>
      <c r="F29" s="75" t="s">
        <v>22</v>
      </c>
      <c r="G29" s="75" t="s">
        <v>618</v>
      </c>
      <c r="H29" s="76">
        <v>45708</v>
      </c>
      <c r="I29" s="96" t="s">
        <v>130</v>
      </c>
      <c r="J29" s="96" t="s">
        <v>131</v>
      </c>
      <c r="K29" s="96">
        <v>0</v>
      </c>
      <c r="L29" s="96" t="s">
        <v>132</v>
      </c>
      <c r="M29" s="96" t="s">
        <v>104</v>
      </c>
      <c r="N29" s="74">
        <v>4</v>
      </c>
      <c r="O29" s="77">
        <v>1.736111111111111E-3</v>
      </c>
    </row>
    <row r="30" spans="1:15" ht="54" customHeight="1" thickTop="1" thickBot="1">
      <c r="A30" s="72"/>
      <c r="B30" s="73" t="s">
        <v>14</v>
      </c>
      <c r="C30" s="74" t="s">
        <v>139</v>
      </c>
      <c r="D30" s="74" t="s">
        <v>140</v>
      </c>
      <c r="E30" s="75" t="s">
        <v>12</v>
      </c>
      <c r="F30" s="75" t="s">
        <v>22</v>
      </c>
      <c r="G30" s="75" t="s">
        <v>141</v>
      </c>
      <c r="H30" s="76">
        <v>45701</v>
      </c>
      <c r="I30" s="96" t="s">
        <v>130</v>
      </c>
      <c r="J30" s="96" t="s">
        <v>57</v>
      </c>
      <c r="K30" s="96">
        <v>0</v>
      </c>
      <c r="L30" s="96" t="s">
        <v>142</v>
      </c>
      <c r="M30" s="96" t="s">
        <v>143</v>
      </c>
      <c r="N30" s="74">
        <v>2</v>
      </c>
      <c r="O30" s="77">
        <v>5.2083333333333333E-4</v>
      </c>
    </row>
    <row r="31" spans="1:15" ht="54" customHeight="1" thickTop="1" thickBot="1">
      <c r="A31" s="72"/>
      <c r="B31" s="73" t="s">
        <v>14</v>
      </c>
      <c r="C31" s="74" t="s">
        <v>144</v>
      </c>
      <c r="D31" s="74" t="s">
        <v>140</v>
      </c>
      <c r="E31" s="75" t="s">
        <v>12</v>
      </c>
      <c r="F31" s="75" t="s">
        <v>22</v>
      </c>
      <c r="G31" s="75" t="s">
        <v>141</v>
      </c>
      <c r="H31" s="76">
        <v>45701</v>
      </c>
      <c r="I31" s="96" t="s">
        <v>130</v>
      </c>
      <c r="J31" s="96" t="s">
        <v>57</v>
      </c>
      <c r="K31" s="96">
        <v>0</v>
      </c>
      <c r="L31" s="96" t="s">
        <v>142</v>
      </c>
      <c r="M31" s="96" t="s">
        <v>143</v>
      </c>
      <c r="N31" s="74">
        <v>2</v>
      </c>
      <c r="O31" s="77">
        <v>5.2083333333333333E-4</v>
      </c>
    </row>
    <row r="32" spans="1:15" ht="54" customHeight="1" thickTop="1" thickBot="1">
      <c r="A32" s="72"/>
      <c r="B32" s="73" t="s">
        <v>14</v>
      </c>
      <c r="C32" s="74" t="s">
        <v>145</v>
      </c>
      <c r="D32" s="74" t="s">
        <v>146</v>
      </c>
      <c r="E32" s="75" t="s">
        <v>12</v>
      </c>
      <c r="F32" s="75" t="s">
        <v>22</v>
      </c>
      <c r="G32" s="75" t="s">
        <v>820</v>
      </c>
      <c r="H32" s="76">
        <v>45702</v>
      </c>
      <c r="I32" s="96" t="s">
        <v>130</v>
      </c>
      <c r="J32" s="96" t="s">
        <v>57</v>
      </c>
      <c r="K32" s="96">
        <v>0</v>
      </c>
      <c r="L32" s="96" t="s">
        <v>148</v>
      </c>
      <c r="M32" s="96" t="s">
        <v>143</v>
      </c>
      <c r="N32" s="74">
        <v>1</v>
      </c>
      <c r="O32" s="77">
        <v>2.3148148148148146E-4</v>
      </c>
    </row>
    <row r="33" spans="1:15" ht="54" customHeight="1" thickTop="1" thickBot="1">
      <c r="A33" s="72"/>
      <c r="B33" s="73" t="s">
        <v>14</v>
      </c>
      <c r="C33" s="74" t="s">
        <v>149</v>
      </c>
      <c r="D33" s="74" t="s">
        <v>150</v>
      </c>
      <c r="E33" s="75" t="s">
        <v>12</v>
      </c>
      <c r="F33" s="75" t="s">
        <v>22</v>
      </c>
      <c r="G33" s="75" t="s">
        <v>151</v>
      </c>
      <c r="H33" s="76">
        <v>45701</v>
      </c>
      <c r="I33" s="96" t="s">
        <v>130</v>
      </c>
      <c r="J33" s="96" t="s">
        <v>57</v>
      </c>
      <c r="K33" s="96">
        <v>0</v>
      </c>
      <c r="L33" s="96" t="s">
        <v>152</v>
      </c>
      <c r="M33" s="96" t="s">
        <v>143</v>
      </c>
      <c r="N33" s="74">
        <v>2</v>
      </c>
      <c r="O33" s="77">
        <v>2.3148148148148146E-4</v>
      </c>
    </row>
    <row r="34" spans="1:15" ht="54" customHeight="1" thickTop="1" thickBot="1">
      <c r="B34" s="109" t="s">
        <v>14</v>
      </c>
      <c r="C34" s="103" t="s">
        <v>153</v>
      </c>
      <c r="D34" s="103" t="s">
        <v>154</v>
      </c>
      <c r="E34" s="110" t="s">
        <v>22</v>
      </c>
      <c r="F34" s="110"/>
      <c r="G34" s="110"/>
      <c r="H34" s="113"/>
      <c r="I34" s="96" t="s">
        <v>130</v>
      </c>
      <c r="J34" s="96" t="s">
        <v>57</v>
      </c>
      <c r="K34" s="96">
        <v>0</v>
      </c>
      <c r="L34" s="96" t="s">
        <v>156</v>
      </c>
      <c r="M34" s="96" t="s">
        <v>143</v>
      </c>
      <c r="N34" s="103">
        <v>2</v>
      </c>
      <c r="O34" s="112">
        <v>3.4722222222222224E-4</v>
      </c>
    </row>
    <row r="35" spans="1:15" ht="54" customHeight="1" thickTop="1" thickBot="1">
      <c r="A35" s="72"/>
      <c r="B35" s="73" t="s">
        <v>14</v>
      </c>
      <c r="C35" s="74" t="s">
        <v>157</v>
      </c>
      <c r="D35" s="74" t="s">
        <v>158</v>
      </c>
      <c r="E35" s="75" t="s">
        <v>12</v>
      </c>
      <c r="F35" s="75" t="s">
        <v>22</v>
      </c>
      <c r="G35" s="75" t="s">
        <v>618</v>
      </c>
      <c r="H35" s="76">
        <v>45708</v>
      </c>
      <c r="I35" s="96" t="s">
        <v>56</v>
      </c>
      <c r="J35" s="96" t="s">
        <v>131</v>
      </c>
      <c r="K35" s="96">
        <v>0</v>
      </c>
      <c r="L35" s="96" t="s">
        <v>159</v>
      </c>
      <c r="M35" s="96" t="s">
        <v>160</v>
      </c>
      <c r="N35" s="74">
        <v>2</v>
      </c>
      <c r="O35" s="77">
        <v>4.6296296296296293E-4</v>
      </c>
    </row>
    <row r="36" spans="1:15" ht="54" customHeight="1" thickTop="1" thickBot="1">
      <c r="A36" s="72"/>
      <c r="B36" s="73" t="s">
        <v>14</v>
      </c>
      <c r="C36" s="74" t="s">
        <v>161</v>
      </c>
      <c r="D36" s="74" t="s">
        <v>162</v>
      </c>
      <c r="E36" s="75" t="s">
        <v>12</v>
      </c>
      <c r="F36" s="75" t="s">
        <v>22</v>
      </c>
      <c r="G36" s="75" t="s">
        <v>618</v>
      </c>
      <c r="H36" s="76">
        <v>45708</v>
      </c>
      <c r="I36" s="96" t="s">
        <v>56</v>
      </c>
      <c r="J36" s="96" t="s">
        <v>131</v>
      </c>
      <c r="K36" s="96">
        <v>0</v>
      </c>
      <c r="L36" s="96" t="s">
        <v>159</v>
      </c>
      <c r="M36" s="96" t="s">
        <v>160</v>
      </c>
      <c r="N36" s="74">
        <v>2</v>
      </c>
      <c r="O36" s="77">
        <v>4.6296296296296293E-4</v>
      </c>
    </row>
    <row r="37" spans="1:15" ht="54" customHeight="1" thickTop="1" thickBot="1">
      <c r="A37" s="72"/>
      <c r="B37" s="73" t="s">
        <v>14</v>
      </c>
      <c r="C37" s="74" t="s">
        <v>163</v>
      </c>
      <c r="D37" s="74" t="s">
        <v>164</v>
      </c>
      <c r="E37" s="75" t="s">
        <v>12</v>
      </c>
      <c r="F37" s="75" t="s">
        <v>22</v>
      </c>
      <c r="G37" s="75" t="s">
        <v>618</v>
      </c>
      <c r="H37" s="76">
        <v>45708</v>
      </c>
      <c r="I37" s="96" t="s">
        <v>56</v>
      </c>
      <c r="J37" s="96" t="s">
        <v>131</v>
      </c>
      <c r="K37" s="96">
        <v>0</v>
      </c>
      <c r="L37" s="96" t="s">
        <v>165</v>
      </c>
      <c r="M37" s="96" t="s">
        <v>160</v>
      </c>
      <c r="N37" s="74">
        <v>1</v>
      </c>
      <c r="O37" s="77">
        <v>4.6296296296296293E-4</v>
      </c>
    </row>
    <row r="38" spans="1:15" ht="54" customHeight="1" thickTop="1" thickBot="1">
      <c r="A38" s="72"/>
      <c r="B38" s="73" t="s">
        <v>14</v>
      </c>
      <c r="C38" s="74" t="s">
        <v>166</v>
      </c>
      <c r="D38" s="74" t="s">
        <v>167</v>
      </c>
      <c r="E38" s="75" t="s">
        <v>12</v>
      </c>
      <c r="F38" s="75" t="s">
        <v>22</v>
      </c>
      <c r="G38" s="75" t="s">
        <v>618</v>
      </c>
      <c r="H38" s="76">
        <v>45708</v>
      </c>
      <c r="I38" s="96" t="s">
        <v>56</v>
      </c>
      <c r="J38" s="96" t="s">
        <v>131</v>
      </c>
      <c r="K38" s="96">
        <v>0</v>
      </c>
      <c r="L38" s="96" t="s">
        <v>165</v>
      </c>
      <c r="M38" s="96" t="s">
        <v>160</v>
      </c>
      <c r="N38" s="74">
        <v>1</v>
      </c>
      <c r="O38" s="77">
        <v>4.6296296296296293E-4</v>
      </c>
    </row>
    <row r="39" spans="1:15" ht="54" customHeight="1" thickTop="1" thickBot="1">
      <c r="A39" s="72"/>
      <c r="B39" s="73" t="s">
        <v>14</v>
      </c>
      <c r="C39" s="74" t="s">
        <v>168</v>
      </c>
      <c r="D39" s="74" t="s">
        <v>169</v>
      </c>
      <c r="E39" s="75" t="s">
        <v>12</v>
      </c>
      <c r="F39" s="75" t="s">
        <v>22</v>
      </c>
      <c r="G39" s="75" t="s">
        <v>618</v>
      </c>
      <c r="H39" s="76">
        <v>45708</v>
      </c>
      <c r="I39" s="96" t="s">
        <v>56</v>
      </c>
      <c r="J39" s="96" t="s">
        <v>131</v>
      </c>
      <c r="K39" s="96">
        <v>0</v>
      </c>
      <c r="L39" s="96" t="s">
        <v>165</v>
      </c>
      <c r="M39" s="96" t="s">
        <v>160</v>
      </c>
      <c r="N39" s="74">
        <v>1</v>
      </c>
      <c r="O39" s="77">
        <v>4.6296296296296293E-4</v>
      </c>
    </row>
    <row r="40" spans="1:15" ht="54" customHeight="1" thickTop="1" thickBot="1">
      <c r="A40" s="72"/>
      <c r="B40" s="73" t="s">
        <v>14</v>
      </c>
      <c r="C40" s="74" t="s">
        <v>170</v>
      </c>
      <c r="D40" s="74" t="s">
        <v>158</v>
      </c>
      <c r="E40" s="75" t="s">
        <v>12</v>
      </c>
      <c r="F40" s="75" t="s">
        <v>22</v>
      </c>
      <c r="G40" s="75" t="s">
        <v>618</v>
      </c>
      <c r="H40" s="76">
        <v>45708</v>
      </c>
      <c r="I40" s="96" t="s">
        <v>56</v>
      </c>
      <c r="J40" s="96" t="s">
        <v>131</v>
      </c>
      <c r="K40" s="96">
        <v>0</v>
      </c>
      <c r="L40" s="96" t="s">
        <v>159</v>
      </c>
      <c r="M40" s="96" t="s">
        <v>160</v>
      </c>
      <c r="N40" s="74">
        <v>2</v>
      </c>
      <c r="O40" s="77">
        <v>4.6296296296296293E-4</v>
      </c>
    </row>
    <row r="41" spans="1:15" ht="54" customHeight="1" thickTop="1" thickBot="1">
      <c r="A41" s="72"/>
      <c r="B41" s="73" t="s">
        <v>14</v>
      </c>
      <c r="C41" s="74" t="s">
        <v>171</v>
      </c>
      <c r="D41" s="74" t="s">
        <v>162</v>
      </c>
      <c r="E41" s="75" t="s">
        <v>12</v>
      </c>
      <c r="F41" s="75" t="s">
        <v>22</v>
      </c>
      <c r="G41" s="75" t="s">
        <v>618</v>
      </c>
      <c r="H41" s="76">
        <v>45708</v>
      </c>
      <c r="I41" s="96" t="s">
        <v>56</v>
      </c>
      <c r="J41" s="96" t="s">
        <v>131</v>
      </c>
      <c r="K41" s="96">
        <v>0</v>
      </c>
      <c r="L41" s="96" t="s">
        <v>159</v>
      </c>
      <c r="M41" s="96" t="s">
        <v>160</v>
      </c>
      <c r="N41" s="74">
        <v>2</v>
      </c>
      <c r="O41" s="77">
        <v>4.6296296296296293E-4</v>
      </c>
    </row>
    <row r="42" spans="1:15" ht="54" customHeight="1" thickTop="1" thickBot="1">
      <c r="A42" s="72"/>
      <c r="B42" s="73" t="s">
        <v>14</v>
      </c>
      <c r="C42" s="74" t="s">
        <v>172</v>
      </c>
      <c r="D42" s="74" t="s">
        <v>173</v>
      </c>
      <c r="E42" s="75" t="s">
        <v>12</v>
      </c>
      <c r="F42" s="75" t="s">
        <v>22</v>
      </c>
      <c r="G42" s="75" t="s">
        <v>174</v>
      </c>
      <c r="H42" s="76">
        <v>45708</v>
      </c>
      <c r="I42" s="96" t="s">
        <v>85</v>
      </c>
      <c r="J42" s="96" t="s">
        <v>57</v>
      </c>
      <c r="K42" s="96">
        <v>0</v>
      </c>
      <c r="L42" s="96" t="s">
        <v>175</v>
      </c>
      <c r="M42" s="96" t="s">
        <v>104</v>
      </c>
      <c r="N42" s="74">
        <v>1</v>
      </c>
      <c r="O42" s="77">
        <v>6.9444444444444447E-4</v>
      </c>
    </row>
    <row r="43" spans="1:15" ht="54" customHeight="1" thickTop="1" thickBot="1">
      <c r="B43" s="114" t="s">
        <v>14</v>
      </c>
      <c r="C43" s="115" t="s">
        <v>176</v>
      </c>
      <c r="D43" s="115" t="s">
        <v>177</v>
      </c>
      <c r="E43" s="116" t="s">
        <v>22</v>
      </c>
      <c r="F43" s="116"/>
      <c r="G43" s="116"/>
      <c r="H43" s="119"/>
      <c r="I43" s="96" t="s">
        <v>56</v>
      </c>
      <c r="J43" s="96" t="s">
        <v>57</v>
      </c>
      <c r="K43" s="96">
        <v>0</v>
      </c>
      <c r="L43" s="96" t="s">
        <v>178</v>
      </c>
      <c r="M43" s="96" t="s">
        <v>143</v>
      </c>
      <c r="N43" s="115">
        <v>2</v>
      </c>
      <c r="O43" s="117">
        <v>6.9444444444444447E-4</v>
      </c>
    </row>
    <row r="44" spans="1:15" ht="54" customHeight="1">
      <c r="B44" s="104" t="s">
        <v>17</v>
      </c>
      <c r="C44" s="105" t="s">
        <v>179</v>
      </c>
      <c r="D44" s="105" t="s">
        <v>180</v>
      </c>
      <c r="E44" s="106" t="s">
        <v>12</v>
      </c>
      <c r="F44" s="106" t="s">
        <v>22</v>
      </c>
      <c r="G44" s="106" t="s">
        <v>821</v>
      </c>
      <c r="H44" s="118">
        <v>45961</v>
      </c>
      <c r="I44" s="96" t="s">
        <v>130</v>
      </c>
      <c r="J44" s="96" t="s">
        <v>57</v>
      </c>
      <c r="K44" s="96">
        <v>0</v>
      </c>
      <c r="L44" s="96" t="s">
        <v>182</v>
      </c>
      <c r="M44" s="96" t="s">
        <v>183</v>
      </c>
      <c r="N44" s="105">
        <v>2</v>
      </c>
      <c r="O44" s="108">
        <v>1.0416666666666667E-3</v>
      </c>
    </row>
    <row r="45" spans="1:15" ht="54" customHeight="1" thickTop="1" thickBot="1">
      <c r="A45" s="72"/>
      <c r="B45" s="73" t="s">
        <v>17</v>
      </c>
      <c r="C45" s="74" t="s">
        <v>184</v>
      </c>
      <c r="D45" s="74" t="s">
        <v>185</v>
      </c>
      <c r="E45" s="75" t="s">
        <v>12</v>
      </c>
      <c r="F45" s="75" t="s">
        <v>22</v>
      </c>
      <c r="G45" s="75" t="s">
        <v>822</v>
      </c>
      <c r="H45" s="76">
        <v>45702</v>
      </c>
      <c r="I45" s="96" t="s">
        <v>130</v>
      </c>
      <c r="J45" s="96" t="s">
        <v>57</v>
      </c>
      <c r="K45" s="96">
        <v>0</v>
      </c>
      <c r="L45" s="96" t="s">
        <v>187</v>
      </c>
      <c r="M45" s="96" t="s">
        <v>143</v>
      </c>
      <c r="N45" s="74">
        <v>2</v>
      </c>
      <c r="O45" s="77">
        <v>1.5624999999999999E-3</v>
      </c>
    </row>
    <row r="46" spans="1:15" ht="54" customHeight="1" thickTop="1" thickBot="1">
      <c r="A46" s="72"/>
      <c r="B46" s="73" t="s">
        <v>17</v>
      </c>
      <c r="C46" s="74" t="s">
        <v>188</v>
      </c>
      <c r="D46" s="74" t="s">
        <v>189</v>
      </c>
      <c r="E46" s="75" t="s">
        <v>12</v>
      </c>
      <c r="F46" s="75" t="s">
        <v>22</v>
      </c>
      <c r="G46" s="75" t="s">
        <v>147</v>
      </c>
      <c r="H46" s="76">
        <v>45697</v>
      </c>
      <c r="I46" s="96" t="s">
        <v>130</v>
      </c>
      <c r="J46" s="96" t="s">
        <v>57</v>
      </c>
      <c r="K46" s="96">
        <v>0</v>
      </c>
      <c r="L46" s="96" t="s">
        <v>190</v>
      </c>
      <c r="M46" s="96" t="s">
        <v>143</v>
      </c>
      <c r="N46" s="74">
        <v>2</v>
      </c>
      <c r="O46" s="77">
        <v>6.9444444444444447E-4</v>
      </c>
    </row>
    <row r="47" spans="1:15" ht="54" customHeight="1" thickTop="1" thickBot="1">
      <c r="A47" s="72"/>
      <c r="B47" s="73" t="s">
        <v>17</v>
      </c>
      <c r="C47" s="74" t="s">
        <v>191</v>
      </c>
      <c r="D47" s="74" t="s">
        <v>192</v>
      </c>
      <c r="E47" s="75" t="s">
        <v>12</v>
      </c>
      <c r="F47" s="75" t="s">
        <v>22</v>
      </c>
      <c r="G47" s="75" t="s">
        <v>147</v>
      </c>
      <c r="H47" s="76">
        <v>45697</v>
      </c>
      <c r="I47" s="96" t="s">
        <v>130</v>
      </c>
      <c r="J47" s="96" t="s">
        <v>57</v>
      </c>
      <c r="K47" s="96">
        <v>0</v>
      </c>
      <c r="L47" s="96" t="s">
        <v>193</v>
      </c>
      <c r="M47" s="96" t="s">
        <v>143</v>
      </c>
      <c r="N47" s="74">
        <v>2</v>
      </c>
      <c r="O47" s="77">
        <v>6.9444444444444447E-4</v>
      </c>
    </row>
    <row r="48" spans="1:15" ht="54" customHeight="1" thickTop="1" thickBot="1">
      <c r="A48" s="72"/>
      <c r="B48" s="73" t="s">
        <v>17</v>
      </c>
      <c r="C48" s="74" t="s">
        <v>194</v>
      </c>
      <c r="D48" s="74" t="s">
        <v>195</v>
      </c>
      <c r="E48" s="75" t="s">
        <v>12</v>
      </c>
      <c r="F48" s="75" t="s">
        <v>22</v>
      </c>
      <c r="G48" s="75" t="s">
        <v>822</v>
      </c>
      <c r="H48" s="76">
        <v>45702</v>
      </c>
      <c r="I48" s="96" t="s">
        <v>130</v>
      </c>
      <c r="J48" s="96" t="s">
        <v>131</v>
      </c>
      <c r="K48" s="96">
        <v>0</v>
      </c>
      <c r="L48" s="96" t="s">
        <v>196</v>
      </c>
      <c r="M48" s="96" t="s">
        <v>143</v>
      </c>
      <c r="N48" s="74">
        <v>2</v>
      </c>
      <c r="O48" s="77">
        <v>5.2083333333333333E-4</v>
      </c>
    </row>
    <row r="49" spans="1:15" ht="54" customHeight="1" thickTop="1" thickBot="1">
      <c r="A49" s="72"/>
      <c r="B49" s="73" t="s">
        <v>17</v>
      </c>
      <c r="C49" s="74" t="s">
        <v>197</v>
      </c>
      <c r="D49" s="74" t="s">
        <v>198</v>
      </c>
      <c r="E49" s="75" t="s">
        <v>12</v>
      </c>
      <c r="F49" s="75" t="s">
        <v>22</v>
      </c>
      <c r="G49" s="75" t="s">
        <v>823</v>
      </c>
      <c r="H49" s="76">
        <v>45698</v>
      </c>
      <c r="I49" s="96" t="s">
        <v>130</v>
      </c>
      <c r="J49" s="96" t="s">
        <v>57</v>
      </c>
      <c r="K49" s="96">
        <v>0</v>
      </c>
      <c r="L49" s="96" t="s">
        <v>200</v>
      </c>
      <c r="M49" s="96" t="s">
        <v>201</v>
      </c>
      <c r="N49" s="74">
        <v>2</v>
      </c>
      <c r="O49" s="77">
        <v>6.9444444444444447E-4</v>
      </c>
    </row>
    <row r="50" spans="1:15" ht="54" customHeight="1" thickTop="1" thickBot="1">
      <c r="A50" s="72"/>
      <c r="B50" s="73" t="s">
        <v>17</v>
      </c>
      <c r="C50" s="74" t="s">
        <v>202</v>
      </c>
      <c r="D50" s="74" t="s">
        <v>203</v>
      </c>
      <c r="E50" s="75" t="s">
        <v>12</v>
      </c>
      <c r="F50" s="75" t="s">
        <v>22</v>
      </c>
      <c r="G50" s="75" t="s">
        <v>204</v>
      </c>
      <c r="H50" s="76">
        <v>45699</v>
      </c>
      <c r="I50" s="96" t="s">
        <v>130</v>
      </c>
      <c r="J50" s="96" t="s">
        <v>131</v>
      </c>
      <c r="K50" s="96">
        <v>0</v>
      </c>
      <c r="L50" s="96" t="s">
        <v>205</v>
      </c>
      <c r="M50" s="96" t="s">
        <v>201</v>
      </c>
      <c r="N50" s="74">
        <v>1</v>
      </c>
      <c r="O50" s="77">
        <v>3.4722222222222224E-4</v>
      </c>
    </row>
    <row r="51" spans="1:15" ht="54" customHeight="1" thickTop="1" thickBot="1">
      <c r="A51" s="72"/>
      <c r="B51" s="73" t="s">
        <v>17</v>
      </c>
      <c r="C51" s="74" t="s">
        <v>206</v>
      </c>
      <c r="D51" s="74" t="s">
        <v>203</v>
      </c>
      <c r="E51" s="75" t="s">
        <v>12</v>
      </c>
      <c r="F51" s="75" t="s">
        <v>22</v>
      </c>
      <c r="G51" s="75" t="s">
        <v>204</v>
      </c>
      <c r="H51" s="76">
        <v>45699</v>
      </c>
      <c r="I51" s="96" t="s">
        <v>130</v>
      </c>
      <c r="J51" s="96" t="s">
        <v>131</v>
      </c>
      <c r="K51" s="96">
        <v>0</v>
      </c>
      <c r="L51" s="96" t="s">
        <v>205</v>
      </c>
      <c r="M51" s="96" t="s">
        <v>201</v>
      </c>
      <c r="N51" s="74">
        <v>1</v>
      </c>
      <c r="O51" s="77">
        <v>3.4722222222222224E-4</v>
      </c>
    </row>
    <row r="52" spans="1:15" ht="54" customHeight="1" thickTop="1" thickBot="1">
      <c r="A52" s="72"/>
      <c r="B52" s="73" t="s">
        <v>17</v>
      </c>
      <c r="C52" s="74" t="s">
        <v>207</v>
      </c>
      <c r="D52" s="74" t="s">
        <v>208</v>
      </c>
      <c r="E52" s="75" t="s">
        <v>12</v>
      </c>
      <c r="F52" s="75" t="s">
        <v>22</v>
      </c>
      <c r="G52" s="75" t="s">
        <v>278</v>
      </c>
      <c r="H52" s="76">
        <v>45699</v>
      </c>
      <c r="I52" s="96" t="s">
        <v>85</v>
      </c>
      <c r="J52" s="96" t="s">
        <v>131</v>
      </c>
      <c r="K52" s="96">
        <v>0</v>
      </c>
      <c r="L52" s="96" t="s">
        <v>210</v>
      </c>
      <c r="M52" s="96" t="s">
        <v>211</v>
      </c>
      <c r="N52" s="74">
        <v>1</v>
      </c>
      <c r="O52" s="77">
        <v>3.4722222222222224E-4</v>
      </c>
    </row>
    <row r="53" spans="1:15" ht="54" customHeight="1" thickTop="1" thickBot="1">
      <c r="A53" s="72"/>
      <c r="B53" s="73" t="s">
        <v>17</v>
      </c>
      <c r="C53" s="74" t="s">
        <v>212</v>
      </c>
      <c r="D53" s="74" t="s">
        <v>213</v>
      </c>
      <c r="E53" s="75" t="s">
        <v>12</v>
      </c>
      <c r="F53" s="75" t="s">
        <v>22</v>
      </c>
      <c r="G53" s="75" t="s">
        <v>737</v>
      </c>
      <c r="H53" s="76">
        <v>45699</v>
      </c>
      <c r="I53" s="96" t="s">
        <v>130</v>
      </c>
      <c r="J53" s="96" t="s">
        <v>131</v>
      </c>
      <c r="K53" s="96">
        <v>0</v>
      </c>
      <c r="L53" s="96" t="s">
        <v>215</v>
      </c>
      <c r="M53" s="96" t="s">
        <v>201</v>
      </c>
      <c r="N53" s="74">
        <v>1</v>
      </c>
      <c r="O53" s="77">
        <v>5.7870370370370378E-4</v>
      </c>
    </row>
    <row r="54" spans="1:15" ht="54" customHeight="1" thickTop="1" thickBot="1">
      <c r="A54" s="72"/>
      <c r="B54" s="73" t="s">
        <v>17</v>
      </c>
      <c r="C54" s="74" t="s">
        <v>216</v>
      </c>
      <c r="D54" s="74" t="s">
        <v>217</v>
      </c>
      <c r="E54" s="75" t="s">
        <v>12</v>
      </c>
      <c r="F54" s="75" t="s">
        <v>22</v>
      </c>
      <c r="G54" s="75" t="s">
        <v>218</v>
      </c>
      <c r="H54" s="76">
        <v>45699</v>
      </c>
      <c r="I54" s="96" t="s">
        <v>130</v>
      </c>
      <c r="J54" s="96" t="s">
        <v>131</v>
      </c>
      <c r="K54" s="96">
        <v>0</v>
      </c>
      <c r="L54" s="96" t="s">
        <v>219</v>
      </c>
      <c r="M54" s="96" t="s">
        <v>201</v>
      </c>
      <c r="N54" s="74">
        <v>2</v>
      </c>
      <c r="O54" s="77">
        <v>6.9444444444444447E-4</v>
      </c>
    </row>
    <row r="55" spans="1:15" ht="54" customHeight="1" thickTop="1" thickBot="1">
      <c r="A55" s="72"/>
      <c r="B55" s="73" t="s">
        <v>17</v>
      </c>
      <c r="C55" s="74" t="s">
        <v>220</v>
      </c>
      <c r="D55" s="74" t="s">
        <v>221</v>
      </c>
      <c r="E55" s="75" t="s">
        <v>12</v>
      </c>
      <c r="F55" s="75" t="s">
        <v>22</v>
      </c>
      <c r="G55" s="75" t="s">
        <v>222</v>
      </c>
      <c r="H55" s="76">
        <v>45698</v>
      </c>
      <c r="I55" s="96" t="s">
        <v>56</v>
      </c>
      <c r="J55" s="96" t="s">
        <v>131</v>
      </c>
      <c r="K55" s="96">
        <v>0</v>
      </c>
      <c r="L55" s="96" t="s">
        <v>223</v>
      </c>
      <c r="M55" s="96" t="s">
        <v>201</v>
      </c>
      <c r="N55" s="74">
        <v>1</v>
      </c>
      <c r="O55" s="77">
        <v>3.4722222222222224E-4</v>
      </c>
    </row>
    <row r="56" spans="1:15" ht="54" customHeight="1" thickTop="1" thickBot="1">
      <c r="A56" s="72"/>
      <c r="B56" s="73" t="s">
        <v>17</v>
      </c>
      <c r="C56" s="74" t="s">
        <v>224</v>
      </c>
      <c r="D56" s="74" t="s">
        <v>225</v>
      </c>
      <c r="E56" s="75" t="s">
        <v>12</v>
      </c>
      <c r="F56" s="75" t="s">
        <v>22</v>
      </c>
      <c r="G56" s="75" t="s">
        <v>218</v>
      </c>
      <c r="H56" s="76">
        <v>45699</v>
      </c>
      <c r="I56" s="96" t="s">
        <v>130</v>
      </c>
      <c r="J56" s="96" t="s">
        <v>57</v>
      </c>
      <c r="K56" s="96">
        <v>0</v>
      </c>
      <c r="L56" s="96" t="s">
        <v>215</v>
      </c>
      <c r="M56" s="96" t="s">
        <v>201</v>
      </c>
      <c r="N56" s="74">
        <v>1</v>
      </c>
      <c r="O56" s="77">
        <v>1.0416666666666667E-3</v>
      </c>
    </row>
    <row r="57" spans="1:15" ht="54" customHeight="1" thickTop="1" thickBot="1">
      <c r="A57" s="72"/>
      <c r="B57" s="73" t="s">
        <v>17</v>
      </c>
      <c r="C57" s="74" t="s">
        <v>226</v>
      </c>
      <c r="D57" s="74" t="s">
        <v>227</v>
      </c>
      <c r="E57" s="75" t="s">
        <v>12</v>
      </c>
      <c r="F57" s="75" t="s">
        <v>22</v>
      </c>
      <c r="G57" s="75" t="s">
        <v>228</v>
      </c>
      <c r="H57" s="76">
        <v>45698</v>
      </c>
      <c r="I57" s="96" t="s">
        <v>130</v>
      </c>
      <c r="J57" s="96" t="s">
        <v>131</v>
      </c>
      <c r="K57" s="96">
        <v>0</v>
      </c>
      <c r="L57" s="96" t="s">
        <v>229</v>
      </c>
      <c r="M57" s="96" t="s">
        <v>201</v>
      </c>
      <c r="N57" s="74">
        <v>1</v>
      </c>
      <c r="O57" s="77">
        <v>1.1574074074074073E-4</v>
      </c>
    </row>
    <row r="58" spans="1:15" ht="54" customHeight="1" thickTop="1" thickBot="1">
      <c r="A58" s="72"/>
      <c r="B58" s="73" t="s">
        <v>17</v>
      </c>
      <c r="C58" s="74" t="s">
        <v>230</v>
      </c>
      <c r="D58" s="74" t="s">
        <v>231</v>
      </c>
      <c r="E58" s="75" t="s">
        <v>12</v>
      </c>
      <c r="F58" s="75" t="s">
        <v>22</v>
      </c>
      <c r="G58" s="75" t="s">
        <v>232</v>
      </c>
      <c r="H58" s="76">
        <v>45698</v>
      </c>
      <c r="I58" s="96" t="s">
        <v>130</v>
      </c>
      <c r="J58" s="96" t="s">
        <v>131</v>
      </c>
      <c r="K58" s="96">
        <v>0</v>
      </c>
      <c r="L58" s="96" t="s">
        <v>233</v>
      </c>
      <c r="M58" s="96" t="s">
        <v>234</v>
      </c>
      <c r="N58" s="74">
        <v>2</v>
      </c>
      <c r="O58" s="77">
        <v>3.4722222222222224E-4</v>
      </c>
    </row>
    <row r="59" spans="1:15" ht="54" customHeight="1" thickTop="1" thickBot="1">
      <c r="A59" s="72"/>
      <c r="B59" s="73" t="s">
        <v>17</v>
      </c>
      <c r="C59" s="74" t="s">
        <v>235</v>
      </c>
      <c r="D59" s="74" t="s">
        <v>236</v>
      </c>
      <c r="E59" s="75" t="s">
        <v>12</v>
      </c>
      <c r="F59" s="75" t="s">
        <v>22</v>
      </c>
      <c r="G59" s="75" t="s">
        <v>237</v>
      </c>
      <c r="H59" s="76">
        <v>45698</v>
      </c>
      <c r="I59" s="96" t="s">
        <v>130</v>
      </c>
      <c r="J59" s="96" t="s">
        <v>131</v>
      </c>
      <c r="K59" s="96">
        <v>0</v>
      </c>
      <c r="L59" s="96" t="s">
        <v>238</v>
      </c>
      <c r="M59" s="96" t="s">
        <v>201</v>
      </c>
      <c r="N59" s="74">
        <v>2</v>
      </c>
      <c r="O59" s="77">
        <v>6.9444444444444447E-4</v>
      </c>
    </row>
    <row r="60" spans="1:15" ht="54" customHeight="1" thickTop="1" thickBot="1">
      <c r="A60" s="72"/>
      <c r="B60" s="73" t="s">
        <v>17</v>
      </c>
      <c r="C60" s="74" t="s">
        <v>239</v>
      </c>
      <c r="D60" s="74" t="s">
        <v>240</v>
      </c>
      <c r="E60" s="75" t="s">
        <v>12</v>
      </c>
      <c r="F60" s="75" t="s">
        <v>22</v>
      </c>
      <c r="G60" s="75" t="s">
        <v>241</v>
      </c>
      <c r="H60" s="76">
        <v>45699</v>
      </c>
      <c r="I60" s="96" t="s">
        <v>130</v>
      </c>
      <c r="J60" s="96" t="s">
        <v>131</v>
      </c>
      <c r="K60" s="96">
        <v>0</v>
      </c>
      <c r="L60" s="96" t="s">
        <v>242</v>
      </c>
      <c r="M60" s="96" t="s">
        <v>201</v>
      </c>
      <c r="N60" s="74">
        <v>1</v>
      </c>
      <c r="O60" s="77">
        <v>6.9444444444444447E-4</v>
      </c>
    </row>
    <row r="61" spans="1:15" ht="54" customHeight="1" thickTop="1" thickBot="1">
      <c r="A61" s="72"/>
      <c r="B61" s="73" t="s">
        <v>17</v>
      </c>
      <c r="C61" s="74" t="s">
        <v>243</v>
      </c>
      <c r="D61" s="74" t="s">
        <v>244</v>
      </c>
      <c r="E61" s="75" t="s">
        <v>12</v>
      </c>
      <c r="F61" s="75" t="s">
        <v>22</v>
      </c>
      <c r="G61" s="75" t="s">
        <v>738</v>
      </c>
      <c r="H61" s="76">
        <v>45698</v>
      </c>
      <c r="I61" s="96" t="s">
        <v>130</v>
      </c>
      <c r="J61" s="96" t="s">
        <v>131</v>
      </c>
      <c r="K61" s="96">
        <v>0</v>
      </c>
      <c r="L61" s="96" t="s">
        <v>246</v>
      </c>
      <c r="M61" s="96" t="s">
        <v>234</v>
      </c>
      <c r="N61" s="74">
        <v>1</v>
      </c>
      <c r="O61" s="77">
        <v>6.9444444444444447E-4</v>
      </c>
    </row>
    <row r="62" spans="1:15" ht="54" customHeight="1" thickTop="1" thickBot="1">
      <c r="A62" s="72"/>
      <c r="B62" s="73" t="s">
        <v>17</v>
      </c>
      <c r="C62" s="74" t="s">
        <v>247</v>
      </c>
      <c r="D62" s="74" t="s">
        <v>248</v>
      </c>
      <c r="E62" s="75" t="s">
        <v>12</v>
      </c>
      <c r="F62" s="75" t="s">
        <v>22</v>
      </c>
      <c r="G62" s="75" t="s">
        <v>824</v>
      </c>
      <c r="H62" s="76">
        <v>45698</v>
      </c>
      <c r="I62" s="96" t="s">
        <v>56</v>
      </c>
      <c r="J62" s="96" t="s">
        <v>131</v>
      </c>
      <c r="K62" s="96">
        <v>0</v>
      </c>
      <c r="L62" s="96" t="s">
        <v>250</v>
      </c>
      <c r="M62" s="96" t="s">
        <v>201</v>
      </c>
      <c r="N62" s="74">
        <v>1</v>
      </c>
      <c r="O62" s="77">
        <v>3.4722222222222224E-4</v>
      </c>
    </row>
    <row r="63" spans="1:15" ht="54" customHeight="1" thickTop="1" thickBot="1">
      <c r="A63" s="72"/>
      <c r="B63" s="73" t="s">
        <v>17</v>
      </c>
      <c r="C63" s="74" t="s">
        <v>251</v>
      </c>
      <c r="D63" s="134" t="s">
        <v>252</v>
      </c>
      <c r="E63" s="75" t="s">
        <v>12</v>
      </c>
      <c r="F63" s="75" t="s">
        <v>22</v>
      </c>
      <c r="G63" s="75" t="s">
        <v>253</v>
      </c>
      <c r="H63" s="76">
        <v>45698</v>
      </c>
      <c r="I63" s="96" t="s">
        <v>56</v>
      </c>
      <c r="J63" s="96" t="s">
        <v>131</v>
      </c>
      <c r="K63" s="96">
        <v>0</v>
      </c>
      <c r="L63" s="96" t="s">
        <v>254</v>
      </c>
      <c r="M63" s="96" t="s">
        <v>201</v>
      </c>
      <c r="N63" s="74">
        <v>2</v>
      </c>
      <c r="O63" s="77">
        <v>3.4722222222222224E-4</v>
      </c>
    </row>
    <row r="64" spans="1:15" ht="54" customHeight="1" thickTop="1" thickBot="1">
      <c r="A64" s="72"/>
      <c r="B64" s="73" t="s">
        <v>17</v>
      </c>
      <c r="C64" s="74" t="s">
        <v>255</v>
      </c>
      <c r="D64" s="74" t="s">
        <v>666</v>
      </c>
      <c r="E64" s="75" t="s">
        <v>12</v>
      </c>
      <c r="F64" s="75" t="s">
        <v>22</v>
      </c>
      <c r="G64" s="75" t="s">
        <v>824</v>
      </c>
      <c r="H64" s="76">
        <v>45698</v>
      </c>
      <c r="I64" s="96" t="s">
        <v>56</v>
      </c>
      <c r="J64" s="96" t="s">
        <v>131</v>
      </c>
      <c r="K64" s="96">
        <v>0</v>
      </c>
      <c r="L64" s="96" t="s">
        <v>254</v>
      </c>
      <c r="M64" s="96" t="s">
        <v>201</v>
      </c>
      <c r="N64" s="74">
        <v>1</v>
      </c>
      <c r="O64" s="77">
        <v>3.4722222222222224E-4</v>
      </c>
    </row>
    <row r="65" spans="1:15" ht="54" customHeight="1" thickTop="1" thickBot="1">
      <c r="A65" s="72"/>
      <c r="B65" s="73" t="s">
        <v>17</v>
      </c>
      <c r="C65" s="74" t="s">
        <v>257</v>
      </c>
      <c r="D65" s="74" t="s">
        <v>258</v>
      </c>
      <c r="E65" s="75" t="s">
        <v>12</v>
      </c>
      <c r="F65" s="75" t="s">
        <v>22</v>
      </c>
      <c r="G65" s="74" t="s">
        <v>259</v>
      </c>
      <c r="H65" s="85">
        <v>45698</v>
      </c>
      <c r="I65" s="96" t="s">
        <v>56</v>
      </c>
      <c r="J65" s="96" t="s">
        <v>131</v>
      </c>
      <c r="K65" s="96">
        <v>0</v>
      </c>
      <c r="L65" s="96" t="s">
        <v>260</v>
      </c>
      <c r="M65" s="96" t="s">
        <v>201</v>
      </c>
      <c r="N65" s="74">
        <v>1</v>
      </c>
      <c r="O65" s="77">
        <v>3.4722222222222224E-4</v>
      </c>
    </row>
    <row r="66" spans="1:15" ht="54" customHeight="1" thickTop="1" thickBot="1">
      <c r="A66" s="72"/>
      <c r="B66" s="73" t="s">
        <v>17</v>
      </c>
      <c r="C66" s="74" t="s">
        <v>261</v>
      </c>
      <c r="D66" s="74" t="s">
        <v>262</v>
      </c>
      <c r="E66" s="75" t="s">
        <v>12</v>
      </c>
      <c r="F66" s="75" t="s">
        <v>22</v>
      </c>
      <c r="G66" s="75" t="s">
        <v>263</v>
      </c>
      <c r="H66" s="76">
        <v>45698</v>
      </c>
      <c r="I66" s="96" t="s">
        <v>56</v>
      </c>
      <c r="J66" s="96" t="s">
        <v>131</v>
      </c>
      <c r="K66" s="96">
        <v>0</v>
      </c>
      <c r="L66" s="96" t="s">
        <v>264</v>
      </c>
      <c r="M66" s="96" t="s">
        <v>201</v>
      </c>
      <c r="N66" s="74">
        <v>1</v>
      </c>
      <c r="O66" s="77">
        <v>3.4722222222222224E-4</v>
      </c>
    </row>
    <row r="67" spans="1:15" ht="54" customHeight="1" thickTop="1" thickBot="1">
      <c r="A67" s="72"/>
      <c r="B67" s="73" t="s">
        <v>17</v>
      </c>
      <c r="C67" s="74" t="s">
        <v>265</v>
      </c>
      <c r="D67" s="74" t="s">
        <v>266</v>
      </c>
      <c r="E67" s="75" t="s">
        <v>12</v>
      </c>
      <c r="F67" s="75" t="s">
        <v>22</v>
      </c>
      <c r="G67" s="74" t="s">
        <v>267</v>
      </c>
      <c r="H67" s="85">
        <v>45698</v>
      </c>
      <c r="I67" s="96" t="s">
        <v>56</v>
      </c>
      <c r="J67" s="96" t="s">
        <v>131</v>
      </c>
      <c r="K67" s="96">
        <v>0</v>
      </c>
      <c r="L67" s="96" t="s">
        <v>268</v>
      </c>
      <c r="M67" s="96" t="s">
        <v>201</v>
      </c>
      <c r="N67" s="74">
        <v>1</v>
      </c>
      <c r="O67" s="77">
        <v>3.4722222222222224E-4</v>
      </c>
    </row>
    <row r="68" spans="1:15" ht="54" customHeight="1" thickTop="1" thickBot="1">
      <c r="A68" s="72"/>
      <c r="B68" s="73" t="s">
        <v>17</v>
      </c>
      <c r="C68" s="74" t="s">
        <v>269</v>
      </c>
      <c r="D68" s="74" t="s">
        <v>270</v>
      </c>
      <c r="E68" s="75" t="s">
        <v>12</v>
      </c>
      <c r="F68" s="75" t="s">
        <v>22</v>
      </c>
      <c r="G68" s="74" t="s">
        <v>271</v>
      </c>
      <c r="H68" s="85">
        <v>45698</v>
      </c>
      <c r="I68" s="96" t="s">
        <v>56</v>
      </c>
      <c r="J68" s="96" t="s">
        <v>131</v>
      </c>
      <c r="K68" s="96">
        <v>0</v>
      </c>
      <c r="L68" s="96" t="s">
        <v>272</v>
      </c>
      <c r="M68" s="96" t="s">
        <v>201</v>
      </c>
      <c r="N68" s="74">
        <v>1</v>
      </c>
      <c r="O68" s="77">
        <v>3.4722222222222224E-4</v>
      </c>
    </row>
    <row r="69" spans="1:15" ht="54" customHeight="1" thickTop="1" thickBot="1">
      <c r="A69" s="72"/>
      <c r="B69" s="73" t="s">
        <v>17</v>
      </c>
      <c r="C69" s="74" t="s">
        <v>273</v>
      </c>
      <c r="D69" s="74" t="s">
        <v>274</v>
      </c>
      <c r="E69" s="75" t="s">
        <v>12</v>
      </c>
      <c r="F69" s="75" t="s">
        <v>22</v>
      </c>
      <c r="G69" s="74" t="s">
        <v>271</v>
      </c>
      <c r="H69" s="85">
        <v>45698</v>
      </c>
      <c r="I69" s="96" t="s">
        <v>56</v>
      </c>
      <c r="J69" s="96" t="s">
        <v>131</v>
      </c>
      <c r="K69" s="96">
        <v>0</v>
      </c>
      <c r="L69" s="96" t="s">
        <v>275</v>
      </c>
      <c r="M69" s="96" t="s">
        <v>201</v>
      </c>
      <c r="N69" s="74">
        <v>1</v>
      </c>
      <c r="O69" s="77">
        <v>5.2083333333333333E-4</v>
      </c>
    </row>
    <row r="70" spans="1:15" ht="54" customHeight="1" thickTop="1" thickBot="1">
      <c r="A70" s="72"/>
      <c r="B70" s="73" t="s">
        <v>17</v>
      </c>
      <c r="C70" s="74" t="s">
        <v>276</v>
      </c>
      <c r="D70" s="74" t="s">
        <v>277</v>
      </c>
      <c r="E70" s="75" t="s">
        <v>12</v>
      </c>
      <c r="F70" s="75" t="s">
        <v>22</v>
      </c>
      <c r="G70" s="75" t="s">
        <v>278</v>
      </c>
      <c r="H70" s="76">
        <v>45699</v>
      </c>
      <c r="I70" s="96" t="s">
        <v>85</v>
      </c>
      <c r="J70" s="96" t="s">
        <v>131</v>
      </c>
      <c r="K70" s="96">
        <v>0</v>
      </c>
      <c r="L70" s="96" t="s">
        <v>279</v>
      </c>
      <c r="M70" s="96" t="s">
        <v>211</v>
      </c>
      <c r="N70" s="74">
        <v>1</v>
      </c>
      <c r="O70" s="77">
        <v>6.9444444444444447E-4</v>
      </c>
    </row>
    <row r="71" spans="1:15" ht="54" customHeight="1" thickTop="1" thickBot="1">
      <c r="A71" s="72"/>
      <c r="B71" s="73" t="s">
        <v>17</v>
      </c>
      <c r="C71" s="74" t="s">
        <v>280</v>
      </c>
      <c r="D71" s="74" t="s">
        <v>281</v>
      </c>
      <c r="E71" s="75" t="s">
        <v>12</v>
      </c>
      <c r="F71" s="75" t="s">
        <v>22</v>
      </c>
      <c r="G71" s="75" t="s">
        <v>278</v>
      </c>
      <c r="H71" s="76">
        <v>45699</v>
      </c>
      <c r="I71" s="96" t="s">
        <v>85</v>
      </c>
      <c r="J71" s="96" t="s">
        <v>131</v>
      </c>
      <c r="K71" s="96">
        <v>0</v>
      </c>
      <c r="L71" s="96" t="s">
        <v>282</v>
      </c>
      <c r="M71" s="96" t="s">
        <v>211</v>
      </c>
      <c r="N71" s="74">
        <v>1</v>
      </c>
      <c r="O71" s="77">
        <v>3.4722222222222224E-4</v>
      </c>
    </row>
    <row r="72" spans="1:15" ht="54" customHeight="1" thickTop="1" thickBot="1">
      <c r="A72" s="72"/>
      <c r="B72" s="73" t="s">
        <v>17</v>
      </c>
      <c r="C72" s="74" t="s">
        <v>283</v>
      </c>
      <c r="D72" s="74" t="s">
        <v>284</v>
      </c>
      <c r="E72" s="75" t="s">
        <v>12</v>
      </c>
      <c r="F72" s="75" t="s">
        <v>22</v>
      </c>
      <c r="G72" s="75" t="s">
        <v>278</v>
      </c>
      <c r="H72" s="76">
        <v>45699</v>
      </c>
      <c r="I72" s="96" t="s">
        <v>85</v>
      </c>
      <c r="J72" s="96" t="s">
        <v>131</v>
      </c>
      <c r="K72" s="96">
        <v>0</v>
      </c>
      <c r="L72" s="96" t="s">
        <v>285</v>
      </c>
      <c r="M72" s="96" t="s">
        <v>211</v>
      </c>
      <c r="N72" s="74">
        <v>1</v>
      </c>
      <c r="O72" s="77">
        <v>6.9444444444444447E-4</v>
      </c>
    </row>
    <row r="73" spans="1:15" ht="54" customHeight="1" thickTop="1" thickBot="1">
      <c r="A73" s="72"/>
      <c r="B73" s="73" t="s">
        <v>17</v>
      </c>
      <c r="C73" s="74" t="s">
        <v>286</v>
      </c>
      <c r="D73" s="74" t="s">
        <v>287</v>
      </c>
      <c r="E73" s="75" t="s">
        <v>12</v>
      </c>
      <c r="F73" s="75" t="s">
        <v>22</v>
      </c>
      <c r="G73" s="75" t="s">
        <v>288</v>
      </c>
      <c r="H73" s="76">
        <v>45698</v>
      </c>
      <c r="I73" s="96" t="s">
        <v>56</v>
      </c>
      <c r="J73" s="96" t="s">
        <v>131</v>
      </c>
      <c r="K73" s="96">
        <v>0</v>
      </c>
      <c r="L73" s="96" t="s">
        <v>289</v>
      </c>
      <c r="M73" s="96" t="s">
        <v>201</v>
      </c>
      <c r="N73" s="74">
        <v>1</v>
      </c>
      <c r="O73" s="77">
        <v>1.3888888888888889E-3</v>
      </c>
    </row>
    <row r="74" spans="1:15" ht="54" customHeight="1" thickTop="1" thickBot="1">
      <c r="A74" s="72"/>
      <c r="B74" s="73" t="s">
        <v>17</v>
      </c>
      <c r="C74" s="74" t="s">
        <v>290</v>
      </c>
      <c r="D74" s="74" t="s">
        <v>291</v>
      </c>
      <c r="E74" s="75" t="s">
        <v>12</v>
      </c>
      <c r="F74" s="75" t="s">
        <v>22</v>
      </c>
      <c r="G74" s="75" t="s">
        <v>825</v>
      </c>
      <c r="H74" s="76">
        <v>45698</v>
      </c>
      <c r="I74" s="96" t="s">
        <v>130</v>
      </c>
      <c r="J74" s="96" t="s">
        <v>131</v>
      </c>
      <c r="K74" s="96">
        <v>0</v>
      </c>
      <c r="L74" s="96" t="s">
        <v>293</v>
      </c>
      <c r="M74" s="96" t="s">
        <v>201</v>
      </c>
      <c r="N74" s="74">
        <v>1</v>
      </c>
      <c r="O74" s="77">
        <v>3.4722222222222224E-4</v>
      </c>
    </row>
    <row r="75" spans="1:15" ht="54" customHeight="1" thickTop="1" thickBot="1">
      <c r="A75" s="72"/>
      <c r="B75" s="73" t="s">
        <v>17</v>
      </c>
      <c r="C75" s="74" t="s">
        <v>294</v>
      </c>
      <c r="D75" s="74" t="s">
        <v>295</v>
      </c>
      <c r="E75" s="75" t="s">
        <v>12</v>
      </c>
      <c r="F75" s="75" t="s">
        <v>22</v>
      </c>
      <c r="G75" s="75" t="s">
        <v>825</v>
      </c>
      <c r="H75" s="76">
        <v>45698</v>
      </c>
      <c r="I75" s="96" t="s">
        <v>130</v>
      </c>
      <c r="J75" s="96" t="s">
        <v>131</v>
      </c>
      <c r="K75" s="96">
        <v>0</v>
      </c>
      <c r="L75" s="96" t="s">
        <v>296</v>
      </c>
      <c r="M75" s="96" t="s">
        <v>201</v>
      </c>
      <c r="N75" s="74">
        <v>1</v>
      </c>
      <c r="O75" s="77">
        <v>3.4722222222222224E-4</v>
      </c>
    </row>
    <row r="76" spans="1:15" ht="54" customHeight="1" thickTop="1" thickBot="1">
      <c r="A76" s="72"/>
      <c r="B76" s="73" t="s">
        <v>17</v>
      </c>
      <c r="C76" s="74" t="s">
        <v>297</v>
      </c>
      <c r="D76" s="74" t="s">
        <v>298</v>
      </c>
      <c r="E76" s="75" t="s">
        <v>12</v>
      </c>
      <c r="F76" s="75" t="s">
        <v>22</v>
      </c>
      <c r="G76" s="75" t="s">
        <v>825</v>
      </c>
      <c r="H76" s="76">
        <v>45698</v>
      </c>
      <c r="I76" s="96" t="s">
        <v>130</v>
      </c>
      <c r="J76" s="96" t="s">
        <v>131</v>
      </c>
      <c r="K76" s="96">
        <v>0</v>
      </c>
      <c r="L76" s="96" t="s">
        <v>296</v>
      </c>
      <c r="M76" s="96" t="s">
        <v>201</v>
      </c>
      <c r="N76" s="74">
        <v>1</v>
      </c>
      <c r="O76" s="77">
        <v>3.4722222222222224E-4</v>
      </c>
    </row>
    <row r="77" spans="1:15" ht="54" customHeight="1" thickTop="1" thickBot="1">
      <c r="A77" s="72"/>
      <c r="B77" s="73" t="s">
        <v>17</v>
      </c>
      <c r="C77" s="74" t="s">
        <v>299</v>
      </c>
      <c r="D77" s="74" t="s">
        <v>300</v>
      </c>
      <c r="E77" s="75" t="s">
        <v>12</v>
      </c>
      <c r="F77" s="75" t="s">
        <v>22</v>
      </c>
      <c r="G77" s="75" t="s">
        <v>825</v>
      </c>
      <c r="H77" s="76">
        <v>45698</v>
      </c>
      <c r="I77" s="96" t="s">
        <v>130</v>
      </c>
      <c r="J77" s="96" t="s">
        <v>131</v>
      </c>
      <c r="K77" s="96">
        <v>0</v>
      </c>
      <c r="L77" s="96" t="s">
        <v>296</v>
      </c>
      <c r="M77" s="96" t="s">
        <v>201</v>
      </c>
      <c r="N77" s="74">
        <v>1</v>
      </c>
      <c r="O77" s="77">
        <v>6.9444444444444447E-4</v>
      </c>
    </row>
    <row r="78" spans="1:15" ht="54" customHeight="1" thickTop="1" thickBot="1">
      <c r="A78" s="72"/>
      <c r="B78" s="73" t="s">
        <v>17</v>
      </c>
      <c r="C78" s="74" t="s">
        <v>301</v>
      </c>
      <c r="D78" s="74" t="s">
        <v>302</v>
      </c>
      <c r="E78" s="75" t="s">
        <v>12</v>
      </c>
      <c r="F78" s="75" t="s">
        <v>22</v>
      </c>
      <c r="G78" s="75" t="s">
        <v>824</v>
      </c>
      <c r="H78" s="76">
        <v>45698</v>
      </c>
      <c r="I78" s="96" t="s">
        <v>56</v>
      </c>
      <c r="J78" s="96" t="s">
        <v>131</v>
      </c>
      <c r="K78" s="96">
        <v>0</v>
      </c>
      <c r="L78" s="96" t="s">
        <v>303</v>
      </c>
      <c r="M78" s="96" t="s">
        <v>201</v>
      </c>
      <c r="N78" s="74">
        <v>1</v>
      </c>
      <c r="O78" s="77">
        <v>3.4722222222222224E-4</v>
      </c>
    </row>
    <row r="79" spans="1:15" ht="54" customHeight="1" thickTop="1" thickBot="1">
      <c r="A79" s="72"/>
      <c r="B79" s="73" t="s">
        <v>17</v>
      </c>
      <c r="C79" s="74" t="s">
        <v>304</v>
      </c>
      <c r="D79" s="74" t="s">
        <v>305</v>
      </c>
      <c r="E79" s="75" t="s">
        <v>12</v>
      </c>
      <c r="F79" s="75" t="s">
        <v>22</v>
      </c>
      <c r="G79" s="75" t="s">
        <v>278</v>
      </c>
      <c r="H79" s="76">
        <v>45699</v>
      </c>
      <c r="I79" s="96" t="s">
        <v>85</v>
      </c>
      <c r="J79" s="96" t="s">
        <v>131</v>
      </c>
      <c r="K79" s="96">
        <v>0</v>
      </c>
      <c r="L79" s="96" t="s">
        <v>210</v>
      </c>
      <c r="M79" s="96" t="s">
        <v>211</v>
      </c>
      <c r="N79" s="74">
        <v>1</v>
      </c>
      <c r="O79" s="77">
        <v>8.6805555555555551E-4</v>
      </c>
    </row>
    <row r="80" spans="1:15" ht="54" customHeight="1" thickTop="1" thickBot="1">
      <c r="A80" s="72"/>
      <c r="B80" s="73" t="s">
        <v>17</v>
      </c>
      <c r="C80" s="74" t="s">
        <v>306</v>
      </c>
      <c r="D80" s="74" t="s">
        <v>307</v>
      </c>
      <c r="E80" s="75" t="s">
        <v>12</v>
      </c>
      <c r="F80" s="75" t="s">
        <v>22</v>
      </c>
      <c r="G80" s="75" t="s">
        <v>308</v>
      </c>
      <c r="H80" s="76">
        <v>45698</v>
      </c>
      <c r="I80" s="96" t="s">
        <v>56</v>
      </c>
      <c r="J80" s="96" t="s">
        <v>131</v>
      </c>
      <c r="K80" s="96">
        <v>0</v>
      </c>
      <c r="L80" s="96" t="s">
        <v>309</v>
      </c>
      <c r="M80" s="96" t="s">
        <v>201</v>
      </c>
      <c r="N80" s="74">
        <v>1</v>
      </c>
      <c r="O80" s="77">
        <v>6.9444444444444447E-4</v>
      </c>
    </row>
    <row r="81" spans="1:15" ht="54" customHeight="1" thickTop="1" thickBot="1">
      <c r="A81" s="72"/>
      <c r="B81" s="73" t="s">
        <v>17</v>
      </c>
      <c r="C81" s="74" t="s">
        <v>310</v>
      </c>
      <c r="D81" s="74" t="s">
        <v>311</v>
      </c>
      <c r="E81" s="75" t="s">
        <v>12</v>
      </c>
      <c r="F81" s="75" t="s">
        <v>22</v>
      </c>
      <c r="G81" s="75" t="s">
        <v>741</v>
      </c>
      <c r="H81" s="76">
        <v>45698</v>
      </c>
      <c r="I81" s="96" t="s">
        <v>130</v>
      </c>
      <c r="J81" s="96" t="s">
        <v>131</v>
      </c>
      <c r="K81" s="96">
        <v>0</v>
      </c>
      <c r="L81" s="96" t="s">
        <v>313</v>
      </c>
      <c r="M81" s="96" t="s">
        <v>201</v>
      </c>
      <c r="N81" s="74">
        <v>1</v>
      </c>
      <c r="O81" s="77">
        <v>6.9444444444444447E-4</v>
      </c>
    </row>
    <row r="82" spans="1:15" ht="54" customHeight="1" thickTop="1" thickBot="1">
      <c r="A82" s="72"/>
      <c r="B82" s="73" t="s">
        <v>17</v>
      </c>
      <c r="C82" s="74" t="s">
        <v>314</v>
      </c>
      <c r="D82" s="74" t="s">
        <v>315</v>
      </c>
      <c r="E82" s="75" t="s">
        <v>12</v>
      </c>
      <c r="F82" s="75" t="s">
        <v>22</v>
      </c>
      <c r="G82" s="74" t="s">
        <v>267</v>
      </c>
      <c r="H82" s="85">
        <v>45698</v>
      </c>
      <c r="I82" s="96" t="s">
        <v>56</v>
      </c>
      <c r="J82" s="96" t="s">
        <v>131</v>
      </c>
      <c r="K82" s="96">
        <v>0</v>
      </c>
      <c r="L82" s="96" t="s">
        <v>316</v>
      </c>
      <c r="M82" s="96" t="s">
        <v>201</v>
      </c>
      <c r="N82" s="74">
        <v>1</v>
      </c>
      <c r="O82" s="77">
        <v>6.9444444444444447E-4</v>
      </c>
    </row>
    <row r="83" spans="1:15" ht="54" customHeight="1" thickTop="1" thickBot="1">
      <c r="A83" s="72"/>
      <c r="B83" s="73" t="s">
        <v>17</v>
      </c>
      <c r="C83" s="74" t="s">
        <v>317</v>
      </c>
      <c r="D83" s="74" t="s">
        <v>318</v>
      </c>
      <c r="E83" s="75" t="s">
        <v>12</v>
      </c>
      <c r="F83" s="75" t="s">
        <v>22</v>
      </c>
      <c r="G83" s="75" t="s">
        <v>741</v>
      </c>
      <c r="H83" s="76">
        <v>45698</v>
      </c>
      <c r="I83" s="96" t="s">
        <v>130</v>
      </c>
      <c r="J83" s="96" t="s">
        <v>131</v>
      </c>
      <c r="K83" s="96">
        <v>0</v>
      </c>
      <c r="L83" s="96" t="s">
        <v>313</v>
      </c>
      <c r="M83" s="96" t="s">
        <v>201</v>
      </c>
      <c r="N83" s="74">
        <v>1</v>
      </c>
      <c r="O83" s="77">
        <v>1.7361111111111112E-4</v>
      </c>
    </row>
    <row r="84" spans="1:15" ht="54" customHeight="1" thickTop="1" thickBot="1">
      <c r="A84" s="72"/>
      <c r="B84" s="73" t="s">
        <v>17</v>
      </c>
      <c r="C84" s="74" t="s">
        <v>319</v>
      </c>
      <c r="D84" s="74" t="s">
        <v>320</v>
      </c>
      <c r="E84" s="75" t="s">
        <v>12</v>
      </c>
      <c r="F84" s="75" t="s">
        <v>22</v>
      </c>
      <c r="G84" s="75" t="s">
        <v>826</v>
      </c>
      <c r="H84" s="76">
        <v>45700</v>
      </c>
      <c r="I84" s="96" t="s">
        <v>56</v>
      </c>
      <c r="J84" s="96" t="s">
        <v>57</v>
      </c>
      <c r="K84" s="96">
        <v>0</v>
      </c>
      <c r="L84" s="96" t="s">
        <v>322</v>
      </c>
      <c r="M84" s="96" t="s">
        <v>143</v>
      </c>
      <c r="N84" s="74">
        <v>2</v>
      </c>
      <c r="O84" s="77">
        <v>5.2083333333333333E-4</v>
      </c>
    </row>
    <row r="85" spans="1:15" ht="54" customHeight="1" thickTop="1" thickBot="1">
      <c r="B85" s="109" t="s">
        <v>17</v>
      </c>
      <c r="C85" s="103" t="s">
        <v>323</v>
      </c>
      <c r="D85" s="103" t="s">
        <v>324</v>
      </c>
      <c r="E85" s="110" t="s">
        <v>22</v>
      </c>
      <c r="F85" s="110"/>
      <c r="G85" s="110"/>
      <c r="H85" s="113"/>
      <c r="I85" s="96" t="s">
        <v>56</v>
      </c>
      <c r="J85" s="96" t="s">
        <v>131</v>
      </c>
      <c r="K85" s="96">
        <v>0</v>
      </c>
      <c r="L85" s="96" t="s">
        <v>325</v>
      </c>
      <c r="M85" s="96" t="s">
        <v>234</v>
      </c>
      <c r="N85" s="103">
        <v>3</v>
      </c>
      <c r="O85" s="112">
        <v>5.2083333333333333E-4</v>
      </c>
    </row>
    <row r="86" spans="1:15" ht="54" customHeight="1" thickTop="1" thickBot="1">
      <c r="A86" s="72"/>
      <c r="B86" s="73" t="s">
        <v>17</v>
      </c>
      <c r="C86" s="74" t="s">
        <v>326</v>
      </c>
      <c r="D86" s="74" t="s">
        <v>327</v>
      </c>
      <c r="E86" s="75" t="s">
        <v>12</v>
      </c>
      <c r="F86" s="75" t="s">
        <v>22</v>
      </c>
      <c r="G86" s="75" t="s">
        <v>826</v>
      </c>
      <c r="H86" s="76">
        <v>45700</v>
      </c>
      <c r="I86" s="96" t="s">
        <v>56</v>
      </c>
      <c r="J86" s="96" t="s">
        <v>57</v>
      </c>
      <c r="K86" s="96">
        <v>0</v>
      </c>
      <c r="L86" s="96">
        <v>0</v>
      </c>
      <c r="M86" s="96" t="s">
        <v>143</v>
      </c>
      <c r="N86" s="74">
        <v>4</v>
      </c>
      <c r="O86" s="77">
        <v>5.2083333333333333E-4</v>
      </c>
    </row>
    <row r="87" spans="1:15" ht="54" customHeight="1" thickTop="1" thickBot="1">
      <c r="A87" s="72"/>
      <c r="B87" s="78" t="s">
        <v>17</v>
      </c>
      <c r="C87" s="79" t="s">
        <v>328</v>
      </c>
      <c r="D87" s="79" t="s">
        <v>329</v>
      </c>
      <c r="E87" s="82" t="s">
        <v>12</v>
      </c>
      <c r="F87" s="82" t="s">
        <v>22</v>
      </c>
      <c r="G87" s="82" t="s">
        <v>826</v>
      </c>
      <c r="H87" s="102">
        <v>45700</v>
      </c>
      <c r="I87" s="96" t="s">
        <v>56</v>
      </c>
      <c r="J87" s="96" t="s">
        <v>57</v>
      </c>
      <c r="K87" s="96">
        <v>0</v>
      </c>
      <c r="L87" s="96">
        <v>0</v>
      </c>
      <c r="M87" s="96" t="s">
        <v>143</v>
      </c>
      <c r="N87" s="79">
        <v>2</v>
      </c>
      <c r="O87" s="83">
        <v>3.4722222222222224E-4</v>
      </c>
    </row>
    <row r="88" spans="1:15" ht="66" customHeight="1" thickTop="1" thickBot="1">
      <c r="B88" s="104" t="s">
        <v>21</v>
      </c>
      <c r="C88" s="105" t="s">
        <v>330</v>
      </c>
      <c r="D88" s="105" t="s">
        <v>331</v>
      </c>
      <c r="E88" s="106" t="s">
        <v>22</v>
      </c>
      <c r="F88" s="106"/>
      <c r="G88" s="106"/>
      <c r="H88" s="118"/>
      <c r="I88" s="96" t="s">
        <v>130</v>
      </c>
      <c r="J88" s="96" t="s">
        <v>131</v>
      </c>
      <c r="K88" s="96">
        <v>0</v>
      </c>
      <c r="L88" s="96" t="s">
        <v>332</v>
      </c>
      <c r="M88" s="96" t="s">
        <v>333</v>
      </c>
      <c r="N88" s="105">
        <v>4</v>
      </c>
      <c r="O88" s="108" t="s">
        <v>334</v>
      </c>
    </row>
    <row r="89" spans="1:15" ht="54" customHeight="1" thickTop="1" thickBot="1">
      <c r="B89" s="109" t="s">
        <v>21</v>
      </c>
      <c r="C89" s="74" t="s">
        <v>335</v>
      </c>
      <c r="D89" s="74" t="s">
        <v>336</v>
      </c>
      <c r="E89" s="110" t="s">
        <v>22</v>
      </c>
      <c r="F89" s="110"/>
      <c r="G89" s="110"/>
      <c r="H89" s="113"/>
      <c r="I89" s="96" t="s">
        <v>130</v>
      </c>
      <c r="J89" s="96" t="s">
        <v>131</v>
      </c>
      <c r="K89" s="96">
        <v>0</v>
      </c>
      <c r="L89" s="96" t="s">
        <v>337</v>
      </c>
      <c r="M89" s="96" t="s">
        <v>333</v>
      </c>
      <c r="N89" s="103">
        <v>4</v>
      </c>
      <c r="O89" s="112">
        <v>1.3888888888888889E-3</v>
      </c>
    </row>
    <row r="90" spans="1:15" ht="54" customHeight="1" thickTop="1" thickBot="1">
      <c r="B90" s="109" t="s">
        <v>21</v>
      </c>
      <c r="C90" s="103" t="s">
        <v>338</v>
      </c>
      <c r="D90" s="103" t="s">
        <v>339</v>
      </c>
      <c r="E90" s="110" t="s">
        <v>22</v>
      </c>
      <c r="F90" s="110"/>
      <c r="G90" s="110"/>
      <c r="H90" s="113"/>
      <c r="I90" s="96" t="s">
        <v>130</v>
      </c>
      <c r="J90" s="96" t="s">
        <v>131</v>
      </c>
      <c r="K90" s="96">
        <v>0</v>
      </c>
      <c r="L90" s="96" t="s">
        <v>340</v>
      </c>
      <c r="M90" s="96" t="s">
        <v>341</v>
      </c>
      <c r="N90" s="103">
        <v>2</v>
      </c>
      <c r="O90" s="112">
        <v>2.0833333333333333E-3</v>
      </c>
    </row>
    <row r="91" spans="1:15" ht="54" customHeight="1" thickTop="1" thickBot="1">
      <c r="B91" s="109" t="s">
        <v>21</v>
      </c>
      <c r="C91" s="103" t="s">
        <v>342</v>
      </c>
      <c r="D91" s="103" t="s">
        <v>343</v>
      </c>
      <c r="E91" s="110" t="s">
        <v>22</v>
      </c>
      <c r="F91" s="110"/>
      <c r="G91" s="110"/>
      <c r="H91" s="113"/>
      <c r="I91" s="96" t="s">
        <v>130</v>
      </c>
      <c r="J91" s="96" t="s">
        <v>131</v>
      </c>
      <c r="K91" s="96">
        <v>0</v>
      </c>
      <c r="L91" s="96" t="s">
        <v>344</v>
      </c>
      <c r="M91" s="96" t="s">
        <v>341</v>
      </c>
      <c r="N91" s="103">
        <v>2</v>
      </c>
      <c r="O91" s="112">
        <v>2.0833333333333333E-3</v>
      </c>
    </row>
    <row r="92" spans="1:15" ht="54" customHeight="1" thickTop="1" thickBot="1">
      <c r="A92" s="72"/>
      <c r="B92" s="73" t="s">
        <v>21</v>
      </c>
      <c r="C92" s="74" t="s">
        <v>345</v>
      </c>
      <c r="D92" s="74" t="s">
        <v>346</v>
      </c>
      <c r="E92" s="75" t="s">
        <v>12</v>
      </c>
      <c r="F92" s="75" t="s">
        <v>22</v>
      </c>
      <c r="G92" s="75" t="s">
        <v>826</v>
      </c>
      <c r="H92" s="76">
        <v>45700</v>
      </c>
      <c r="I92" s="96" t="s">
        <v>56</v>
      </c>
      <c r="J92" s="96" t="s">
        <v>57</v>
      </c>
      <c r="K92" s="96">
        <v>0</v>
      </c>
      <c r="L92" s="96" t="s">
        <v>347</v>
      </c>
      <c r="M92" s="96" t="s">
        <v>143</v>
      </c>
      <c r="N92" s="74">
        <v>2</v>
      </c>
      <c r="O92" s="77">
        <v>6.9444444444444447E-4</v>
      </c>
    </row>
    <row r="93" spans="1:15" ht="54" customHeight="1" thickTop="1" thickBot="1">
      <c r="B93" s="109" t="s">
        <v>21</v>
      </c>
      <c r="C93" s="103" t="s">
        <v>348</v>
      </c>
      <c r="D93" s="103" t="s">
        <v>349</v>
      </c>
      <c r="E93" s="110" t="s">
        <v>22</v>
      </c>
      <c r="F93" s="110"/>
      <c r="G93" s="110"/>
      <c r="H93" s="113"/>
      <c r="I93" s="96" t="s">
        <v>130</v>
      </c>
      <c r="J93" s="96" t="s">
        <v>131</v>
      </c>
      <c r="K93" s="96">
        <v>0</v>
      </c>
      <c r="L93" s="96" t="s">
        <v>350</v>
      </c>
      <c r="M93" s="96" t="s">
        <v>351</v>
      </c>
      <c r="N93" s="103">
        <v>1</v>
      </c>
      <c r="O93" s="112">
        <v>1.2152777777777778E-3</v>
      </c>
    </row>
    <row r="94" spans="1:15" ht="54" customHeight="1" thickTop="1" thickBot="1">
      <c r="B94" s="109" t="s">
        <v>21</v>
      </c>
      <c r="C94" s="103" t="s">
        <v>352</v>
      </c>
      <c r="D94" s="103" t="s">
        <v>353</v>
      </c>
      <c r="E94" s="110" t="s">
        <v>22</v>
      </c>
      <c r="F94" s="110"/>
      <c r="G94" s="110"/>
      <c r="H94" s="113"/>
      <c r="I94" s="96" t="s">
        <v>130</v>
      </c>
      <c r="J94" s="96" t="s">
        <v>131</v>
      </c>
      <c r="K94" s="96">
        <v>0</v>
      </c>
      <c r="L94" s="96" t="s">
        <v>354</v>
      </c>
      <c r="M94" s="96" t="s">
        <v>351</v>
      </c>
      <c r="N94" s="103">
        <v>2</v>
      </c>
      <c r="O94" s="112">
        <v>2.7777777777777779E-3</v>
      </c>
    </row>
    <row r="95" spans="1:15" ht="54" customHeight="1" thickTop="1" thickBot="1">
      <c r="B95" s="109" t="s">
        <v>21</v>
      </c>
      <c r="C95" s="103" t="s">
        <v>355</v>
      </c>
      <c r="D95" s="103" t="s">
        <v>356</v>
      </c>
      <c r="E95" s="110" t="s">
        <v>22</v>
      </c>
      <c r="F95" s="110"/>
      <c r="G95" s="110"/>
      <c r="H95" s="113"/>
      <c r="I95" s="96" t="s">
        <v>130</v>
      </c>
      <c r="J95" s="96" t="s">
        <v>131</v>
      </c>
      <c r="K95" s="96">
        <v>0</v>
      </c>
      <c r="L95" s="96" t="s">
        <v>357</v>
      </c>
      <c r="M95" s="96" t="s">
        <v>351</v>
      </c>
      <c r="N95" s="103">
        <v>2</v>
      </c>
      <c r="O95" s="112">
        <v>6.9444444444444447E-4</v>
      </c>
    </row>
    <row r="96" spans="1:15" ht="54" customHeight="1" thickTop="1" thickBot="1">
      <c r="B96" s="109" t="s">
        <v>21</v>
      </c>
      <c r="C96" s="103" t="s">
        <v>358</v>
      </c>
      <c r="D96" s="103" t="s">
        <v>359</v>
      </c>
      <c r="E96" s="110" t="s">
        <v>22</v>
      </c>
      <c r="F96" s="110"/>
      <c r="G96" s="110"/>
      <c r="H96" s="113"/>
      <c r="I96" s="96" t="s">
        <v>130</v>
      </c>
      <c r="J96" s="96" t="s">
        <v>131</v>
      </c>
      <c r="K96" s="96">
        <v>0</v>
      </c>
      <c r="L96" s="96" t="s">
        <v>360</v>
      </c>
      <c r="M96" s="96" t="s">
        <v>201</v>
      </c>
      <c r="N96" s="103">
        <v>2</v>
      </c>
      <c r="O96" s="112">
        <v>3.4722222222222224E-4</v>
      </c>
    </row>
    <row r="97" spans="1:15" ht="54" customHeight="1" thickTop="1" thickBot="1">
      <c r="B97" s="109" t="s">
        <v>21</v>
      </c>
      <c r="C97" s="103" t="s">
        <v>361</v>
      </c>
      <c r="D97" s="103" t="s">
        <v>362</v>
      </c>
      <c r="E97" s="110" t="s">
        <v>22</v>
      </c>
      <c r="F97" s="110"/>
      <c r="G97" s="110"/>
      <c r="H97" s="113"/>
      <c r="I97" s="96" t="s">
        <v>130</v>
      </c>
      <c r="J97" s="96" t="s">
        <v>131</v>
      </c>
      <c r="K97" s="96">
        <v>0</v>
      </c>
      <c r="L97" s="96" t="s">
        <v>363</v>
      </c>
      <c r="M97" s="96" t="s">
        <v>160</v>
      </c>
      <c r="N97" s="103">
        <v>2</v>
      </c>
      <c r="O97" s="112">
        <v>5.2083333333333333E-4</v>
      </c>
    </row>
    <row r="98" spans="1:15" ht="54" customHeight="1" thickTop="1" thickBot="1">
      <c r="B98" s="109" t="s">
        <v>21</v>
      </c>
      <c r="C98" s="103" t="s">
        <v>364</v>
      </c>
      <c r="D98" s="103" t="s">
        <v>365</v>
      </c>
      <c r="E98" s="110" t="s">
        <v>22</v>
      </c>
      <c r="F98" s="110"/>
      <c r="G98" s="110"/>
      <c r="H98" s="113"/>
      <c r="I98" s="96" t="s">
        <v>56</v>
      </c>
      <c r="J98" s="96" t="s">
        <v>131</v>
      </c>
      <c r="K98" s="96">
        <v>0</v>
      </c>
      <c r="L98" s="96" t="s">
        <v>366</v>
      </c>
      <c r="M98" s="96" t="s">
        <v>160</v>
      </c>
      <c r="N98" s="103">
        <v>1</v>
      </c>
      <c r="O98" s="112">
        <v>9.2592592592592585E-4</v>
      </c>
    </row>
    <row r="99" spans="1:15" ht="54" customHeight="1" thickTop="1" thickBot="1">
      <c r="B99" s="109" t="s">
        <v>21</v>
      </c>
      <c r="C99" s="103" t="s">
        <v>367</v>
      </c>
      <c r="D99" s="103" t="s">
        <v>368</v>
      </c>
      <c r="E99" s="110" t="s">
        <v>22</v>
      </c>
      <c r="F99" s="110"/>
      <c r="G99" s="110"/>
      <c r="H99" s="113"/>
      <c r="I99" s="96" t="s">
        <v>56</v>
      </c>
      <c r="J99" s="96" t="s">
        <v>57</v>
      </c>
      <c r="K99" s="96">
        <v>0</v>
      </c>
      <c r="L99" s="96" t="s">
        <v>369</v>
      </c>
      <c r="M99" s="96" t="s">
        <v>351</v>
      </c>
      <c r="N99" s="103">
        <v>1</v>
      </c>
      <c r="O99" s="112">
        <v>1.1574074074074073E-4</v>
      </c>
    </row>
    <row r="100" spans="1:15" ht="54" customHeight="1" thickTop="1" thickBot="1">
      <c r="B100" s="109" t="s">
        <v>21</v>
      </c>
      <c r="C100" s="103" t="s">
        <v>370</v>
      </c>
      <c r="D100" s="103" t="s">
        <v>371</v>
      </c>
      <c r="E100" s="110" t="s">
        <v>22</v>
      </c>
      <c r="F100" s="110"/>
      <c r="G100" s="110"/>
      <c r="H100" s="113"/>
      <c r="I100" s="96" t="s">
        <v>85</v>
      </c>
      <c r="J100" s="96" t="s">
        <v>57</v>
      </c>
      <c r="K100" s="96">
        <v>0</v>
      </c>
      <c r="L100" s="96" t="s">
        <v>372</v>
      </c>
      <c r="M100" s="96" t="s">
        <v>120</v>
      </c>
      <c r="N100" s="103">
        <v>1</v>
      </c>
      <c r="O100" s="112">
        <v>6.9444444444444447E-4</v>
      </c>
    </row>
    <row r="101" spans="1:15" ht="54" customHeight="1" thickTop="1" thickBot="1">
      <c r="B101" s="109" t="s">
        <v>21</v>
      </c>
      <c r="C101" s="103" t="s">
        <v>373</v>
      </c>
      <c r="D101" s="103" t="s">
        <v>374</v>
      </c>
      <c r="E101" s="110" t="s">
        <v>22</v>
      </c>
      <c r="F101" s="110"/>
      <c r="G101" s="110"/>
      <c r="H101" s="113"/>
      <c r="I101" s="96" t="s">
        <v>56</v>
      </c>
      <c r="J101" s="96" t="s">
        <v>131</v>
      </c>
      <c r="K101" s="96">
        <v>0</v>
      </c>
      <c r="L101" s="96" t="s">
        <v>375</v>
      </c>
      <c r="M101" s="96" t="s">
        <v>104</v>
      </c>
      <c r="N101" s="103">
        <v>1</v>
      </c>
      <c r="O101" s="112">
        <v>6.9444444444444447E-4</v>
      </c>
    </row>
    <row r="102" spans="1:15" ht="54" customHeight="1" thickTop="1" thickBot="1">
      <c r="B102" s="109" t="s">
        <v>21</v>
      </c>
      <c r="C102" s="103" t="s">
        <v>376</v>
      </c>
      <c r="D102" s="103" t="s">
        <v>377</v>
      </c>
      <c r="E102" s="110" t="s">
        <v>22</v>
      </c>
      <c r="F102" s="110"/>
      <c r="G102" s="110"/>
      <c r="H102" s="113"/>
      <c r="I102" s="96" t="s">
        <v>56</v>
      </c>
      <c r="J102" s="96" t="s">
        <v>131</v>
      </c>
      <c r="K102" s="96">
        <v>0</v>
      </c>
      <c r="L102" s="96" t="s">
        <v>378</v>
      </c>
      <c r="M102" s="96" t="s">
        <v>104</v>
      </c>
      <c r="N102" s="103">
        <v>1</v>
      </c>
      <c r="O102" s="112">
        <v>4.0509259259259258E-4</v>
      </c>
    </row>
    <row r="103" spans="1:15" ht="54" customHeight="1" thickTop="1" thickBot="1">
      <c r="B103" s="109" t="s">
        <v>21</v>
      </c>
      <c r="C103" s="103" t="s">
        <v>379</v>
      </c>
      <c r="D103" s="103" t="s">
        <v>380</v>
      </c>
      <c r="E103" s="110" t="s">
        <v>22</v>
      </c>
      <c r="F103" s="110"/>
      <c r="G103" s="110"/>
      <c r="H103" s="113"/>
      <c r="I103" s="96" t="s">
        <v>130</v>
      </c>
      <c r="J103" s="96" t="s">
        <v>57</v>
      </c>
      <c r="K103" s="96">
        <v>0</v>
      </c>
      <c r="L103" s="96" t="s">
        <v>381</v>
      </c>
      <c r="M103" s="96" t="s">
        <v>143</v>
      </c>
      <c r="N103" s="103">
        <v>2</v>
      </c>
      <c r="O103" s="112">
        <v>1.3888888888888889E-3</v>
      </c>
    </row>
    <row r="104" spans="1:15" ht="54" customHeight="1" thickTop="1" thickBot="1">
      <c r="B104" s="109" t="s">
        <v>21</v>
      </c>
      <c r="C104" s="103" t="s">
        <v>382</v>
      </c>
      <c r="D104" s="103" t="s">
        <v>383</v>
      </c>
      <c r="E104" s="110" t="s">
        <v>22</v>
      </c>
      <c r="F104" s="110"/>
      <c r="G104" s="110"/>
      <c r="H104" s="113"/>
      <c r="I104" s="96" t="s">
        <v>130</v>
      </c>
      <c r="J104" s="96" t="s">
        <v>57</v>
      </c>
      <c r="K104" s="96">
        <v>0</v>
      </c>
      <c r="L104" s="96" t="s">
        <v>384</v>
      </c>
      <c r="M104" s="96" t="s">
        <v>385</v>
      </c>
      <c r="N104" s="103">
        <v>2</v>
      </c>
      <c r="O104" s="112">
        <v>1.736111111111111E-3</v>
      </c>
    </row>
    <row r="105" spans="1:15" ht="54" customHeight="1" thickTop="1" thickBot="1">
      <c r="A105" s="72"/>
      <c r="B105" s="73" t="s">
        <v>827</v>
      </c>
      <c r="C105" s="74" t="s">
        <v>386</v>
      </c>
      <c r="D105" s="74" t="s">
        <v>387</v>
      </c>
      <c r="E105" s="75" t="s">
        <v>12</v>
      </c>
      <c r="F105" s="75" t="s">
        <v>22</v>
      </c>
      <c r="G105" s="75" t="s">
        <v>388</v>
      </c>
      <c r="H105" s="76">
        <v>45701</v>
      </c>
      <c r="I105" s="96" t="s">
        <v>56</v>
      </c>
      <c r="J105" s="96" t="s">
        <v>57</v>
      </c>
      <c r="K105" s="96">
        <v>0</v>
      </c>
      <c r="L105" s="96" t="s">
        <v>389</v>
      </c>
      <c r="M105" s="96" t="s">
        <v>143</v>
      </c>
      <c r="N105" s="74">
        <v>1</v>
      </c>
      <c r="O105" s="77">
        <v>6.9444444444444447E-4</v>
      </c>
    </row>
    <row r="106" spans="1:15" ht="54" customHeight="1" thickTop="1" thickBot="1">
      <c r="B106" s="109" t="s">
        <v>21</v>
      </c>
      <c r="C106" s="103" t="s">
        <v>390</v>
      </c>
      <c r="D106" s="103" t="s">
        <v>391</v>
      </c>
      <c r="E106" s="110" t="s">
        <v>22</v>
      </c>
      <c r="F106" s="110"/>
      <c r="G106" s="110"/>
      <c r="H106" s="113"/>
      <c r="I106" s="96" t="s">
        <v>56</v>
      </c>
      <c r="J106" s="96" t="s">
        <v>57</v>
      </c>
      <c r="K106" s="96">
        <v>0</v>
      </c>
      <c r="L106" s="96" t="s">
        <v>392</v>
      </c>
      <c r="M106" s="96" t="s">
        <v>143</v>
      </c>
      <c r="N106" s="103">
        <v>2</v>
      </c>
      <c r="O106" s="112">
        <v>3.4722222222222224E-4</v>
      </c>
    </row>
    <row r="107" spans="1:15" ht="54" customHeight="1" thickTop="1" thickBot="1">
      <c r="B107" s="109" t="s">
        <v>21</v>
      </c>
      <c r="C107" s="103" t="s">
        <v>393</v>
      </c>
      <c r="D107" s="103" t="s">
        <v>394</v>
      </c>
      <c r="E107" s="110" t="s">
        <v>22</v>
      </c>
      <c r="F107" s="110"/>
      <c r="G107" s="110"/>
      <c r="H107" s="113"/>
      <c r="I107" s="96" t="s">
        <v>85</v>
      </c>
      <c r="J107" s="96" t="s">
        <v>57</v>
      </c>
      <c r="K107" s="96">
        <v>0</v>
      </c>
      <c r="L107" s="96" t="s">
        <v>395</v>
      </c>
      <c r="M107" s="96" t="s">
        <v>120</v>
      </c>
      <c r="N107" s="103">
        <v>2</v>
      </c>
      <c r="O107" s="112">
        <v>6.9444444444444447E-4</v>
      </c>
    </row>
    <row r="108" spans="1:15" ht="54" customHeight="1" thickTop="1" thickBot="1">
      <c r="A108" s="72"/>
      <c r="B108" s="73" t="s">
        <v>21</v>
      </c>
      <c r="C108" s="74" t="s">
        <v>396</v>
      </c>
      <c r="D108" s="74" t="s">
        <v>397</v>
      </c>
      <c r="E108" s="75" t="s">
        <v>12</v>
      </c>
      <c r="F108" s="75" t="s">
        <v>22</v>
      </c>
      <c r="G108" s="75" t="s">
        <v>826</v>
      </c>
      <c r="H108" s="76">
        <v>45700</v>
      </c>
      <c r="I108" s="96" t="s">
        <v>56</v>
      </c>
      <c r="J108" s="96" t="s">
        <v>57</v>
      </c>
      <c r="K108" s="96">
        <v>0</v>
      </c>
      <c r="L108" s="96" t="s">
        <v>398</v>
      </c>
      <c r="M108" s="96" t="s">
        <v>143</v>
      </c>
      <c r="N108" s="74">
        <v>2</v>
      </c>
      <c r="O108" s="77">
        <v>6.9444444444444447E-4</v>
      </c>
    </row>
    <row r="109" spans="1:15" ht="54" customHeight="1" thickTop="1" thickBot="1">
      <c r="B109" s="109" t="s">
        <v>21</v>
      </c>
      <c r="C109" s="103" t="s">
        <v>399</v>
      </c>
      <c r="D109" s="103" t="s">
        <v>400</v>
      </c>
      <c r="E109" s="110" t="s">
        <v>22</v>
      </c>
      <c r="F109" s="110"/>
      <c r="G109" s="110"/>
      <c r="H109" s="113"/>
      <c r="I109" s="96" t="s">
        <v>85</v>
      </c>
      <c r="J109" s="96" t="s">
        <v>57</v>
      </c>
      <c r="K109" s="96">
        <v>0</v>
      </c>
      <c r="L109" s="96" t="s">
        <v>401</v>
      </c>
      <c r="M109" s="96" t="s">
        <v>104</v>
      </c>
      <c r="N109" s="103">
        <v>4</v>
      </c>
      <c r="O109" s="112">
        <v>2.0833333333333333E-3</v>
      </c>
    </row>
    <row r="110" spans="1:15" ht="54" customHeight="1" thickTop="1" thickBot="1">
      <c r="B110" s="109" t="s">
        <v>21</v>
      </c>
      <c r="C110" s="103" t="s">
        <v>402</v>
      </c>
      <c r="D110" s="103" t="s">
        <v>403</v>
      </c>
      <c r="E110" s="110" t="s">
        <v>22</v>
      </c>
      <c r="F110" s="110"/>
      <c r="G110" s="110"/>
      <c r="H110" s="113"/>
      <c r="I110" s="96" t="s">
        <v>56</v>
      </c>
      <c r="J110" s="96" t="s">
        <v>57</v>
      </c>
      <c r="K110" s="96">
        <v>0</v>
      </c>
      <c r="L110" s="96" t="s">
        <v>404</v>
      </c>
      <c r="M110" s="96" t="s">
        <v>104</v>
      </c>
      <c r="N110" s="103">
        <v>2</v>
      </c>
      <c r="O110" s="112">
        <v>6.9444444444444447E-4</v>
      </c>
    </row>
    <row r="111" spans="1:15" ht="54" customHeight="1" thickTop="1" thickBot="1">
      <c r="A111" s="72"/>
      <c r="B111" s="73" t="s">
        <v>21</v>
      </c>
      <c r="C111" s="74" t="s">
        <v>405</v>
      </c>
      <c r="D111" s="74" t="s">
        <v>406</v>
      </c>
      <c r="E111" s="75" t="s">
        <v>12</v>
      </c>
      <c r="F111" s="75" t="s">
        <v>22</v>
      </c>
      <c r="G111" s="75" t="s">
        <v>826</v>
      </c>
      <c r="H111" s="76">
        <v>45700</v>
      </c>
      <c r="I111" s="96" t="s">
        <v>56</v>
      </c>
      <c r="J111" s="96" t="s">
        <v>57</v>
      </c>
      <c r="K111" s="96">
        <v>0</v>
      </c>
      <c r="L111" s="96" t="s">
        <v>407</v>
      </c>
      <c r="M111" s="96" t="s">
        <v>143</v>
      </c>
      <c r="N111" s="74">
        <v>2</v>
      </c>
      <c r="O111" s="77">
        <v>6.9444444444444447E-4</v>
      </c>
    </row>
    <row r="112" spans="1:15" ht="54" customHeight="1" thickTop="1" thickBot="1">
      <c r="B112" s="109" t="s">
        <v>21</v>
      </c>
      <c r="C112" s="103" t="s">
        <v>408</v>
      </c>
      <c r="D112" s="103" t="s">
        <v>409</v>
      </c>
      <c r="E112" s="110" t="s">
        <v>22</v>
      </c>
      <c r="F112" s="110"/>
      <c r="G112" s="110"/>
      <c r="H112" s="113"/>
      <c r="I112" s="96" t="s">
        <v>85</v>
      </c>
      <c r="J112" s="96" t="s">
        <v>131</v>
      </c>
      <c r="K112" s="96">
        <v>0</v>
      </c>
      <c r="L112" s="96" t="s">
        <v>410</v>
      </c>
      <c r="M112" s="96" t="s">
        <v>104</v>
      </c>
      <c r="N112" s="103">
        <v>2</v>
      </c>
      <c r="O112" s="112">
        <v>1.3888888888888889E-3</v>
      </c>
    </row>
    <row r="113" spans="2:16" ht="54" customHeight="1" thickTop="1" thickBot="1">
      <c r="B113" s="114" t="s">
        <v>21</v>
      </c>
      <c r="C113" s="115" t="s">
        <v>411</v>
      </c>
      <c r="D113" s="115" t="s">
        <v>400</v>
      </c>
      <c r="E113" s="116" t="s">
        <v>22</v>
      </c>
      <c r="F113" s="116"/>
      <c r="G113" s="116"/>
      <c r="H113" s="119"/>
      <c r="I113" s="96" t="s">
        <v>85</v>
      </c>
      <c r="J113" s="96" t="s">
        <v>57</v>
      </c>
      <c r="K113" s="96">
        <v>0</v>
      </c>
      <c r="L113" s="96" t="s">
        <v>401</v>
      </c>
      <c r="M113" s="96" t="s">
        <v>104</v>
      </c>
      <c r="N113" s="115">
        <v>2</v>
      </c>
      <c r="O113" s="117">
        <v>6.9444444444444447E-4</v>
      </c>
    </row>
    <row r="114" spans="2:16" ht="54" customHeight="1" thickTop="1" thickBot="1">
      <c r="B114" s="104" t="s">
        <v>25</v>
      </c>
      <c r="C114" s="105" t="s">
        <v>412</v>
      </c>
      <c r="D114" s="105" t="s">
        <v>413</v>
      </c>
      <c r="E114" s="106" t="s">
        <v>22</v>
      </c>
      <c r="F114" s="106"/>
      <c r="G114" s="106"/>
      <c r="H114" s="118"/>
      <c r="I114" s="96" t="s">
        <v>130</v>
      </c>
      <c r="J114" s="96" t="s">
        <v>57</v>
      </c>
      <c r="K114" s="96">
        <v>0</v>
      </c>
      <c r="L114" s="96" t="s">
        <v>414</v>
      </c>
      <c r="M114" s="96" t="s">
        <v>104</v>
      </c>
      <c r="N114" s="105">
        <v>1</v>
      </c>
      <c r="O114" s="108">
        <v>6.9444444444444447E-4</v>
      </c>
    </row>
    <row r="115" spans="2:16" ht="54" customHeight="1" thickTop="1" thickBot="1">
      <c r="B115" s="109" t="s">
        <v>25</v>
      </c>
      <c r="C115" s="103" t="s">
        <v>415</v>
      </c>
      <c r="D115" s="103" t="s">
        <v>416</v>
      </c>
      <c r="E115" s="110" t="s">
        <v>22</v>
      </c>
      <c r="F115" s="110"/>
      <c r="G115" s="110"/>
      <c r="H115" s="113"/>
      <c r="I115" s="96" t="s">
        <v>130</v>
      </c>
      <c r="J115" s="96" t="s">
        <v>57</v>
      </c>
      <c r="K115" s="96">
        <v>0</v>
      </c>
      <c r="L115" s="96" t="s">
        <v>417</v>
      </c>
      <c r="M115" s="96" t="s">
        <v>234</v>
      </c>
      <c r="N115" s="103">
        <v>1</v>
      </c>
      <c r="O115" s="112">
        <v>4.6296296296296293E-4</v>
      </c>
    </row>
    <row r="116" spans="2:16" ht="54" customHeight="1" thickTop="1" thickBot="1">
      <c r="B116" s="109" t="s">
        <v>25</v>
      </c>
      <c r="C116" s="103" t="s">
        <v>418</v>
      </c>
      <c r="D116" s="103" t="s">
        <v>419</v>
      </c>
      <c r="E116" s="110" t="s">
        <v>22</v>
      </c>
      <c r="F116" s="110"/>
      <c r="G116" s="110"/>
      <c r="H116" s="113"/>
      <c r="I116" s="96" t="s">
        <v>130</v>
      </c>
      <c r="J116" s="96" t="s">
        <v>57</v>
      </c>
      <c r="K116" s="96">
        <v>0</v>
      </c>
      <c r="L116" s="96" t="s">
        <v>420</v>
      </c>
      <c r="M116" s="96" t="s">
        <v>234</v>
      </c>
      <c r="N116" s="103">
        <v>1</v>
      </c>
      <c r="O116" s="112">
        <v>6.9444444444444447E-4</v>
      </c>
    </row>
    <row r="117" spans="2:16" ht="54" customHeight="1" thickTop="1" thickBot="1">
      <c r="B117" s="109" t="s">
        <v>25</v>
      </c>
      <c r="C117" s="103" t="s">
        <v>421</v>
      </c>
      <c r="D117" s="103" t="s">
        <v>422</v>
      </c>
      <c r="E117" s="110" t="s">
        <v>22</v>
      </c>
      <c r="F117" s="110"/>
      <c r="G117" s="110"/>
      <c r="H117" s="113"/>
      <c r="I117" s="96" t="s">
        <v>130</v>
      </c>
      <c r="J117" s="96" t="s">
        <v>57</v>
      </c>
      <c r="K117" s="96">
        <v>0</v>
      </c>
      <c r="L117" s="96" t="s">
        <v>423</v>
      </c>
      <c r="M117" s="96" t="s">
        <v>424</v>
      </c>
      <c r="N117" s="103">
        <v>1</v>
      </c>
      <c r="O117" s="112">
        <v>6.9444444444444447E-4</v>
      </c>
    </row>
    <row r="118" spans="2:16" ht="54" customHeight="1" thickTop="1" thickBot="1">
      <c r="B118" s="109" t="s">
        <v>25</v>
      </c>
      <c r="C118" s="103" t="s">
        <v>425</v>
      </c>
      <c r="D118" s="103" t="s">
        <v>426</v>
      </c>
      <c r="E118" s="110" t="s">
        <v>22</v>
      </c>
      <c r="F118" s="110"/>
      <c r="G118" s="110"/>
      <c r="H118" s="113"/>
      <c r="I118" s="96" t="s">
        <v>130</v>
      </c>
      <c r="J118" s="96" t="s">
        <v>57</v>
      </c>
      <c r="K118" s="96">
        <v>0</v>
      </c>
      <c r="L118" s="96" t="s">
        <v>427</v>
      </c>
      <c r="M118" s="96" t="s">
        <v>424</v>
      </c>
      <c r="N118" s="103">
        <v>1</v>
      </c>
      <c r="O118" s="112">
        <v>6.9444444444444447E-4</v>
      </c>
    </row>
    <row r="119" spans="2:16" ht="54" customHeight="1" thickTop="1" thickBot="1">
      <c r="B119" s="109" t="s">
        <v>25</v>
      </c>
      <c r="C119" s="103" t="s">
        <v>428</v>
      </c>
      <c r="D119" s="103" t="s">
        <v>429</v>
      </c>
      <c r="E119" s="110" t="s">
        <v>22</v>
      </c>
      <c r="F119" s="110"/>
      <c r="G119" s="110"/>
      <c r="H119" s="113"/>
      <c r="I119" s="96" t="s">
        <v>130</v>
      </c>
      <c r="J119" s="96" t="s">
        <v>57</v>
      </c>
      <c r="K119" s="96">
        <v>0</v>
      </c>
      <c r="L119" s="96" t="s">
        <v>430</v>
      </c>
      <c r="M119" s="96" t="s">
        <v>424</v>
      </c>
      <c r="N119" s="103">
        <v>1</v>
      </c>
      <c r="O119" s="112">
        <v>3.4722222222222224E-4</v>
      </c>
    </row>
    <row r="120" spans="2:16" ht="54" customHeight="1" thickTop="1" thickBot="1">
      <c r="B120" s="109" t="s">
        <v>25</v>
      </c>
      <c r="C120" s="103" t="s">
        <v>431</v>
      </c>
      <c r="D120" s="103" t="s">
        <v>432</v>
      </c>
      <c r="E120" s="110" t="s">
        <v>22</v>
      </c>
      <c r="F120" s="110"/>
      <c r="G120" s="110"/>
      <c r="H120" s="113"/>
      <c r="I120" s="96" t="s">
        <v>130</v>
      </c>
      <c r="J120" s="96" t="s">
        <v>57</v>
      </c>
      <c r="K120" s="96">
        <v>0</v>
      </c>
      <c r="L120" s="96" t="s">
        <v>433</v>
      </c>
      <c r="M120" s="96" t="s">
        <v>234</v>
      </c>
      <c r="N120" s="103">
        <v>1</v>
      </c>
      <c r="O120" s="112">
        <v>6.9444444444444447E-4</v>
      </c>
    </row>
    <row r="121" spans="2:16" ht="54" customHeight="1" thickTop="1" thickBot="1">
      <c r="B121" s="109" t="s">
        <v>25</v>
      </c>
      <c r="C121" s="103" t="s">
        <v>434</v>
      </c>
      <c r="D121" s="103" t="s">
        <v>435</v>
      </c>
      <c r="E121" s="110" t="s">
        <v>22</v>
      </c>
      <c r="F121" s="110"/>
      <c r="G121" s="110"/>
      <c r="H121" s="113"/>
      <c r="I121" s="96" t="s">
        <v>130</v>
      </c>
      <c r="J121" s="96" t="s">
        <v>57</v>
      </c>
      <c r="K121" s="96">
        <v>0</v>
      </c>
      <c r="L121" s="96" t="s">
        <v>436</v>
      </c>
      <c r="M121" s="96" t="s">
        <v>234</v>
      </c>
      <c r="N121" s="103">
        <v>2</v>
      </c>
      <c r="O121" s="112">
        <v>1.0416666666666667E-3</v>
      </c>
    </row>
    <row r="122" spans="2:16" ht="54" customHeight="1" thickTop="1" thickBot="1">
      <c r="B122" s="109" t="s">
        <v>25</v>
      </c>
      <c r="C122" s="103" t="s">
        <v>437</v>
      </c>
      <c r="D122" s="103" t="s">
        <v>438</v>
      </c>
      <c r="E122" s="110" t="s">
        <v>22</v>
      </c>
      <c r="F122" s="110"/>
      <c r="G122" s="110"/>
      <c r="H122" s="113"/>
      <c r="I122" s="96" t="s">
        <v>130</v>
      </c>
      <c r="J122" s="96" t="s">
        <v>57</v>
      </c>
      <c r="K122" s="96">
        <v>0</v>
      </c>
      <c r="L122" s="96" t="s">
        <v>439</v>
      </c>
      <c r="M122" s="96" t="s">
        <v>234</v>
      </c>
      <c r="N122" s="103">
        <v>1</v>
      </c>
      <c r="O122" s="112">
        <v>1.0416666666666667E-3</v>
      </c>
    </row>
    <row r="123" spans="2:16" ht="54" customHeight="1" thickTop="1" thickBot="1">
      <c r="B123" s="109" t="s">
        <v>25</v>
      </c>
      <c r="C123" s="103" t="s">
        <v>440</v>
      </c>
      <c r="D123" s="103" t="s">
        <v>441</v>
      </c>
      <c r="E123" s="110" t="s">
        <v>22</v>
      </c>
      <c r="F123" s="110"/>
      <c r="G123" s="110"/>
      <c r="H123" s="113"/>
      <c r="I123" s="96" t="s">
        <v>130</v>
      </c>
      <c r="J123" s="96" t="s">
        <v>57</v>
      </c>
      <c r="K123" s="96">
        <v>0</v>
      </c>
      <c r="L123" s="96" t="s">
        <v>442</v>
      </c>
      <c r="M123" s="96" t="s">
        <v>143</v>
      </c>
      <c r="N123" s="103">
        <v>1</v>
      </c>
      <c r="O123" s="112">
        <v>1.0416666666666667E-3</v>
      </c>
    </row>
    <row r="124" spans="2:16" ht="54" customHeight="1" thickTop="1" thickBot="1">
      <c r="B124" s="109" t="s">
        <v>25</v>
      </c>
      <c r="C124" s="103" t="s">
        <v>443</v>
      </c>
      <c r="D124" s="103" t="s">
        <v>444</v>
      </c>
      <c r="E124" s="110" t="s">
        <v>22</v>
      </c>
      <c r="F124" s="110"/>
      <c r="G124" s="110"/>
      <c r="H124" s="113"/>
      <c r="I124" s="96" t="s">
        <v>85</v>
      </c>
      <c r="J124" s="96" t="s">
        <v>57</v>
      </c>
      <c r="K124" s="96">
        <v>0</v>
      </c>
      <c r="L124" s="96" t="s">
        <v>445</v>
      </c>
      <c r="M124" s="96" t="s">
        <v>446</v>
      </c>
      <c r="N124" s="103">
        <v>2</v>
      </c>
      <c r="O124" s="112">
        <v>6.9444444444444447E-4</v>
      </c>
    </row>
    <row r="125" spans="2:16" ht="54" customHeight="1" thickTop="1" thickBot="1">
      <c r="B125" s="109" t="s">
        <v>25</v>
      </c>
      <c r="C125" s="103" t="s">
        <v>447</v>
      </c>
      <c r="D125" s="103" t="s">
        <v>448</v>
      </c>
      <c r="E125" s="110" t="s">
        <v>22</v>
      </c>
      <c r="F125" s="110"/>
      <c r="G125" s="110"/>
      <c r="H125" s="113"/>
      <c r="I125" s="96" t="s">
        <v>85</v>
      </c>
      <c r="J125" s="96" t="s">
        <v>131</v>
      </c>
      <c r="K125" s="96">
        <v>0</v>
      </c>
      <c r="L125" s="96" t="s">
        <v>378</v>
      </c>
      <c r="M125" s="96" t="s">
        <v>104</v>
      </c>
      <c r="N125" s="103">
        <v>3</v>
      </c>
      <c r="O125" s="112">
        <v>1.736111111111111E-3</v>
      </c>
    </row>
    <row r="126" spans="2:16" ht="54" customHeight="1" thickTop="1" thickBot="1">
      <c r="B126" s="109" t="s">
        <v>25</v>
      </c>
      <c r="C126" s="103" t="s">
        <v>828</v>
      </c>
      <c r="D126" s="135" t="s">
        <v>450</v>
      </c>
      <c r="E126" s="110" t="s">
        <v>22</v>
      </c>
      <c r="F126" s="110"/>
      <c r="G126" s="110"/>
      <c r="H126" s="113"/>
      <c r="I126" s="96" t="s">
        <v>56</v>
      </c>
      <c r="J126" s="96" t="s">
        <v>57</v>
      </c>
      <c r="K126" s="96">
        <v>0</v>
      </c>
      <c r="L126" s="96">
        <v>0</v>
      </c>
      <c r="M126" s="96" t="s">
        <v>143</v>
      </c>
      <c r="N126" s="103">
        <v>2</v>
      </c>
      <c r="O126" s="112">
        <v>6.9444444444444447E-4</v>
      </c>
    </row>
    <row r="127" spans="2:16" ht="54" customHeight="1" thickTop="1" thickBot="1">
      <c r="B127" s="114" t="s">
        <v>25</v>
      </c>
      <c r="C127" s="115" t="s">
        <v>453</v>
      </c>
      <c r="D127" s="115" t="s">
        <v>454</v>
      </c>
      <c r="E127" s="116" t="s">
        <v>22</v>
      </c>
      <c r="F127" s="116"/>
      <c r="G127" s="115"/>
      <c r="H127" s="121"/>
      <c r="I127" s="96" t="s">
        <v>56</v>
      </c>
      <c r="J127" s="96" t="s">
        <v>57</v>
      </c>
      <c r="K127" s="96">
        <v>0</v>
      </c>
      <c r="L127" s="96" t="s">
        <v>451</v>
      </c>
      <c r="M127" s="96" t="s">
        <v>452</v>
      </c>
      <c r="N127" s="115">
        <v>2</v>
      </c>
      <c r="O127" s="117">
        <v>6.9444444444444447E-4</v>
      </c>
    </row>
    <row r="128" spans="2:16" ht="66" customHeight="1" thickTop="1" thickBot="1">
      <c r="B128" s="122" t="s">
        <v>455</v>
      </c>
      <c r="C128" s="123" t="s">
        <v>456</v>
      </c>
      <c r="D128" s="123" t="s">
        <v>457</v>
      </c>
      <c r="E128" s="123" t="s">
        <v>22</v>
      </c>
      <c r="F128" s="123"/>
      <c r="G128" s="123"/>
      <c r="H128" s="123"/>
      <c r="I128" s="96" t="s">
        <v>85</v>
      </c>
      <c r="J128" s="96" t="s">
        <v>131</v>
      </c>
      <c r="K128" s="96">
        <v>0</v>
      </c>
      <c r="L128" s="96" t="s">
        <v>458</v>
      </c>
      <c r="M128" s="96" t="s">
        <v>459</v>
      </c>
      <c r="N128" s="124">
        <v>2</v>
      </c>
      <c r="O128" s="131">
        <v>2.0013888888888891</v>
      </c>
      <c r="P128" s="126"/>
    </row>
    <row r="129" ht="15.75" thickTop="1"/>
  </sheetData>
  <autoFilter ref="B2:L128" xr:uid="{F5BC406C-4D90-4E19-84BD-6ED882AB24B3}"/>
  <phoneticPr fontId="8" type="noConversion"/>
  <conditionalFormatting sqref="C3:F19 C20:D22 G27:H27 G29:H29 H30:H31 G70:H72 G74:H79 G66:H66 G81:H81 G32:H43 C41:D51 N26:O127 G4:H22 G83:H127 G3:M3 I4:M128 C127:D127 C126 C114:D125 C113 C107:D112 C106 C90:D105 C80:D88 C79 C64:D78 C63 C53:D62 C52 G45:H64">
    <cfRule type="expression" dxfId="67" priority="50">
      <formula>AND(OR($F3="No",$F3=""), $E3= "Yes",$G3&lt;&gt;"",$H3&lt;&gt;"")</formula>
    </cfRule>
  </conditionalFormatting>
  <conditionalFormatting sqref="C26:D26 C35:D40 E21:F21">
    <cfRule type="expression" dxfId="66" priority="51">
      <formula>AND(OR($F22="No",$F22=""), $E21= "Yes",$G21&lt;&gt;"",$H21&lt;&gt;"")</formula>
    </cfRule>
  </conditionalFormatting>
  <conditionalFormatting sqref="C27:D34">
    <cfRule type="expression" dxfId="65" priority="49">
      <formula>AND(OR($F28="No",$F28=""), $E27= "Yes",$G27&lt;&gt;"",$H27&lt;&gt;"")</formula>
    </cfRule>
  </conditionalFormatting>
  <conditionalFormatting sqref="E27:F27 E70:F72 E74:F79 E66:F66 E81:F81 E29:F43 E83:F127 E45:F64">
    <cfRule type="expression" dxfId="64" priority="47">
      <formula>AND(OR($F27="No",$F27=""), $E27= "Yes",$G27&lt;&gt;"",$H27&lt;&gt;"")</formula>
    </cfRule>
    <cfRule type="expression" dxfId="63" priority="48">
      <formula>AND(OR($E27="No",$E27=""), $F27= "Yes",$G27&lt;&gt;"",$H27&lt;&gt;"")</formula>
    </cfRule>
  </conditionalFormatting>
  <conditionalFormatting sqref="E20:F20">
    <cfRule type="expression" dxfId="62" priority="46">
      <formula>AND(OR($F21="No",$F21=""), $E20= "Yes",$G20&lt;&gt;"",$H20&lt;&gt;"")</formula>
    </cfRule>
  </conditionalFormatting>
  <conditionalFormatting sqref="G26:H26">
    <cfRule type="expression" dxfId="61" priority="45">
      <formula>AND(OR($F26="No",$F26=""), $E26= "Yes",$G26&lt;&gt;"",$H26&lt;&gt;"")</formula>
    </cfRule>
  </conditionalFormatting>
  <conditionalFormatting sqref="E26:F26">
    <cfRule type="expression" dxfId="60" priority="43">
      <formula>AND(OR($F26="No",$F26=""), $E26= "Yes",$G26&lt;&gt;"",$H26&lt;&gt;"")</formula>
    </cfRule>
    <cfRule type="expression" dxfId="59" priority="44">
      <formula>AND(OR($E26="No",$E26=""), $F26= "Yes",$G26&lt;&gt;"",$H26&lt;&gt;"")</formula>
    </cfRule>
  </conditionalFormatting>
  <conditionalFormatting sqref="G28:H28">
    <cfRule type="expression" dxfId="58" priority="42">
      <formula>AND(OR($F28="No",$F28=""), $E28= "Yes",$G28&lt;&gt;"",$H28&lt;&gt;"")</formula>
    </cfRule>
  </conditionalFormatting>
  <conditionalFormatting sqref="E28:F28">
    <cfRule type="expression" dxfId="57" priority="40">
      <formula>AND(OR($F28="No",$F28=""), $E28= "Yes",$G28&lt;&gt;"",$H28&lt;&gt;"")</formula>
    </cfRule>
    <cfRule type="expression" dxfId="56" priority="41">
      <formula>AND(OR($E28="No",$E28=""), $F28= "Yes",$G28&lt;&gt;"",$H28&lt;&gt;"")</formula>
    </cfRule>
  </conditionalFormatting>
  <conditionalFormatting sqref="G30:G31">
    <cfRule type="expression" dxfId="55" priority="39">
      <formula>AND(OR($F30="No",$F30=""), $E30= "Yes",$G30&lt;&gt;"",$H30&lt;&gt;"")</formula>
    </cfRule>
  </conditionalFormatting>
  <conditionalFormatting sqref="G67:H67">
    <cfRule type="expression" dxfId="54" priority="38">
      <formula>AND(OR($F67="No",$F67=""), $E67= "Yes",$G67&lt;&gt;"",$H67&lt;&gt;"")</formula>
    </cfRule>
  </conditionalFormatting>
  <conditionalFormatting sqref="E67:F67">
    <cfRule type="expression" dxfId="53" priority="36">
      <formula>AND(OR($F67="No",$F67=""), $E67= "Yes",$G67&lt;&gt;"",$H67&lt;&gt;"")</formula>
    </cfRule>
    <cfRule type="expression" dxfId="52" priority="37">
      <formula>AND(OR($E67="No",$E67=""), $F67= "Yes",$G67&lt;&gt;"",$H67&lt;&gt;"")</formula>
    </cfRule>
  </conditionalFormatting>
  <conditionalFormatting sqref="G82:H82">
    <cfRule type="expression" dxfId="51" priority="35">
      <formula>AND(OR($F82="No",$F82=""), $E82= "Yes",$G82&lt;&gt;"",$H82&lt;&gt;"")</formula>
    </cfRule>
  </conditionalFormatting>
  <conditionalFormatting sqref="E82:F82">
    <cfRule type="expression" dxfId="50" priority="33">
      <formula>AND(OR($F82="No",$F82=""), $E82= "Yes",$G82&lt;&gt;"",$H82&lt;&gt;"")</formula>
    </cfRule>
    <cfRule type="expression" dxfId="49" priority="34">
      <formula>AND(OR($E82="No",$E82=""), $F82= "Yes",$G82&lt;&gt;"",$H82&lt;&gt;"")</formula>
    </cfRule>
  </conditionalFormatting>
  <conditionalFormatting sqref="G73:H73">
    <cfRule type="expression" dxfId="48" priority="32">
      <formula>AND(OR($F73="No",$F73=""), $E73= "Yes",$G73&lt;&gt;"",$H73&lt;&gt;"")</formula>
    </cfRule>
  </conditionalFormatting>
  <conditionalFormatting sqref="E73:F73">
    <cfRule type="expression" dxfId="47" priority="30">
      <formula>AND(OR($F73="No",$F73=""), $E73= "Yes",$G73&lt;&gt;"",$H73&lt;&gt;"")</formula>
    </cfRule>
    <cfRule type="expression" dxfId="46" priority="31">
      <formula>AND(OR($E73="No",$E73=""), $F73= "Yes",$G73&lt;&gt;"",$H73&lt;&gt;"")</formula>
    </cfRule>
  </conditionalFormatting>
  <conditionalFormatting sqref="G65:H65">
    <cfRule type="expression" dxfId="45" priority="29">
      <formula>AND(OR($F65="No",$F65=""), $E65= "Yes",$G65&lt;&gt;"",$H65&lt;&gt;"")</formula>
    </cfRule>
  </conditionalFormatting>
  <conditionalFormatting sqref="E65:F65">
    <cfRule type="expression" dxfId="44" priority="27">
      <formula>AND(OR($F65="No",$F65=""), $E65= "Yes",$G65&lt;&gt;"",$H65&lt;&gt;"")</formula>
    </cfRule>
    <cfRule type="expression" dxfId="43" priority="28">
      <formula>AND(OR($E65="No",$E65=""), $F65= "Yes",$G65&lt;&gt;"",$H65&lt;&gt;"")</formula>
    </cfRule>
  </conditionalFormatting>
  <conditionalFormatting sqref="G68:H68">
    <cfRule type="expression" dxfId="42" priority="26">
      <formula>AND(OR($F68="No",$F68=""), $E68= "Yes",$G68&lt;&gt;"",$H68&lt;&gt;"")</formula>
    </cfRule>
  </conditionalFormatting>
  <conditionalFormatting sqref="E68:F68">
    <cfRule type="expression" dxfId="41" priority="24">
      <formula>AND(OR($F68="No",$F68=""), $E68= "Yes",$G68&lt;&gt;"",$H68&lt;&gt;"")</formula>
    </cfRule>
    <cfRule type="expression" dxfId="40" priority="25">
      <formula>AND(OR($E68="No",$E68=""), $F68= "Yes",$G68&lt;&gt;"",$H68&lt;&gt;"")</formula>
    </cfRule>
  </conditionalFormatting>
  <conditionalFormatting sqref="G69:H69">
    <cfRule type="expression" dxfId="39" priority="23">
      <formula>AND(OR($F69="No",$F69=""), $E69= "Yes",$G69&lt;&gt;"",$H69&lt;&gt;"")</formula>
    </cfRule>
  </conditionalFormatting>
  <conditionalFormatting sqref="E69:F69">
    <cfRule type="expression" dxfId="38" priority="21">
      <formula>AND(OR($F69="No",$F69=""), $E69= "Yes",$G69&lt;&gt;"",$H69&lt;&gt;"")</formula>
    </cfRule>
    <cfRule type="expression" dxfId="37" priority="22">
      <formula>AND(OR($E69="No",$E69=""), $F69= "Yes",$G69&lt;&gt;"",$H69&lt;&gt;"")</formula>
    </cfRule>
  </conditionalFormatting>
  <conditionalFormatting sqref="G80:H80">
    <cfRule type="expression" dxfId="36" priority="20">
      <formula>AND(OR($F80="No",$F80=""), $E80= "Yes",$G80&lt;&gt;"",$H80&lt;&gt;"")</formula>
    </cfRule>
  </conditionalFormatting>
  <conditionalFormatting sqref="E80:F80">
    <cfRule type="expression" dxfId="35" priority="18">
      <formula>AND(OR($F80="No",$F80=""), $E80= "Yes",$G80&lt;&gt;"",$H80&lt;&gt;"")</formula>
    </cfRule>
    <cfRule type="expression" dxfId="34" priority="19">
      <formula>AND(OR($E80="No",$E80=""), $F80= "Yes",$G80&lt;&gt;"",$H80&lt;&gt;"")</formula>
    </cfRule>
  </conditionalFormatting>
  <conditionalFormatting sqref="A2">
    <cfRule type="expression" dxfId="33" priority="16">
      <formula>AND(OR(#REF!="No",#REF!=""), #REF!= "Yes",#REF!&lt;&gt;"",#REF!&lt;&gt;"")</formula>
    </cfRule>
    <cfRule type="expression" dxfId="32" priority="17">
      <formula>AND(OR(#REF!="No",#REF!=""), #REF!= "Yes",#REF!&lt;&gt;"",#REF!&lt;&gt;"")</formula>
    </cfRule>
  </conditionalFormatting>
  <conditionalFormatting sqref="N3:O22">
    <cfRule type="expression" dxfId="31" priority="15">
      <formula>AND(OR($F3="No",$F3=""), $E3= "Yes",$G3&lt;&gt;"",$H3&lt;&gt;"")</formula>
    </cfRule>
  </conditionalFormatting>
  <conditionalFormatting sqref="N23:O25 C23:H24">
    <cfRule type="expression" dxfId="30" priority="12">
      <formula>AND(OR($E23="No",$E23=""), $D23= "Yes",$F23&lt;&gt;"",$G23&lt;&gt;"")</formula>
    </cfRule>
  </conditionalFormatting>
  <conditionalFormatting sqref="C25:D25">
    <cfRule type="expression" dxfId="29" priority="11">
      <formula>AND(OR($E25="No",$E25=""), $D25= "Yes",$F25&lt;&gt;"",$G25&lt;&gt;"")</formula>
    </cfRule>
  </conditionalFormatting>
  <conditionalFormatting sqref="E22:F22">
    <cfRule type="expression" dxfId="28" priority="308">
      <formula>AND(OR($F112="No",$F112=""), $E22= "Yes",$G22&lt;&gt;"",$H22&lt;&gt;"")</formula>
    </cfRule>
  </conditionalFormatting>
  <conditionalFormatting sqref="N128:O128">
    <cfRule type="expression" dxfId="27" priority="355">
      <formula>AND(OR($F128="No",$F128=""), $D128= "Yes",$G128&lt;&gt;"",$H128&lt;&gt;"")</formula>
    </cfRule>
  </conditionalFormatting>
  <conditionalFormatting sqref="D113">
    <cfRule type="expression" dxfId="26" priority="10">
      <formula>AND(OR($F113="No",$F113=""), $E113= "Yes",$G113&lt;&gt;"",$H113&lt;&gt;"")</formula>
    </cfRule>
  </conditionalFormatting>
  <conditionalFormatting sqref="D106">
    <cfRule type="expression" dxfId="25" priority="9">
      <formula>AND(OR($F106="No",$F106=""), $E106= "Yes",$G106&lt;&gt;"",$H106&lt;&gt;"")</formula>
    </cfRule>
  </conditionalFormatting>
  <conditionalFormatting sqref="C89:D89">
    <cfRule type="expression" dxfId="24" priority="8">
      <formula>AND(OR($F89="No",$F89=""), $E89= "Yes",$G89&lt;&gt;"",$H89&lt;&gt;"")</formula>
    </cfRule>
  </conditionalFormatting>
  <conditionalFormatting sqref="D79">
    <cfRule type="expression" dxfId="23" priority="7">
      <formula>AND(OR($F79="No",$F79=""), $E79= "Yes",$G79&lt;&gt;"",$H79&lt;&gt;"")</formula>
    </cfRule>
  </conditionalFormatting>
  <conditionalFormatting sqref="D52">
    <cfRule type="expression" dxfId="22" priority="6">
      <formula>AND(OR($F52="No",$F52=""), $E52= "Yes",$G52&lt;&gt;"",$H52&lt;&gt;"")</formula>
    </cfRule>
  </conditionalFormatting>
  <conditionalFormatting sqref="H44">
    <cfRule type="expression" dxfId="21" priority="5">
      <formula>AND(OR($F44="No",$F44=""), $E44= "Yes",$G44&lt;&gt;"",$H44&lt;&gt;"")</formula>
    </cfRule>
  </conditionalFormatting>
  <conditionalFormatting sqref="E44:F44">
    <cfRule type="expression" dxfId="20" priority="3">
      <formula>AND(OR($F44="No",$F44=""), $E44= "Yes",$G44&lt;&gt;"",$H44&lt;&gt;"")</formula>
    </cfRule>
    <cfRule type="expression" dxfId="19" priority="4">
      <formula>AND(OR($E44="No",$E44=""), $F44= "Yes",$G44&lt;&gt;"",$H44&lt;&gt;"")</formula>
    </cfRule>
  </conditionalFormatting>
  <conditionalFormatting sqref="G44">
    <cfRule type="expression" dxfId="18" priority="1">
      <formula>AND(OR($F44="No",$F44=""), $E44= "Yes",$G44&lt;&gt;"",$H44&lt;&gt;"")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2" sqref="A2"/>
    </sheetView>
  </sheetViews>
  <sheetFormatPr defaultRowHeight="15"/>
  <cols>
    <col min="3" max="4" width="36.21875" bestFit="1" customWidth="1"/>
    <col min="5" max="5" width="11.33203125" customWidth="1"/>
    <col min="6" max="6" width="9.6640625" customWidth="1"/>
    <col min="8" max="8" width="9.88671875" bestFit="1" customWidth="1"/>
  </cols>
  <sheetData>
    <row r="1" spans="1:9" s="3" customFormat="1" ht="20.25" customHeight="1" thickBot="1">
      <c r="B1" s="24"/>
      <c r="C1" s="8" t="s">
        <v>829</v>
      </c>
      <c r="D1" s="9"/>
      <c r="E1" s="9"/>
      <c r="F1" s="9"/>
      <c r="G1" s="9"/>
      <c r="H1" s="9"/>
      <c r="I1" s="9"/>
    </row>
    <row r="2" spans="1:9" s="10" customFormat="1" ht="78.75" customHeight="1" thickBot="1">
      <c r="A2" s="50" t="s">
        <v>38</v>
      </c>
      <c r="B2" s="50" t="s">
        <v>39</v>
      </c>
      <c r="C2" s="51" t="s">
        <v>40</v>
      </c>
      <c r="D2" s="52" t="s">
        <v>41</v>
      </c>
      <c r="E2" s="53" t="s">
        <v>24</v>
      </c>
      <c r="F2" s="53" t="s">
        <v>20</v>
      </c>
      <c r="G2" s="54" t="s">
        <v>42</v>
      </c>
      <c r="H2" s="55" t="s">
        <v>43</v>
      </c>
      <c r="I2" s="9"/>
    </row>
    <row r="3" spans="1:9" s="3" customFormat="1" ht="15.75">
      <c r="A3" s="5">
        <v>6770</v>
      </c>
      <c r="B3" s="5" t="s">
        <v>14</v>
      </c>
      <c r="C3" s="58" t="s">
        <v>830</v>
      </c>
      <c r="D3" s="57" t="s">
        <v>830</v>
      </c>
      <c r="H3" s="21"/>
    </row>
    <row r="4" spans="1:9" s="3" customFormat="1" ht="15.75">
      <c r="A4" s="5">
        <v>6800</v>
      </c>
      <c r="B4" s="5" t="s">
        <v>14</v>
      </c>
      <c r="C4" s="6" t="s">
        <v>831</v>
      </c>
      <c r="D4" s="56" t="s">
        <v>831</v>
      </c>
    </row>
    <row r="5" spans="1:9" s="3" customFormat="1" ht="15.75">
      <c r="A5" s="5">
        <v>6790</v>
      </c>
      <c r="B5" s="5"/>
      <c r="C5" s="58" t="s">
        <v>832</v>
      </c>
      <c r="D5" s="57" t="s">
        <v>832</v>
      </c>
    </row>
    <row r="6" spans="1:9" s="3" customFormat="1" ht="15.75">
      <c r="A6" s="5">
        <v>6820</v>
      </c>
      <c r="B6" s="5"/>
      <c r="C6" s="6" t="s">
        <v>833</v>
      </c>
      <c r="D6" s="56" t="s">
        <v>833</v>
      </c>
    </row>
    <row r="7" spans="1:9" s="3" customFormat="1" ht="15.75">
      <c r="A7" s="5">
        <v>6830</v>
      </c>
      <c r="B7" s="5"/>
      <c r="C7" s="6" t="s">
        <v>834</v>
      </c>
      <c r="D7" s="56" t="s">
        <v>834</v>
      </c>
    </row>
    <row r="8" spans="1:9" s="3" customFormat="1" ht="15.75">
      <c r="A8" s="5">
        <v>6850</v>
      </c>
      <c r="B8" s="5"/>
      <c r="C8" s="6" t="s">
        <v>835</v>
      </c>
      <c r="D8" s="56" t="s">
        <v>835</v>
      </c>
    </row>
    <row r="9" spans="1:9">
      <c r="B9" s="4"/>
    </row>
    <row r="10" spans="1:9">
      <c r="B10" s="4"/>
    </row>
    <row r="11" spans="1:9">
      <c r="B11" s="4"/>
    </row>
    <row r="12" spans="1:9">
      <c r="B12" s="2"/>
    </row>
    <row r="13" spans="1:9">
      <c r="B13" s="2"/>
    </row>
    <row r="14" spans="1:9">
      <c r="B14" s="4"/>
    </row>
    <row r="15" spans="1:9">
      <c r="B15" s="4"/>
    </row>
    <row r="16" spans="1:9">
      <c r="B16" s="2"/>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2"/>
    </row>
    <row r="31" spans="2:2">
      <c r="B31" s="2"/>
    </row>
    <row r="32" spans="2:2">
      <c r="B32" s="2"/>
    </row>
    <row r="33" spans="2:2">
      <c r="B33" s="4"/>
    </row>
    <row r="34" spans="2:2">
      <c r="B34" s="4"/>
    </row>
    <row r="35" spans="2:2">
      <c r="B35" s="4"/>
    </row>
    <row r="36" spans="2:2">
      <c r="B36" s="4"/>
    </row>
    <row r="37" spans="2:2">
      <c r="B37" s="4"/>
    </row>
    <row r="38" spans="2:2">
      <c r="B38" s="4"/>
    </row>
    <row r="39" spans="2:2">
      <c r="B39" s="4"/>
    </row>
    <row r="40" spans="2:2">
      <c r="B40" s="4"/>
    </row>
    <row r="41" spans="2:2">
      <c r="B41" s="4"/>
    </row>
    <row r="42" spans="2:2">
      <c r="B42" s="4"/>
    </row>
    <row r="43" spans="2:2">
      <c r="B43" s="4"/>
    </row>
    <row r="44" spans="2:2">
      <c r="B44" s="2"/>
    </row>
    <row r="45" spans="2:2">
      <c r="B45" s="4"/>
    </row>
    <row r="46" spans="2:2">
      <c r="B46" s="4"/>
    </row>
    <row r="47" spans="2:2">
      <c r="B47" s="4"/>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2:2">
      <c r="B60" s="2"/>
    </row>
    <row r="61" spans="2:2">
      <c r="B61" s="2"/>
    </row>
    <row r="62" spans="2:2">
      <c r="B62" s="2"/>
    </row>
    <row r="63" spans="2:2">
      <c r="B63" s="2"/>
    </row>
    <row r="64" spans="2:2">
      <c r="B64" s="2"/>
    </row>
    <row r="65" spans="2:2">
      <c r="B65" s="2"/>
    </row>
    <row r="66" spans="2:2">
      <c r="B66" s="2"/>
    </row>
    <row r="67" spans="2:2">
      <c r="B67" s="2"/>
    </row>
    <row r="68" spans="2:2">
      <c r="B68" s="2"/>
    </row>
    <row r="69" spans="2:2">
      <c r="B69" s="2"/>
    </row>
    <row r="70" spans="2:2">
      <c r="B70" s="4"/>
    </row>
    <row r="71" spans="2:2">
      <c r="B71" s="4"/>
    </row>
    <row r="72" spans="2:2">
      <c r="B72" s="4"/>
    </row>
    <row r="73" spans="2:2">
      <c r="B73" s="4"/>
    </row>
    <row r="74" spans="2:2">
      <c r="B74" s="4"/>
    </row>
    <row r="75" spans="2:2">
      <c r="B75" s="4"/>
    </row>
    <row r="76" spans="2:2">
      <c r="B76" s="4"/>
    </row>
    <row r="77" spans="2:2">
      <c r="B77" s="4"/>
    </row>
    <row r="78" spans="2:2">
      <c r="B78" s="4"/>
    </row>
    <row r="79" spans="2:2">
      <c r="B79" s="4"/>
    </row>
    <row r="80" spans="2:2">
      <c r="B80" s="4"/>
    </row>
    <row r="81" spans="2:2">
      <c r="B81" s="4"/>
    </row>
    <row r="82" spans="2:2">
      <c r="B82" s="4"/>
    </row>
    <row r="83" spans="2:2">
      <c r="B83" s="4"/>
    </row>
    <row r="84" spans="2:2">
      <c r="B84" s="4"/>
    </row>
    <row r="85" spans="2:2">
      <c r="B85" s="4"/>
    </row>
    <row r="86" spans="2:2">
      <c r="B86" s="4"/>
    </row>
    <row r="87" spans="2:2">
      <c r="B87" s="4"/>
    </row>
    <row r="88" spans="2:2">
      <c r="B88" s="4"/>
    </row>
    <row r="89" spans="2:2">
      <c r="B89" s="4"/>
    </row>
    <row r="90" spans="2:2">
      <c r="B90" s="4"/>
    </row>
    <row r="91" spans="2:2">
      <c r="B91" s="4"/>
    </row>
    <row r="92" spans="2:2">
      <c r="B92" s="4"/>
    </row>
    <row r="93" spans="2:2">
      <c r="B93" s="4"/>
    </row>
    <row r="94" spans="2:2">
      <c r="B94" s="4"/>
    </row>
  </sheetData>
  <autoFilter ref="A2:G2" xr:uid="{F2235893-BC3A-4B55-9412-E1C6071DB78D}">
    <sortState xmlns:xlrd2="http://schemas.microsoft.com/office/spreadsheetml/2017/richdata2" ref="A3:G11">
      <sortCondition ref="B2"/>
    </sortState>
  </autoFilter>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file>

<file path=customXml/itemProps2.xml><?xml version="1.0" encoding="utf-8"?>
<ds:datastoreItem xmlns:ds="http://schemas.openxmlformats.org/officeDocument/2006/customXml" ds:itemID="{F270890B-8AB7-4E04-A6EE-F77CD441719E}"/>
</file>

<file path=customXml/itemProps3.xml><?xml version="1.0" encoding="utf-8"?>
<ds:datastoreItem xmlns:ds="http://schemas.openxmlformats.org/officeDocument/2006/customXml" ds:itemID="{E54A8573-210B-47A2-B593-A8A41125B9E9}"/>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William Paiva</cp:lastModifiedBy>
  <cp:revision/>
  <dcterms:created xsi:type="dcterms:W3CDTF">2022-11-22T16:28:06Z</dcterms:created>
  <dcterms:modified xsi:type="dcterms:W3CDTF">2025-11-01T07:51:38Z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