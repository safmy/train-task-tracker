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25 - (Units 96081 and 96012)/05 Work To Sheets TFOS/"/>
    </mc:Choice>
  </mc:AlternateContent>
  <xr:revisionPtr revIDLastSave="5008" documentId="13_ncr:1_{9D90DB73-98F9-4BFE-BFFB-8A01525AD363}" xr6:coauthVersionLast="47" xr6:coauthVersionMax="47" xr10:uidLastSave="{399F0749-C728-4885-BF5D-FED7C0DD8A69}"/>
  <bookViews>
    <workbookView xWindow="-120" yWindow="-120" windowWidth="25440" windowHeight="15390" activeTab="7"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externalReferences>
    <externalReference r:id="rId11"/>
  </externalReference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Car'!$A$2:$M$59</definedName>
    <definedName name="_xlnm._FilterDatabase" localSheetId="7" hidden="1">'Trailer 4 Car'!$A$2:$J$60</definedName>
    <definedName name="_xlnm._FilterDatabase" localSheetId="9" hidden="1">'Train Tests'!$A$2:$G$2</definedName>
    <definedName name="_xlnm._FilterDatabase" localSheetId="4" hidden="1">'UNDM 3 Car'!$A$2:$M$88</definedName>
    <definedName name="_xlnm._FilterDatabase" localSheetId="5" hidden="1">'UNDM 4 Car'!$A$2:$M$88</definedName>
    <definedName name="_xlnm.Print_Area" localSheetId="2">'DM 3 Car'!$B$1:$L$128</definedName>
    <definedName name="_xlnm.Print_Area" localSheetId="8">'DM 4 Car'!$B$1:$L$128</definedName>
    <definedName name="_xlnm.Print_Area" localSheetId="6">'Special Trailer 4 Car'!$B$1:$L$41</definedName>
    <definedName name="_xlnm.Print_Area" localSheetId="3">'Trailer 3 Car'!$B$1:$L$58</definedName>
    <definedName name="_xlnm.Print_Area" localSheetId="7">'Trailer 4 Car'!$B$1:$L$59</definedName>
    <definedName name="_xlnm.Print_Area" localSheetId="4">'UNDM 3 Car'!$B$1:$L$88</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5" l="1"/>
  <c r="J4" i="5"/>
  <c r="K4" i="5"/>
  <c r="L4" i="5"/>
  <c r="M4" i="5"/>
  <c r="I5" i="5"/>
  <c r="J5" i="5"/>
  <c r="K5" i="5"/>
  <c r="L5" i="5"/>
  <c r="M5" i="5"/>
  <c r="I6" i="5"/>
  <c r="J6" i="5"/>
  <c r="K6" i="5"/>
  <c r="L6" i="5"/>
  <c r="M6" i="5"/>
  <c r="I7" i="5"/>
  <c r="J7" i="5"/>
  <c r="K7" i="5"/>
  <c r="L7" i="5"/>
  <c r="M7" i="5"/>
  <c r="I8" i="5"/>
  <c r="J8" i="5"/>
  <c r="K8" i="5"/>
  <c r="L8" i="5"/>
  <c r="M8" i="5"/>
  <c r="I9" i="5"/>
  <c r="J9" i="5"/>
  <c r="K9" i="5"/>
  <c r="L9" i="5"/>
  <c r="M9" i="5"/>
  <c r="I10" i="5"/>
  <c r="J10" i="5"/>
  <c r="K10" i="5"/>
  <c r="L10" i="5"/>
  <c r="M10" i="5"/>
  <c r="I11" i="5"/>
  <c r="J11" i="5"/>
  <c r="K11" i="5"/>
  <c r="L11" i="5"/>
  <c r="M11" i="5"/>
  <c r="I12" i="5"/>
  <c r="J12" i="5"/>
  <c r="K12" i="5"/>
  <c r="L12" i="5"/>
  <c r="M12" i="5"/>
  <c r="I13" i="5"/>
  <c r="J13" i="5"/>
  <c r="K13" i="5"/>
  <c r="L13" i="5"/>
  <c r="M13" i="5"/>
  <c r="I14" i="5"/>
  <c r="J14" i="5"/>
  <c r="K14" i="5"/>
  <c r="L14" i="5"/>
  <c r="M14" i="5"/>
  <c r="I15" i="5"/>
  <c r="J15" i="5"/>
  <c r="K15" i="5"/>
  <c r="L15" i="5"/>
  <c r="M15" i="5"/>
  <c r="I16" i="5"/>
  <c r="J16" i="5"/>
  <c r="K16" i="5"/>
  <c r="L16" i="5"/>
  <c r="M16" i="5"/>
  <c r="I17" i="5"/>
  <c r="J17" i="5"/>
  <c r="K17" i="5"/>
  <c r="L17" i="5"/>
  <c r="M17" i="5"/>
  <c r="I18" i="5"/>
  <c r="J18" i="5"/>
  <c r="K18" i="5"/>
  <c r="L18" i="5"/>
  <c r="M18" i="5"/>
  <c r="I19" i="5"/>
  <c r="J19" i="5"/>
  <c r="K19" i="5"/>
  <c r="L19" i="5"/>
  <c r="M19" i="5"/>
  <c r="I20" i="5"/>
  <c r="J20" i="5"/>
  <c r="K20" i="5"/>
  <c r="L20" i="5"/>
  <c r="M20" i="5"/>
  <c r="I21" i="5"/>
  <c r="J21" i="5"/>
  <c r="K21" i="5"/>
  <c r="L21" i="5"/>
  <c r="M21" i="5"/>
  <c r="I22" i="5"/>
  <c r="J22" i="5"/>
  <c r="K22" i="5"/>
  <c r="L22" i="5"/>
  <c r="M22" i="5"/>
  <c r="I23" i="5"/>
  <c r="J23" i="5"/>
  <c r="K23" i="5"/>
  <c r="L23" i="5"/>
  <c r="M23" i="5"/>
  <c r="I24" i="5"/>
  <c r="J24" i="5"/>
  <c r="K24" i="5"/>
  <c r="L24" i="5"/>
  <c r="M24" i="5"/>
  <c r="I25" i="5"/>
  <c r="J25" i="5"/>
  <c r="K25" i="5"/>
  <c r="L25" i="5"/>
  <c r="M25" i="5"/>
  <c r="I26" i="5"/>
  <c r="J26" i="5"/>
  <c r="K26" i="5"/>
  <c r="L26" i="5"/>
  <c r="M26" i="5"/>
  <c r="I27" i="5"/>
  <c r="J27" i="5"/>
  <c r="K27" i="5"/>
  <c r="L27" i="5"/>
  <c r="M27" i="5"/>
  <c r="I28" i="5"/>
  <c r="J28" i="5"/>
  <c r="K28" i="5"/>
  <c r="L28" i="5"/>
  <c r="M28" i="5"/>
  <c r="I29" i="5"/>
  <c r="J29" i="5"/>
  <c r="K29" i="5"/>
  <c r="L29" i="5"/>
  <c r="M29" i="5"/>
  <c r="I30" i="5"/>
  <c r="J30" i="5"/>
  <c r="K30" i="5"/>
  <c r="L30" i="5"/>
  <c r="M30" i="5"/>
  <c r="I31" i="5"/>
  <c r="J31" i="5"/>
  <c r="K31" i="5"/>
  <c r="L31" i="5"/>
  <c r="M31" i="5"/>
  <c r="I32" i="5"/>
  <c r="J32" i="5"/>
  <c r="K32" i="5"/>
  <c r="L32" i="5"/>
  <c r="M32" i="5"/>
  <c r="I33" i="5"/>
  <c r="J33" i="5"/>
  <c r="K33" i="5"/>
  <c r="L33" i="5"/>
  <c r="M33" i="5"/>
  <c r="I34" i="5"/>
  <c r="J34" i="5"/>
  <c r="K34" i="5"/>
  <c r="L34" i="5"/>
  <c r="M34" i="5"/>
  <c r="I35" i="5"/>
  <c r="J35" i="5"/>
  <c r="K35" i="5"/>
  <c r="L35" i="5"/>
  <c r="M35" i="5"/>
  <c r="I36" i="5"/>
  <c r="J36" i="5"/>
  <c r="K36" i="5"/>
  <c r="L36" i="5"/>
  <c r="M36" i="5"/>
  <c r="I37" i="5"/>
  <c r="J37" i="5"/>
  <c r="K37" i="5"/>
  <c r="L37" i="5"/>
  <c r="M37" i="5"/>
  <c r="I38" i="5"/>
  <c r="J38" i="5"/>
  <c r="K38" i="5"/>
  <c r="L38" i="5"/>
  <c r="M38" i="5"/>
  <c r="I39" i="5"/>
  <c r="J39" i="5"/>
  <c r="K39" i="5"/>
  <c r="L39" i="5"/>
  <c r="M39" i="5"/>
  <c r="I40" i="5"/>
  <c r="J40" i="5"/>
  <c r="K40" i="5"/>
  <c r="L40" i="5"/>
  <c r="M40" i="5"/>
  <c r="I41" i="5"/>
  <c r="J41" i="5"/>
  <c r="K41" i="5"/>
  <c r="L41" i="5"/>
  <c r="M41" i="5"/>
  <c r="I42" i="5"/>
  <c r="J42" i="5"/>
  <c r="K42" i="5"/>
  <c r="L42" i="5"/>
  <c r="M42" i="5"/>
  <c r="I43" i="5"/>
  <c r="J43" i="5"/>
  <c r="K43" i="5"/>
  <c r="L43" i="5"/>
  <c r="M43" i="5"/>
  <c r="I44" i="5"/>
  <c r="J44" i="5"/>
  <c r="K44" i="5"/>
  <c r="L44" i="5"/>
  <c r="M44" i="5"/>
  <c r="I45" i="5"/>
  <c r="J45" i="5"/>
  <c r="K45" i="5"/>
  <c r="L45" i="5"/>
  <c r="M45" i="5"/>
  <c r="I46" i="5"/>
  <c r="J46" i="5"/>
  <c r="K46" i="5"/>
  <c r="L46" i="5"/>
  <c r="M46" i="5"/>
  <c r="I47" i="5"/>
  <c r="J47" i="5"/>
  <c r="K47" i="5"/>
  <c r="L47" i="5"/>
  <c r="M47" i="5"/>
  <c r="I48" i="5"/>
  <c r="J48" i="5"/>
  <c r="K48" i="5"/>
  <c r="L48" i="5"/>
  <c r="M48" i="5"/>
  <c r="I49" i="5"/>
  <c r="J49" i="5"/>
  <c r="K49" i="5"/>
  <c r="L49" i="5"/>
  <c r="M49" i="5"/>
  <c r="I50" i="5"/>
  <c r="J50" i="5"/>
  <c r="K50" i="5"/>
  <c r="L50" i="5"/>
  <c r="M50" i="5"/>
  <c r="I51" i="5"/>
  <c r="J51" i="5"/>
  <c r="K51" i="5"/>
  <c r="L51" i="5"/>
  <c r="M51" i="5"/>
  <c r="I52" i="5"/>
  <c r="J52" i="5"/>
  <c r="K52" i="5"/>
  <c r="L52" i="5"/>
  <c r="M52" i="5"/>
  <c r="I53" i="5"/>
  <c r="J53" i="5"/>
  <c r="K53" i="5"/>
  <c r="L53" i="5"/>
  <c r="M53" i="5"/>
  <c r="I54" i="5"/>
  <c r="J54" i="5"/>
  <c r="K54" i="5"/>
  <c r="L54" i="5"/>
  <c r="M54" i="5"/>
  <c r="I55" i="5"/>
  <c r="J55" i="5"/>
  <c r="K55" i="5"/>
  <c r="L55" i="5"/>
  <c r="M55" i="5"/>
  <c r="I56" i="5"/>
  <c r="J56" i="5"/>
  <c r="K56" i="5"/>
  <c r="L56" i="5"/>
  <c r="M56" i="5"/>
  <c r="I57" i="5"/>
  <c r="J57" i="5"/>
  <c r="K57" i="5"/>
  <c r="L57" i="5"/>
  <c r="M57" i="5"/>
  <c r="I58" i="5"/>
  <c r="J58" i="5"/>
  <c r="K58" i="5"/>
  <c r="L58" i="5"/>
  <c r="M58" i="5"/>
  <c r="I59" i="5"/>
  <c r="J59" i="5"/>
  <c r="K59" i="5"/>
  <c r="L59" i="5"/>
  <c r="M59" i="5"/>
  <c r="I60" i="5"/>
  <c r="J60" i="5"/>
  <c r="K60" i="5"/>
  <c r="L60" i="5"/>
  <c r="M60" i="5"/>
  <c r="I61" i="5"/>
  <c r="J61" i="5"/>
  <c r="K61" i="5"/>
  <c r="L61" i="5"/>
  <c r="M61" i="5"/>
  <c r="I62" i="5"/>
  <c r="J62" i="5"/>
  <c r="K62" i="5"/>
  <c r="L62" i="5"/>
  <c r="M62" i="5"/>
  <c r="I63" i="5"/>
  <c r="J63" i="5"/>
  <c r="K63" i="5"/>
  <c r="L63" i="5"/>
  <c r="M63" i="5"/>
  <c r="I64" i="5"/>
  <c r="J64" i="5"/>
  <c r="K64" i="5"/>
  <c r="L64" i="5"/>
  <c r="M64" i="5"/>
  <c r="I65" i="5"/>
  <c r="J65" i="5"/>
  <c r="K65" i="5"/>
  <c r="L65" i="5"/>
  <c r="M65" i="5"/>
  <c r="I66" i="5"/>
  <c r="J66" i="5"/>
  <c r="K66" i="5"/>
  <c r="L66" i="5"/>
  <c r="M66" i="5"/>
  <c r="I67" i="5"/>
  <c r="J67" i="5"/>
  <c r="K67" i="5"/>
  <c r="L67" i="5"/>
  <c r="M67" i="5"/>
  <c r="I68" i="5"/>
  <c r="J68" i="5"/>
  <c r="K68" i="5"/>
  <c r="L68" i="5"/>
  <c r="M68" i="5"/>
  <c r="I69" i="5"/>
  <c r="J69" i="5"/>
  <c r="K69" i="5"/>
  <c r="L69" i="5"/>
  <c r="M69" i="5"/>
  <c r="I70" i="5"/>
  <c r="J70" i="5"/>
  <c r="K70" i="5"/>
  <c r="L70" i="5"/>
  <c r="M70" i="5"/>
  <c r="I71" i="5"/>
  <c r="J71" i="5"/>
  <c r="K71" i="5"/>
  <c r="L71" i="5"/>
  <c r="M71" i="5"/>
  <c r="I72" i="5"/>
  <c r="J72" i="5"/>
  <c r="K72" i="5"/>
  <c r="L72" i="5"/>
  <c r="M72" i="5"/>
  <c r="I73" i="5"/>
  <c r="J73" i="5"/>
  <c r="K73" i="5"/>
  <c r="L73" i="5"/>
  <c r="M73" i="5"/>
  <c r="I74" i="5"/>
  <c r="J74" i="5"/>
  <c r="K74" i="5"/>
  <c r="L74" i="5"/>
  <c r="M74" i="5"/>
  <c r="I75" i="5"/>
  <c r="J75" i="5"/>
  <c r="K75" i="5"/>
  <c r="L75" i="5"/>
  <c r="M75" i="5"/>
  <c r="I76" i="5"/>
  <c r="J76" i="5"/>
  <c r="K76" i="5"/>
  <c r="L76" i="5"/>
  <c r="M76" i="5"/>
  <c r="I77" i="5"/>
  <c r="J77" i="5"/>
  <c r="K77" i="5"/>
  <c r="L77" i="5"/>
  <c r="M77" i="5"/>
  <c r="I78" i="5"/>
  <c r="J78" i="5"/>
  <c r="K78" i="5"/>
  <c r="L78" i="5"/>
  <c r="M78" i="5"/>
  <c r="I79" i="5"/>
  <c r="J79" i="5"/>
  <c r="K79" i="5"/>
  <c r="L79" i="5"/>
  <c r="M79" i="5"/>
  <c r="I80" i="5"/>
  <c r="J80" i="5"/>
  <c r="K80" i="5"/>
  <c r="L80" i="5"/>
  <c r="M80" i="5"/>
  <c r="I81" i="5"/>
  <c r="J81" i="5"/>
  <c r="K81" i="5"/>
  <c r="L81" i="5"/>
  <c r="M81" i="5"/>
  <c r="I82" i="5"/>
  <c r="J82" i="5"/>
  <c r="K82" i="5"/>
  <c r="L82" i="5"/>
  <c r="M82" i="5"/>
  <c r="I83" i="5"/>
  <c r="J83" i="5"/>
  <c r="K83" i="5"/>
  <c r="L83" i="5"/>
  <c r="M83" i="5"/>
  <c r="I84" i="5"/>
  <c r="J84" i="5"/>
  <c r="K84" i="5"/>
  <c r="L84" i="5"/>
  <c r="M84" i="5"/>
  <c r="I85" i="5"/>
  <c r="J85" i="5"/>
  <c r="K85" i="5"/>
  <c r="L85" i="5"/>
  <c r="M85" i="5"/>
  <c r="I86" i="5"/>
  <c r="J86" i="5"/>
  <c r="K86" i="5"/>
  <c r="L86" i="5"/>
  <c r="M86" i="5"/>
  <c r="I87" i="5"/>
  <c r="J87" i="5"/>
  <c r="K87" i="5"/>
  <c r="L87" i="5"/>
  <c r="M87" i="5"/>
  <c r="I88" i="5"/>
  <c r="J88" i="5"/>
  <c r="K88" i="5"/>
  <c r="L88" i="5"/>
  <c r="M88" i="5"/>
  <c r="I89" i="5"/>
  <c r="J89" i="5"/>
  <c r="K89" i="5"/>
  <c r="L89" i="5"/>
  <c r="M89" i="5"/>
  <c r="I90" i="5"/>
  <c r="J90" i="5"/>
  <c r="K90" i="5"/>
  <c r="L90" i="5"/>
  <c r="M90" i="5"/>
  <c r="I91" i="5"/>
  <c r="J91" i="5"/>
  <c r="K91" i="5"/>
  <c r="L91" i="5"/>
  <c r="M91" i="5"/>
  <c r="I92" i="5"/>
  <c r="J92" i="5"/>
  <c r="K92" i="5"/>
  <c r="L92" i="5"/>
  <c r="M92" i="5"/>
  <c r="I93" i="5"/>
  <c r="J93" i="5"/>
  <c r="K93" i="5"/>
  <c r="L93" i="5"/>
  <c r="M93" i="5"/>
  <c r="I94" i="5"/>
  <c r="J94" i="5"/>
  <c r="K94" i="5"/>
  <c r="L94" i="5"/>
  <c r="M94" i="5"/>
  <c r="I95" i="5"/>
  <c r="J95" i="5"/>
  <c r="K95" i="5"/>
  <c r="L95" i="5"/>
  <c r="M95" i="5"/>
  <c r="I96" i="5"/>
  <c r="J96" i="5"/>
  <c r="K96" i="5"/>
  <c r="L96" i="5"/>
  <c r="M96" i="5"/>
  <c r="I97" i="5"/>
  <c r="J97" i="5"/>
  <c r="K97" i="5"/>
  <c r="L97" i="5"/>
  <c r="M97" i="5"/>
  <c r="I98" i="5"/>
  <c r="J98" i="5"/>
  <c r="K98" i="5"/>
  <c r="L98" i="5"/>
  <c r="M98" i="5"/>
  <c r="I99" i="5"/>
  <c r="J99" i="5"/>
  <c r="K99" i="5"/>
  <c r="L99" i="5"/>
  <c r="M99" i="5"/>
  <c r="I100" i="5"/>
  <c r="J100" i="5"/>
  <c r="K100" i="5"/>
  <c r="L100" i="5"/>
  <c r="M100" i="5"/>
  <c r="I101" i="5"/>
  <c r="J101" i="5"/>
  <c r="K101" i="5"/>
  <c r="L101" i="5"/>
  <c r="M101" i="5"/>
  <c r="I102" i="5"/>
  <c r="J102" i="5"/>
  <c r="K102" i="5"/>
  <c r="L102" i="5"/>
  <c r="M102" i="5"/>
  <c r="I103" i="5"/>
  <c r="J103" i="5"/>
  <c r="K103" i="5"/>
  <c r="L103" i="5"/>
  <c r="M103" i="5"/>
  <c r="I104" i="5"/>
  <c r="J104" i="5"/>
  <c r="K104" i="5"/>
  <c r="L104" i="5"/>
  <c r="M104" i="5"/>
  <c r="I105" i="5"/>
  <c r="J105" i="5"/>
  <c r="K105" i="5"/>
  <c r="L105" i="5"/>
  <c r="M105" i="5"/>
  <c r="I106" i="5"/>
  <c r="J106" i="5"/>
  <c r="K106" i="5"/>
  <c r="L106" i="5"/>
  <c r="M106" i="5"/>
  <c r="I107" i="5"/>
  <c r="J107" i="5"/>
  <c r="K107" i="5"/>
  <c r="L107" i="5"/>
  <c r="M107" i="5"/>
  <c r="I108" i="5"/>
  <c r="J108" i="5"/>
  <c r="K108" i="5"/>
  <c r="L108" i="5"/>
  <c r="M108" i="5"/>
  <c r="I109" i="5"/>
  <c r="J109" i="5"/>
  <c r="K109" i="5"/>
  <c r="L109" i="5"/>
  <c r="M109" i="5"/>
  <c r="I110" i="5"/>
  <c r="J110" i="5"/>
  <c r="K110" i="5"/>
  <c r="L110" i="5"/>
  <c r="M110" i="5"/>
  <c r="I111" i="5"/>
  <c r="J111" i="5"/>
  <c r="K111" i="5"/>
  <c r="L111" i="5"/>
  <c r="M111" i="5"/>
  <c r="I112" i="5"/>
  <c r="J112" i="5"/>
  <c r="K112" i="5"/>
  <c r="L112" i="5"/>
  <c r="M112" i="5"/>
  <c r="I113" i="5"/>
  <c r="J113" i="5"/>
  <c r="K113" i="5"/>
  <c r="L113" i="5"/>
  <c r="M113" i="5"/>
  <c r="I114" i="5"/>
  <c r="J114" i="5"/>
  <c r="K114" i="5"/>
  <c r="L114" i="5"/>
  <c r="M114" i="5"/>
  <c r="I115" i="5"/>
  <c r="J115" i="5"/>
  <c r="K115" i="5"/>
  <c r="L115" i="5"/>
  <c r="M115" i="5"/>
  <c r="I116" i="5"/>
  <c r="J116" i="5"/>
  <c r="K116" i="5"/>
  <c r="L116" i="5"/>
  <c r="M116" i="5"/>
  <c r="I117" i="5"/>
  <c r="J117" i="5"/>
  <c r="K117" i="5"/>
  <c r="L117" i="5"/>
  <c r="M117" i="5"/>
  <c r="I118" i="5"/>
  <c r="J118" i="5"/>
  <c r="K118" i="5"/>
  <c r="L118" i="5"/>
  <c r="M118" i="5"/>
  <c r="I119" i="5"/>
  <c r="J119" i="5"/>
  <c r="K119" i="5"/>
  <c r="L119" i="5"/>
  <c r="M119" i="5"/>
  <c r="I120" i="5"/>
  <c r="J120" i="5"/>
  <c r="K120" i="5"/>
  <c r="L120" i="5"/>
  <c r="M120" i="5"/>
  <c r="I121" i="5"/>
  <c r="J121" i="5"/>
  <c r="K121" i="5"/>
  <c r="L121" i="5"/>
  <c r="M121" i="5"/>
  <c r="I122" i="5"/>
  <c r="J122" i="5"/>
  <c r="K122" i="5"/>
  <c r="L122" i="5"/>
  <c r="M122" i="5"/>
  <c r="I123" i="5"/>
  <c r="J123" i="5"/>
  <c r="K123" i="5"/>
  <c r="L123" i="5"/>
  <c r="M123" i="5"/>
  <c r="I124" i="5"/>
  <c r="J124" i="5"/>
  <c r="K124" i="5"/>
  <c r="L124" i="5"/>
  <c r="M124" i="5"/>
  <c r="I125" i="5"/>
  <c r="J125" i="5"/>
  <c r="K125" i="5"/>
  <c r="L125" i="5"/>
  <c r="M125" i="5"/>
  <c r="I126" i="5"/>
  <c r="J126" i="5"/>
  <c r="K126" i="5"/>
  <c r="L126" i="5"/>
  <c r="M126" i="5"/>
  <c r="I127" i="5"/>
  <c r="J127" i="5"/>
  <c r="K127" i="5"/>
  <c r="L127" i="5"/>
  <c r="M127" i="5"/>
  <c r="I128" i="5"/>
  <c r="J128" i="5"/>
  <c r="K128" i="5"/>
  <c r="L128" i="5"/>
  <c r="M128" i="5"/>
  <c r="M3" i="5"/>
  <c r="L3" i="5"/>
  <c r="K3" i="5"/>
  <c r="J3" i="5"/>
  <c r="I3" i="5"/>
  <c r="H34" i="7" l="1"/>
  <c r="F42" i="6"/>
  <c r="G42" i="6"/>
  <c r="H42" i="6"/>
  <c r="E42" i="6"/>
  <c r="F35" i="7"/>
  <c r="G35" i="7"/>
  <c r="H35" i="7"/>
  <c r="E35" i="7"/>
  <c r="F34" i="7"/>
  <c r="G34" i="7"/>
  <c r="E34" i="7"/>
  <c r="F43" i="3"/>
  <c r="H43" i="3"/>
  <c r="E43" i="3"/>
  <c r="F41" i="3"/>
  <c r="H41"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tc={742D2EE2-ECCD-4EF0-90E9-38166F904C9D}</author>
  </authors>
  <commentList>
    <comment ref="C41" authorId="0" shapeId="0" xr:uid="{742D2EE2-ECCD-4EF0-90E9-38166F904C9D}">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Mohammedmokeem Akhtar</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E65" authorId="1" shapeId="0" xr:uid="{2A1B3B06-E380-44CA-8BF3-6DA494B915D9}">
      <text>
        <r>
          <rPr>
            <sz val="12"/>
            <color theme="1"/>
            <rFont val="Arial"/>
            <family val="2"/>
          </rPr>
          <t>Mohammedmokeem Akhtar:
REMOVED AND REFITTED (NOT OVERHAULED) FOR NDT ON CAR BODY &amp; TO REMOVE AND REPLACE ANTI-CLIMB BUFFER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65" authorId="0" shapeId="0" xr:uid="{92AA2D73-589B-4111-B30F-E0E25F056643}">
      <text>
        <r>
          <rPr>
            <sz val="12"/>
            <color theme="1"/>
            <rFont val="Arial"/>
            <family val="2"/>
          </rPr>
          <t>Mohammedmokeem Akhtar:
REMOVED AND REFITTED (NOT OVERHAULED) FOR NDT ON CAR BODY &amp; TO REMOVE AND REPLACE ANTI-CLIMB BUFFER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<sst xmlns="http://schemas.openxmlformats.org/spreadsheetml/2006/main" count="5306" uniqueCount="862">
  <si>
    <t>Overhaul Train</t>
  </si>
  <si>
    <t>Task Search</t>
  </si>
  <si>
    <t>kbrs</t>
  </si>
  <si>
    <t>Task in Worksheet</t>
  </si>
  <si>
    <t>Summary, DM 3 Car, Trailer 3 Car, UNDM 3 Car, UNDM 4 Car, Special Trailer 4 Car, Trailer 4 Car, DM 4 Car</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</si>
  <si>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</si>
  <si>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</si>
  <si>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</si>
  <si>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</si>
  <si>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</si>
  <si>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</si>
  <si>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</si>
  <si>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</si>
  <si>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</si>
  <si>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</si>
  <si>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</si>
  <si>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</si>
  <si>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</si>
  <si>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</si>
  <si>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</si>
  <si>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</si>
  <si>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</si>
  <si>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</si>
  <si>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</si>
  <si>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</si>
  <si>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</si>
  <si>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</si>
  <si>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</si>
  <si>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</si>
  <si>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</si>
  <si>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</si>
  <si>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</si>
  <si>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</si>
  <si>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</si>
  <si>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</si>
  <si>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</si>
  <si>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</si>
  <si>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</si>
  <si>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</si>
  <si>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</si>
  <si>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</si>
  <si>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</si>
  <si>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</si>
  <si>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</si>
  <si>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</si>
  <si>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</si>
  <si>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</si>
  <si>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</si>
  <si>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</si>
  <si>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</si>
  <si>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96012</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</si>
  <si>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</si>
  <si>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</si>
  <si>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</si>
  <si>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</si>
  <si>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</si>
  <si>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</si>
  <si>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</si>
  <si>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</si>
  <si>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</si>
  <si>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</si>
  <si>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</si>
  <si>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</si>
  <si>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</si>
  <si>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</si>
  <si>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</si>
  <si>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</si>
  <si>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</si>
  <si>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</si>
  <si>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</si>
  <si>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</si>
  <si>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</si>
  <si>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</si>
  <si>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</si>
  <si>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</si>
  <si>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</si>
  <si>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</si>
  <si>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</si>
  <si>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</si>
  <si>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</si>
  <si>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</si>
  <si>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</si>
  <si>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</si>
  <si>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</si>
  <si>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</si>
  <si>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</si>
  <si>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</si>
  <si>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</si>
  <si>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</si>
  <si>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</si>
  <si>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</si>
  <si>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</si>
  <si>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</si>
  <si>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</si>
  <si>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</si>
  <si>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</si>
  <si>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</si>
  <si>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</si>
  <si>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</si>
  <si>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</si>
  <si>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</si>
  <si>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</si>
  <si>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</si>
  <si>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</si>
  <si>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</si>
  <si>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</si>
  <si>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</si>
  <si>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</si>
  <si>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</si>
  <si>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</si>
  <si>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</si>
  <si>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</si>
  <si>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</si>
  <si>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</si>
  <si>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</si>
  <si>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</si>
  <si>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</si>
  <si>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</si>
  <si>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</si>
  <si>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</si>
  <si>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</si>
  <si>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</si>
  <si>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</si>
  <si>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</si>
  <si>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</si>
  <si>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</si>
  <si>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</si>
  <si>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</si>
  <si>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</si>
  <si>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</si>
  <si>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</si>
  <si>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</si>
  <si>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 xml:space="preserve">Red Team </t>
  </si>
  <si>
    <t>OH</t>
  </si>
  <si>
    <t>TM</t>
  </si>
  <si>
    <t>JHOPL-WI-14-188</t>
  </si>
  <si>
    <t>DM CAR REFIT BOGIE A</t>
  </si>
  <si>
    <t>REFIT BOGIE A (TYPE A)</t>
  </si>
  <si>
    <t>Blue Team</t>
  </si>
  <si>
    <t>DM CAR REMOVE BOGIE D</t>
  </si>
  <si>
    <t>REMOVE BOGIE D (TYPE A)</t>
  </si>
  <si>
    <t>DM CAR REFIT BOGIE D</t>
  </si>
  <si>
    <t>REFIT BOGIE D (TYPE A)</t>
  </si>
  <si>
    <t>White Team</t>
  </si>
  <si>
    <t>DM UNDERFRAME REMOVE/REFIT LINE BREAKER CONTACTOR 1 AND 3</t>
  </si>
  <si>
    <t>REPLACE CONTACTOR</t>
  </si>
  <si>
    <t>JL, LN, KM, VN</t>
  </si>
  <si>
    <t>JHOPL-WI-11-129</t>
  </si>
  <si>
    <t>DM UNDERFRAME REMOVE/REFIT LINE BREAKER CONTACTOR 2 AND 4</t>
  </si>
  <si>
    <t>DM CAR REMOVE/REFIT FILTER HARD CROWBAR THYRISTOR ASSEMBLY</t>
  </si>
  <si>
    <t>REPLACE FILTER HARD CROWBAR THYRISTOR ASSEMBLY</t>
  </si>
  <si>
    <t>RN</t>
  </si>
  <si>
    <t>JHOPL-WI-11-006</t>
  </si>
  <si>
    <t>DM CAR REMOVE/REFIT POWER SUPPLY UNIT</t>
  </si>
  <si>
    <t>REPLACE POWER SUPPLY MODULE</t>
  </si>
  <si>
    <t>RN, AO, DH</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</si>
  <si>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</si>
  <si>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</si>
  <si>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</si>
  <si>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</si>
  <si>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</si>
  <si>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</si>
  <si>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</si>
  <si>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</si>
  <si>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</si>
  <si>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</si>
  <si>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</si>
  <si>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</si>
  <si>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</si>
  <si>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</si>
  <si>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</si>
  <si>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</si>
  <si>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</si>
  <si>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</si>
  <si>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</si>
  <si>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</si>
  <si>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</si>
  <si>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</si>
  <si>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</si>
  <si>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</si>
  <si>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</si>
  <si>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</si>
  <si>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</si>
  <si>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</si>
  <si>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MR</t>
  </si>
  <si>
    <t>JHOPL-WI-15-147</t>
  </si>
  <si>
    <t>WABTEC</t>
  </si>
  <si>
    <t xml:space="preserve">DM CAR REMOVE/REFIT PROPULSION INVERTER MODULE </t>
  </si>
  <si>
    <t>REPLACE 3 PROPULSION INVERTER MODULES</t>
  </si>
  <si>
    <t>RN, JL, LN, KM</t>
  </si>
  <si>
    <t>JHOPL-WI-11-132</t>
  </si>
  <si>
    <t>DM CAR REMOVE/REFIT LINE FILTER CAPACITOR TRAY 10 CAP</t>
  </si>
  <si>
    <t>REPLACE LINE FILTER CAPACITOR TRAY10 CAP</t>
  </si>
  <si>
    <t>RN, DH</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</si>
  <si>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</si>
  <si>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</si>
  <si>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</si>
  <si>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</si>
  <si>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</si>
  <si>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</si>
  <si>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</si>
  <si>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</si>
  <si>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</si>
  <si>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JN, DH</t>
  </si>
  <si>
    <t>JHOPL-WI-11-136</t>
  </si>
  <si>
    <t>KBRS</t>
  </si>
  <si>
    <t>DM SALOON REMOVE/REFIT BRAKE CYLINDER PRESSURE SWITCH 1 (FOR ALL CARS)</t>
  </si>
  <si>
    <t>REPLACE BRAKE CYLINDER PRESSURE SWITCH</t>
  </si>
  <si>
    <t>MR, AS</t>
  </si>
  <si>
    <t>JHOPL-WI-10-122</t>
  </si>
  <si>
    <t>DM CAR REMOVE/REFIT BRAKE CYLINDER PRESSURE SWITCH 2 (FOR DM/UNDM)</t>
  </si>
  <si>
    <t>DM CAR REMOVE/REFIT ½" VENTED BALL VALVE (VLCV / SYSTEM DRAIN / AUTO DRAIN / WHISLTE)</t>
  </si>
  <si>
    <t>GD</t>
  </si>
  <si>
    <t>JHOPL-WI-19-080
JHOPL-WI-19-102
JHOPL-WI-19-105</t>
  </si>
  <si>
    <t>DM UNDERFRAME REMOVE/REFIT VARIABLE LOAD VALVE - DM/UNDM CAR</t>
  </si>
  <si>
    <t>REPLACE VARIABLE  LOAD VALVE</t>
  </si>
  <si>
    <t>MA, NA</t>
  </si>
  <si>
    <t>JHOPL-WI-10-126</t>
  </si>
  <si>
    <t>DM UNDERFRAME CAR REMOVE/REFIT BRAKE RELEASE VALVE</t>
  </si>
  <si>
    <t>REPLACE BRAKE RELEASE VALVE</t>
  </si>
  <si>
    <t>JD, AL,OM,LVN</t>
  </si>
  <si>
    <t>JHOPL-WI-10-124</t>
  </si>
  <si>
    <t>DM SALOON REMOVE/REFIT BRAKE CYLINDER SALOON GAUGES</t>
  </si>
  <si>
    <t>REPLACE BRAKE SALOON GAUGE</t>
  </si>
  <si>
    <t>AOB</t>
  </si>
  <si>
    <t>JHOPL-WI-10-001</t>
  </si>
  <si>
    <t>DM CAR REMOVE/REFIT CLOSED LOOP ANALOGUE UNIT (CLAU) - DM/UNDM CAR</t>
  </si>
  <si>
    <t>REPLACE CLAU</t>
  </si>
  <si>
    <t>DM CAR REMOVE/REFIT PNEUMATIC BRAKE DRIVER</t>
  </si>
  <si>
    <t>REPLACE PNEUMATIC BRAKE DRIVER</t>
  </si>
  <si>
    <t>OM, DH</t>
  </si>
  <si>
    <t>JHOPL-WI-10-125</t>
  </si>
  <si>
    <t>DM CAR REMOVE/REFIT ¾" GANGED VENTED COCKS (BCIC/PBIC)</t>
  </si>
  <si>
    <t>REPLACE 3/4" GANGED VENTED COCKS</t>
  </si>
  <si>
    <t xml:space="preserve">Yes </t>
  </si>
  <si>
    <t xml:space="preserve">No </t>
  </si>
  <si>
    <t>AS</t>
  </si>
  <si>
    <t>JHOPL-WI-19-082</t>
  </si>
  <si>
    <t>REW</t>
  </si>
  <si>
    <t>DM CAR REMOVE/REFIT ENCODER UNIT</t>
  </si>
  <si>
    <t>REPLACE ENCODER UNIT</t>
  </si>
  <si>
    <t>AB, MA</t>
  </si>
  <si>
    <t>JHOPL-WI-10-128</t>
  </si>
  <si>
    <t xml:space="preserve">DM UNDERFRAME REMOVE/REFIT WSP DUMP VALVE </t>
  </si>
  <si>
    <t>REPLACE 4 WSP DUMP VALVES</t>
  </si>
  <si>
    <t>CP, KA, AB</t>
  </si>
  <si>
    <t>JHOPL-WI-19-163</t>
  </si>
  <si>
    <t>DM CAR REMOVE/REFIT WHISTLE - TYPE 3C (ENHANCED)</t>
  </si>
  <si>
    <t>REPLACE WHISTLE (TYPE 3C)</t>
  </si>
  <si>
    <t>AS, GT</t>
  </si>
  <si>
    <t>JHOPL-WI-19-118</t>
  </si>
  <si>
    <t>DM CAR REMOVE/REFIT 5/3 WHISTLE SPOOL VALVE DM</t>
  </si>
  <si>
    <t>REPLACE 5/3 WHISTLE SPOOL VALVE</t>
  </si>
  <si>
    <t>TL, UQ</t>
  </si>
  <si>
    <t>JHOPL-WI-19-083</t>
  </si>
  <si>
    <t>DM CAR REMOVE/REFIT WHISTLE CONTROL LEVER VALVE (DM DRIVER'S SIDE)</t>
  </si>
  <si>
    <t>REPLACE WHISTLE CONTROL LEVER VALVE (DRIVER SIDE)</t>
  </si>
  <si>
    <t>JHOPL-WI-19-084</t>
  </si>
  <si>
    <t>DM CAR REMOVE/REFIT WHISTLE-OPERATED PRESSURE SWITCH DM</t>
  </si>
  <si>
    <t>REPLACE WHISTLE  OPERATED PRESSURE SWITCH</t>
  </si>
  <si>
    <t>OM</t>
  </si>
  <si>
    <t>JHOPL-WI-19-164</t>
  </si>
  <si>
    <t>DM CAR REMOVE/REFIT TRACTION SUPPLY PRESSURE REGULATOR</t>
  </si>
  <si>
    <t>REPLACE TRACTION  SUPPLY PRESSURE REGULATOR</t>
  </si>
  <si>
    <t>AL</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</si>
  <si>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</si>
  <si>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</si>
  <si>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</si>
  <si>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</si>
  <si>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</si>
  <si>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</si>
  <si>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HS</t>
  </si>
  <si>
    <t>JHOPL-WI-19-172</t>
  </si>
  <si>
    <t>DM CAR REMOVE/REFIT COUPLING-TEST POINT-QUICK RELEASE</t>
  </si>
  <si>
    <t>IROC - 3 COUPLING-TEST POINT-QUICK RELEASE</t>
  </si>
  <si>
    <t>PS</t>
  </si>
  <si>
    <t>JHOPL-WI-19-094</t>
  </si>
  <si>
    <t>DM CAR REMOVE/REFIT MAINLINE CAB GAUGE</t>
  </si>
  <si>
    <t>IROC - MAINLINE CAB GAUGE</t>
  </si>
  <si>
    <t>MAA</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</si>
  <si>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</si>
  <si>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</si>
  <si>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</si>
  <si>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</si>
  <si>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</si>
  <si>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</si>
  <si>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DK</t>
  </si>
  <si>
    <t>JHOPL-WI-19-117</t>
  </si>
  <si>
    <t>DM CAR REMOVE/REFIT BSR CHECK VALVE (SUPPLIED WITH O-RINGS)</t>
  </si>
  <si>
    <t>REPLACE BSR CHECK VALVE</t>
  </si>
  <si>
    <t>HS, AL, DK</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</si>
  <si>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</si>
  <si>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</si>
  <si>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</si>
  <si>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</si>
  <si>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</si>
  <si>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</si>
  <si>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HS, AL, MAA</t>
  </si>
  <si>
    <t>JHOPL-WI-19-099</t>
  </si>
  <si>
    <t>DM CAR REMOVE/REFIT ½" CHECK VALVE (SHOEGEAR MANUAL CONTROL VALVE), SUPPLIED WITH O-RINGS</t>
  </si>
  <si>
    <t>REPLACE 1/2" CHECK VALVE (SHOEGEAR MANUAL CONTROL VALVE)</t>
  </si>
  <si>
    <t>HS, AL,MAA</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</si>
  <si>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</si>
  <si>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</si>
  <si>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</si>
  <si>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</si>
  <si>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</si>
  <si>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</si>
  <si>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</si>
  <si>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</si>
  <si>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CM</t>
  </si>
  <si>
    <t>JHOPL-WI-19-103</t>
  </si>
  <si>
    <t>DM CAR REMOVE/REFIT AIR FLOW CUT-OFF VALVE BOGIE A</t>
  </si>
  <si>
    <t>REPLACE AIR FLOW CUT-OFF VALVE BOGIE A</t>
  </si>
  <si>
    <t>TL, JB, PM</t>
  </si>
  <si>
    <t>JHOPL-WI-19-106</t>
  </si>
  <si>
    <t>DM CAR REMOVE/REFIT SLEET BRUSH CONTROL VALVE</t>
  </si>
  <si>
    <t>REPLACE SLEET BRUSH CONTROL VALVE</t>
  </si>
  <si>
    <t xml:space="preserve">OM </t>
  </si>
  <si>
    <t>JHOPL-WI-19-107</t>
  </si>
  <si>
    <t>DM CAR REMOVE/REFIT AIR FLOW CUT-OFF VALVE BOGIE D</t>
  </si>
  <si>
    <t>REPLACE AIR FLOW CUT-OFF VALVE BOGIE D</t>
  </si>
  <si>
    <t>DM CAR REMOVE/REFIT CURRENT BALANCE DETECTOR RELAY (CBR)</t>
  </si>
  <si>
    <t>REPLACE - CURRENT BALANCE DETECTOR RELAY</t>
  </si>
  <si>
    <t>YES</t>
  </si>
  <si>
    <t>NO</t>
  </si>
  <si>
    <t>CB</t>
  </si>
  <si>
    <t>27.09.25</t>
  </si>
  <si>
    <t>JHOPL-WI-11-131</t>
  </si>
  <si>
    <t>DM - CAR REMOVE/REFIT RHEOSTATIC BRAKE RESISTOR FAN ASSEMBLY</t>
  </si>
  <si>
    <t>REPLACE RHEOSTATIC BRAKE RESISTOR FAN ASSEMBLY</t>
  </si>
  <si>
    <t>JHOPL-WI-11-140</t>
  </si>
  <si>
    <t>DM - CAR REMOVE/REFIT REVERSE VOLTAGE RELAY FUSE</t>
  </si>
  <si>
    <t>REPLACE -  REVERSE VOLTAGE RELAY FUSE</t>
  </si>
  <si>
    <t>AOO</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</si>
  <si>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</si>
  <si>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</si>
  <si>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</si>
  <si>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</si>
  <si>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</si>
  <si>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</si>
  <si>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MJ, LN,AS,MD</t>
  </si>
  <si>
    <t>JHOPL-WI-15-037
JHOPL-WI-16-046</t>
  </si>
  <si>
    <t>WILLIAM COOK</t>
  </si>
  <si>
    <t>00:06:00</t>
  </si>
  <si>
    <t>JHOPL-WI-15-039</t>
  </si>
  <si>
    <t>DM CAR REMOVE/REFIT ANTI-CLIMB BUFFER ASSEMBLY</t>
  </si>
  <si>
    <t>REPLACE ANTI-CLIMB BUFFER ASSEMBLY</t>
  </si>
  <si>
    <t>MAA,MA,AS AS,MAA,SA,MD</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</si>
  <si>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</si>
  <si>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</si>
  <si>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</si>
  <si>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</si>
  <si>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</si>
  <si>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</si>
  <si>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</si>
  <si>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</si>
  <si>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</si>
  <si>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</si>
  <si>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JS, TG, JL</t>
  </si>
  <si>
    <t>JHOPL-WI-18-159</t>
  </si>
  <si>
    <t>LH GROUP</t>
  </si>
  <si>
    <t>DM CAB REMOVE/REFIT CAB REFRIGERATION UNIT (CHILLER MODULE)</t>
  </si>
  <si>
    <t>REPLACE CAB REFRIGERATION UNIT</t>
  </si>
  <si>
    <t xml:space="preserve">no </t>
  </si>
  <si>
    <t>JD,BV</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</si>
  <si>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</si>
  <si>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</si>
  <si>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</si>
  <si>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</si>
  <si>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</si>
  <si>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</si>
  <si>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</si>
  <si>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</si>
  <si>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</si>
  <si>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</si>
  <si>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</si>
  <si>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</si>
  <si>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</si>
  <si>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</si>
  <si>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</si>
  <si>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</si>
  <si>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</si>
  <si>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</si>
  <si>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</si>
  <si>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</si>
  <si>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</si>
  <si>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</si>
  <si>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</si>
  <si>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</si>
  <si>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</si>
  <si>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</si>
  <si>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</si>
  <si>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</si>
  <si>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</si>
  <si>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</si>
  <si>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Gold Team . RB, DH, JT</t>
  </si>
  <si>
    <t>JHOPL-WI-17-158</t>
  </si>
  <si>
    <t>DM - CAR REMOVE/REFIT FILTER VOLTAGE MONITORING DEVICES VMD1, FVMD2, FVMD1, ALVMD.</t>
  </si>
  <si>
    <t xml:space="preserve">REPLACE FILTER VOLTAGE MONITORING DEVICE FVMD1, FVMD 2, VMD1. ALVMD, </t>
  </si>
  <si>
    <t>CB , AOO</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</si>
  <si>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</si>
  <si>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</si>
  <si>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</si>
  <si>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</si>
  <si>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</si>
  <si>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</si>
  <si>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</si>
  <si>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</si>
  <si>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 xml:space="preserve">RB </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</si>
  <si>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</si>
  <si>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</si>
  <si>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</si>
  <si>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</si>
  <si>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</si>
  <si>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</si>
  <si>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</si>
  <si>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</si>
  <si>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</si>
  <si>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</si>
  <si>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</si>
  <si>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</si>
  <si>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</si>
  <si>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</si>
  <si>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</si>
  <si>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</si>
  <si>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</si>
  <si>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</si>
  <si>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</si>
  <si>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</si>
  <si>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</si>
  <si>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</si>
  <si>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</si>
  <si>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</si>
  <si>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</si>
  <si>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</si>
  <si>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</si>
  <si>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</si>
  <si>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</si>
  <si>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</si>
  <si>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</si>
  <si>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</si>
  <si>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</si>
  <si>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</si>
  <si>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</si>
  <si>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</si>
  <si>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</si>
  <si>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</si>
  <si>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</si>
  <si>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</si>
  <si>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</si>
  <si>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</si>
  <si>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</si>
  <si>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</si>
  <si>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</si>
  <si>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</si>
  <si>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</si>
  <si>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</si>
  <si>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</si>
  <si>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</si>
  <si>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</si>
  <si>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</si>
  <si>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</si>
  <si>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</si>
  <si>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</si>
  <si>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</si>
  <si>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</si>
  <si>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</si>
  <si>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</si>
  <si>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</si>
  <si>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96212</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</si>
  <si>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</si>
  <si>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</si>
  <si>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</si>
  <si>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</si>
  <si>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</si>
  <si>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</si>
  <si>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</si>
  <si>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</si>
  <si>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</si>
  <si>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</si>
  <si>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</si>
  <si>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</si>
  <si>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</si>
  <si>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</si>
  <si>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</si>
  <si>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</si>
  <si>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</si>
  <si>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</si>
  <si>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</si>
  <si>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</si>
  <si>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</si>
  <si>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</si>
  <si>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</si>
  <si>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</si>
  <si>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</si>
  <si>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</si>
  <si>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</si>
  <si>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</si>
  <si>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</si>
  <si>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</si>
  <si>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IROC 1/2" VENTED BALL VALVE - INTERNAL</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</si>
  <si>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</si>
  <si>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</si>
  <si>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</si>
  <si>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</si>
  <si>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</si>
  <si>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</si>
  <si>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PM</t>
  </si>
  <si>
    <t>JHOPL-WI-19-081</t>
  </si>
  <si>
    <t>TRAILER CAR REMOVE/REFIT WSP DUMP VALVE - TRAILER</t>
  </si>
  <si>
    <t>TRAILER CAR REMOVE/REFIT DOOR AIR SUPPLY PRESSURE REGULATOR (SUPPLIED WITH O-RINGS)</t>
  </si>
  <si>
    <t>TRAILER CAR REMOVE/REFIT COMPRESSOR DELIVERY HOSE</t>
  </si>
  <si>
    <t>REPLACE COMPRESSOR DELIVERY HOSE</t>
  </si>
  <si>
    <t>JN</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</si>
  <si>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</si>
  <si>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</si>
  <si>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</si>
  <si>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</si>
  <si>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</si>
  <si>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</si>
  <si>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</si>
  <si>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</si>
  <si>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LN,RN</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</si>
  <si>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</si>
  <si>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</si>
  <si>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</si>
  <si>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</si>
  <si>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</si>
  <si>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</si>
  <si>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</si>
  <si>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</si>
  <si>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</si>
  <si>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</si>
  <si>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</si>
  <si>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</si>
  <si>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</si>
  <si>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</si>
  <si>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</si>
  <si>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</si>
  <si>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</si>
  <si>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</si>
  <si>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</si>
  <si>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</si>
  <si>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</si>
  <si>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LN</t>
  </si>
  <si>
    <t>JHOPL-WI-21-111</t>
  </si>
  <si>
    <t>TRAILER CAR REMOVE/REFIT ANTI-CLIMB BUFFER ASSEMBLY INTERMEDIATE A END</t>
  </si>
  <si>
    <t>REPLACE ANTI-CLIMB BUFFER ASSEMBLY INTERMEDIATE A END</t>
  </si>
  <si>
    <t>MAA,AS,SA,MD</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</si>
  <si>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</si>
  <si>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</si>
  <si>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MJ,LN,AS,MD. TL, MR, PS,LVN</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</si>
  <si>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</si>
  <si>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</si>
  <si>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</si>
  <si>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</si>
  <si>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 xml:space="preserve">UQ, NP,MR, PS,LVN </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</si>
  <si>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</si>
  <si>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</si>
  <si>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</si>
  <si>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</si>
  <si>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</si>
  <si>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</si>
  <si>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</si>
  <si>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</si>
  <si>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</si>
  <si>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</si>
  <si>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</si>
  <si>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</si>
  <si>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</si>
  <si>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IROC 2 1/2" VENTED BALL VALVE (MAIN RESERVOIR MANUAL DRAIN VALVE)</t>
  </si>
  <si>
    <t>MA</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</si>
  <si>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</si>
  <si>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</si>
  <si>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</si>
  <si>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</si>
  <si>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</si>
  <si>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</si>
  <si>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</si>
  <si>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</si>
  <si>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</si>
  <si>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 xml:space="preserve">LN </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</si>
  <si>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</si>
  <si>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</si>
  <si>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</si>
  <si>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</si>
  <si>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</si>
  <si>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</si>
  <si>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</si>
  <si>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</si>
  <si>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</si>
  <si>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</si>
  <si>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</si>
  <si>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96412</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</si>
  <si>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</si>
  <si>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</si>
  <si>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</si>
  <si>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</si>
  <si>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</si>
  <si>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</si>
  <si>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</si>
  <si>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</si>
  <si>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</si>
  <si>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</si>
  <si>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</si>
  <si>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</si>
  <si>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</si>
  <si>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</si>
  <si>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</si>
  <si>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</si>
  <si>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</si>
  <si>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</si>
  <si>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Red Team</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</si>
  <si>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</si>
  <si>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</si>
  <si>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</si>
  <si>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</si>
  <si>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</si>
  <si>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</si>
  <si>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</si>
  <si>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</si>
  <si>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</si>
  <si>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RN, AR</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</si>
  <si>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</si>
  <si>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</si>
  <si>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</si>
  <si>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</si>
  <si>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</si>
  <si>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</si>
  <si>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</si>
  <si>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</si>
  <si>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</si>
  <si>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</si>
  <si>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</si>
  <si>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KA</t>
  </si>
  <si>
    <t>JHOPL-WI-11-134</t>
  </si>
  <si>
    <t>UNDM CAR REMOVE/REFIT PROPULSION INVERTER MODULE</t>
  </si>
  <si>
    <t>RN, Blue Team</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</si>
  <si>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</si>
  <si>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</si>
  <si>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</si>
  <si>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</si>
  <si>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</si>
  <si>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</si>
  <si>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</si>
  <si>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</si>
  <si>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</si>
  <si>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</si>
  <si>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</si>
  <si>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</si>
  <si>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</si>
  <si>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</si>
  <si>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</si>
  <si>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</si>
  <si>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</si>
  <si>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</si>
  <si>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</si>
  <si>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</si>
  <si>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UNDM CAR REMOVE/REFIT WHISTLE CONTROL VALVE &amp; BUTTON ASSY UNDM</t>
  </si>
  <si>
    <t>JN, TL</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</si>
  <si>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</si>
  <si>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</si>
  <si>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</si>
  <si>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</si>
  <si>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</si>
  <si>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</si>
  <si>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</si>
  <si>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</si>
  <si>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</si>
  <si>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</si>
  <si>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AL, HS, DK</t>
  </si>
  <si>
    <t>UNDM CAR REMOVE/REFIT ½" CHECK VALVE (SHOEGEAR AND LINEBREAKER AUX), SUPPLIED WITH O-RINGS</t>
  </si>
  <si>
    <t>AL, HS,MAA</t>
  </si>
  <si>
    <t>UNDM CAR REMOVE/REFIT ½" CHECK VALVE (SHOEGEAR MANUAL CONTROL VALVE), SUPPLIED WITH O-RINGS</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</si>
  <si>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</si>
  <si>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</si>
  <si>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</si>
  <si>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</si>
  <si>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</si>
  <si>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</si>
  <si>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</si>
  <si>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</si>
  <si>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</si>
  <si>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</si>
  <si>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</si>
  <si>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</si>
  <si>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</si>
  <si>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</si>
  <si>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</si>
  <si>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</si>
  <si>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</si>
  <si>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</si>
  <si>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</si>
  <si>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</si>
  <si>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</si>
  <si>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</si>
  <si>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</si>
  <si>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</si>
  <si>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</si>
  <si>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</si>
  <si>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</si>
  <si>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</si>
  <si>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</si>
  <si>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</si>
  <si>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</si>
  <si>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</si>
  <si>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</si>
  <si>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</si>
  <si>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</si>
  <si>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RB</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</si>
  <si>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</si>
  <si>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</si>
  <si>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</si>
  <si>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</si>
  <si>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</si>
  <si>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</si>
  <si>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</si>
  <si>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</si>
  <si>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</si>
  <si>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</si>
  <si>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</si>
  <si>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</si>
  <si>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</si>
  <si>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</si>
  <si>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</si>
  <si>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96481</t>
  </si>
  <si>
    <t>KM, NA, RB</t>
  </si>
  <si>
    <t>KM, NA, AO, DH</t>
  </si>
  <si>
    <t>KM, NA, VN, AOO, DH</t>
  </si>
  <si>
    <t>KM, NA, DH</t>
  </si>
  <si>
    <t>MR, AS, JB</t>
  </si>
  <si>
    <t>OM, VN</t>
  </si>
  <si>
    <t>no</t>
  </si>
  <si>
    <t>JHOPL-WI-19-119</t>
  </si>
  <si>
    <t>KA, MAA</t>
  </si>
  <si>
    <t>JT</t>
  </si>
  <si>
    <t>AL, HS, UQ</t>
  </si>
  <si>
    <t>AL, HS, MAA</t>
  </si>
  <si>
    <t>CP</t>
  </si>
  <si>
    <t>TL, JB, PS</t>
  </si>
  <si>
    <t>UNDM CAR REMOVE/REFIT AUTOCOUPLER UNDM RH 4-CAR, DRAWGEAR, RADIAL SUPPORT BAR, CONTACT BOX ASSY L/H &amp; CONTACT BOX ASSY R/H</t>
  </si>
  <si>
    <t>REPLACE AUTOCOUPLER UNDM RH 4-CAR, DRAWGEAR &amp; CONTACT BOX L &amp; R HAND</t>
  </si>
  <si>
    <t>Gold Team, JD,OM,LVN</t>
  </si>
  <si>
    <t>Gold Team, PS,AL,CP</t>
  </si>
  <si>
    <t>MR JM, MAA,AS,SA,MD</t>
  </si>
  <si>
    <t>28.09.2025</t>
  </si>
  <si>
    <t>Unit No: 96681</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</si>
  <si>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</si>
  <si>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</si>
  <si>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</si>
  <si>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</si>
  <si>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</si>
  <si>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</si>
  <si>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</si>
  <si>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</si>
  <si>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</si>
  <si>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</si>
  <si>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</si>
  <si>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</si>
  <si>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</si>
  <si>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</si>
  <si>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</si>
  <si>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</si>
  <si>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</si>
  <si>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MR, JB</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</si>
  <si>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</si>
  <si>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</si>
  <si>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</si>
  <si>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</si>
  <si>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</si>
  <si>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</si>
  <si>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</si>
  <si>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</si>
  <si>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</si>
  <si>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</si>
  <si>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</si>
  <si>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</si>
  <si>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</si>
  <si>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</si>
  <si>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</si>
  <si>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</si>
  <si>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</si>
  <si>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</si>
  <si>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</si>
  <si>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</si>
  <si>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28.09.25</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</si>
  <si>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</si>
  <si>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</si>
  <si>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</si>
  <si>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</si>
  <si>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</si>
  <si>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</si>
  <si>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</si>
  <si>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</si>
  <si>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</si>
  <si>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</si>
  <si>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</si>
  <si>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</si>
  <si>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</si>
  <si>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96281</t>
  </si>
  <si>
    <t>TRAILER CAR REMOVE/REFIT BRAKE CYLINDER PRESSURE SWITCH 1 (FOR ALL CARS)</t>
  </si>
  <si>
    <t>TRAILER CAR REMOVE/REFIT ½" VENTED BALL VALVE (VLCV / SYSTEM DRAIN / WHISTLE)</t>
  </si>
  <si>
    <t>MA, VN</t>
  </si>
  <si>
    <t>AL, JB</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</si>
  <si>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</si>
  <si>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</si>
  <si>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TRAILER CAR REMOVE/REFIT DRAWGEAR INTERMEDIATE D END &amp; SEMI-PERMANENT COUPLER BAR</t>
  </si>
  <si>
    <t>REPLACE DRAWGEAR INTERMEDIATE D END</t>
  </si>
  <si>
    <t>REPLACE 2 UNDM &amp; STC CARS COUPLER HOSE/SEMI-PERM COUPLER HOSE</t>
  </si>
  <si>
    <t xml:space="preserve">NO </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</si>
  <si>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</si>
  <si>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</si>
  <si>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</si>
  <si>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</si>
  <si>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</si>
  <si>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96081</t>
  </si>
  <si>
    <t>AB</t>
  </si>
  <si>
    <t>KM, NA, JJT SC CB</t>
  </si>
  <si>
    <t>KM, NA, LN, KM</t>
  </si>
  <si>
    <t>KA, LN, KM, JL</t>
  </si>
  <si>
    <t>MAA, NA</t>
  </si>
  <si>
    <t>AS, JB</t>
  </si>
  <si>
    <t xml:space="preserve">AOO </t>
  </si>
  <si>
    <t>AS,MD,MA RB,JN</t>
  </si>
  <si>
    <t>AS,MD,MA,SA,AS,KA</t>
  </si>
  <si>
    <t>MR JM, JD,GT,MJ</t>
  </si>
  <si>
    <t>29.09.25</t>
  </si>
  <si>
    <t>JS, TG, AR,BP</t>
  </si>
  <si>
    <t>JD,BV,</t>
  </si>
  <si>
    <t xml:space="preserve">Gold Team </t>
  </si>
  <si>
    <t>CB AOO</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</si>
  <si>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</si>
  <si>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</si>
  <si>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</si>
  <si>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</si>
  <si>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</si>
  <si>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</si>
  <si>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</si>
  <si>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t>IROC 1/2" VENTED BALL VALVE - EXTERNAL</t>
  </si>
  <si>
    <t>REPLACE TRACTION SUPPLY PRESSURE REGULATOR</t>
  </si>
  <si>
    <t>IROC 1/2 VENTED BALL VALVE - INTERNAL</t>
  </si>
  <si>
    <t>DM CAR REMOVE/REFIT SEMI PERMANENT COUPLER BAR AND DRAWGEAR INTERMEDIATE D</t>
  </si>
  <si>
    <t>REPLACE SEMI PERMANENT COUPLER &amp; DRAWGEAR INTERMEDIATE D</t>
  </si>
  <si>
    <t>REPLACE -  DM CAR REMOVE/REFIT CAPACITOR PANEL ASSEMBLY</t>
  </si>
  <si>
    <t>JHOPL - MORS SMITT</t>
  </si>
  <si>
    <t>JHOPL - ALSTOM</t>
  </si>
  <si>
    <t>JHOPL - KBRS</t>
  </si>
  <si>
    <t>R. BAKER</t>
  </si>
  <si>
    <t>JHOPL - TBC</t>
  </si>
  <si>
    <t>JHOPL - REW</t>
  </si>
  <si>
    <t>ABB</t>
  </si>
  <si>
    <t>JHOPL - Norgren</t>
  </si>
  <si>
    <t>Catch Back</t>
  </si>
  <si>
    <t xml:space="preserve">TRAILER - WSP SPEED PROBE ASSEMBLY REPLACEMEND FOR NEW MODIFIED DESIGN BRACKET. </t>
  </si>
  <si>
    <t xml:space="preserve">REPLACE 4 X WSP SPEED PROBE BRACKETS. </t>
  </si>
  <si>
    <t>IROC 3/4" VENTED BALL VALVE</t>
  </si>
  <si>
    <t>IROC 1/2" SILENCER</t>
  </si>
  <si>
    <t>REPLACE -  UNDM CAR REMOVE/REFIT CAPACITOR PANEL ASSEMBLY</t>
  </si>
  <si>
    <t>IROC 1/2" VENTED BALL VALVE -INTERNAL</t>
  </si>
  <si>
    <t>IROC - CURRENT BALANCE RELAY PANEL</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</si>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</sst>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b/>
      <sz val="11"/>
      <color rgb="FFFF0000"/>
      <name val="Calibri"/>
      <family val="2"/>
      <scheme val="minor"/>
    </font>
    <font>
      <sz val="12"/>
      <color rgb="FF000000"/>
      <name val="Arial"/>
      <family val="2"/>
    </font>
    <font>
      <sz val="12"/>
      <color rgb="FFFF0000"/>
      <name val="Arial"/>
      <family val="2"/>
    </font>
    <font>
      <b/>
      <sz val="16"/>
      <color rgb="FF000000"/>
      <name val="Arial"/>
      <family val="2"/>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2881E"/>
        <bgColor indexed="64"/>
      </patternFill>
    </fill>
    <fill>
      <patternFill patternType="solid">
        <fgColor theme="9" tint="0.39997558519241921"/>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94">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0" fillId="10" borderId="30" xfId="0" applyFill="1" applyBorder="1" applyAlignment="1">
      <alignment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0" fontId="0" fillId="10" borderId="13" xfId="0" applyFill="1" applyBorder="1" applyAlignment="1">
      <alignment wrapText="1"/>
    </xf>
    <xf numFmtId="14" fontId="0" fillId="10" borderId="25" xfId="0" applyNumberFormat="1" applyFill="1" applyBorder="1" applyAlignment="1">
      <alignment horizontal="center" vertical="center"/>
    </xf>
    <xf numFmtId="0" fontId="0" fillId="10" borderId="25" xfId="0" applyFill="1" applyBorder="1" applyAlignment="1">
      <alignment horizontal="center" vertical="center"/>
    </xf>
    <xf numFmtId="0" fontId="1" fillId="10" borderId="31" xfId="0" applyFont="1"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14" fontId="1" fillId="10" borderId="25" xfId="0" applyNumberFormat="1" applyFont="1" applyFill="1" applyBorder="1" applyAlignment="1">
      <alignment horizontal="center" vertical="center" wrapText="1"/>
    </xf>
    <xf numFmtId="14" fontId="1" fillId="10" borderId="32"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0" fontId="14" fillId="0" borderId="32" xfId="0" applyFont="1" applyBorder="1" applyAlignment="1">
      <alignment horizontal="center" vertical="center" wrapText="1"/>
    </xf>
    <xf numFmtId="14" fontId="14" fillId="0" borderId="32" xfId="0" applyNumberFormat="1" applyFont="1" applyBorder="1" applyAlignment="1">
      <alignment horizontal="center" vertical="center" wrapText="1"/>
    </xf>
    <xf numFmtId="164" fontId="1" fillId="0" borderId="33" xfId="0" applyNumberFormat="1" applyFont="1" applyBorder="1" applyAlignment="1">
      <alignment horizontal="center" vertical="center" wrapText="1"/>
    </xf>
    <xf numFmtId="0" fontId="1" fillId="0" borderId="24" xfId="0" applyFont="1" applyBorder="1" applyAlignment="1">
      <alignment horizontal="center" vertical="center" wrapText="1"/>
    </xf>
    <xf numFmtId="0" fontId="1" fillId="0" borderId="25" xfId="0" applyFont="1" applyBorder="1" applyAlignment="1">
      <alignment horizontal="center" vertical="center" wrapText="1"/>
    </xf>
    <xf numFmtId="0" fontId="14" fillId="0" borderId="25" xfId="0" applyFont="1" applyBorder="1" applyAlignment="1">
      <alignment horizontal="center" vertical="center" wrapText="1"/>
    </xf>
    <xf numFmtId="14" fontId="14" fillId="0" borderId="25" xfId="0" applyNumberFormat="1" applyFont="1" applyBorder="1" applyAlignment="1">
      <alignment horizontal="center" vertical="center" wrapText="1"/>
    </xf>
    <xf numFmtId="0" fontId="0" fillId="0" borderId="25" xfId="0" applyBorder="1" applyAlignment="1">
      <alignment horizontal="center" vertical="center" wrapText="1"/>
    </xf>
    <xf numFmtId="164" fontId="1" fillId="0" borderId="26" xfId="0" applyNumberFormat="1" applyFont="1" applyBorder="1" applyAlignment="1">
      <alignment horizontal="center" vertical="center" wrapText="1"/>
    </xf>
    <xf numFmtId="0" fontId="0" fillId="0" borderId="11" xfId="0" applyBorder="1" applyAlignment="1">
      <alignment wrapText="1"/>
    </xf>
    <xf numFmtId="0" fontId="0" fillId="0" borderId="12" xfId="0" applyBorder="1" applyAlignment="1">
      <alignment wrapText="1"/>
    </xf>
    <xf numFmtId="0" fontId="1" fillId="0" borderId="27" xfId="0" applyFont="1" applyBorder="1" applyAlignment="1">
      <alignment horizontal="center" vertical="center" wrapText="1"/>
    </xf>
    <xf numFmtId="0" fontId="1" fillId="0" borderId="28" xfId="0" applyFont="1" applyBorder="1" applyAlignment="1">
      <alignment horizontal="center" vertical="center" wrapText="1"/>
    </xf>
    <xf numFmtId="0" fontId="14" fillId="0" borderId="28" xfId="0" applyFont="1" applyBorder="1" applyAlignment="1">
      <alignment horizontal="center" vertical="center" wrapText="1"/>
    </xf>
    <xf numFmtId="14" fontId="14" fillId="0" borderId="28" xfId="0" applyNumberFormat="1" applyFont="1" applyBorder="1" applyAlignment="1">
      <alignment horizontal="center" vertical="center" wrapText="1"/>
    </xf>
    <xf numFmtId="0" fontId="0" fillId="0" borderId="28" xfId="0" applyBorder="1" applyAlignment="1">
      <alignment horizontal="center" vertical="center" wrapText="1"/>
    </xf>
    <xf numFmtId="164" fontId="1" fillId="0" borderId="29" xfId="0" applyNumberFormat="1" applyFont="1" applyBorder="1" applyAlignment="1">
      <alignment horizontal="center" vertical="center" wrapText="1"/>
    </xf>
    <xf numFmtId="14" fontId="1" fillId="0" borderId="25" xfId="0" applyNumberFormat="1" applyFont="1" applyBorder="1" applyAlignment="1">
      <alignment horizontal="center" vertical="center" wrapText="1"/>
    </xf>
    <xf numFmtId="0" fontId="0" fillId="0" borderId="6" xfId="0" applyBorder="1" applyAlignment="1">
      <alignment wrapText="1"/>
    </xf>
    <xf numFmtId="0" fontId="0" fillId="0" borderId="2" xfId="0" applyBorder="1" applyAlignment="1">
      <alignment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14" fillId="0" borderId="35" xfId="0" applyFont="1" applyBorder="1" applyAlignment="1">
      <alignment horizontal="center" vertical="center" wrapText="1"/>
    </xf>
    <xf numFmtId="14" fontId="14" fillId="0" borderId="35" xfId="0" applyNumberFormat="1" applyFont="1" applyBorder="1" applyAlignment="1">
      <alignment horizontal="center" vertical="center" wrapText="1"/>
    </xf>
    <xf numFmtId="0" fontId="1" fillId="0" borderId="35" xfId="0" applyFont="1" applyBorder="1" applyAlignment="1">
      <alignment horizontal="center" vertical="center" wrapText="1"/>
    </xf>
    <xf numFmtId="164" fontId="1" fillId="0" borderId="36" xfId="0" applyNumberFormat="1" applyFont="1" applyBorder="1" applyAlignment="1">
      <alignment wrapText="1"/>
    </xf>
    <xf numFmtId="0" fontId="0" fillId="0" borderId="14" xfId="0" applyBorder="1" applyAlignment="1">
      <alignment wrapText="1"/>
    </xf>
    <xf numFmtId="14" fontId="1" fillId="0" borderId="32" xfId="0" applyNumberFormat="1" applyFont="1" applyBorder="1" applyAlignment="1">
      <alignment horizontal="center" vertical="center" wrapText="1"/>
    </xf>
    <xf numFmtId="14" fontId="1" fillId="0" borderId="28" xfId="0" applyNumberFormat="1" applyFont="1" applyBorder="1" applyAlignment="1">
      <alignment horizontal="center" vertical="center" wrapText="1"/>
    </xf>
    <xf numFmtId="0" fontId="0" fillId="0" borderId="14" xfId="0" applyBorder="1" applyAlignment="1">
      <alignment horizontal="center" vertical="center" wrapText="1"/>
    </xf>
    <xf numFmtId="0" fontId="0" fillId="0" borderId="25" xfId="0" applyBorder="1" applyAlignment="1">
      <alignment wrapText="1"/>
    </xf>
    <xf numFmtId="0" fontId="0" fillId="0" borderId="26" xfId="0" applyBorder="1" applyAlignment="1">
      <alignment wrapText="1"/>
    </xf>
    <xf numFmtId="0" fontId="0" fillId="0" borderId="27" xfId="0" applyBorder="1" applyAlignment="1">
      <alignment horizontal="center" vertical="center" wrapText="1"/>
    </xf>
    <xf numFmtId="0" fontId="0" fillId="0" borderId="28" xfId="0" applyBorder="1" applyAlignment="1">
      <alignment vertical="center" wrapText="1"/>
    </xf>
    <xf numFmtId="0" fontId="0" fillId="0" borderId="28" xfId="0" applyBorder="1" applyAlignment="1">
      <alignment wrapText="1"/>
    </xf>
    <xf numFmtId="0" fontId="0" fillId="0" borderId="29" xfId="0" applyBorder="1" applyAlignment="1">
      <alignment wrapText="1"/>
    </xf>
    <xf numFmtId="0" fontId="1" fillId="0" borderId="21" xfId="0" applyFont="1" applyBorder="1" applyAlignment="1">
      <alignment horizontal="center" vertical="center" wrapText="1"/>
    </xf>
    <xf numFmtId="0" fontId="0" fillId="0" borderId="0" xfId="0" applyAlignment="1">
      <alignment horizontal="center" vertical="center" wrapText="1" indent="1"/>
    </xf>
    <xf numFmtId="0" fontId="1" fillId="0" borderId="21" xfId="0" applyFont="1" applyBorder="1" applyAlignment="1">
      <alignment horizontal="center" vertical="center" wrapText="1" indent="1"/>
    </xf>
    <xf numFmtId="0" fontId="0" fillId="0" borderId="13" xfId="0" applyBorder="1" applyAlignment="1">
      <alignment wrapText="1"/>
    </xf>
    <xf numFmtId="0" fontId="14" fillId="0" borderId="27" xfId="0" applyFont="1" applyBorder="1" applyAlignment="1">
      <alignment horizontal="center" vertical="center" wrapText="1"/>
    </xf>
    <xf numFmtId="14" fontId="1" fillId="0" borderId="35" xfId="0" applyNumberFormat="1" applyFont="1" applyBorder="1" applyAlignment="1">
      <alignment horizontal="center" vertical="center" wrapText="1"/>
    </xf>
    <xf numFmtId="164" fontId="1" fillId="0" borderId="36" xfId="0" applyNumberFormat="1" applyFont="1" applyBorder="1" applyAlignment="1">
      <alignment horizontal="center" vertical="center" wrapText="1"/>
    </xf>
    <xf numFmtId="0" fontId="0" fillId="12" borderId="14" xfId="0" applyFill="1" applyBorder="1" applyAlignment="1">
      <alignment horizontal="center" vertical="center" wrapText="1" indent="1"/>
    </xf>
    <xf numFmtId="0" fontId="1" fillId="12" borderId="32" xfId="0" applyFont="1" applyFill="1" applyBorder="1" applyAlignment="1">
      <alignment horizontal="center" vertical="center" wrapText="1" indent="1"/>
    </xf>
    <xf numFmtId="164" fontId="1" fillId="12" borderId="33" xfId="0" applyNumberFormat="1" applyFont="1" applyFill="1" applyBorder="1" applyAlignment="1">
      <alignment horizontal="center" vertical="center" wrapText="1" indent="1"/>
    </xf>
    <xf numFmtId="0" fontId="1" fillId="12" borderId="31" xfId="0" applyFont="1" applyFill="1" applyBorder="1" applyAlignment="1">
      <alignment horizontal="center" vertical="center" wrapText="1"/>
    </xf>
    <xf numFmtId="0" fontId="1" fillId="12" borderId="32" xfId="0" applyFont="1" applyFill="1" applyBorder="1" applyAlignment="1">
      <alignment horizontal="center" vertical="center" wrapText="1"/>
    </xf>
    <xf numFmtId="0" fontId="0" fillId="12" borderId="32" xfId="0" applyFill="1" applyBorder="1" applyAlignment="1">
      <alignment horizontal="center" vertical="center" wrapText="1"/>
    </xf>
    <xf numFmtId="14" fontId="1" fillId="12" borderId="32" xfId="0" applyNumberFormat="1" applyFont="1" applyFill="1" applyBorder="1" applyAlignment="1">
      <alignment horizontal="center" vertical="center" wrapText="1"/>
    </xf>
    <xf numFmtId="0" fontId="1" fillId="0" borderId="21" xfId="0" applyFont="1" applyBorder="1" applyAlignment="1">
      <alignment wrapText="1"/>
    </xf>
    <xf numFmtId="0" fontId="0" fillId="0" borderId="22" xfId="0" applyBorder="1" applyAlignment="1">
      <alignment wrapText="1"/>
    </xf>
    <xf numFmtId="0" fontId="0" fillId="12" borderId="14" xfId="0" applyFill="1" applyBorder="1" applyAlignment="1">
      <alignment wrapText="1"/>
    </xf>
    <xf numFmtId="164" fontId="1" fillId="12" borderId="33" xfId="0" applyNumberFormat="1" applyFont="1" applyFill="1" applyBorder="1" applyAlignment="1">
      <alignment horizontal="center" vertical="center" wrapText="1"/>
    </xf>
    <xf numFmtId="0" fontId="13" fillId="0" borderId="24" xfId="0" applyFont="1" applyBorder="1" applyAlignment="1">
      <alignment horizontal="center" vertical="center" wrapText="1"/>
    </xf>
    <xf numFmtId="0" fontId="13" fillId="0" borderId="25" xfId="0" applyFont="1" applyBorder="1" applyAlignment="1">
      <alignment horizontal="center" vertical="center" wrapText="1"/>
    </xf>
    <xf numFmtId="0" fontId="13" fillId="0" borderId="27" xfId="0" applyFont="1" applyBorder="1" applyAlignment="1">
      <alignment horizontal="center" vertical="center" wrapText="1"/>
    </xf>
    <xf numFmtId="0" fontId="13" fillId="0" borderId="28" xfId="0" applyFont="1" applyBorder="1" applyAlignment="1">
      <alignment horizontal="center" vertical="center" wrapText="1"/>
    </xf>
    <xf numFmtId="0" fontId="1" fillId="13" borderId="24" xfId="0" applyFont="1" applyFill="1" applyBorder="1" applyAlignment="1">
      <alignment horizontal="center" vertical="center" wrapText="1"/>
    </xf>
    <xf numFmtId="0" fontId="1" fillId="13" borderId="25" xfId="0" applyFont="1" applyFill="1" applyBorder="1" applyAlignment="1">
      <alignment horizontal="center" vertical="center" wrapText="1"/>
    </xf>
    <xf numFmtId="0" fontId="14" fillId="13" borderId="25" xfId="0" applyFont="1" applyFill="1" applyBorder="1" applyAlignment="1">
      <alignment horizontal="center" vertical="center" wrapText="1"/>
    </xf>
    <xf numFmtId="14" fontId="14" fillId="13" borderId="25" xfId="0" applyNumberFormat="1" applyFont="1" applyFill="1" applyBorder="1" applyAlignment="1">
      <alignment horizontal="center" vertical="center" wrapText="1"/>
    </xf>
    <xf numFmtId="0" fontId="1" fillId="13" borderId="27" xfId="0" applyFont="1" applyFill="1" applyBorder="1" applyAlignment="1">
      <alignment horizontal="center" vertical="center" wrapText="1"/>
    </xf>
    <xf numFmtId="0" fontId="1" fillId="13" borderId="28" xfId="0" applyFont="1" applyFill="1" applyBorder="1" applyAlignment="1">
      <alignment horizontal="center" vertical="center" wrapText="1"/>
    </xf>
    <xf numFmtId="0" fontId="14" fillId="13" borderId="28" xfId="0" applyFont="1" applyFill="1" applyBorder="1" applyAlignment="1">
      <alignment horizontal="center" vertical="center" wrapText="1"/>
    </xf>
    <xf numFmtId="14" fontId="14" fillId="13" borderId="28" xfId="0" applyNumberFormat="1" applyFont="1" applyFill="1" applyBorder="1" applyAlignment="1">
      <alignment horizontal="center" vertical="center" wrapText="1"/>
    </xf>
    <xf numFmtId="0" fontId="1" fillId="13" borderId="31" xfId="0" applyFont="1" applyFill="1" applyBorder="1" applyAlignment="1">
      <alignment horizontal="center" vertical="center" wrapText="1"/>
    </xf>
    <xf numFmtId="0" fontId="1" fillId="13" borderId="32" xfId="0" applyFont="1" applyFill="1" applyBorder="1" applyAlignment="1">
      <alignment horizontal="center" vertical="center" wrapText="1"/>
    </xf>
    <xf numFmtId="0" fontId="14" fillId="13" borderId="32" xfId="0" applyFont="1" applyFill="1" applyBorder="1" applyAlignment="1">
      <alignment horizontal="center" vertical="center" wrapText="1"/>
    </xf>
    <xf numFmtId="14" fontId="14" fillId="13" borderId="32" xfId="0" applyNumberFormat="1" applyFont="1" applyFill="1" applyBorder="1" applyAlignment="1">
      <alignment horizontal="center" vertical="center" wrapText="1"/>
    </xf>
    <xf numFmtId="0" fontId="13" fillId="10" borderId="24"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13" fillId="10" borderId="27" xfId="0" applyFont="1" applyFill="1" applyBorder="1" applyAlignment="1">
      <alignment horizontal="center" vertical="center" wrapText="1"/>
    </xf>
    <xf numFmtId="0" fontId="13" fillId="10" borderId="28"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34">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14</xdr:row>
          <xdr:rowOff>104775</xdr:rowOff>
        </xdr:from>
        <xdr:to>
          <xdr:col>12</xdr:col>
          <xdr:colOff>390525</xdr:colOff>
          <xdr:row>16</xdr:row>
          <xdr:rowOff>304800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ransportforlondon.sharepoint.com/sites/jllew/Shared%20Documents/Train%20Records/Phase%202%20-%20T07%20-%20T31%20-%20Program%20Lift%20(P1,%20P2%20&amp;%20Catch%20Back)/T17%20-%20(Units%2096031%20and%2096032)/05%20Work%20To%20Sheets%20TFOS/WorktosheetsV3%20T17%20-%20(Units%2096031%20&amp;%2096032).xlsm" TargetMode="External"/><Relationship Id="rId2" Type="http://schemas.microsoft.com/office/2019/04/relationships/externalLinkLongPath" Target="/sites/jllew/Shared%20Documents/Train%20Records/Phase%202%20-%20T07%20-%20T31%20-%20Program%20Lift%20(P1,%20P2%20&amp;%20Catch%20Back)/T17%20-%20(Units%2096031%20and%2096032)/05%20Work%20To%20Sheets%20TFOS/WorktosheetsV3%20T17%20-%20(Units%2096031%20&amp;%2096032).xlsm?4720AEC5" TargetMode="External"/><Relationship Id="rId1" Type="http://schemas.openxmlformats.org/officeDocument/2006/relationships/externalLinkPath" Target="file:///\\4720AEC5\WorktosheetsV3%20T17%20-%20(Units%2096031%20&amp;%209603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EygLz7rW-kSwoav8W_tjnRjb-pjgq-9NsLCbZysdWiuppRKqTG3oTJ69_ECY7_MG" itemId="01OAKB2JMUOWOKQ4NCXJEKFUMJ4MNELQZS">
      <xxl21:absoluteUrl r:id="rId3"/>
    </xxl21:alternateUrls>
    <sheetNames>
      <sheetName val="Summary"/>
      <sheetName val="TaskPrint"/>
      <sheetName val="DM 3 Car"/>
      <sheetName val="Trailer 3 Car"/>
      <sheetName val="UNDM 3 Car"/>
      <sheetName val="UNDM 4 Car"/>
      <sheetName val="Special Trailer 4 Car"/>
      <sheetName val="Trailer 4 Car"/>
      <sheetName val="DM 4 Car"/>
      <sheetName val="Train Tests"/>
    </sheetNames>
    <sheetDataSet>
      <sheetData sheetId="0"/>
      <sheetData sheetId="1"/>
      <sheetData sheetId="2">
        <row r="3">
          <cell r="C3" t="str">
            <v>DM UNDERFRAME REMOVE/REFIT MORS SMITT RELAYS</v>
          </cell>
        </row>
      </sheetData>
      <sheetData sheetId="3">
        <row r="3">
          <cell r="C3" t="str">
            <v>TRIALER  UNDERFRAME REMOVE/REFIT CONTACTORS SA80</v>
          </cell>
        </row>
      </sheetData>
      <sheetData sheetId="4">
        <row r="3">
          <cell r="C3" t="str">
            <v>UNDM UNDERFRAME REMOVE/REFIT CONTACTOR  SA80</v>
          </cell>
        </row>
      </sheetData>
      <sheetData sheetId="5">
        <row r="3">
          <cell r="C3" t="str">
            <v>UNDM UNDERFRAME REMOVE/REFIT CONTACTOR  SA80</v>
          </cell>
        </row>
      </sheetData>
      <sheetData sheetId="6">
        <row r="3">
          <cell r="C3" t="str">
            <v>SPECIAL TRAILER  SALOON REMOVE/REFIT EMERGENCY LIGHT INVERTERS</v>
          </cell>
        </row>
      </sheetData>
      <sheetData sheetId="7">
        <row r="3">
          <cell r="C3" t="str">
            <v>TRIALER  UNDERFRAME REMOVE/REFIT CONTACTORS SA80</v>
          </cell>
        </row>
      </sheetData>
      <sheetData sheetId="8">
        <row r="1">
          <cell r="D1"/>
          <cell r="E1"/>
          <cell r="F1"/>
          <cell r="G1"/>
          <cell r="H1"/>
          <cell r="I1"/>
          <cell r="J1"/>
          <cell r="K1"/>
          <cell r="L1"/>
        </row>
        <row r="2">
          <cell r="D2" t="str">
            <v>Description</v>
          </cell>
          <cell r="E2" t="str">
            <v>Completed</v>
          </cell>
          <cell r="F2" t="str">
            <v>In Progress</v>
          </cell>
          <cell r="G2" t="str">
            <v>Completed By</v>
          </cell>
          <cell r="H2" t="str">
            <v>Date</v>
          </cell>
          <cell r="I2" t="str">
            <v>Overhaul/IROC</v>
          </cell>
          <cell r="J2" t="str">
            <v>Position</v>
          </cell>
          <cell r="K2" t="str">
            <v>Scope Delayed</v>
          </cell>
          <cell r="L2" t="str">
            <v>WI Reference</v>
          </cell>
          <cell r="M2" t="str">
            <v>Comments</v>
          </cell>
        </row>
        <row r="3">
          <cell r="D3" t="str">
            <v>REPLACE 26 RELAYS</v>
          </cell>
          <cell r="E3" t="str">
            <v>Yes</v>
          </cell>
          <cell r="F3" t="str">
            <v>No</v>
          </cell>
          <cell r="G3" t="str">
            <v>TFOS</v>
          </cell>
          <cell r="H3" t="str">
            <v>Pull Forward</v>
          </cell>
          <cell r="I3" t="str">
            <v>REPLACE</v>
          </cell>
          <cell r="J3" t="str">
            <v>ATM</v>
          </cell>
          <cell r="K3">
            <v>0</v>
          </cell>
          <cell r="L3" t="str">
            <v>JHOPL-WI-17-184
JHOPL-WI-17-135</v>
          </cell>
          <cell r="M3" t="str">
            <v>MORS SMITT</v>
          </cell>
        </row>
        <row r="4">
          <cell r="D4" t="str">
            <v>REPLACE 1 EMERGENCY LIGHT INVERTER</v>
          </cell>
          <cell r="E4" t="str">
            <v>Yes</v>
          </cell>
          <cell r="F4" t="str">
            <v>No</v>
          </cell>
          <cell r="G4" t="str">
            <v>TFOS</v>
          </cell>
          <cell r="H4" t="str">
            <v>Pull Forward</v>
          </cell>
          <cell r="I4" t="str">
            <v>REPLACE</v>
          </cell>
          <cell r="J4" t="str">
            <v>ATM</v>
          </cell>
          <cell r="K4">
            <v>0</v>
          </cell>
          <cell r="L4" t="str">
            <v>JHOPL-WI-17-057</v>
          </cell>
          <cell r="M4" t="str">
            <v>LPA</v>
          </cell>
        </row>
        <row r="5">
          <cell r="D5" t="str">
            <v>REPLACE 1 EMERGENCY LIGHT INVERTER</v>
          </cell>
          <cell r="E5" t="str">
            <v>Yes</v>
          </cell>
          <cell r="F5" t="str">
            <v>No</v>
          </cell>
          <cell r="G5" t="str">
            <v>TFOS</v>
          </cell>
          <cell r="H5" t="str">
            <v>Pull Forward</v>
          </cell>
          <cell r="I5" t="str">
            <v>REPLACE</v>
          </cell>
          <cell r="J5" t="str">
            <v>ATM</v>
          </cell>
          <cell r="K5">
            <v>0</v>
          </cell>
          <cell r="L5" t="str">
            <v>JHOPL-WI-17-057</v>
          </cell>
          <cell r="M5" t="str">
            <v>LPA</v>
          </cell>
        </row>
        <row r="6">
          <cell r="D6" t="str">
            <v>REPLACE 5 EMERGENCY LIGHT INVERTERS</v>
          </cell>
          <cell r="E6" t="str">
            <v>Yes</v>
          </cell>
          <cell r="F6" t="str">
            <v>No</v>
          </cell>
          <cell r="G6" t="str">
            <v>TFOS</v>
          </cell>
          <cell r="H6" t="str">
            <v>Pull Forward</v>
          </cell>
          <cell r="I6" t="str">
            <v>REPLACE</v>
          </cell>
          <cell r="J6" t="str">
            <v>ATM</v>
          </cell>
          <cell r="K6">
            <v>0</v>
          </cell>
          <cell r="L6" t="str">
            <v>JHOPL-WI-17-057</v>
          </cell>
          <cell r="M6" t="str">
            <v>LPA</v>
          </cell>
        </row>
        <row r="7">
          <cell r="D7" t="str">
            <v>REPLACE 8 RELAYS</v>
          </cell>
          <cell r="E7" t="str">
            <v>Yes</v>
          </cell>
          <cell r="F7" t="str">
            <v>No</v>
          </cell>
          <cell r="G7" t="str">
            <v>TFOS</v>
          </cell>
          <cell r="H7" t="str">
            <v>Pull Forward</v>
          </cell>
          <cell r="I7" t="str">
            <v>REPLACE</v>
          </cell>
          <cell r="J7" t="str">
            <v>ATM</v>
          </cell>
          <cell r="K7">
            <v>0</v>
          </cell>
          <cell r="L7" t="str">
            <v>JHOPL-WI-17-185</v>
          </cell>
          <cell r="M7" t="str">
            <v>SIEMENS</v>
          </cell>
        </row>
        <row r="8">
          <cell r="D8" t="str">
            <v>REPLACE 2  RELAYS</v>
          </cell>
          <cell r="E8" t="str">
            <v>Yes</v>
          </cell>
          <cell r="F8" t="str">
            <v>No</v>
          </cell>
          <cell r="G8" t="str">
            <v>TFOS</v>
          </cell>
          <cell r="H8" t="str">
            <v>Pull Forward</v>
          </cell>
          <cell r="I8" t="str">
            <v>REPLACE</v>
          </cell>
          <cell r="J8" t="str">
            <v>ATM</v>
          </cell>
          <cell r="K8">
            <v>0</v>
          </cell>
          <cell r="L8" t="str">
            <v>JHOPL-WI-17-185</v>
          </cell>
          <cell r="M8" t="str">
            <v>SIEMENS</v>
          </cell>
        </row>
        <row r="9">
          <cell r="D9" t="str">
            <v>REPLACE 4 POLE CIRCUIT BREAKER</v>
          </cell>
          <cell r="E9" t="str">
            <v>Yes</v>
          </cell>
          <cell r="F9" t="str">
            <v>No</v>
          </cell>
          <cell r="G9" t="str">
            <v>TFOS</v>
          </cell>
          <cell r="H9" t="str">
            <v>Pull Forward</v>
          </cell>
          <cell r="I9" t="str">
            <v>REPLACE</v>
          </cell>
          <cell r="J9" t="str">
            <v>ATM</v>
          </cell>
          <cell r="K9">
            <v>0</v>
          </cell>
          <cell r="L9" t="str">
            <v>JHOPL-WI-17-059</v>
          </cell>
          <cell r="M9" t="str">
            <v>MORS SMITT</v>
          </cell>
        </row>
        <row r="10">
          <cell r="D10" t="str">
            <v>REPLACE 8 ROTARY SWITCHES</v>
          </cell>
          <cell r="E10" t="str">
            <v>Yes</v>
          </cell>
          <cell r="F10" t="str">
            <v>No</v>
          </cell>
          <cell r="G10" t="str">
            <v>TFOS</v>
          </cell>
          <cell r="H10" t="str">
            <v>Pull Forward</v>
          </cell>
          <cell r="I10" t="str">
            <v>REPLACE</v>
          </cell>
          <cell r="J10" t="str">
            <v>ATM</v>
          </cell>
          <cell r="K10">
            <v>0</v>
          </cell>
          <cell r="L10" t="str">
            <v>JHOPL-WI-17-156</v>
          </cell>
          <cell r="M10" t="str">
            <v>MORS SMITT</v>
          </cell>
        </row>
        <row r="11">
          <cell r="D11" t="str">
            <v>REPLACE 2 ROTARY SWITCH</v>
          </cell>
          <cell r="E11" t="str">
            <v>Yes</v>
          </cell>
          <cell r="F11" t="str">
            <v>No</v>
          </cell>
          <cell r="G11" t="str">
            <v>TFOS</v>
          </cell>
          <cell r="H11" t="str">
            <v>Pull Forward</v>
          </cell>
          <cell r="I11" t="str">
            <v>REPLACE</v>
          </cell>
          <cell r="J11" t="str">
            <v>ATM</v>
          </cell>
          <cell r="K11">
            <v>0</v>
          </cell>
          <cell r="L11" t="str">
            <v>JHOPL-WI-17-066</v>
          </cell>
          <cell r="M11" t="str">
            <v>MORS SMITT</v>
          </cell>
        </row>
        <row r="12">
          <cell r="D12" t="str">
            <v>IROC - AUXILIARY SUPPLY BREAKER</v>
          </cell>
          <cell r="E12" t="str">
            <v>Yes</v>
          </cell>
          <cell r="F12" t="str">
            <v>No</v>
          </cell>
          <cell r="G12" t="str">
            <v>TFOS</v>
          </cell>
          <cell r="H12" t="str">
            <v>Pull Forward</v>
          </cell>
          <cell r="I12" t="str">
            <v>IROC</v>
          </cell>
          <cell r="J12" t="str">
            <v>ATM</v>
          </cell>
          <cell r="K12">
            <v>0</v>
          </cell>
          <cell r="L12" t="str">
            <v>JHOPL-WI-17-070</v>
          </cell>
          <cell r="M12" t="str">
            <v>JHOPL - MORS SMITT</v>
          </cell>
        </row>
        <row r="13">
          <cell r="D13" t="str">
            <v>REPLACE 30 MCBS</v>
          </cell>
          <cell r="E13" t="str">
            <v>Yes</v>
          </cell>
          <cell r="F13" t="str">
            <v>No</v>
          </cell>
          <cell r="G13" t="str">
            <v>TFOS</v>
          </cell>
          <cell r="H13" t="str">
            <v>Pull Forward</v>
          </cell>
          <cell r="I13" t="str">
            <v>REPLACE</v>
          </cell>
          <cell r="J13" t="str">
            <v>ATM</v>
          </cell>
          <cell r="K13">
            <v>0</v>
          </cell>
          <cell r="L13" t="str">
            <v>JHOPL-WI-17-074</v>
          </cell>
          <cell r="M13" t="str">
            <v>MORS SMITT</v>
          </cell>
        </row>
        <row r="14">
          <cell r="D14" t="str">
            <v>REPLACE 24 MCBS</v>
          </cell>
          <cell r="E14" t="str">
            <v>Yes</v>
          </cell>
          <cell r="F14" t="str">
            <v>No</v>
          </cell>
          <cell r="G14" t="str">
            <v>TFOS</v>
          </cell>
          <cell r="H14" t="str">
            <v>Pull Forward</v>
          </cell>
          <cell r="I14" t="str">
            <v>REPLACE</v>
          </cell>
          <cell r="J14" t="str">
            <v>ATM</v>
          </cell>
          <cell r="K14">
            <v>0</v>
          </cell>
          <cell r="L14" t="str">
            <v>JHOPL-WI-17-074</v>
          </cell>
          <cell r="M14" t="str">
            <v>MORS SMITT</v>
          </cell>
        </row>
        <row r="15">
          <cell r="D15" t="str">
            <v>REPLACE 4 RELAYS</v>
          </cell>
          <cell r="E15" t="str">
            <v>Yes</v>
          </cell>
          <cell r="F15" t="str">
            <v>No</v>
          </cell>
          <cell r="G15" t="str">
            <v>TFOS</v>
          </cell>
          <cell r="H15" t="str">
            <v>Pull Forward</v>
          </cell>
          <cell r="I15" t="str">
            <v>REPLACE</v>
          </cell>
          <cell r="J15" t="str">
            <v>ATM</v>
          </cell>
          <cell r="K15">
            <v>0</v>
          </cell>
          <cell r="L15" t="str">
            <v>JHOPL-WI-17-135</v>
          </cell>
          <cell r="M15" t="str">
            <v>MORS SMITT</v>
          </cell>
        </row>
        <row r="16">
          <cell r="D16" t="str">
            <v>REPLACE 6 RELAYS</v>
          </cell>
          <cell r="E16" t="str">
            <v>Yes</v>
          </cell>
          <cell r="F16" t="str">
            <v>No</v>
          </cell>
          <cell r="G16" t="str">
            <v>TFOS</v>
          </cell>
          <cell r="H16" t="str">
            <v>Pull Forward</v>
          </cell>
          <cell r="I16" t="str">
            <v>REPLACE</v>
          </cell>
          <cell r="J16" t="str">
            <v>ATM</v>
          </cell>
          <cell r="K16">
            <v>0</v>
          </cell>
          <cell r="L16" t="str">
            <v>JHOPL-WI-17-135</v>
          </cell>
          <cell r="M16" t="str">
            <v>MORS SMITT</v>
          </cell>
        </row>
        <row r="17">
          <cell r="D17" t="str">
            <v>REPLACE 3 RELAYS</v>
          </cell>
          <cell r="E17" t="str">
            <v>Yes</v>
          </cell>
          <cell r="F17" t="str">
            <v>No</v>
          </cell>
          <cell r="G17" t="str">
            <v>TFOS</v>
          </cell>
          <cell r="H17" t="str">
            <v>Pull Forward</v>
          </cell>
          <cell r="I17" t="str">
            <v>REPLACE</v>
          </cell>
          <cell r="J17" t="str">
            <v>ATM</v>
          </cell>
          <cell r="K17">
            <v>0</v>
          </cell>
          <cell r="L17" t="str">
            <v>JHOPL-WI-17-135</v>
          </cell>
          <cell r="M17" t="str">
            <v>MORS SMITT</v>
          </cell>
        </row>
        <row r="18">
          <cell r="D18" t="str">
            <v>IROC - TRACTION CUT-OUT SWITCH</v>
          </cell>
          <cell r="E18" t="str">
            <v>Yes</v>
          </cell>
          <cell r="F18" t="str">
            <v>No</v>
          </cell>
          <cell r="G18" t="str">
            <v>TFOS</v>
          </cell>
          <cell r="H18" t="str">
            <v>Pull Forward</v>
          </cell>
          <cell r="I18" t="str">
            <v>IROC</v>
          </cell>
          <cell r="J18" t="str">
            <v>ATM</v>
          </cell>
          <cell r="K18">
            <v>0</v>
          </cell>
          <cell r="L18" t="str">
            <v>JHOPL-WI-11-018</v>
          </cell>
          <cell r="M18" t="str">
            <v>JHOPL</v>
          </cell>
        </row>
        <row r="19">
          <cell r="D19" t="str">
            <v xml:space="preserve">IROC -  SHED RECEPTACLE AND SWITCH </v>
          </cell>
          <cell r="E19" t="str">
            <v>Yes</v>
          </cell>
          <cell r="F19" t="str">
            <v>No</v>
          </cell>
          <cell r="G19" t="str">
            <v>TFOS</v>
          </cell>
          <cell r="H19" t="str">
            <v>Pull Forward</v>
          </cell>
          <cell r="I19" t="str">
            <v>IROC</v>
          </cell>
          <cell r="J19" t="str">
            <v>ATM</v>
          </cell>
          <cell r="K19">
            <v>0</v>
          </cell>
          <cell r="L19" t="str">
            <v>JHOPL-WI-11-141</v>
          </cell>
          <cell r="M19" t="str">
            <v>JHOPL</v>
          </cell>
        </row>
        <row r="20">
          <cell r="D20" t="str">
            <v>REPLACE -  SHOEGEAR VOLTAGE &amp; REVERSE VOLTAGE RELAY</v>
          </cell>
          <cell r="E20" t="str">
            <v>Yes</v>
          </cell>
          <cell r="F20" t="str">
            <v>No</v>
          </cell>
          <cell r="G20" t="str">
            <v>TFOS</v>
          </cell>
          <cell r="H20" t="str">
            <v>Pull Forward</v>
          </cell>
          <cell r="I20" t="str">
            <v>REPLACE</v>
          </cell>
          <cell r="J20" t="str">
            <v>ATM</v>
          </cell>
          <cell r="K20">
            <v>0</v>
          </cell>
          <cell r="L20">
            <v>0</v>
          </cell>
          <cell r="M20" t="str">
            <v>MORS SMITT</v>
          </cell>
        </row>
        <row r="21">
          <cell r="D21" t="str">
            <v>IROC - CURRENT LIMITING INDUCTOR</v>
          </cell>
          <cell r="E21" t="str">
            <v>Yes</v>
          </cell>
          <cell r="F21" t="str">
            <v>No</v>
          </cell>
          <cell r="G21" t="str">
            <v>TFOS</v>
          </cell>
          <cell r="H21" t="str">
            <v>Pull Forward</v>
          </cell>
          <cell r="I21" t="str">
            <v>IROC</v>
          </cell>
          <cell r="J21" t="str">
            <v>ATM</v>
          </cell>
          <cell r="K21">
            <v>0</v>
          </cell>
          <cell r="L21" t="str">
            <v>JHOPL-WI-17-068</v>
          </cell>
          <cell r="M21" t="str">
            <v>JHOPL</v>
          </cell>
        </row>
        <row r="22">
          <cell r="D22" t="str">
            <v>IROC - AUXILIARY LINK FILTER INDUCTOR</v>
          </cell>
          <cell r="E22" t="str">
            <v>Yes</v>
          </cell>
          <cell r="F22" t="str">
            <v>No</v>
          </cell>
          <cell r="G22" t="str">
            <v>TFOS</v>
          </cell>
          <cell r="H22" t="str">
            <v>Pull Forward</v>
          </cell>
          <cell r="I22" t="str">
            <v>IROC</v>
          </cell>
          <cell r="J22" t="str">
            <v>ATM</v>
          </cell>
          <cell r="K22">
            <v>0</v>
          </cell>
          <cell r="L22" t="str">
            <v>JHOPL-WI-17-069</v>
          </cell>
          <cell r="M22" t="str">
            <v>JHOPL</v>
          </cell>
        </row>
        <row r="23">
          <cell r="D23" t="str">
            <v>IROC - LINE FILTER INDUCTOR</v>
          </cell>
          <cell r="E23" t="str">
            <v>Yes</v>
          </cell>
          <cell r="F23" t="str">
            <v>No</v>
          </cell>
          <cell r="G23" t="str">
            <v>AOO, CP</v>
          </cell>
          <cell r="H23" t="str">
            <v>Pull Forward</v>
          </cell>
          <cell r="I23" t="str">
            <v>IROC</v>
          </cell>
          <cell r="J23" t="str">
            <v>ATM</v>
          </cell>
          <cell r="K23">
            <v>0</v>
          </cell>
          <cell r="L23" t="str">
            <v>JHOPL-WI-11-024</v>
          </cell>
          <cell r="M23" t="str">
            <v>JHOPL - ALSTOM</v>
          </cell>
        </row>
        <row r="24">
          <cell r="D24" t="str">
            <v>IROC - CONTROL SUPPLY RESISTOR (CSZ)</v>
          </cell>
          <cell r="E24" t="str">
            <v>Yes</v>
          </cell>
          <cell r="F24" t="str">
            <v>No</v>
          </cell>
          <cell r="G24" t="str">
            <v>AOO, CP</v>
          </cell>
          <cell r="H24" t="str">
            <v>Pull Forward</v>
          </cell>
          <cell r="I24" t="str">
            <v>IROC</v>
          </cell>
          <cell r="J24" t="str">
            <v>ATM</v>
          </cell>
          <cell r="K24">
            <v>0</v>
          </cell>
          <cell r="L24" t="str">
            <v>JHOPL-WI-17-071</v>
          </cell>
          <cell r="M24" t="str">
            <v>JHOPL - ALSTOM</v>
          </cell>
        </row>
        <row r="25">
          <cell r="D25" t="str">
            <v>IROC - STEP-DOWN CHOPPER SNUBBER RESISITOR</v>
          </cell>
          <cell r="E25" t="str">
            <v>Yes</v>
          </cell>
          <cell r="F25" t="str">
            <v>No</v>
          </cell>
          <cell r="G25" t="str">
            <v>TFOS</v>
          </cell>
          <cell r="H25" t="str">
            <v>Pull Forward</v>
          </cell>
          <cell r="I25" t="str">
            <v>IROC</v>
          </cell>
          <cell r="J25" t="str">
            <v>ATM</v>
          </cell>
          <cell r="K25">
            <v>0</v>
          </cell>
          <cell r="L25">
            <v>0</v>
          </cell>
          <cell r="M25" t="str">
            <v>JHOPL</v>
          </cell>
        </row>
        <row r="26">
          <cell r="D26" t="str">
            <v>REMOVE BOGIE A (TYPE A)</v>
          </cell>
          <cell r="E26" t="str">
            <v>Yes</v>
          </cell>
          <cell r="F26" t="str">
            <v>No</v>
          </cell>
          <cell r="G26" t="str">
            <v>Blue Team</v>
          </cell>
          <cell r="H26">
            <v>45209</v>
          </cell>
          <cell r="I26" t="str">
            <v>OH</v>
          </cell>
          <cell r="J26" t="str">
            <v>TM</v>
          </cell>
          <cell r="K26">
            <v>0</v>
          </cell>
          <cell r="L26" t="str">
            <v>JHOPL-WI-14-188</v>
          </cell>
          <cell r="M26" t="str">
            <v>JHOPL</v>
          </cell>
        </row>
        <row r="27">
          <cell r="D27" t="str">
            <v>REFIT BOGIE A (TYPE A)</v>
          </cell>
          <cell r="E27" t="str">
            <v>Yes</v>
          </cell>
          <cell r="F27" t="str">
            <v>No</v>
          </cell>
          <cell r="G27" t="str">
            <v>Blue Team</v>
          </cell>
          <cell r="H27">
            <v>45222</v>
          </cell>
          <cell r="I27" t="str">
            <v>OH</v>
          </cell>
          <cell r="J27" t="str">
            <v>TM</v>
          </cell>
          <cell r="K27">
            <v>0</v>
          </cell>
          <cell r="L27" t="str">
            <v>JHOPL-WI-14-188</v>
          </cell>
          <cell r="M27" t="str">
            <v>JHOPL</v>
          </cell>
        </row>
        <row r="28">
          <cell r="D28" t="str">
            <v>REMOVE BOGIE D (TYPE A)</v>
          </cell>
          <cell r="E28" t="str">
            <v>Yes</v>
          </cell>
          <cell r="F28" t="str">
            <v>No</v>
          </cell>
          <cell r="G28" t="str">
            <v>Blue Team</v>
          </cell>
          <cell r="H28">
            <v>45209</v>
          </cell>
          <cell r="I28" t="str">
            <v>OH</v>
          </cell>
          <cell r="J28" t="str">
            <v>TM</v>
          </cell>
          <cell r="K28">
            <v>0</v>
          </cell>
          <cell r="L28" t="str">
            <v>JHOPL-WI-14-188</v>
          </cell>
          <cell r="M28" t="str">
            <v>JHOPL</v>
          </cell>
        </row>
        <row r="29">
          <cell r="D29" t="str">
            <v>REFIT BOGIE D (TYPE A)</v>
          </cell>
          <cell r="E29" t="str">
            <v>Yes</v>
          </cell>
          <cell r="F29" t="str">
            <v>No</v>
          </cell>
          <cell r="G29" t="str">
            <v xml:space="preserve">Red Team </v>
          </cell>
          <cell r="H29">
            <v>45217</v>
          </cell>
          <cell r="I29" t="str">
            <v>OH</v>
          </cell>
          <cell r="J29" t="str">
            <v>TM</v>
          </cell>
          <cell r="K29">
            <v>0</v>
          </cell>
          <cell r="L29" t="str">
            <v>JHOPL-WI-14-188</v>
          </cell>
          <cell r="M29" t="str">
            <v>JHOPL</v>
          </cell>
        </row>
        <row r="30">
          <cell r="D30" t="str">
            <v>REPLACE CONTACTOR</v>
          </cell>
          <cell r="E30" t="str">
            <v>Yes</v>
          </cell>
          <cell r="F30" t="str">
            <v>No</v>
          </cell>
          <cell r="G30" t="str">
            <v>SC, CB, JTT</v>
          </cell>
          <cell r="H30">
            <v>45215</v>
          </cell>
          <cell r="I30" t="str">
            <v>OH</v>
          </cell>
          <cell r="J30" t="str">
            <v>ATM</v>
          </cell>
          <cell r="K30">
            <v>0</v>
          </cell>
          <cell r="L30" t="str">
            <v>JHOPL-WI-11-129</v>
          </cell>
          <cell r="M30" t="str">
            <v>ALSTOM</v>
          </cell>
        </row>
        <row r="31">
          <cell r="D31" t="str">
            <v>REPLACE CONTACTOR</v>
          </cell>
          <cell r="E31" t="str">
            <v>Yes</v>
          </cell>
          <cell r="F31" t="str">
            <v>No</v>
          </cell>
          <cell r="G31" t="str">
            <v>SC, CB, JTT</v>
          </cell>
          <cell r="H31">
            <v>45215</v>
          </cell>
          <cell r="I31" t="str">
            <v>OH</v>
          </cell>
          <cell r="J31" t="str">
            <v>ATM</v>
          </cell>
          <cell r="K31">
            <v>0</v>
          </cell>
          <cell r="L31" t="str">
            <v>JHOPL-WI-11-129</v>
          </cell>
          <cell r="M31" t="str">
            <v>ALSTOM</v>
          </cell>
        </row>
        <row r="32">
          <cell r="D32" t="str">
            <v>REPLACE FILTER HARD CROWBAR THYRISTOR ASSEMBLY</v>
          </cell>
          <cell r="E32" t="str">
            <v>Yes</v>
          </cell>
          <cell r="F32" t="str">
            <v>No</v>
          </cell>
          <cell r="G32" t="str">
            <v xml:space="preserve">SC, CB, </v>
          </cell>
          <cell r="H32">
            <v>45209</v>
          </cell>
          <cell r="I32" t="str">
            <v>OH</v>
          </cell>
          <cell r="J32" t="str">
            <v>ATM</v>
          </cell>
          <cell r="K32">
            <v>0</v>
          </cell>
          <cell r="L32" t="str">
            <v>JHOPL-WI-11-006</v>
          </cell>
          <cell r="M32" t="str">
            <v>ALSTOM</v>
          </cell>
        </row>
        <row r="33">
          <cell r="D33" t="str">
            <v>REPLACE POWER SUPPLY MODULE</v>
          </cell>
          <cell r="E33" t="str">
            <v>Yes</v>
          </cell>
          <cell r="F33" t="str">
            <v>No</v>
          </cell>
          <cell r="G33" t="str">
            <v>SC, CB, VN</v>
          </cell>
          <cell r="H33">
            <v>45209</v>
          </cell>
          <cell r="I33" t="str">
            <v>OH</v>
          </cell>
          <cell r="J33" t="str">
            <v>ATM</v>
          </cell>
          <cell r="K33">
            <v>0</v>
          </cell>
          <cell r="L33" t="str">
            <v>JHOPL-WI-11-008</v>
          </cell>
          <cell r="M33" t="str">
            <v>ALSTOM</v>
          </cell>
        </row>
        <row r="34">
          <cell r="D34" t="str">
            <v>REPLACE AUXILIARY CONVERTER ELECTRONIC MODULE</v>
          </cell>
          <cell r="E34" t="str">
            <v>Yes</v>
          </cell>
          <cell r="F34" t="str">
            <v>No</v>
          </cell>
          <cell r="G34" t="str">
            <v>SC, CB, VN</v>
          </cell>
          <cell r="H34">
            <v>45209</v>
          </cell>
          <cell r="I34" t="str">
            <v>OH</v>
          </cell>
          <cell r="J34" t="str">
            <v>ATM</v>
          </cell>
          <cell r="K34">
            <v>0</v>
          </cell>
          <cell r="L34" t="str">
            <v>JHOPL-WI-17-150</v>
          </cell>
          <cell r="M34" t="str">
            <v>ALSTOM</v>
          </cell>
        </row>
        <row r="35">
          <cell r="D35" t="str">
            <v>REPLACE 2 SERVICE BRAKE DROP HOSES</v>
          </cell>
          <cell r="E35" t="str">
            <v>Yes</v>
          </cell>
          <cell r="F35" t="str">
            <v>No</v>
          </cell>
          <cell r="G35" t="str">
            <v>Blue Team</v>
          </cell>
          <cell r="H35">
            <v>45222</v>
          </cell>
          <cell r="I35" t="str">
            <v>REPLACE</v>
          </cell>
          <cell r="J35" t="str">
            <v>TM</v>
          </cell>
          <cell r="K35">
            <v>0</v>
          </cell>
          <cell r="L35" t="str">
            <v>JHOPL-WI-19-162</v>
          </cell>
          <cell r="M35" t="str">
            <v>TIDYCO</v>
          </cell>
        </row>
        <row r="36">
          <cell r="D36" t="str">
            <v>REPLACE PARKING BRAKE DROP HOSE</v>
          </cell>
          <cell r="E36" t="str">
            <v>Yes</v>
          </cell>
          <cell r="F36" t="str">
            <v>No</v>
          </cell>
          <cell r="G36" t="str">
            <v>Blue Team</v>
          </cell>
          <cell r="H36">
            <v>45222</v>
          </cell>
          <cell r="I36" t="str">
            <v>REPLACE</v>
          </cell>
          <cell r="J36" t="str">
            <v>TM</v>
          </cell>
          <cell r="K36">
            <v>0</v>
          </cell>
          <cell r="L36" t="str">
            <v>JHOPL-WI-19-162</v>
          </cell>
          <cell r="M36" t="str">
            <v>TIDYCO</v>
          </cell>
        </row>
        <row r="37">
          <cell r="D37" t="str">
            <v>REPLACE 2 SLEETBRUSH DROP HOSES (POSITIVE)</v>
          </cell>
          <cell r="E37" t="str">
            <v>Yes</v>
          </cell>
          <cell r="F37" t="str">
            <v>No</v>
          </cell>
          <cell r="G37" t="str">
            <v>Blue Team</v>
          </cell>
          <cell r="H37">
            <v>45222</v>
          </cell>
          <cell r="I37" t="str">
            <v>REPLACE</v>
          </cell>
          <cell r="J37" t="str">
            <v>TM</v>
          </cell>
          <cell r="K37">
            <v>0</v>
          </cell>
          <cell r="L37" t="str">
            <v>JHOPL-WI-19-160</v>
          </cell>
          <cell r="M37" t="str">
            <v>TIDYCO</v>
          </cell>
        </row>
        <row r="38">
          <cell r="D38" t="str">
            <v>REPLACE 1 SLEETBRUSH HOSE (NEGATIVE)</v>
          </cell>
          <cell r="E38" t="str">
            <v>Yes</v>
          </cell>
          <cell r="F38" t="str">
            <v>No</v>
          </cell>
          <cell r="G38" t="str">
            <v>Blue Team</v>
          </cell>
          <cell r="H38">
            <v>45222</v>
          </cell>
          <cell r="I38" t="str">
            <v>REPLACE</v>
          </cell>
          <cell r="J38" t="str">
            <v>TM</v>
          </cell>
          <cell r="K38">
            <v>0</v>
          </cell>
          <cell r="L38" t="str">
            <v>JHOPL-WI-19-160</v>
          </cell>
          <cell r="M38" t="str">
            <v>TIDYCO</v>
          </cell>
        </row>
        <row r="39">
          <cell r="D39" t="str">
            <v>REPLACE 2 SLEETBRUSH CYLINDER HOSES (POSITIVE)</v>
          </cell>
          <cell r="E39" t="str">
            <v>Yes</v>
          </cell>
          <cell r="F39" t="str">
            <v>No</v>
          </cell>
          <cell r="G39" t="str">
            <v>Blue Team</v>
          </cell>
          <cell r="H39">
            <v>45222</v>
          </cell>
          <cell r="I39" t="str">
            <v>REPLACE</v>
          </cell>
          <cell r="J39" t="str">
            <v>TM</v>
          </cell>
          <cell r="K39">
            <v>0</v>
          </cell>
          <cell r="L39" t="str">
            <v>JHOPL-WI-19-160</v>
          </cell>
          <cell r="M39" t="str">
            <v>TIDYCO</v>
          </cell>
        </row>
        <row r="40">
          <cell r="D40" t="str">
            <v>REPLACE 2 SERVICE BRAKE DROP HOSES</v>
          </cell>
          <cell r="E40" t="str">
            <v>Yes</v>
          </cell>
          <cell r="F40" t="str">
            <v>No</v>
          </cell>
          <cell r="G40" t="str">
            <v>Blue Team</v>
          </cell>
          <cell r="H40">
            <v>45222</v>
          </cell>
          <cell r="I40" t="str">
            <v>REPLACE</v>
          </cell>
          <cell r="J40" t="str">
            <v>TM</v>
          </cell>
          <cell r="K40">
            <v>0</v>
          </cell>
          <cell r="L40" t="str">
            <v>JHOPL-WI-19-162</v>
          </cell>
          <cell r="M40" t="str">
            <v>TIDYCO</v>
          </cell>
        </row>
        <row r="41">
          <cell r="D41" t="str">
            <v>REPLACE PARKING BRAKE DROP HOSE</v>
          </cell>
          <cell r="E41" t="str">
            <v>Yes</v>
          </cell>
          <cell r="F41" t="str">
            <v>No</v>
          </cell>
          <cell r="G41" t="str">
            <v>Blue Team</v>
          </cell>
          <cell r="H41">
            <v>45222</v>
          </cell>
          <cell r="I41" t="str">
            <v>REPLACE</v>
          </cell>
          <cell r="J41" t="str">
            <v>TM</v>
          </cell>
          <cell r="K41">
            <v>0</v>
          </cell>
          <cell r="L41" t="str">
            <v>JHOPL-WI-19-162</v>
          </cell>
          <cell r="M41" t="str">
            <v>TIDYCO</v>
          </cell>
        </row>
        <row r="42">
          <cell r="D42" t="str">
            <v>IROC - WHEEL SPEED PROBE</v>
          </cell>
          <cell r="E42" t="str">
            <v>Yes</v>
          </cell>
          <cell r="F42" t="str">
            <v>No</v>
          </cell>
          <cell r="G42" t="str">
            <v>ATM's</v>
          </cell>
          <cell r="H42">
            <v>45217</v>
          </cell>
          <cell r="I42" t="str">
            <v>IROC</v>
          </cell>
          <cell r="J42" t="str">
            <v>ATM</v>
          </cell>
          <cell r="K42">
            <v>0</v>
          </cell>
          <cell r="L42" t="str">
            <v>JHOPL-WI-11-002</v>
          </cell>
          <cell r="M42" t="str">
            <v>JHOPL</v>
          </cell>
        </row>
        <row r="43">
          <cell r="D43" t="str">
            <v>REPLACE LINE CONTACTOR AIR SUPPLY</v>
          </cell>
          <cell r="E43" t="str">
            <v>No</v>
          </cell>
          <cell r="F43"/>
          <cell r="G43"/>
          <cell r="H43"/>
          <cell r="I43" t="str">
            <v>REPLACE</v>
          </cell>
          <cell r="J43" t="str">
            <v>ATM</v>
          </cell>
          <cell r="K43">
            <v>0</v>
          </cell>
          <cell r="L43" t="str">
            <v>JHOPL-WI-11-191</v>
          </cell>
          <cell r="M43" t="str">
            <v>ALSTOM</v>
          </cell>
        </row>
        <row r="44">
          <cell r="D44" t="str">
            <v>REPLACE UNCOUPLER SWITCH</v>
          </cell>
          <cell r="E44" t="str">
            <v>Yes</v>
          </cell>
          <cell r="F44" t="str">
            <v xml:space="preserve">No </v>
          </cell>
          <cell r="G44" t="str">
            <v>JL,LN,BP, DH, KM</v>
          </cell>
          <cell r="H44">
            <v>45872</v>
          </cell>
          <cell r="I44" t="str">
            <v>OH</v>
          </cell>
          <cell r="J44" t="str">
            <v>ATM</v>
          </cell>
          <cell r="K44">
            <v>0</v>
          </cell>
          <cell r="L44" t="str">
            <v>JHOPL-WI-15-147</v>
          </cell>
          <cell r="M44" t="str">
            <v>WABTEC</v>
          </cell>
        </row>
        <row r="45">
          <cell r="D45" t="str">
            <v>REPLACE 3 PROPULSION INVERTER MODULES</v>
          </cell>
          <cell r="E45" t="str">
            <v>Yes</v>
          </cell>
          <cell r="F45" t="str">
            <v>No</v>
          </cell>
          <cell r="G45" t="str">
            <v>JL,LN,BP. RN, NA</v>
          </cell>
          <cell r="H45">
            <v>45872</v>
          </cell>
          <cell r="I45" t="str">
            <v>OH</v>
          </cell>
          <cell r="J45" t="str">
            <v>ATM</v>
          </cell>
          <cell r="K45">
            <v>0</v>
          </cell>
          <cell r="L45" t="str">
            <v>JHOPL-WI-11-132</v>
          </cell>
          <cell r="M45" t="str">
            <v>ALSTOM</v>
          </cell>
        </row>
        <row r="46">
          <cell r="D46" t="str">
            <v>REPLACE LINE FILTER CAPACITOR TRAY10 CAP</v>
          </cell>
          <cell r="E46" t="str">
            <v>Yes</v>
          </cell>
          <cell r="F46" t="str">
            <v>No</v>
          </cell>
          <cell r="G46" t="str">
            <v>CB, JTT</v>
          </cell>
          <cell r="H46">
            <v>45215</v>
          </cell>
          <cell r="I46" t="str">
            <v>OH</v>
          </cell>
          <cell r="J46" t="str">
            <v>ATM</v>
          </cell>
          <cell r="K46">
            <v>0</v>
          </cell>
          <cell r="L46" t="str">
            <v>JHOPL-WI-11-010</v>
          </cell>
          <cell r="M46" t="str">
            <v>ALSTOM</v>
          </cell>
        </row>
        <row r="47">
          <cell r="D47" t="str">
            <v>REPLACE LINE FILTER CAPACITOR TRAY 7 CAP ALFK</v>
          </cell>
          <cell r="E47" t="str">
            <v>Yes</v>
          </cell>
          <cell r="F47" t="str">
            <v>No</v>
          </cell>
          <cell r="G47" t="str">
            <v>CB, JTT</v>
          </cell>
          <cell r="H47">
            <v>45215</v>
          </cell>
          <cell r="I47" t="str">
            <v>OH</v>
          </cell>
          <cell r="J47" t="str">
            <v>ATM</v>
          </cell>
          <cell r="K47">
            <v>0</v>
          </cell>
          <cell r="L47" t="str">
            <v>JHOPL-WI-11-011</v>
          </cell>
          <cell r="M47" t="str">
            <v>ALSTOM</v>
          </cell>
        </row>
        <row r="48">
          <cell r="D48" t="str">
            <v>REPLACE AUXILIARY INVERTER AND RHEOSTATIC BRAKE MODULE</v>
          </cell>
          <cell r="E48" t="str">
            <v>Yes</v>
          </cell>
          <cell r="F48" t="str">
            <v>No</v>
          </cell>
          <cell r="G48" t="str">
            <v>JL,LN,BP. RN, NA</v>
          </cell>
          <cell r="H48">
            <v>45872</v>
          </cell>
          <cell r="I48" t="str">
            <v>OH</v>
          </cell>
          <cell r="J48" t="str">
            <v>TM</v>
          </cell>
          <cell r="K48">
            <v>0</v>
          </cell>
          <cell r="L48" t="str">
            <v>JHOPL-WI-17-149</v>
          </cell>
          <cell r="M48" t="str">
            <v>ALSTOM</v>
          </cell>
        </row>
        <row r="49">
          <cell r="D49" t="str">
            <v>REPLACE TRACTION BRAKE CONTROLLER</v>
          </cell>
          <cell r="E49" t="str">
            <v>Yes</v>
          </cell>
          <cell r="F49" t="str">
            <v>No</v>
          </cell>
          <cell r="G49" t="str">
            <v>AL, JN, CB, JTT</v>
          </cell>
          <cell r="H49">
            <v>45209</v>
          </cell>
          <cell r="I49" t="str">
            <v>OH</v>
          </cell>
          <cell r="J49" t="str">
            <v>ATM</v>
          </cell>
          <cell r="K49">
            <v>0</v>
          </cell>
          <cell r="L49" t="str">
            <v>JHOPL-WI-11-136</v>
          </cell>
          <cell r="M49" t="str">
            <v>KBRS</v>
          </cell>
        </row>
        <row r="50">
          <cell r="D50" t="str">
            <v>REPLACE BRAKE CYLINDER PRESSURE SWITCH</v>
          </cell>
          <cell r="E50" t="str">
            <v>Yes</v>
          </cell>
          <cell r="F50" t="str">
            <v>No</v>
          </cell>
          <cell r="G50" t="str">
            <v>JT, HS, SC</v>
          </cell>
          <cell r="H50">
            <v>45209</v>
          </cell>
          <cell r="I50" t="str">
            <v>OH</v>
          </cell>
          <cell r="J50" t="str">
            <v>TM</v>
          </cell>
          <cell r="K50">
            <v>0</v>
          </cell>
          <cell r="L50" t="str">
            <v>JHOPL-WI-10-122</v>
          </cell>
          <cell r="M50" t="str">
            <v>KBRS</v>
          </cell>
        </row>
        <row r="51">
          <cell r="D51" t="str">
            <v>REPLACE BRAKE CYLINDER PRESSURE SWITCH</v>
          </cell>
          <cell r="E51" t="str">
            <v>Yes</v>
          </cell>
          <cell r="F51" t="str">
            <v>No</v>
          </cell>
          <cell r="G51" t="str">
            <v>JT, HS, SC</v>
          </cell>
          <cell r="H51">
            <v>45209</v>
          </cell>
          <cell r="I51" t="str">
            <v>OH</v>
          </cell>
          <cell r="J51" t="str">
            <v>TM</v>
          </cell>
          <cell r="K51">
            <v>0</v>
          </cell>
          <cell r="L51" t="str">
            <v>JHOPL-WI-10-122</v>
          </cell>
          <cell r="M51" t="str">
            <v>KBRS</v>
          </cell>
        </row>
        <row r="52">
          <cell r="D52" t="str">
            <v>IROC 1/2" VENTED BALL VALVE - EXTERNAL</v>
          </cell>
          <cell r="E52" t="str">
            <v>Yes</v>
          </cell>
          <cell r="F52" t="str">
            <v>No</v>
          </cell>
          <cell r="G52" t="str">
            <v>TL, CC, JB</v>
          </cell>
          <cell r="H52">
            <v>45211</v>
          </cell>
          <cell r="I52" t="str">
            <v>IROC</v>
          </cell>
          <cell r="J52" t="str">
            <v>TM</v>
          </cell>
          <cell r="K52">
            <v>0</v>
          </cell>
          <cell r="L52" t="str">
            <v>JHOPL-WI-19-080
JHOPL-WI-19-102
JHOPL-WI-19-105</v>
          </cell>
          <cell r="M52" t="str">
            <v>JHOPL - KBRS</v>
          </cell>
        </row>
        <row r="53">
          <cell r="D53" t="str">
            <v>REPLACE VARIABLE  LOAD VALVE</v>
          </cell>
          <cell r="E53" t="str">
            <v>No</v>
          </cell>
          <cell r="F53"/>
          <cell r="G53"/>
          <cell r="H53"/>
          <cell r="I53" t="str">
            <v>OH</v>
          </cell>
          <cell r="J53" t="str">
            <v>TM</v>
          </cell>
          <cell r="K53">
            <v>0</v>
          </cell>
          <cell r="L53" t="str">
            <v>JHOPL-WI-10-126</v>
          </cell>
          <cell r="M53" t="str">
            <v>KBRS</v>
          </cell>
        </row>
        <row r="54">
          <cell r="D54" t="str">
            <v>REPLACE BRAKE RELEASE VALVE</v>
          </cell>
          <cell r="E54" t="str">
            <v>Yes</v>
          </cell>
          <cell r="F54" t="str">
            <v>No</v>
          </cell>
          <cell r="G54" t="str">
            <v>AOB</v>
          </cell>
          <cell r="H54">
            <v>45210</v>
          </cell>
          <cell r="I54" t="str">
            <v>OH</v>
          </cell>
          <cell r="J54" t="str">
            <v>TM</v>
          </cell>
          <cell r="K54">
            <v>0</v>
          </cell>
          <cell r="L54" t="str">
            <v>JHOPL-WI-10-124</v>
          </cell>
          <cell r="M54" t="str">
            <v>KBRS</v>
          </cell>
        </row>
        <row r="55">
          <cell r="D55" t="str">
            <v>REPLACE BRAKE SALOON GAUGE</v>
          </cell>
          <cell r="E55" t="str">
            <v>Yes</v>
          </cell>
          <cell r="F55" t="str">
            <v>No</v>
          </cell>
          <cell r="G55" t="str">
            <v>MAA, AL, JN</v>
          </cell>
          <cell r="H55">
            <v>45210</v>
          </cell>
          <cell r="I55" t="str">
            <v>REPLACE</v>
          </cell>
          <cell r="J55" t="str">
            <v>TM</v>
          </cell>
          <cell r="K55">
            <v>0</v>
          </cell>
          <cell r="L55" t="str">
            <v>JHOPL-WI-10-001</v>
          </cell>
          <cell r="M55" t="str">
            <v>KBRS</v>
          </cell>
        </row>
        <row r="56">
          <cell r="D56" t="str">
            <v>REPLACE CLAU</v>
          </cell>
          <cell r="E56" t="str">
            <v>No</v>
          </cell>
          <cell r="F56"/>
          <cell r="G56"/>
          <cell r="H56"/>
          <cell r="I56" t="str">
            <v>OH</v>
          </cell>
          <cell r="J56" t="str">
            <v>ATM</v>
          </cell>
          <cell r="K56">
            <v>0</v>
          </cell>
          <cell r="L56" t="str">
            <v>JHOPL-WI-10-126</v>
          </cell>
          <cell r="M56" t="str">
            <v>KBRS</v>
          </cell>
        </row>
        <row r="57">
          <cell r="D57" t="str">
            <v>REPLACE PNEUMATIC BRAKE DRIVER</v>
          </cell>
          <cell r="E57" t="str">
            <v>Yes</v>
          </cell>
          <cell r="F57" t="str">
            <v>No</v>
          </cell>
          <cell r="G57" t="str">
            <v>JD, AOB, NA</v>
          </cell>
          <cell r="H57">
            <v>45220</v>
          </cell>
          <cell r="I57" t="str">
            <v>OH</v>
          </cell>
          <cell r="J57" t="str">
            <v>TM</v>
          </cell>
          <cell r="K57">
            <v>0</v>
          </cell>
          <cell r="L57" t="str">
            <v>JHOPL-WI-10-125</v>
          </cell>
          <cell r="M57" t="str">
            <v>KBRS</v>
          </cell>
        </row>
        <row r="58">
          <cell r="D58" t="str">
            <v>REPLACE 3/4" GANGED VENTED COCKS</v>
          </cell>
          <cell r="E58" t="str">
            <v>Yes</v>
          </cell>
          <cell r="F58"/>
          <cell r="G58" t="str">
            <v>HS</v>
          </cell>
          <cell r="H58">
            <v>45872</v>
          </cell>
          <cell r="I58" t="str">
            <v>OH</v>
          </cell>
          <cell r="J58" t="str">
            <v>TM</v>
          </cell>
          <cell r="K58">
            <v>0</v>
          </cell>
          <cell r="L58" t="str">
            <v>JHOPL-WI-19-082</v>
          </cell>
          <cell r="M58" t="str">
            <v>REW</v>
          </cell>
        </row>
        <row r="59">
          <cell r="D59" t="str">
            <v>REPLACE ENCODER UNIT</v>
          </cell>
          <cell r="E59" t="str">
            <v>Yes</v>
          </cell>
          <cell r="F59" t="str">
            <v>No</v>
          </cell>
          <cell r="G59" t="str">
            <v>AL, JN, NA</v>
          </cell>
          <cell r="H59">
            <v>45220</v>
          </cell>
          <cell r="I59" t="str">
            <v>OH</v>
          </cell>
          <cell r="J59" t="str">
            <v>TM</v>
          </cell>
          <cell r="K59">
            <v>0</v>
          </cell>
          <cell r="L59" t="str">
            <v>JHOPL-WI-10-128</v>
          </cell>
          <cell r="M59" t="str">
            <v>KBRS</v>
          </cell>
        </row>
        <row r="60">
          <cell r="D60" t="str">
            <v>REPLACE 4 WSP DUMP VALVES</v>
          </cell>
          <cell r="E60" t="str">
            <v>Yes</v>
          </cell>
          <cell r="F60" t="str">
            <v>No</v>
          </cell>
          <cell r="G60" t="str">
            <v>CP, AS, KA</v>
          </cell>
          <cell r="H60">
            <v>45210</v>
          </cell>
          <cell r="I60" t="str">
            <v>OH</v>
          </cell>
          <cell r="J60" t="str">
            <v>TM</v>
          </cell>
          <cell r="K60">
            <v>0</v>
          </cell>
          <cell r="L60" t="str">
            <v>JHOPL-WI-19-163</v>
          </cell>
          <cell r="M60" t="str">
            <v>KBRS</v>
          </cell>
        </row>
        <row r="61">
          <cell r="D61" t="str">
            <v>REPLACE WHISTLE (TYPE 3C)</v>
          </cell>
          <cell r="E61" t="str">
            <v>Yes</v>
          </cell>
          <cell r="F61" t="str">
            <v>No</v>
          </cell>
          <cell r="G61" t="str">
            <v>JS,JD</v>
          </cell>
          <cell r="H61">
            <v>45875</v>
          </cell>
          <cell r="I61" t="str">
            <v>OH</v>
          </cell>
          <cell r="J61" t="str">
            <v>TM</v>
          </cell>
          <cell r="K61">
            <v>0</v>
          </cell>
          <cell r="L61" t="str">
            <v>JHOPL-WI-19-118</v>
          </cell>
          <cell r="M61" t="str">
            <v>REW</v>
          </cell>
        </row>
        <row r="62">
          <cell r="D62" t="str">
            <v>REPLACE 5/3 WHISTLE SPOOL VALVE</v>
          </cell>
          <cell r="E62" t="str">
            <v>Yes</v>
          </cell>
          <cell r="F62" t="str">
            <v>No</v>
          </cell>
          <cell r="G62" t="str">
            <v>RN</v>
          </cell>
          <cell r="H62">
            <v>45210</v>
          </cell>
          <cell r="I62" t="str">
            <v>REPLACE</v>
          </cell>
          <cell r="J62" t="str">
            <v>TM</v>
          </cell>
          <cell r="K62">
            <v>0</v>
          </cell>
          <cell r="L62" t="str">
            <v>JHOPL-WI-19-083</v>
          </cell>
          <cell r="M62" t="str">
            <v>KBRS</v>
          </cell>
        </row>
        <row r="63">
          <cell r="D63" t="str">
            <v>REPLACE WHISTLE CONTROL LEVER VALVE (DRIVER SIDE)</v>
          </cell>
          <cell r="E63" t="str">
            <v>Yes</v>
          </cell>
          <cell r="F63" t="str">
            <v>No</v>
          </cell>
          <cell r="G63" t="str">
            <v>RN</v>
          </cell>
          <cell r="H63">
            <v>45210</v>
          </cell>
          <cell r="I63" t="str">
            <v>REPLACE</v>
          </cell>
          <cell r="J63" t="str">
            <v>TM</v>
          </cell>
          <cell r="K63">
            <v>0</v>
          </cell>
          <cell r="L63" t="str">
            <v>JHOPL-WI-19-084</v>
          </cell>
          <cell r="M63" t="str">
            <v>KBRS</v>
          </cell>
        </row>
        <row r="64">
          <cell r="D64" t="str">
            <v>REPLACE WHISTLE  OPERATED PRESSURE SWITCH</v>
          </cell>
          <cell r="E64" t="str">
            <v>Yes</v>
          </cell>
          <cell r="F64" t="str">
            <v>No</v>
          </cell>
          <cell r="G64" t="str">
            <v>JN</v>
          </cell>
          <cell r="H64">
            <v>45210</v>
          </cell>
          <cell r="I64" t="str">
            <v>REPLACE</v>
          </cell>
          <cell r="J64" t="str">
            <v>TM</v>
          </cell>
          <cell r="K64">
            <v>0</v>
          </cell>
          <cell r="L64" t="str">
            <v>JHOPL-WI-19-164</v>
          </cell>
          <cell r="M64" t="str">
            <v>KBRS</v>
          </cell>
        </row>
        <row r="65">
          <cell r="D65" t="str">
            <v>REPLACE TRACTION  SUPPLY PRESSURE REGULATOR</v>
          </cell>
          <cell r="E65" t="str">
            <v>Yes</v>
          </cell>
          <cell r="F65" t="str">
            <v>No</v>
          </cell>
          <cell r="G65" t="str">
            <v>MR</v>
          </cell>
          <cell r="H65">
            <v>45210</v>
          </cell>
          <cell r="I65" t="str">
            <v>REPLACE</v>
          </cell>
          <cell r="J65" t="str">
            <v>TM</v>
          </cell>
          <cell r="K65">
            <v>0</v>
          </cell>
          <cell r="L65" t="str">
            <v>JHOPL-WI-19-167</v>
          </cell>
          <cell r="M65" t="str">
            <v>KBRS</v>
          </cell>
        </row>
        <row r="66">
          <cell r="D66" t="str">
            <v>REPLACE DOOR AIR SUPPLY PRESSURE REGULATOR</v>
          </cell>
          <cell r="E66" t="str">
            <v>Yes</v>
          </cell>
          <cell r="F66" t="str">
            <v>No</v>
          </cell>
          <cell r="G66" t="str">
            <v>AL, OM, KA</v>
          </cell>
          <cell r="H66">
            <v>45210</v>
          </cell>
          <cell r="I66" t="str">
            <v>REPLACE</v>
          </cell>
          <cell r="J66" t="str">
            <v>TM</v>
          </cell>
          <cell r="K66">
            <v>0</v>
          </cell>
          <cell r="L66" t="str">
            <v>JHOPL-WI-19-116</v>
          </cell>
          <cell r="M66" t="str">
            <v>KBRS</v>
          </cell>
        </row>
        <row r="67">
          <cell r="D67" t="str">
            <v>REPLACE 2 LOW MAIN LINE PRESSURE SWITCHES</v>
          </cell>
          <cell r="E67" t="str">
            <v>Yes</v>
          </cell>
          <cell r="F67" t="str">
            <v>No</v>
          </cell>
          <cell r="G67" t="str">
            <v>CC, MA</v>
          </cell>
          <cell r="H67">
            <v>45210</v>
          </cell>
          <cell r="I67" t="str">
            <v>REPLACE</v>
          </cell>
          <cell r="J67" t="str">
            <v>TM</v>
          </cell>
          <cell r="K67">
            <v>0</v>
          </cell>
          <cell r="L67" t="str">
            <v>JHOPL-WI-19-172</v>
          </cell>
          <cell r="M67" t="str">
            <v>KBRS</v>
          </cell>
        </row>
        <row r="68">
          <cell r="D68" t="str">
            <v>IROC - 3 COUPLING-TEST POINT-QUICK RELEASE</v>
          </cell>
          <cell r="E68" t="str">
            <v>Yes</v>
          </cell>
          <cell r="F68">
            <v>0</v>
          </cell>
          <cell r="G68" t="str">
            <v>TL, CC, JB</v>
          </cell>
          <cell r="H68">
            <v>45211</v>
          </cell>
          <cell r="I68" t="str">
            <v>IROC</v>
          </cell>
          <cell r="J68" t="str">
            <v>TM</v>
          </cell>
          <cell r="K68">
            <v>0</v>
          </cell>
          <cell r="L68" t="str">
            <v>JHOPL-WI-19-094</v>
          </cell>
          <cell r="M68" t="str">
            <v>JHOPL - KBRS</v>
          </cell>
        </row>
        <row r="69">
          <cell r="D69" t="str">
            <v>IROC - MAINLINE CAB GAUGE</v>
          </cell>
          <cell r="E69" t="str">
            <v>Yes</v>
          </cell>
          <cell r="F69">
            <v>0</v>
          </cell>
          <cell r="G69" t="str">
            <v>TL, CC, JB</v>
          </cell>
          <cell r="H69">
            <v>45211</v>
          </cell>
          <cell r="I69" t="str">
            <v>IROC</v>
          </cell>
          <cell r="J69" t="str">
            <v>TM</v>
          </cell>
          <cell r="K69">
            <v>0</v>
          </cell>
          <cell r="L69" t="str">
            <v>JHOPL-WI-19-095</v>
          </cell>
          <cell r="M69" t="str">
            <v>JHOPL - KBRS</v>
          </cell>
        </row>
        <row r="70">
          <cell r="D70" t="str">
            <v>IROC 2 PRESSURE GAUGES (DOOR/TRACTION SUPPLY)</v>
          </cell>
          <cell r="E70" t="str">
            <v>Yes</v>
          </cell>
          <cell r="F70">
            <v>0</v>
          </cell>
          <cell r="G70" t="str">
            <v>TL, CC, JB</v>
          </cell>
          <cell r="H70">
            <v>45211</v>
          </cell>
          <cell r="I70" t="str">
            <v>IROC</v>
          </cell>
          <cell r="J70" t="str">
            <v>TM</v>
          </cell>
          <cell r="K70">
            <v>0</v>
          </cell>
          <cell r="L70" t="str">
            <v>JHOPL-WI-19-120
JHOPL-WI-19-121</v>
          </cell>
          <cell r="M70" t="str">
            <v>JHOPL - KBRS</v>
          </cell>
        </row>
        <row r="71">
          <cell r="D71" t="str">
            <v>REPLACE AIR FILTER WITH AUTOMATIC DRAIN</v>
          </cell>
          <cell r="E71" t="str">
            <v>Yes</v>
          </cell>
          <cell r="F71" t="str">
            <v>No</v>
          </cell>
          <cell r="G71" t="str">
            <v>AOB</v>
          </cell>
          <cell r="H71">
            <v>45210</v>
          </cell>
          <cell r="I71" t="str">
            <v>REPLACE</v>
          </cell>
          <cell r="J71" t="str">
            <v>TM</v>
          </cell>
          <cell r="K71">
            <v>0</v>
          </cell>
          <cell r="L71" t="str">
            <v>JHOPL-WI-19-117</v>
          </cell>
          <cell r="M71" t="str">
            <v>KBRS</v>
          </cell>
        </row>
        <row r="72">
          <cell r="D72" t="str">
            <v>REPLACE BSR CHECK VALVE</v>
          </cell>
          <cell r="E72" t="str">
            <v>Yes</v>
          </cell>
          <cell r="F72" t="str">
            <v>No</v>
          </cell>
          <cell r="G72" t="str">
            <v>CP, AS</v>
          </cell>
          <cell r="H72">
            <v>45210</v>
          </cell>
          <cell r="I72" t="str">
            <v>OH</v>
          </cell>
          <cell r="J72" t="str">
            <v>TM</v>
          </cell>
          <cell r="K72">
            <v>0</v>
          </cell>
          <cell r="L72" t="str">
            <v>JHOPL-WI-19-097</v>
          </cell>
          <cell r="M72" t="str">
            <v>KBRS</v>
          </cell>
        </row>
        <row r="73">
          <cell r="D73" t="str">
            <v>REPLACE 2 MAINLINE PRESSURE SWITCH EP TEST VALVE</v>
          </cell>
          <cell r="E73" t="str">
            <v>Yes</v>
          </cell>
          <cell r="F73" t="str">
            <v>No</v>
          </cell>
          <cell r="G73" t="str">
            <v>RN</v>
          </cell>
          <cell r="H73">
            <v>45210</v>
          </cell>
          <cell r="I73" t="str">
            <v>REPLACE</v>
          </cell>
          <cell r="J73" t="str">
            <v>TM</v>
          </cell>
          <cell r="K73">
            <v>0</v>
          </cell>
          <cell r="L73" t="str">
            <v>JHOPL-WI-19-098</v>
          </cell>
          <cell r="M73" t="str">
            <v>KBRS</v>
          </cell>
        </row>
        <row r="74">
          <cell r="D74" t="str">
            <v>REPLACE 1/2" CHECK VALVE (SHOEGEAR AND LINEBREAKER AUX)</v>
          </cell>
          <cell r="E74" t="str">
            <v>Yes</v>
          </cell>
          <cell r="F74" t="str">
            <v>No</v>
          </cell>
          <cell r="G74" t="str">
            <v>JT</v>
          </cell>
          <cell r="H74">
            <v>45210</v>
          </cell>
          <cell r="I74" t="str">
            <v>OH</v>
          </cell>
          <cell r="J74" t="str">
            <v>TM</v>
          </cell>
          <cell r="K74">
            <v>0</v>
          </cell>
          <cell r="L74" t="str">
            <v>JHOPL-WI-19-099</v>
          </cell>
          <cell r="M74" t="str">
            <v>KBRS</v>
          </cell>
        </row>
        <row r="75">
          <cell r="D75" t="str">
            <v>REPLACE 1/2" CHECK VALVE (SHOEGEAR MANUAL CONTROL VALVE)</v>
          </cell>
          <cell r="E75" t="str">
            <v>Yes</v>
          </cell>
          <cell r="F75" t="str">
            <v>No</v>
          </cell>
          <cell r="G75" t="str">
            <v>JT</v>
          </cell>
          <cell r="H75">
            <v>45210</v>
          </cell>
          <cell r="I75" t="str">
            <v>OH</v>
          </cell>
          <cell r="J75" t="str">
            <v>TM</v>
          </cell>
          <cell r="K75">
            <v>0</v>
          </cell>
          <cell r="L75" t="str">
            <v>JHOPL-WI-19-099</v>
          </cell>
          <cell r="M75" t="str">
            <v>KBRS</v>
          </cell>
        </row>
        <row r="76">
          <cell r="D76" t="str">
            <v>REPLACE 1/2" CHECK VALVE(EXTERNAL AIR SUPPLY)</v>
          </cell>
          <cell r="E76" t="str">
            <v>Yes</v>
          </cell>
          <cell r="F76" t="str">
            <v>No</v>
          </cell>
          <cell r="G76" t="str">
            <v>JT</v>
          </cell>
          <cell r="H76">
            <v>45210</v>
          </cell>
          <cell r="I76" t="str">
            <v>OH</v>
          </cell>
          <cell r="J76" t="str">
            <v>TM</v>
          </cell>
          <cell r="K76">
            <v>0</v>
          </cell>
          <cell r="L76" t="str">
            <v>JHOPL-WI-19-099</v>
          </cell>
          <cell r="M76" t="str">
            <v>KBRS</v>
          </cell>
        </row>
        <row r="77">
          <cell r="D77" t="str">
            <v>REPLACE 2 DOUBLE CHECK VALVES</v>
          </cell>
          <cell r="E77" t="str">
            <v>Yes</v>
          </cell>
          <cell r="F77" t="str">
            <v>No</v>
          </cell>
          <cell r="G77" t="str">
            <v>RN</v>
          </cell>
          <cell r="H77">
            <v>45210</v>
          </cell>
          <cell r="I77" t="str">
            <v>REPLACE</v>
          </cell>
          <cell r="J77" t="str">
            <v>TM</v>
          </cell>
          <cell r="K77">
            <v>0</v>
          </cell>
          <cell r="L77" t="str">
            <v>JHOPL-WI-19-100</v>
          </cell>
          <cell r="M77" t="str">
            <v>KBRS</v>
          </cell>
        </row>
        <row r="78">
          <cell r="D78" t="str">
            <v>IROC 1/2 VENTED BALL VALVE - INTERNAL</v>
          </cell>
          <cell r="E78" t="str">
            <v>Yes</v>
          </cell>
          <cell r="F78" t="str">
            <v>No</v>
          </cell>
          <cell r="G78" t="str">
            <v>TL, CC, JB</v>
          </cell>
          <cell r="H78">
            <v>45211</v>
          </cell>
          <cell r="I78" t="str">
            <v>IROC</v>
          </cell>
          <cell r="J78" t="str">
            <v>TM</v>
          </cell>
          <cell r="K78">
            <v>0</v>
          </cell>
          <cell r="L78" t="str">
            <v>JHOPL-WI-19-080
JHOPL-WI-19-102
JHOPL-WI-19-105</v>
          </cell>
          <cell r="M78" t="str">
            <v>JHOPL - KBRS</v>
          </cell>
        </row>
        <row r="79">
          <cell r="D79" t="str">
            <v>REPLACE 6 FLANGE MOUNTED VENTED BALL VALVES</v>
          </cell>
          <cell r="E79" t="str">
            <v>Yes</v>
          </cell>
          <cell r="F79" t="str">
            <v>No</v>
          </cell>
          <cell r="G79" t="str">
            <v>CC</v>
          </cell>
          <cell r="H79">
            <v>45210</v>
          </cell>
          <cell r="I79" t="str">
            <v>REPLACE</v>
          </cell>
          <cell r="J79" t="str">
            <v>TM</v>
          </cell>
          <cell r="K79">
            <v>0</v>
          </cell>
          <cell r="L79" t="str">
            <v>JHOPL-WI-19-103</v>
          </cell>
          <cell r="M79" t="str">
            <v>KBRS</v>
          </cell>
        </row>
        <row r="80">
          <cell r="D80" t="str">
            <v>REPLACE AIR FLOW CUT-OFF VALVE BOGIE A</v>
          </cell>
          <cell r="E80" t="str">
            <v>Yes</v>
          </cell>
          <cell r="F80" t="str">
            <v>No</v>
          </cell>
          <cell r="G80" t="str">
            <v>JB, DK, MR</v>
          </cell>
          <cell r="H80">
            <v>45209</v>
          </cell>
          <cell r="I80" t="str">
            <v>OH</v>
          </cell>
          <cell r="J80" t="str">
            <v>TM</v>
          </cell>
          <cell r="K80">
            <v>0</v>
          </cell>
          <cell r="L80" t="str">
            <v>JHOPL-WI-19-106</v>
          </cell>
          <cell r="M80" t="str">
            <v>KBRS</v>
          </cell>
        </row>
        <row r="81">
          <cell r="D81" t="str">
            <v>REPLACE SLEET BRUSH CONTROL VALVE</v>
          </cell>
          <cell r="E81" t="str">
            <v>Yes</v>
          </cell>
          <cell r="F81" t="str">
            <v>No</v>
          </cell>
          <cell r="G81" t="str">
            <v>AB</v>
          </cell>
          <cell r="H81">
            <v>45210</v>
          </cell>
          <cell r="I81" t="str">
            <v>REPLACE</v>
          </cell>
          <cell r="J81" t="str">
            <v>TM</v>
          </cell>
          <cell r="K81">
            <v>0</v>
          </cell>
          <cell r="L81" t="str">
            <v>JHOPL-WI-19-107</v>
          </cell>
          <cell r="M81" t="str">
            <v>KBRS</v>
          </cell>
        </row>
        <row r="82">
          <cell r="D82" t="str">
            <v>REPLACE AIR FLOW CUT-OFF VALVE BOGIE D</v>
          </cell>
          <cell r="E82" t="str">
            <v>Yes</v>
          </cell>
          <cell r="F82" t="str">
            <v>No</v>
          </cell>
          <cell r="G82" t="str">
            <v>JB, DK, MR</v>
          </cell>
          <cell r="H82">
            <v>45209</v>
          </cell>
          <cell r="I82" t="str">
            <v>OH</v>
          </cell>
          <cell r="J82" t="str">
            <v>TM</v>
          </cell>
          <cell r="K82">
            <v>0</v>
          </cell>
          <cell r="L82" t="str">
            <v>JHOPL-WI-19-106</v>
          </cell>
          <cell r="M82" t="str">
            <v>KBRS</v>
          </cell>
        </row>
        <row r="83">
          <cell r="D83" t="str">
            <v>REPLACE - CURRENT BALANCE DETECTOR RELAY</v>
          </cell>
          <cell r="E83" t="str">
            <v>Yes</v>
          </cell>
          <cell r="F83" t="str">
            <v xml:space="preserve">No </v>
          </cell>
          <cell r="G83" t="str">
            <v>BP</v>
          </cell>
          <cell r="H83">
            <v>45875</v>
          </cell>
          <cell r="I83" t="str">
            <v>REPLACE</v>
          </cell>
          <cell r="J83" t="str">
            <v>ATM</v>
          </cell>
          <cell r="K83">
            <v>0</v>
          </cell>
          <cell r="L83" t="str">
            <v>JHOPL-WI-11-131</v>
          </cell>
          <cell r="M83" t="str">
            <v>ALSTOM</v>
          </cell>
        </row>
        <row r="84">
          <cell r="D84" t="str">
            <v>REPLACE RHEOSTATIC BRAKE RESISTOR FAN ASSEMBLY</v>
          </cell>
          <cell r="E84" t="str">
            <v>No</v>
          </cell>
          <cell r="F84"/>
          <cell r="G84"/>
          <cell r="H84"/>
          <cell r="I84" t="str">
            <v>REPLACE</v>
          </cell>
          <cell r="J84" t="str">
            <v>TM</v>
          </cell>
          <cell r="K84">
            <v>0</v>
          </cell>
          <cell r="L84" t="str">
            <v>JHOPL-WI-11-140</v>
          </cell>
          <cell r="M84" t="str">
            <v>REW</v>
          </cell>
        </row>
        <row r="85">
          <cell r="D85" t="str">
            <v>REPLACE -  REVERSE VOLTAGE RELAY FUSE</v>
          </cell>
          <cell r="E85" t="str">
            <v>Yes</v>
          </cell>
          <cell r="F85" t="str">
            <v xml:space="preserve">No </v>
          </cell>
          <cell r="G85" t="str">
            <v>BP</v>
          </cell>
          <cell r="H85">
            <v>45875</v>
          </cell>
          <cell r="I85" t="str">
            <v>REPLACE</v>
          </cell>
          <cell r="J85" t="str">
            <v>ATM</v>
          </cell>
          <cell r="K85">
            <v>0</v>
          </cell>
          <cell r="L85">
            <v>0</v>
          </cell>
          <cell r="M85" t="str">
            <v>ALSTOM</v>
          </cell>
        </row>
        <row r="86">
          <cell r="D86" t="str">
            <v>REPLACE SHOE VOLTAGE RELAY FUSE 1 &amp; 2</v>
          </cell>
          <cell r="E86" t="str">
            <v>Yes</v>
          </cell>
          <cell r="F86" t="str">
            <v>No</v>
          </cell>
          <cell r="G86" t="str">
            <v>KM</v>
          </cell>
          <cell r="H86">
            <v>45875</v>
          </cell>
          <cell r="I86" t="str">
            <v>REPLACE</v>
          </cell>
          <cell r="J86" t="str">
            <v>ATM</v>
          </cell>
          <cell r="K86">
            <v>0</v>
          </cell>
          <cell r="L86">
            <v>0</v>
          </cell>
          <cell r="M86" t="str">
            <v>ALSTOM</v>
          </cell>
        </row>
        <row r="87">
          <cell r="D87" t="str">
            <v>REPLACE WHISTLE CONTROL LEVER VALVE</v>
          </cell>
          <cell r="E87" t="str">
            <v>Yes</v>
          </cell>
          <cell r="F87" t="str">
            <v>No</v>
          </cell>
          <cell r="G87" t="str">
            <v>RN</v>
          </cell>
          <cell r="H87">
            <v>45210</v>
          </cell>
          <cell r="I87" t="str">
            <v>REPLACE</v>
          </cell>
          <cell r="J87" t="str">
            <v>TM</v>
          </cell>
          <cell r="K87">
            <v>0</v>
          </cell>
          <cell r="L87" t="str">
            <v>JHOPL-WI-19-084</v>
          </cell>
          <cell r="M87" t="str">
            <v>KBRS</v>
          </cell>
        </row>
        <row r="88">
          <cell r="D88" t="str">
            <v>REPLACE AUTOCOUPLER AND DRAWGEAR</v>
          </cell>
          <cell r="E88" t="str">
            <v>Yes</v>
          </cell>
          <cell r="F88" t="str">
            <v>No</v>
          </cell>
          <cell r="G88" t="str">
            <v>EC,SV,GD,AL,GT. AS</v>
          </cell>
          <cell r="H88">
            <v>45875</v>
          </cell>
          <cell r="I88" t="str">
            <v>OH</v>
          </cell>
          <cell r="J88" t="str">
            <v>TM</v>
          </cell>
          <cell r="K88">
            <v>0</v>
          </cell>
          <cell r="L88" t="str">
            <v>JHOPL-WI-15-037
JHOPL-WI-16-046</v>
          </cell>
          <cell r="M88" t="str">
            <v>WILLIAM COOK</v>
          </cell>
        </row>
        <row r="89">
          <cell r="D89" t="str">
            <v>REPLACE SEMI PERMANENT COUPLER &amp; DRAWGEAR INTERMEDIATE D</v>
          </cell>
          <cell r="E89" t="str">
            <v>Yes</v>
          </cell>
          <cell r="F89" t="str">
            <v>No</v>
          </cell>
          <cell r="G89" t="str">
            <v>SV,OM</v>
          </cell>
          <cell r="H89">
            <v>45873</v>
          </cell>
          <cell r="I89" t="str">
            <v>OH</v>
          </cell>
          <cell r="J89" t="str">
            <v>TM</v>
          </cell>
          <cell r="K89">
            <v>0</v>
          </cell>
          <cell r="L89" t="str">
            <v>JHOPL-WI-15-039</v>
          </cell>
          <cell r="M89" t="str">
            <v>WILLIAM COOK</v>
          </cell>
        </row>
        <row r="90">
          <cell r="D90" t="str">
            <v>REPLACE ANTI-CLIMB BUFFER ASSEMBLY</v>
          </cell>
          <cell r="E90" t="str">
            <v>Yes</v>
          </cell>
          <cell r="F90" t="str">
            <v xml:space="preserve">No </v>
          </cell>
          <cell r="G90" t="str">
            <v>AL,GT,OM</v>
          </cell>
          <cell r="H90">
            <v>45875</v>
          </cell>
          <cell r="I90" t="str">
            <v>OH</v>
          </cell>
          <cell r="J90" t="str">
            <v>TM</v>
          </cell>
          <cell r="K90">
            <v>0</v>
          </cell>
          <cell r="L90" t="str">
            <v>JHOPL-WI-16-043</v>
          </cell>
          <cell r="M90" t="str">
            <v>VOITH</v>
          </cell>
        </row>
        <row r="91">
          <cell r="D91" t="str">
            <v>REPLACE ANTI-CLIMB BUFFER ASSEMBLY INTERMEDIATE</v>
          </cell>
          <cell r="E91" t="str">
            <v>Yes</v>
          </cell>
          <cell r="F91" t="str">
            <v xml:space="preserve">No </v>
          </cell>
          <cell r="G91" t="str">
            <v>AL,GT,OM</v>
          </cell>
          <cell r="H91">
            <v>45875</v>
          </cell>
          <cell r="I91" t="str">
            <v>OH</v>
          </cell>
          <cell r="J91" t="str">
            <v>TM</v>
          </cell>
          <cell r="K91">
            <v>0</v>
          </cell>
          <cell r="L91" t="str">
            <v>JHOPL-WI-16-044</v>
          </cell>
          <cell r="M91" t="str">
            <v>VOITH</v>
          </cell>
        </row>
        <row r="92">
          <cell r="D92" t="str">
            <v>REPLACE LINE CURRENT MONITORING DEVICE</v>
          </cell>
          <cell r="E92" t="str">
            <v>Yes</v>
          </cell>
          <cell r="F92" t="str">
            <v xml:space="preserve">No </v>
          </cell>
          <cell r="G92" t="str">
            <v>BP</v>
          </cell>
          <cell r="H92">
            <v>45875</v>
          </cell>
          <cell r="I92" t="str">
            <v>REPLACE</v>
          </cell>
          <cell r="J92" t="str">
            <v>ATM</v>
          </cell>
          <cell r="K92">
            <v>0</v>
          </cell>
          <cell r="L92" t="str">
            <v>JHOPL-WI-11-133</v>
          </cell>
          <cell r="M92" t="str">
            <v>ALSTOM</v>
          </cell>
        </row>
        <row r="93">
          <cell r="D93" t="str">
            <v>REPLACE CAB DESK HEATER</v>
          </cell>
          <cell r="E93" t="str">
            <v>Yes</v>
          </cell>
          <cell r="F93" t="str">
            <v xml:space="preserve">No </v>
          </cell>
          <cell r="G93" t="str">
            <v>MJ, DH, CB</v>
          </cell>
          <cell r="H93">
            <v>45876</v>
          </cell>
          <cell r="I93" t="str">
            <v>OH</v>
          </cell>
          <cell r="J93" t="str">
            <v>TM</v>
          </cell>
          <cell r="K93">
            <v>0</v>
          </cell>
          <cell r="L93" t="str">
            <v>JHOPL-WI-18-159</v>
          </cell>
          <cell r="M93" t="str">
            <v>LH GROUP</v>
          </cell>
        </row>
        <row r="94">
          <cell r="D94" t="str">
            <v>REPLACE CAB REFRIGERATION UNIT</v>
          </cell>
          <cell r="E94" t="str">
            <v>Yes</v>
          </cell>
          <cell r="F94" t="str">
            <v>No</v>
          </cell>
          <cell r="G94" t="str">
            <v>BV,JD. MS, AS</v>
          </cell>
          <cell r="H94">
            <v>45872</v>
          </cell>
          <cell r="I94" t="str">
            <v>OH</v>
          </cell>
          <cell r="J94" t="str">
            <v>TM</v>
          </cell>
          <cell r="K94">
            <v>0</v>
          </cell>
          <cell r="L94" t="str">
            <v>JHOPL-WI-18-077</v>
          </cell>
          <cell r="M94" t="str">
            <v>LH GROUP</v>
          </cell>
        </row>
        <row r="95">
          <cell r="D95" t="str">
            <v>REPLACE CAB AHU</v>
          </cell>
          <cell r="E95" t="str">
            <v>Yes</v>
          </cell>
          <cell r="F95" t="str">
            <v>No</v>
          </cell>
          <cell r="G95" t="str">
            <v>MJ. BV</v>
          </cell>
          <cell r="H95">
            <v>45872</v>
          </cell>
          <cell r="I95" t="str">
            <v>OH</v>
          </cell>
          <cell r="J95" t="str">
            <v>TM</v>
          </cell>
          <cell r="K95">
            <v>0</v>
          </cell>
          <cell r="L95" t="str">
            <v>JHOPL-WI-18-115</v>
          </cell>
          <cell r="M95" t="str">
            <v>LH GROUP</v>
          </cell>
        </row>
        <row r="96">
          <cell r="D96" t="str">
            <v>REPLACE BRAKE SUPPLY RESERVOIR</v>
          </cell>
          <cell r="E96" t="str">
            <v>No</v>
          </cell>
          <cell r="F96"/>
          <cell r="G96"/>
          <cell r="H96"/>
          <cell r="I96" t="str">
            <v>OH</v>
          </cell>
          <cell r="J96" t="str">
            <v>TM</v>
          </cell>
          <cell r="K96">
            <v>0</v>
          </cell>
          <cell r="L96" t="str">
            <v>JHOPL-WI-19-088</v>
          </cell>
          <cell r="M96" t="str">
            <v>KBRS</v>
          </cell>
        </row>
        <row r="97">
          <cell r="D97" t="str">
            <v>REPLACE COUPLER HOSE/SEMI-PERM COUPLER HOSE</v>
          </cell>
          <cell r="E97" t="str">
            <v>Yes</v>
          </cell>
          <cell r="F97" t="str">
            <v xml:space="preserve">No </v>
          </cell>
          <cell r="G97" t="str">
            <v>SV,OM,GD,AL,GT</v>
          </cell>
          <cell r="H97">
            <v>45875</v>
          </cell>
          <cell r="I97" t="str">
            <v>OH</v>
          </cell>
          <cell r="J97" t="str">
            <v>TM</v>
          </cell>
          <cell r="K97">
            <v>0</v>
          </cell>
          <cell r="L97" t="str">
            <v>JHOPL-WI-19-168</v>
          </cell>
          <cell r="M97" t="str">
            <v>TIDYCO</v>
          </cell>
        </row>
        <row r="98">
          <cell r="D98" t="str">
            <v>REPLACE 2 COUPLER HOSES</v>
          </cell>
          <cell r="E98" t="str">
            <v>No</v>
          </cell>
          <cell r="F98"/>
          <cell r="G98"/>
          <cell r="H98"/>
          <cell r="I98" t="str">
            <v>REPLACE</v>
          </cell>
          <cell r="J98" t="str">
            <v>TM</v>
          </cell>
          <cell r="K98">
            <v>0</v>
          </cell>
          <cell r="L98" t="str">
            <v>JHOPL-WI-19-165</v>
          </cell>
          <cell r="M98" t="str">
            <v>TIDYCO</v>
          </cell>
        </row>
        <row r="99">
          <cell r="D99" t="str">
            <v>REPLACE - 20 KHZ DISTRIBUTION PANEL (Traction Distribution Panel)</v>
          </cell>
          <cell r="E99" t="str">
            <v>No</v>
          </cell>
          <cell r="F99"/>
          <cell r="G99"/>
          <cell r="H99"/>
          <cell r="I99" t="str">
            <v>REPLACE</v>
          </cell>
          <cell r="J99" t="str">
            <v>ATM</v>
          </cell>
          <cell r="K99">
            <v>0</v>
          </cell>
          <cell r="L99" t="str">
            <v>JHOPL-WI-11-004</v>
          </cell>
          <cell r="M99" t="str">
            <v>LH GROUP</v>
          </cell>
        </row>
        <row r="100">
          <cell r="D100" t="str">
            <v>IROC - POWER SUPPLY ISOLATION SWITCH</v>
          </cell>
          <cell r="E100" t="str">
            <v>No</v>
          </cell>
          <cell r="F100"/>
          <cell r="G100"/>
          <cell r="H100"/>
          <cell r="I100" t="str">
            <v>IROC</v>
          </cell>
          <cell r="J100" t="str">
            <v>ATM</v>
          </cell>
          <cell r="K100">
            <v>0</v>
          </cell>
          <cell r="L100" t="str">
            <v>JHOPL-WI-11-020</v>
          </cell>
          <cell r="M100" t="str">
            <v>JHOPL - ALSTOM</v>
          </cell>
        </row>
        <row r="101">
          <cell r="D101" t="str">
            <v>REPLACE SCREENWASH STAINLESS PIPE ASSY</v>
          </cell>
          <cell r="E101" t="str">
            <v>No</v>
          </cell>
          <cell r="F101"/>
          <cell r="G101"/>
          <cell r="H101"/>
          <cell r="I101" t="str">
            <v>REPLACE</v>
          </cell>
          <cell r="J101" t="str">
            <v>TM</v>
          </cell>
          <cell r="K101">
            <v>0</v>
          </cell>
          <cell r="L101" t="str">
            <v>JHOPL-WI-17-152</v>
          </cell>
          <cell r="M101" t="str">
            <v>JHOPL</v>
          </cell>
        </row>
        <row r="102">
          <cell r="D102" t="str">
            <v>REPLACE WASHER NOZZLE LH AND RH</v>
          </cell>
          <cell r="E102" t="str">
            <v>No</v>
          </cell>
          <cell r="F102"/>
          <cell r="G102"/>
          <cell r="H102"/>
          <cell r="I102" t="str">
            <v>REPLACE</v>
          </cell>
          <cell r="J102" t="str">
            <v>TM</v>
          </cell>
          <cell r="K102">
            <v>0</v>
          </cell>
          <cell r="L102" t="str">
            <v>Missing JHOPL-WI-17-052</v>
          </cell>
          <cell r="M102" t="str">
            <v>JHOPL</v>
          </cell>
        </row>
        <row r="103">
          <cell r="D103" t="str">
            <v>REPLACE AUXILIARY ISOLATION SWITCH</v>
          </cell>
          <cell r="E103" t="str">
            <v>No</v>
          </cell>
          <cell r="F103"/>
          <cell r="G103"/>
          <cell r="H103"/>
          <cell r="I103" t="str">
            <v>OH</v>
          </cell>
          <cell r="J103" t="str">
            <v>ATM</v>
          </cell>
          <cell r="K103">
            <v>0</v>
          </cell>
          <cell r="L103" t="str">
            <v>JHOPL-WI-17-155</v>
          </cell>
          <cell r="M103" t="str">
            <v>ALSTOM</v>
          </cell>
        </row>
        <row r="104">
          <cell r="D104" t="str">
            <v>REPLACE - AUXILIARY SUPPLY ISOLATION TRANSFORMER</v>
          </cell>
          <cell r="E104" t="str">
            <v>Yes</v>
          </cell>
          <cell r="F104" t="str">
            <v>No</v>
          </cell>
          <cell r="G104" t="str">
            <v>RN, LN, NA, JJ, JL, AR</v>
          </cell>
          <cell r="H104">
            <v>45873</v>
          </cell>
          <cell r="I104" t="str">
            <v>OH</v>
          </cell>
          <cell r="J104" t="str">
            <v>ATM</v>
          </cell>
          <cell r="K104">
            <v>0</v>
          </cell>
          <cell r="L104" t="str">
            <v>JHOPL-WI-17-158</v>
          </cell>
          <cell r="M104" t="str">
            <v>R. BAKER</v>
          </cell>
        </row>
        <row r="105">
          <cell r="D105" t="str">
            <v xml:space="preserve">REPLACE FILTER VOLTAGE MONITORING DEVICE FVMD1, FVMD 2, VMD1. ALVMD, </v>
          </cell>
          <cell r="E105" t="str">
            <v>Yes</v>
          </cell>
          <cell r="F105"/>
          <cell r="G105" t="str">
            <v>Already completed Inspected by DH, KM</v>
          </cell>
          <cell r="H105">
            <v>45875</v>
          </cell>
          <cell r="I105" t="str">
            <v>REPLACE</v>
          </cell>
          <cell r="J105" t="str">
            <v>ATM</v>
          </cell>
          <cell r="K105">
            <v>0</v>
          </cell>
          <cell r="L105" t="str">
            <v>JHOPL-WI-11-016</v>
          </cell>
          <cell r="M105" t="str">
            <v>ALSTOM</v>
          </cell>
        </row>
        <row r="106">
          <cell r="D106" t="str">
            <v>REPLACE -  DM CAR REMOVE/REFIT CAPACITOR PANEL ASSEMBLY</v>
          </cell>
          <cell r="E106" t="str">
            <v>No</v>
          </cell>
          <cell r="F106"/>
          <cell r="G106"/>
          <cell r="H106"/>
          <cell r="I106" t="str">
            <v>REPLACE</v>
          </cell>
          <cell r="J106" t="str">
            <v>ATM</v>
          </cell>
          <cell r="K106">
            <v>0</v>
          </cell>
          <cell r="L106" t="str">
            <v>JHOPL-WI-11-021</v>
          </cell>
          <cell r="M106" t="str">
            <v>ALSTOM</v>
          </cell>
        </row>
        <row r="107">
          <cell r="D107" t="str">
            <v xml:space="preserve">IROC -  SHED SUPPLY FUSE </v>
          </cell>
          <cell r="E107" t="str">
            <v>No</v>
          </cell>
          <cell r="F107"/>
          <cell r="G107"/>
          <cell r="H107"/>
          <cell r="I107" t="str">
            <v>IROC</v>
          </cell>
          <cell r="J107" t="str">
            <v>ATM</v>
          </cell>
          <cell r="K107">
            <v>0</v>
          </cell>
          <cell r="L107" t="str">
            <v>JHOPL-WI-11-026</v>
          </cell>
          <cell r="M107" t="str">
            <v>JHOPL - ALSTOM</v>
          </cell>
        </row>
        <row r="108">
          <cell r="D108" t="str">
            <v>REPLACE CURRENT MONITORING DEVICES (CMDA, CMDB, CMDC)</v>
          </cell>
          <cell r="E108" t="str">
            <v>Yes</v>
          </cell>
          <cell r="F108"/>
          <cell r="G108" t="str">
            <v>AR</v>
          </cell>
          <cell r="H108">
            <v>45875</v>
          </cell>
          <cell r="I108" t="str">
            <v>REPLACE</v>
          </cell>
          <cell r="J108" t="str">
            <v>ATM</v>
          </cell>
          <cell r="K108">
            <v>0</v>
          </cell>
          <cell r="L108" t="str">
            <v>JHOPL-WI-17-048</v>
          </cell>
          <cell r="M108" t="str">
            <v>ALSTOM</v>
          </cell>
        </row>
        <row r="109">
          <cell r="D109" t="str">
            <v>IROC - SALOON MODULAR SEATING</v>
          </cell>
          <cell r="E109" t="str">
            <v>No</v>
          </cell>
          <cell r="F109"/>
          <cell r="G109"/>
          <cell r="H109"/>
          <cell r="I109" t="str">
            <v>IROC</v>
          </cell>
          <cell r="J109" t="str">
            <v>ATM</v>
          </cell>
          <cell r="K109">
            <v>0</v>
          </cell>
          <cell r="L109" t="str">
            <v>JHOPL-WI-13-029
JHOPL-WI-13-030
JHOPL-WI-13-031
JHOPL-WI-13-033
JHOPL-WI-13-034
JHOPL-WI-13-035</v>
          </cell>
          <cell r="M109" t="str">
            <v>JHOPL</v>
          </cell>
        </row>
        <row r="110">
          <cell r="D110" t="str">
            <v>REPLACE CAB BACK WALL FASTNERS</v>
          </cell>
          <cell r="E110" t="str">
            <v>No</v>
          </cell>
          <cell r="F110"/>
          <cell r="G110"/>
          <cell r="H110"/>
          <cell r="I110" t="str">
            <v>REPLACE</v>
          </cell>
          <cell r="J110" t="str">
            <v>ATM</v>
          </cell>
          <cell r="K110">
            <v>0</v>
          </cell>
          <cell r="L110" t="str">
            <v>JHOPL-WI-13-027</v>
          </cell>
          <cell r="M110" t="str">
            <v>JHOPL</v>
          </cell>
        </row>
        <row r="111">
          <cell r="D111" t="str">
            <v>REPLACE ALCMD</v>
          </cell>
          <cell r="E111" t="str">
            <v>Yes</v>
          </cell>
          <cell r="F111" t="str">
            <v>No</v>
          </cell>
          <cell r="G111" t="str">
            <v>AR</v>
          </cell>
          <cell r="H111">
            <v>45875</v>
          </cell>
          <cell r="I111" t="str">
            <v>REPLACE</v>
          </cell>
          <cell r="J111" t="str">
            <v>ATM</v>
          </cell>
          <cell r="K111">
            <v>0</v>
          </cell>
          <cell r="L111" t="str">
            <v>JHOPL-WI-17-067</v>
          </cell>
          <cell r="M111" t="str">
            <v>ALSTOM</v>
          </cell>
        </row>
        <row r="112">
          <cell r="D112" t="str">
            <v>IROC - WIPER MOTOR</v>
          </cell>
          <cell r="E112" t="str">
            <v>No</v>
          </cell>
          <cell r="F112"/>
          <cell r="G112"/>
          <cell r="H112"/>
          <cell r="I112" t="str">
            <v>IROC</v>
          </cell>
          <cell r="J112" t="str">
            <v>TM</v>
          </cell>
          <cell r="K112">
            <v>0</v>
          </cell>
          <cell r="L112" t="str">
            <v>Missing WI</v>
          </cell>
          <cell r="M112" t="str">
            <v>JHOPL</v>
          </cell>
        </row>
        <row r="113">
          <cell r="D113" t="str">
            <v>REPLACE - SALOON MODULAR SEATING</v>
          </cell>
          <cell r="E113" t="str">
            <v>No</v>
          </cell>
          <cell r="F113"/>
          <cell r="G113"/>
          <cell r="H113"/>
          <cell r="I113" t="str">
            <v>IROC</v>
          </cell>
          <cell r="J113" t="str">
            <v>ATM</v>
          </cell>
          <cell r="K113">
            <v>0</v>
          </cell>
          <cell r="L113" t="str">
            <v>JHOPL-WI-13-028
JHOPL-WI-13-032</v>
          </cell>
          <cell r="M113" t="str">
            <v>JHOPL</v>
          </cell>
        </row>
        <row r="114">
          <cell r="D114" t="str">
            <v>REPLACE TMCU</v>
          </cell>
          <cell r="E114" t="str">
            <v>No</v>
          </cell>
          <cell r="F114"/>
          <cell r="G114"/>
          <cell r="H114"/>
          <cell r="I114" t="str">
            <v>OH</v>
          </cell>
          <cell r="J114" t="str">
            <v>ATM</v>
          </cell>
          <cell r="K114">
            <v>0</v>
          </cell>
          <cell r="L114" t="str">
            <v>JHOPL-WI-23-174</v>
          </cell>
          <cell r="M114" t="str">
            <v>JHOPL</v>
          </cell>
        </row>
        <row r="115">
          <cell r="D115" t="str">
            <v>REPLACE CAB AUDIO VISUAL UNIT</v>
          </cell>
          <cell r="E115" t="str">
            <v>No</v>
          </cell>
          <cell r="F115"/>
          <cell r="G115"/>
          <cell r="H115"/>
          <cell r="I115" t="str">
            <v>OH</v>
          </cell>
          <cell r="J115" t="str">
            <v>ATM</v>
          </cell>
          <cell r="K115">
            <v>0</v>
          </cell>
          <cell r="L115" t="str">
            <v>JHOPL-WI-25-181</v>
          </cell>
          <cell r="M115" t="str">
            <v>REW</v>
          </cell>
        </row>
        <row r="116">
          <cell r="D116" t="str">
            <v>REPLACE SALOON AUDIO VISUAL UNIT</v>
          </cell>
          <cell r="E116" t="str">
            <v>No</v>
          </cell>
          <cell r="F116"/>
          <cell r="G116"/>
          <cell r="H116"/>
          <cell r="I116" t="str">
            <v>OH</v>
          </cell>
          <cell r="J116" t="str">
            <v>ATM</v>
          </cell>
          <cell r="K116">
            <v>0</v>
          </cell>
          <cell r="L116" t="str">
            <v>JHOPL-WI-25-182</v>
          </cell>
          <cell r="M116" t="str">
            <v>REW</v>
          </cell>
        </row>
        <row r="117">
          <cell r="D117" t="str">
            <v>REPLACE TMCC</v>
          </cell>
          <cell r="E117" t="str">
            <v>No</v>
          </cell>
          <cell r="F117"/>
          <cell r="G117"/>
          <cell r="H117"/>
          <cell r="I117" t="str">
            <v>OH</v>
          </cell>
          <cell r="J117" t="str">
            <v>ATM</v>
          </cell>
          <cell r="K117">
            <v>0</v>
          </cell>
          <cell r="L117" t="str">
            <v>JHOPL-WI-23-175</v>
          </cell>
          <cell r="M117" t="str">
            <v>JHOPL - TBC</v>
          </cell>
        </row>
        <row r="118">
          <cell r="D118" t="str">
            <v>REPLACE TMWD</v>
          </cell>
          <cell r="E118" t="str">
            <v>No</v>
          </cell>
          <cell r="F118"/>
          <cell r="G118"/>
          <cell r="H118"/>
          <cell r="I118" t="str">
            <v>OH</v>
          </cell>
          <cell r="J118" t="str">
            <v>ATM</v>
          </cell>
          <cell r="K118">
            <v>0</v>
          </cell>
          <cell r="L118" t="str">
            <v>JHOPL-WI-23-177</v>
          </cell>
          <cell r="M118" t="str">
            <v>JHOPL - TBC</v>
          </cell>
        </row>
        <row r="119">
          <cell r="D119" t="str">
            <v>REPLACE X 6 TMRT'S</v>
          </cell>
          <cell r="E119" t="str">
            <v>No</v>
          </cell>
          <cell r="F119"/>
          <cell r="G119"/>
          <cell r="H119"/>
          <cell r="I119" t="str">
            <v>OH</v>
          </cell>
          <cell r="J119" t="str">
            <v>ATM</v>
          </cell>
          <cell r="K119">
            <v>0</v>
          </cell>
          <cell r="L119" t="str">
            <v>JHOPL-WI-23-176</v>
          </cell>
          <cell r="M119" t="str">
            <v>JHOPL - TBC</v>
          </cell>
        </row>
        <row r="120">
          <cell r="D120" t="str">
            <v>REPLACED - SIGNAL RESISTOR PANEL</v>
          </cell>
          <cell r="E120" t="str">
            <v>No</v>
          </cell>
          <cell r="F120"/>
          <cell r="G120"/>
          <cell r="H120"/>
          <cell r="I120" t="str">
            <v>OH</v>
          </cell>
          <cell r="J120" t="str">
            <v>ATM</v>
          </cell>
          <cell r="K120">
            <v>0</v>
          </cell>
          <cell r="L120" t="str">
            <v>JHOPL-WI-11-014</v>
          </cell>
          <cell r="M120" t="str">
            <v>REW</v>
          </cell>
        </row>
        <row r="121">
          <cell r="D121" t="str">
            <v xml:space="preserve"> REPLACE EQUIPMENT GOVERNOR</v>
          </cell>
          <cell r="E121" t="str">
            <v>No</v>
          </cell>
          <cell r="F121"/>
          <cell r="G121"/>
          <cell r="H121"/>
          <cell r="I121" t="str">
            <v>OH</v>
          </cell>
          <cell r="J121" t="str">
            <v>ATM</v>
          </cell>
          <cell r="K121">
            <v>0</v>
          </cell>
          <cell r="L121" t="str">
            <v>JHOPL-WI-11-025</v>
          </cell>
          <cell r="M121" t="str">
            <v>REW</v>
          </cell>
        </row>
        <row r="122">
          <cell r="D122" t="str">
            <v>REPLACE TOD-CU</v>
          </cell>
          <cell r="E122" t="str">
            <v>No</v>
          </cell>
          <cell r="F122"/>
          <cell r="G122"/>
          <cell r="H122"/>
          <cell r="I122" t="str">
            <v>OH</v>
          </cell>
          <cell r="J122" t="str">
            <v>ATM</v>
          </cell>
          <cell r="K122">
            <v>0</v>
          </cell>
          <cell r="L122" t="str">
            <v>Missing WI JHOPL-WI-24-180</v>
          </cell>
          <cell r="M122" t="str">
            <v>REW</v>
          </cell>
        </row>
        <row r="123">
          <cell r="D123" t="str">
            <v>REPLACE MCS</v>
          </cell>
          <cell r="E123" t="str">
            <v>No</v>
          </cell>
          <cell r="F123"/>
          <cell r="G123"/>
          <cell r="H123"/>
          <cell r="I123" t="str">
            <v>OH</v>
          </cell>
          <cell r="J123" t="str">
            <v>ATM</v>
          </cell>
          <cell r="K123">
            <v>0</v>
          </cell>
          <cell r="L123" t="str">
            <v>Missing - JHOPL-WI-17-065</v>
          </cell>
          <cell r="M123" t="str">
            <v>ALSTOM</v>
          </cell>
        </row>
        <row r="124">
          <cell r="D124" t="str">
            <v>IROC - 6 X OUTPUT FILTER PANELS</v>
          </cell>
          <cell r="E124" t="str">
            <v>No</v>
          </cell>
          <cell r="F124"/>
          <cell r="G124"/>
          <cell r="H124"/>
          <cell r="I124" t="str">
            <v>IROC</v>
          </cell>
          <cell r="J124" t="str">
            <v>ATM</v>
          </cell>
          <cell r="K124">
            <v>0</v>
          </cell>
          <cell r="L124" t="str">
            <v>JHOPL-WI-11-022</v>
          </cell>
          <cell r="M124" t="str">
            <v>JHOPL - REW</v>
          </cell>
        </row>
        <row r="125">
          <cell r="D125" t="str">
            <v>REPLACE SCREEN WASH TANK</v>
          </cell>
          <cell r="E125" t="str">
            <v>No</v>
          </cell>
          <cell r="F125"/>
          <cell r="G125"/>
          <cell r="H125"/>
          <cell r="I125" t="str">
            <v>IROC</v>
          </cell>
          <cell r="J125" t="str">
            <v>TM</v>
          </cell>
          <cell r="K125">
            <v>0</v>
          </cell>
          <cell r="L125" t="str">
            <v>Missing JHOPL-WI-17-052</v>
          </cell>
          <cell r="M125" t="str">
            <v>JHOPL</v>
          </cell>
        </row>
        <row r="126">
          <cell r="D126" t="str">
            <v>REPLACED - ASK CAPAICTOR (NON ELECTROLYTIC CAPACITOR)</v>
          </cell>
          <cell r="E126" t="str">
            <v>No</v>
          </cell>
          <cell r="F126"/>
          <cell r="G126"/>
          <cell r="H126"/>
          <cell r="I126" t="str">
            <v>REPLACE</v>
          </cell>
          <cell r="J126" t="str">
            <v>ATM</v>
          </cell>
          <cell r="K126">
            <v>0</v>
          </cell>
          <cell r="L126">
            <v>0</v>
          </cell>
          <cell r="M126" t="str">
            <v>ALSTOM</v>
          </cell>
        </row>
        <row r="127">
          <cell r="D127" t="str">
            <v>REPLACE ASC</v>
          </cell>
          <cell r="E127" t="str">
            <v>No</v>
          </cell>
          <cell r="F127"/>
          <cell r="G127"/>
          <cell r="H127"/>
          <cell r="I127" t="str">
            <v>REPLACE</v>
          </cell>
          <cell r="J127" t="str">
            <v>ATM</v>
          </cell>
          <cell r="K127">
            <v>0</v>
          </cell>
          <cell r="L127" t="str">
            <v>JHOPL-WI-17-157</v>
          </cell>
          <cell r="M127" t="str">
            <v>ABB</v>
          </cell>
        </row>
        <row r="128">
          <cell r="D128" t="str">
            <v>IROC - Replace to Norgren Seal</v>
          </cell>
          <cell r="E128" t="str">
            <v>No</v>
          </cell>
          <cell r="F128"/>
          <cell r="G128"/>
          <cell r="H128"/>
          <cell r="I128" t="str">
            <v>IROC</v>
          </cell>
          <cell r="J128" t="str">
            <v>TM</v>
          </cell>
          <cell r="K128">
            <v>0</v>
          </cell>
          <cell r="L128" t="str">
            <v>JHOPL-WI-19-172
JHOPL-WI-19-098
JHOPL-WI-19-100
JHOPL-WI-19-084</v>
          </cell>
          <cell r="M128" t="str">
            <v>JHOPL - Norgren</v>
          </cell>
        </row>
      </sheetData>
      <sheetData sheetId="9"/>
    </sheetDataSet>
  </externalBook>
</externalLink>
</file>

<file path=xl/persons/person.xml><?xml version="1.0" encoding="utf-8"?>
<personList xmlns="http://schemas.microsoft.com/office/spreadsheetml/2018/threadedcomments" xmlns:x="http://schemas.openxmlformats.org/spreadsheetml/2006/main">
  <person displayName="Taha Deghyes" id="{A6937888-2822-423E-8039-94C3C09867C7}"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A6937888-2822-423E-8039-94C3C09867C7}" id="{742D2EE2-ECCD-4EF0-90E9-38166F904C9D}">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opLeftCell="A6" zoomScale="90" zoomScaleNormal="90" workbookViewId="0">
      <selection activeCell="J2" sqref="J2"/>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25</v>
      </c>
      <c r="C2" s="7"/>
      <c r="D2" s="7"/>
      <c r="E2" s="7"/>
      <c r="F2" s="7"/>
      <c r="G2" s="7"/>
      <c r="H2" s="7"/>
      <c r="I2" s="12" t="s">
        <v>1</v>
      </c>
      <c r="J2" s="16" t="s">
        <v>2</v>
      </c>
      <c r="K2" s="13" t="s">
        <v>3</v>
      </c>
      <c r="L2" s="9" t="s">
        <v>4</v>
      </c>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5</v>
      </c>
      <c r="C4" s="40" t="s">
        <v>6</v>
      </c>
      <c r="D4" s="39"/>
      <c r="E4" s="32" t="s">
        <v>7</v>
      </c>
      <c r="F4" s="33" t="s">
        <v>8</v>
      </c>
      <c r="G4" s="34" t="s">
        <v>9</v>
      </c>
      <c r="H4" s="33" t="s">
        <v>10</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11</v>
      </c>
      <c r="B5" s="41">
        <v>96012</v>
      </c>
      <c r="C5" s="42">
        <v>96081</v>
      </c>
      <c r="D5" s="46" t="s">
        <v>12</v>
      </c>
      <c r="E5" s="23" t="s">
        <v>13</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14</v>
      </c>
      <c r="B6" s="23" cm="1">
        <f t="array" ref="B6">_xlfn.IFS($B$17="No",SUMPRODUCT(B21:D21),$B$17="Yes",SUMPRODUCT(I21:K21))</f>
        <v>184</v>
      </c>
      <c r="C6">
        <f>SUMPRODUCT(E21:H21)</f>
        <v>214</v>
      </c>
      <c r="D6" s="46" t="s">
        <v>15</v>
      </c>
      <c r="E6" s="23" t="s">
        <v>13</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85" t="s">
        <v>16</v>
      </c>
      <c r="Q6" s="186"/>
      <c r="R6" s="187"/>
      <c r="S6" s="7"/>
      <c r="T6" s="7"/>
      <c r="U6" s="7"/>
      <c r="V6" s="7"/>
      <c r="W6" s="7"/>
      <c r="X6" s="7"/>
      <c r="Y6" s="7"/>
      <c r="Z6" s="7"/>
      <c r="AA6" s="7"/>
      <c r="AB6" s="7"/>
      <c r="AC6" s="7"/>
      <c r="AD6" s="7"/>
      <c r="AE6" s="7"/>
      <c r="AF6" s="7"/>
      <c r="AG6" s="7"/>
      <c r="AH6" s="7"/>
      <c r="AI6" s="7"/>
      <c r="AJ6" s="7"/>
      <c r="AK6" s="7"/>
    </row>
    <row r="7" spans="1:37" ht="16.5" thickBot="1" x14ac:dyDescent="0.3">
      <c r="A7" s="37" t="s">
        <v>17</v>
      </c>
      <c r="B7" s="23" cm="1">
        <f t="array" ref="B7">_xlfn.IFS($B$17="No",SUMPRODUCT(B22:D22),$B$17="Yes",SUMPRODUCT(I22:K22))</f>
        <v>0</v>
      </c>
      <c r="C7">
        <f t="shared" ref="C7:C8" si="1">SUMPRODUCT(E22:H22)</f>
        <v>0</v>
      </c>
      <c r="D7" s="46" t="s">
        <v>18</v>
      </c>
      <c r="E7" s="23" t="s">
        <v>13</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218</v>
      </c>
      <c r="H7" s="25">
        <f>IFERROR(G7/F7,0)</f>
        <v>0.95196506550218341</v>
      </c>
      <c r="I7" s="7"/>
      <c r="J7" s="3"/>
      <c r="K7" s="3"/>
      <c r="L7" s="3"/>
      <c r="M7" s="3"/>
      <c r="N7" s="7"/>
      <c r="O7" s="7"/>
      <c r="P7" s="188" t="s">
        <v>19</v>
      </c>
      <c r="Q7" s="189"/>
      <c r="R7" s="59" t="s">
        <v>20</v>
      </c>
      <c r="S7" s="7"/>
      <c r="T7" s="7"/>
      <c r="U7" s="7"/>
      <c r="V7" s="7"/>
      <c r="W7" s="7"/>
      <c r="X7" s="7"/>
      <c r="Y7" s="7"/>
      <c r="Z7" s="7"/>
      <c r="AA7" s="7"/>
      <c r="AB7" s="7"/>
      <c r="AC7" s="7"/>
      <c r="AD7" s="7"/>
      <c r="AE7" s="7"/>
      <c r="AF7" s="7"/>
      <c r="AG7" s="7"/>
      <c r="AH7" s="7"/>
      <c r="AI7" s="7"/>
      <c r="AJ7" s="7"/>
      <c r="AK7" s="7"/>
    </row>
    <row r="8" spans="1:37" ht="15.75" x14ac:dyDescent="0.25">
      <c r="A8" s="37" t="s">
        <v>21</v>
      </c>
      <c r="B8" s="23" cm="1">
        <f t="array" ref="B8">_xlfn.IFS($B$17="No",SUMPRODUCT(B23:D23),$B$17="Yes",SUMPRODUCT(I23:K23))</f>
        <v>0</v>
      </c>
      <c r="C8">
        <f t="shared" si="1"/>
        <v>0</v>
      </c>
      <c r="D8" s="46" t="s">
        <v>22</v>
      </c>
      <c r="E8" s="23" t="s">
        <v>23</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51</v>
      </c>
      <c r="H8" s="25">
        <f t="shared" ref="H8:H9" si="2">IFERROR(G8/F8,0)</f>
        <v>0.41129032258064518</v>
      </c>
      <c r="I8" s="7"/>
      <c r="J8" s="3"/>
      <c r="K8" s="3"/>
      <c r="L8" s="3"/>
      <c r="M8" s="3"/>
      <c r="N8" s="7"/>
      <c r="O8" s="7"/>
      <c r="P8" s="190" t="s">
        <v>24</v>
      </c>
      <c r="Q8" s="191"/>
      <c r="R8" s="60" t="s">
        <v>13</v>
      </c>
      <c r="S8" s="7"/>
      <c r="T8" s="7"/>
      <c r="U8" s="7"/>
      <c r="V8" s="7"/>
      <c r="W8" s="7"/>
      <c r="X8" s="7"/>
      <c r="Y8" s="7"/>
      <c r="Z8" s="7"/>
      <c r="AA8" s="7"/>
      <c r="AB8" s="7"/>
      <c r="AC8" s="7"/>
      <c r="AD8" s="7"/>
      <c r="AE8" s="7"/>
      <c r="AF8" s="7"/>
      <c r="AG8" s="7"/>
      <c r="AH8" s="7"/>
      <c r="AI8" s="7"/>
      <c r="AJ8" s="7"/>
      <c r="AK8" s="7"/>
    </row>
    <row r="9" spans="1:37" ht="16.5" thickBot="1" x14ac:dyDescent="0.3">
      <c r="A9" s="38" t="s">
        <v>25</v>
      </c>
      <c r="B9" s="24" cm="1">
        <f t="array" ref="B9">_xlfn.IFS($B$17="No",SUMPRODUCT(B24:D24),$B$17="Yes",SUMPRODUCT(I24:K24))</f>
        <v>175</v>
      </c>
      <c r="C9" s="24">
        <f>SUMPRODUCT(E24:H24)</f>
        <v>208</v>
      </c>
      <c r="D9" s="47" t="s">
        <v>26</v>
      </c>
      <c r="E9" s="24" t="s">
        <v>23</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92" t="s">
        <v>27</v>
      </c>
      <c r="Q9" s="193"/>
      <c r="R9" s="24" t="s">
        <v>13</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74"/>
      <c r="K15" s="74"/>
      <c r="L15" s="74"/>
      <c r="M15" s="74"/>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74"/>
      <c r="K16" s="74"/>
      <c r="L16" s="74"/>
      <c r="M16" s="74"/>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28</v>
      </c>
      <c r="B17" s="42" t="s">
        <v>23</v>
      </c>
      <c r="C17" s="7"/>
      <c r="D17" s="7"/>
      <c r="E17" s="7"/>
      <c r="F17" s="7"/>
      <c r="G17" s="7"/>
      <c r="H17" s="7"/>
      <c r="I17" s="7"/>
      <c r="J17" s="74"/>
      <c r="K17" s="74"/>
      <c r="L17" s="74"/>
      <c r="M17" s="74"/>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29</v>
      </c>
      <c r="C19" t="s">
        <v>30</v>
      </c>
      <c r="D19" t="s">
        <v>31</v>
      </c>
      <c r="E19" t="s">
        <v>32</v>
      </c>
      <c r="F19" t="s">
        <v>33</v>
      </c>
      <c r="G19" t="s">
        <v>34</v>
      </c>
      <c r="H19" t="s">
        <v>35</v>
      </c>
      <c r="I19" t="s">
        <v>36</v>
      </c>
      <c r="J19" t="s">
        <v>37</v>
      </c>
      <c r="K19" t="s">
        <v>38</v>
      </c>
      <c r="L19" t="s">
        <v>39</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40</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17</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21</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25</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82</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36</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57</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83</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37</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59</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41</v>
      </c>
      <c r="B25" s="49">
        <f>IFERROR(B21-B24,"N/A")</f>
        <v>3</v>
      </c>
      <c r="C25" s="49">
        <f t="shared" ref="C25:L25" si="3">IFERROR(C21-C24,"N/A")</f>
        <v>1</v>
      </c>
      <c r="D25" s="49">
        <f t="shared" si="3"/>
        <v>5</v>
      </c>
      <c r="E25" s="49">
        <f t="shared" si="3"/>
        <v>2</v>
      </c>
      <c r="F25" s="49">
        <f t="shared" si="3"/>
        <v>1</v>
      </c>
      <c r="G25" s="49">
        <f t="shared" si="3"/>
        <v>0</v>
      </c>
      <c r="H25" s="49">
        <f t="shared" si="3"/>
        <v>3</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33" priority="11"/>
  </conditionalFormatting>
  <conditionalFormatting sqref="C21 C24">
    <cfRule type="duplicateValues" dxfId="132" priority="10"/>
  </conditionalFormatting>
  <conditionalFormatting sqref="D21 D24">
    <cfRule type="duplicateValues" dxfId="131" priority="9"/>
  </conditionalFormatting>
  <conditionalFormatting sqref="E21 E24">
    <cfRule type="duplicateValues" dxfId="130" priority="8"/>
  </conditionalFormatting>
  <conditionalFormatting sqref="F21 F24">
    <cfRule type="duplicateValues" dxfId="129" priority="7"/>
  </conditionalFormatting>
  <conditionalFormatting sqref="G21 G24">
    <cfRule type="duplicateValues" dxfId="128" priority="6"/>
  </conditionalFormatting>
  <conditionalFormatting sqref="H21 H24">
    <cfRule type="duplicateValues" dxfId="127" priority="5"/>
  </conditionalFormatting>
  <conditionalFormatting sqref="I21 I24">
    <cfRule type="duplicateValues" dxfId="126" priority="4"/>
  </conditionalFormatting>
  <conditionalFormatting sqref="J21 J24">
    <cfRule type="duplicateValues" dxfId="125" priority="3"/>
  </conditionalFormatting>
  <conditionalFormatting sqref="K21 K24">
    <cfRule type="duplicateValues" dxfId="124" priority="2"/>
  </conditionalFormatting>
  <conditionalFormatting sqref="L21 L24">
    <cfRule type="duplicateValues" dxfId="123"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123825</xdr:colOff>
                    <xdr:row>14</xdr:row>
                    <xdr:rowOff>104775</xdr:rowOff>
                  </from>
                  <to>
                    <xdr:col>12</xdr:col>
                    <xdr:colOff>390525</xdr:colOff>
                    <xdr:row>16</xdr:row>
                    <xdr:rowOff>304800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topLeftCell="BG1"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42</v>
      </c>
      <c r="D1" s="19"/>
      <c r="E1" s="19"/>
      <c r="F1" s="19"/>
      <c r="G1" s="19"/>
      <c r="H1" s="19"/>
    </row>
    <row r="2" spans="1:57" s="6" customFormat="1" ht="84" customHeight="1" thickBot="1" x14ac:dyDescent="0.25">
      <c r="A2" s="50" t="s">
        <v>43</v>
      </c>
      <c r="B2" s="50" t="s">
        <v>44</v>
      </c>
      <c r="C2" s="51" t="s">
        <v>45</v>
      </c>
      <c r="D2" s="52" t="s">
        <v>46</v>
      </c>
      <c r="E2" s="53" t="s">
        <v>25</v>
      </c>
      <c r="F2" s="53" t="s">
        <v>21</v>
      </c>
      <c r="G2" s="54" t="s">
        <v>47</v>
      </c>
      <c r="H2" s="54" t="s">
        <v>48</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28"/>
  <sheetViews>
    <sheetView showWhiteSpace="0" zoomScale="60" zoomScaleNormal="60" workbookViewId="0">
      <pane ySplit="2" topLeftCell="A93" activePane="bottomLeft" state="frozen"/>
      <selection pane="bottomLeft" activeCell="D106" sqref="D106"/>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6384" width="8.88671875" style="2"/>
  </cols>
  <sheetData>
    <row r="1" spans="1:75" ht="21" customHeight="1" thickBot="1" x14ac:dyDescent="0.3">
      <c r="A1" s="21"/>
      <c r="B1" s="75" t="s">
        <v>49</v>
      </c>
      <c r="C1" s="56" t="s">
        <v>50</v>
      </c>
      <c r="D1" s="5"/>
      <c r="E1" s="5"/>
      <c r="F1" s="5"/>
      <c r="G1" s="5"/>
      <c r="H1" s="63"/>
      <c r="I1" s="19"/>
      <c r="J1" s="5"/>
      <c r="K1" s="5"/>
      <c r="L1" s="5"/>
    </row>
    <row r="2" spans="1:75" s="6" customFormat="1" ht="87.95" customHeight="1" thickBot="1" x14ac:dyDescent="0.25">
      <c r="A2" s="50" t="s">
        <v>43</v>
      </c>
      <c r="B2" s="50" t="s">
        <v>44</v>
      </c>
      <c r="C2" s="51" t="s">
        <v>45</v>
      </c>
      <c r="D2" s="52" t="s">
        <v>46</v>
      </c>
      <c r="E2" s="53" t="s">
        <v>25</v>
      </c>
      <c r="F2" s="53" t="s">
        <v>21</v>
      </c>
      <c r="G2" s="54" t="s">
        <v>47</v>
      </c>
      <c r="H2" s="64" t="s">
        <v>48</v>
      </c>
      <c r="I2" s="55" t="s">
        <v>51</v>
      </c>
      <c r="J2" s="55" t="s">
        <v>52</v>
      </c>
      <c r="K2" s="55" t="s">
        <v>53</v>
      </c>
      <c r="L2" s="55" t="s">
        <v>54</v>
      </c>
      <c r="M2" s="55" t="s">
        <v>55</v>
      </c>
      <c r="N2" s="55" t="s">
        <v>56</v>
      </c>
      <c r="O2" s="66" t="s">
        <v>57</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ht="54" customHeight="1" thickTop="1" thickBot="1" x14ac:dyDescent="0.25">
      <c r="A3" s="68"/>
      <c r="B3" s="90" t="s">
        <v>12</v>
      </c>
      <c r="C3" s="91" t="s">
        <v>58</v>
      </c>
      <c r="D3" s="91" t="s">
        <v>59</v>
      </c>
      <c r="E3" s="81" t="s">
        <v>13</v>
      </c>
      <c r="F3" s="81" t="s">
        <v>23</v>
      </c>
      <c r="G3" s="81" t="s">
        <v>60</v>
      </c>
      <c r="H3" s="82" t="s">
        <v>61</v>
      </c>
      <c r="I3" s="83" t="s">
        <v>62</v>
      </c>
      <c r="J3" s="83" t="s">
        <v>63</v>
      </c>
      <c r="K3" s="83">
        <v>0</v>
      </c>
      <c r="L3" s="83" t="s">
        <v>64</v>
      </c>
      <c r="M3" s="83" t="s">
        <v>65</v>
      </c>
      <c r="N3" s="91">
        <v>1</v>
      </c>
      <c r="O3" s="92">
        <v>5.2083333333333333E-4</v>
      </c>
    </row>
    <row r="4" spans="1:75" ht="54" customHeight="1" thickTop="1" thickBot="1" x14ac:dyDescent="0.25">
      <c r="A4" s="68"/>
      <c r="B4" s="93" t="s">
        <v>12</v>
      </c>
      <c r="C4" s="80" t="s">
        <v>66</v>
      </c>
      <c r="D4" s="94" t="s">
        <v>67</v>
      </c>
      <c r="E4" s="78" t="s">
        <v>13</v>
      </c>
      <c r="F4" s="78" t="s">
        <v>23</v>
      </c>
      <c r="G4" s="78" t="s">
        <v>60</v>
      </c>
      <c r="H4" s="79" t="s">
        <v>61</v>
      </c>
      <c r="I4" s="83" t="s">
        <v>62</v>
      </c>
      <c r="J4" s="83" t="s">
        <v>63</v>
      </c>
      <c r="K4" s="83">
        <v>0</v>
      </c>
      <c r="L4" s="83" t="s">
        <v>68</v>
      </c>
      <c r="M4" s="83" t="s">
        <v>69</v>
      </c>
      <c r="N4" s="94">
        <v>1</v>
      </c>
      <c r="O4" s="95">
        <v>3.4722222222222224E-4</v>
      </c>
    </row>
    <row r="5" spans="1:75" ht="54" customHeight="1" thickTop="1" thickBot="1" x14ac:dyDescent="0.25">
      <c r="A5" s="68"/>
      <c r="B5" s="93" t="s">
        <v>12</v>
      </c>
      <c r="C5" s="94" t="s">
        <v>70</v>
      </c>
      <c r="D5" s="94" t="s">
        <v>67</v>
      </c>
      <c r="E5" s="78" t="s">
        <v>13</v>
      </c>
      <c r="F5" s="78" t="s">
        <v>23</v>
      </c>
      <c r="G5" s="78" t="s">
        <v>60</v>
      </c>
      <c r="H5" s="79" t="s">
        <v>61</v>
      </c>
      <c r="I5" s="83" t="s">
        <v>62</v>
      </c>
      <c r="J5" s="83" t="s">
        <v>63</v>
      </c>
      <c r="K5" s="83">
        <v>0</v>
      </c>
      <c r="L5" s="83" t="s">
        <v>68</v>
      </c>
      <c r="M5" s="83" t="s">
        <v>69</v>
      </c>
      <c r="N5" s="94">
        <v>1</v>
      </c>
      <c r="O5" s="95">
        <v>3.4722222222222224E-4</v>
      </c>
    </row>
    <row r="6" spans="1:75" ht="54" customHeight="1" thickTop="1" thickBot="1" x14ac:dyDescent="0.25">
      <c r="A6" s="68"/>
      <c r="B6" s="93" t="s">
        <v>12</v>
      </c>
      <c r="C6" s="94" t="s">
        <v>71</v>
      </c>
      <c r="D6" s="94" t="s">
        <v>72</v>
      </c>
      <c r="E6" s="78" t="s">
        <v>13</v>
      </c>
      <c r="F6" s="78" t="s">
        <v>23</v>
      </c>
      <c r="G6" s="78" t="s">
        <v>60</v>
      </c>
      <c r="H6" s="79" t="s">
        <v>61</v>
      </c>
      <c r="I6" s="83" t="s">
        <v>62</v>
      </c>
      <c r="J6" s="83" t="s">
        <v>63</v>
      </c>
      <c r="K6" s="83">
        <v>0</v>
      </c>
      <c r="L6" s="83" t="s">
        <v>68</v>
      </c>
      <c r="M6" s="83" t="s">
        <v>69</v>
      </c>
      <c r="N6" s="94">
        <v>1</v>
      </c>
      <c r="O6" s="95">
        <v>1.3888888888888889E-3</v>
      </c>
    </row>
    <row r="7" spans="1:75" ht="54" customHeight="1" thickTop="1" thickBot="1" x14ac:dyDescent="0.25">
      <c r="A7" s="68"/>
      <c r="B7" s="93" t="s">
        <v>12</v>
      </c>
      <c r="C7" s="94" t="s">
        <v>73</v>
      </c>
      <c r="D7" s="94" t="s">
        <v>74</v>
      </c>
      <c r="E7" s="78" t="s">
        <v>13</v>
      </c>
      <c r="F7" s="78" t="s">
        <v>23</v>
      </c>
      <c r="G7" s="78" t="s">
        <v>60</v>
      </c>
      <c r="H7" s="79" t="s">
        <v>61</v>
      </c>
      <c r="I7" s="83" t="s">
        <v>62</v>
      </c>
      <c r="J7" s="83" t="s">
        <v>63</v>
      </c>
      <c r="K7" s="83">
        <v>0</v>
      </c>
      <c r="L7" s="83" t="s">
        <v>75</v>
      </c>
      <c r="M7" s="83" t="s">
        <v>76</v>
      </c>
      <c r="N7" s="94">
        <v>1</v>
      </c>
      <c r="O7" s="95">
        <v>1.2152777777777778E-3</v>
      </c>
    </row>
    <row r="8" spans="1:75" ht="54" customHeight="1" thickTop="1" thickBot="1" x14ac:dyDescent="0.25">
      <c r="A8" s="68"/>
      <c r="B8" s="93" t="s">
        <v>12</v>
      </c>
      <c r="C8" s="94" t="s">
        <v>77</v>
      </c>
      <c r="D8" s="94" t="s">
        <v>78</v>
      </c>
      <c r="E8" s="78" t="s">
        <v>13</v>
      </c>
      <c r="F8" s="78" t="s">
        <v>23</v>
      </c>
      <c r="G8" s="78" t="s">
        <v>60</v>
      </c>
      <c r="H8" s="79" t="s">
        <v>61</v>
      </c>
      <c r="I8" s="83" t="s">
        <v>62</v>
      </c>
      <c r="J8" s="83" t="s">
        <v>63</v>
      </c>
      <c r="K8" s="83">
        <v>0</v>
      </c>
      <c r="L8" s="83" t="s">
        <v>75</v>
      </c>
      <c r="M8" s="83" t="s">
        <v>76</v>
      </c>
      <c r="N8" s="94">
        <v>1</v>
      </c>
      <c r="O8" s="95">
        <v>3.4722222222222224E-4</v>
      </c>
    </row>
    <row r="9" spans="1:75" ht="54" customHeight="1" thickTop="1" thickBot="1" x14ac:dyDescent="0.25">
      <c r="A9" s="68"/>
      <c r="B9" s="93" t="s">
        <v>12</v>
      </c>
      <c r="C9" s="94" t="s">
        <v>79</v>
      </c>
      <c r="D9" s="94" t="s">
        <v>80</v>
      </c>
      <c r="E9" s="78" t="s">
        <v>13</v>
      </c>
      <c r="F9" s="78" t="s">
        <v>23</v>
      </c>
      <c r="G9" s="78" t="s">
        <v>60</v>
      </c>
      <c r="H9" s="79" t="s">
        <v>61</v>
      </c>
      <c r="I9" s="83" t="s">
        <v>62</v>
      </c>
      <c r="J9" s="83" t="s">
        <v>63</v>
      </c>
      <c r="K9" s="83">
        <v>0</v>
      </c>
      <c r="L9" s="83" t="s">
        <v>81</v>
      </c>
      <c r="M9" s="83" t="s">
        <v>65</v>
      </c>
      <c r="N9" s="94">
        <v>2</v>
      </c>
      <c r="O9" s="84">
        <v>3.4722222222222224E-4</v>
      </c>
    </row>
    <row r="10" spans="1:75" ht="54" customHeight="1" thickTop="1" thickBot="1" x14ac:dyDescent="0.25">
      <c r="A10" s="68"/>
      <c r="B10" s="93" t="s">
        <v>12</v>
      </c>
      <c r="C10" s="94" t="s">
        <v>82</v>
      </c>
      <c r="D10" s="94" t="s">
        <v>83</v>
      </c>
      <c r="E10" s="78" t="s">
        <v>13</v>
      </c>
      <c r="F10" s="78" t="s">
        <v>23</v>
      </c>
      <c r="G10" s="78" t="s">
        <v>60</v>
      </c>
      <c r="H10" s="79" t="s">
        <v>61</v>
      </c>
      <c r="I10" s="83" t="s">
        <v>62</v>
      </c>
      <c r="J10" s="83" t="s">
        <v>63</v>
      </c>
      <c r="K10" s="83">
        <v>0</v>
      </c>
      <c r="L10" s="83" t="s">
        <v>84</v>
      </c>
      <c r="M10" s="83" t="s">
        <v>65</v>
      </c>
      <c r="N10" s="94">
        <v>1</v>
      </c>
      <c r="O10" s="95">
        <v>1.3888888888888889E-3</v>
      </c>
    </row>
    <row r="11" spans="1:75" ht="54" customHeight="1" thickTop="1" thickBot="1" x14ac:dyDescent="0.25">
      <c r="A11" s="68"/>
      <c r="B11" s="93" t="s">
        <v>12</v>
      </c>
      <c r="C11" s="94" t="s">
        <v>85</v>
      </c>
      <c r="D11" s="94" t="s">
        <v>86</v>
      </c>
      <c r="E11" s="78" t="s">
        <v>13</v>
      </c>
      <c r="F11" s="78" t="s">
        <v>23</v>
      </c>
      <c r="G11" s="78" t="s">
        <v>60</v>
      </c>
      <c r="H11" s="79" t="s">
        <v>61</v>
      </c>
      <c r="I11" s="83" t="s">
        <v>62</v>
      </c>
      <c r="J11" s="83" t="s">
        <v>63</v>
      </c>
      <c r="K11" s="83">
        <v>0</v>
      </c>
      <c r="L11" s="83" t="s">
        <v>87</v>
      </c>
      <c r="M11" s="83" t="s">
        <v>65</v>
      </c>
      <c r="N11" s="94">
        <v>1</v>
      </c>
      <c r="O11" s="95">
        <v>3.4722222222222224E-4</v>
      </c>
    </row>
    <row r="12" spans="1:75" ht="54" customHeight="1" thickTop="1" thickBot="1" x14ac:dyDescent="0.25">
      <c r="A12" s="68"/>
      <c r="B12" s="93" t="s">
        <v>12</v>
      </c>
      <c r="C12" s="94" t="s">
        <v>88</v>
      </c>
      <c r="D12" s="94" t="s">
        <v>89</v>
      </c>
      <c r="E12" s="78" t="s">
        <v>13</v>
      </c>
      <c r="F12" s="78" t="s">
        <v>23</v>
      </c>
      <c r="G12" s="78" t="s">
        <v>60</v>
      </c>
      <c r="H12" s="79" t="s">
        <v>61</v>
      </c>
      <c r="I12" s="83" t="s">
        <v>90</v>
      </c>
      <c r="J12" s="83" t="s">
        <v>63</v>
      </c>
      <c r="K12" s="83" t="s">
        <v>91</v>
      </c>
      <c r="L12" s="83" t="s">
        <v>92</v>
      </c>
      <c r="M12" s="83" t="s">
        <v>845</v>
      </c>
      <c r="N12" s="94">
        <v>1</v>
      </c>
      <c r="O12" s="95">
        <v>3.4722222222222224E-4</v>
      </c>
    </row>
    <row r="13" spans="1:75" ht="54" customHeight="1" thickTop="1" thickBot="1" x14ac:dyDescent="0.25">
      <c r="A13" s="68"/>
      <c r="B13" s="93" t="s">
        <v>12</v>
      </c>
      <c r="C13" s="94" t="s">
        <v>93</v>
      </c>
      <c r="D13" s="94" t="s">
        <v>94</v>
      </c>
      <c r="E13" s="78" t="s">
        <v>13</v>
      </c>
      <c r="F13" s="78" t="s">
        <v>23</v>
      </c>
      <c r="G13" s="78" t="s">
        <v>60</v>
      </c>
      <c r="H13" s="79" t="s">
        <v>61</v>
      </c>
      <c r="I13" s="83" t="s">
        <v>62</v>
      </c>
      <c r="J13" s="83" t="s">
        <v>63</v>
      </c>
      <c r="K13" s="83">
        <v>0</v>
      </c>
      <c r="L13" s="83" t="s">
        <v>95</v>
      </c>
      <c r="M13" s="83" t="s">
        <v>65</v>
      </c>
      <c r="N13" s="94">
        <v>1</v>
      </c>
      <c r="O13" s="95">
        <v>1.3888888888888889E-3</v>
      </c>
    </row>
    <row r="14" spans="1:75" ht="54" customHeight="1" thickTop="1" thickBot="1" x14ac:dyDescent="0.25">
      <c r="A14" s="68"/>
      <c r="B14" s="93" t="s">
        <v>12</v>
      </c>
      <c r="C14" s="94" t="s">
        <v>96</v>
      </c>
      <c r="D14" s="94" t="s">
        <v>97</v>
      </c>
      <c r="E14" s="78" t="s">
        <v>13</v>
      </c>
      <c r="F14" s="78" t="s">
        <v>23</v>
      </c>
      <c r="G14" s="78" t="s">
        <v>60</v>
      </c>
      <c r="H14" s="79" t="s">
        <v>61</v>
      </c>
      <c r="I14" s="83" t="s">
        <v>62</v>
      </c>
      <c r="J14" s="83" t="s">
        <v>63</v>
      </c>
      <c r="K14" s="83">
        <v>0</v>
      </c>
      <c r="L14" s="83" t="s">
        <v>95</v>
      </c>
      <c r="M14" s="83" t="s">
        <v>65</v>
      </c>
      <c r="N14" s="94">
        <v>1</v>
      </c>
      <c r="O14" s="95">
        <v>1.3888888888888889E-3</v>
      </c>
    </row>
    <row r="15" spans="1:75" ht="54" customHeight="1" thickTop="1" thickBot="1" x14ac:dyDescent="0.25">
      <c r="A15" s="68"/>
      <c r="B15" s="93" t="s">
        <v>12</v>
      </c>
      <c r="C15" s="94" t="s">
        <v>98</v>
      </c>
      <c r="D15" s="94" t="s">
        <v>99</v>
      </c>
      <c r="E15" s="78" t="s">
        <v>13</v>
      </c>
      <c r="F15" s="78" t="s">
        <v>23</v>
      </c>
      <c r="G15" s="78" t="s">
        <v>60</v>
      </c>
      <c r="H15" s="79" t="s">
        <v>61</v>
      </c>
      <c r="I15" s="83" t="s">
        <v>62</v>
      </c>
      <c r="J15" s="83" t="s">
        <v>63</v>
      </c>
      <c r="K15" s="83">
        <v>0</v>
      </c>
      <c r="L15" s="83" t="s">
        <v>100</v>
      </c>
      <c r="M15" s="83" t="s">
        <v>65</v>
      </c>
      <c r="N15" s="94">
        <v>1</v>
      </c>
      <c r="O15" s="95">
        <v>5.2083333333333333E-4</v>
      </c>
    </row>
    <row r="16" spans="1:75" ht="54" customHeight="1" thickTop="1" thickBot="1" x14ac:dyDescent="0.25">
      <c r="A16" s="68"/>
      <c r="B16" s="93" t="s">
        <v>12</v>
      </c>
      <c r="C16" s="94" t="s">
        <v>101</v>
      </c>
      <c r="D16" s="94" t="s">
        <v>102</v>
      </c>
      <c r="E16" s="78" t="s">
        <v>13</v>
      </c>
      <c r="F16" s="78" t="s">
        <v>23</v>
      </c>
      <c r="G16" s="78" t="s">
        <v>60</v>
      </c>
      <c r="H16" s="79" t="s">
        <v>61</v>
      </c>
      <c r="I16" s="83" t="s">
        <v>62</v>
      </c>
      <c r="J16" s="83" t="s">
        <v>63</v>
      </c>
      <c r="K16" s="83">
        <v>0</v>
      </c>
      <c r="L16" s="83" t="s">
        <v>100</v>
      </c>
      <c r="M16" s="83" t="s">
        <v>65</v>
      </c>
      <c r="N16" s="94">
        <v>1</v>
      </c>
      <c r="O16" s="95">
        <v>5.2083333333333333E-4</v>
      </c>
    </row>
    <row r="17" spans="1:15" ht="54" customHeight="1" thickTop="1" thickBot="1" x14ac:dyDescent="0.25">
      <c r="A17" s="68"/>
      <c r="B17" s="93" t="s">
        <v>12</v>
      </c>
      <c r="C17" s="94" t="s">
        <v>103</v>
      </c>
      <c r="D17" s="94" t="s">
        <v>104</v>
      </c>
      <c r="E17" s="78" t="s">
        <v>13</v>
      </c>
      <c r="F17" s="78" t="s">
        <v>23</v>
      </c>
      <c r="G17" s="78" t="s">
        <v>60</v>
      </c>
      <c r="H17" s="79" t="s">
        <v>61</v>
      </c>
      <c r="I17" s="83" t="s">
        <v>62</v>
      </c>
      <c r="J17" s="83" t="s">
        <v>63</v>
      </c>
      <c r="K17" s="83">
        <v>0</v>
      </c>
      <c r="L17" s="83" t="s">
        <v>100</v>
      </c>
      <c r="M17" s="83" t="s">
        <v>65</v>
      </c>
      <c r="N17" s="94">
        <v>1</v>
      </c>
      <c r="O17" s="95">
        <v>3.4722222222222224E-4</v>
      </c>
    </row>
    <row r="18" spans="1:15" ht="54" customHeight="1" thickTop="1" thickBot="1" x14ac:dyDescent="0.25">
      <c r="A18" s="68"/>
      <c r="B18" s="93" t="s">
        <v>12</v>
      </c>
      <c r="C18" s="94" t="s">
        <v>105</v>
      </c>
      <c r="D18" s="94" t="s">
        <v>106</v>
      </c>
      <c r="E18" s="78" t="s">
        <v>13</v>
      </c>
      <c r="F18" s="78" t="s">
        <v>23</v>
      </c>
      <c r="G18" s="78" t="s">
        <v>60</v>
      </c>
      <c r="H18" s="79" t="s">
        <v>61</v>
      </c>
      <c r="I18" s="83" t="s">
        <v>90</v>
      </c>
      <c r="J18" s="83" t="s">
        <v>63</v>
      </c>
      <c r="K18" s="83">
        <v>0</v>
      </c>
      <c r="L18" s="83" t="s">
        <v>107</v>
      </c>
      <c r="M18" s="83" t="s">
        <v>108</v>
      </c>
      <c r="N18" s="94">
        <v>1</v>
      </c>
      <c r="O18" s="84">
        <v>6.9444444444444447E-4</v>
      </c>
    </row>
    <row r="19" spans="1:15" ht="54" customHeight="1" thickTop="1" thickBot="1" x14ac:dyDescent="0.25">
      <c r="A19" s="76"/>
      <c r="B19" s="93" t="s">
        <v>12</v>
      </c>
      <c r="C19" s="94" t="s">
        <v>109</v>
      </c>
      <c r="D19" s="94" t="s">
        <v>110</v>
      </c>
      <c r="E19" s="78" t="s">
        <v>13</v>
      </c>
      <c r="F19" s="78" t="s">
        <v>23</v>
      </c>
      <c r="G19" s="78" t="s">
        <v>60</v>
      </c>
      <c r="H19" s="79" t="s">
        <v>61</v>
      </c>
      <c r="I19" s="83" t="s">
        <v>90</v>
      </c>
      <c r="J19" s="83" t="s">
        <v>63</v>
      </c>
      <c r="K19" s="83">
        <v>0</v>
      </c>
      <c r="L19" s="83" t="s">
        <v>111</v>
      </c>
      <c r="M19" s="83" t="s">
        <v>108</v>
      </c>
      <c r="N19" s="94">
        <v>1</v>
      </c>
      <c r="O19" s="84">
        <v>6.9444444444444447E-4</v>
      </c>
    </row>
    <row r="20" spans="1:15" ht="54" customHeight="1" thickTop="1" thickBot="1" x14ac:dyDescent="0.25">
      <c r="A20" s="68"/>
      <c r="B20" s="93" t="s">
        <v>12</v>
      </c>
      <c r="C20" s="94" t="s">
        <v>112</v>
      </c>
      <c r="D20" s="94" t="s">
        <v>113</v>
      </c>
      <c r="E20" s="78" t="s">
        <v>13</v>
      </c>
      <c r="F20" s="78" t="s">
        <v>23</v>
      </c>
      <c r="G20" s="78" t="s">
        <v>60</v>
      </c>
      <c r="H20" s="79" t="s">
        <v>61</v>
      </c>
      <c r="I20" s="83" t="s">
        <v>62</v>
      </c>
      <c r="J20" s="83" t="s">
        <v>63</v>
      </c>
      <c r="K20" s="83">
        <v>0</v>
      </c>
      <c r="L20" s="83">
        <v>0</v>
      </c>
      <c r="M20" s="83" t="s">
        <v>65</v>
      </c>
      <c r="N20" s="94">
        <v>2</v>
      </c>
      <c r="O20" s="95">
        <v>5.2083333333333333E-4</v>
      </c>
    </row>
    <row r="21" spans="1:15" ht="54" customHeight="1" thickTop="1" thickBot="1" x14ac:dyDescent="0.25">
      <c r="A21" s="68"/>
      <c r="B21" s="93" t="s">
        <v>12</v>
      </c>
      <c r="C21" s="94" t="s">
        <v>114</v>
      </c>
      <c r="D21" s="94" t="s">
        <v>115</v>
      </c>
      <c r="E21" s="78" t="s">
        <v>13</v>
      </c>
      <c r="F21" s="78" t="s">
        <v>23</v>
      </c>
      <c r="G21" s="78" t="s">
        <v>60</v>
      </c>
      <c r="H21" s="79" t="s">
        <v>61</v>
      </c>
      <c r="I21" s="83" t="s">
        <v>90</v>
      </c>
      <c r="J21" s="83" t="s">
        <v>63</v>
      </c>
      <c r="K21" s="83">
        <v>0</v>
      </c>
      <c r="L21" s="83" t="s">
        <v>116</v>
      </c>
      <c r="M21" s="83" t="s">
        <v>108</v>
      </c>
      <c r="N21" s="94">
        <v>2</v>
      </c>
      <c r="O21" s="95">
        <v>45.000520833333333</v>
      </c>
    </row>
    <row r="22" spans="1:15" ht="54" customHeight="1" thickTop="1" thickBot="1" x14ac:dyDescent="0.25">
      <c r="A22" s="77"/>
      <c r="B22" s="93" t="s">
        <v>12</v>
      </c>
      <c r="C22" s="94" t="s">
        <v>117</v>
      </c>
      <c r="D22" s="94" t="s">
        <v>118</v>
      </c>
      <c r="E22" s="78" t="s">
        <v>13</v>
      </c>
      <c r="F22" s="78" t="s">
        <v>23</v>
      </c>
      <c r="G22" s="78" t="s">
        <v>60</v>
      </c>
      <c r="H22" s="79" t="s">
        <v>61</v>
      </c>
      <c r="I22" s="83" t="s">
        <v>90</v>
      </c>
      <c r="J22" s="83" t="s">
        <v>63</v>
      </c>
      <c r="K22" s="83">
        <v>0</v>
      </c>
      <c r="L22" s="83" t="s">
        <v>119</v>
      </c>
      <c r="M22" s="83" t="s">
        <v>108</v>
      </c>
      <c r="N22" s="94">
        <v>2</v>
      </c>
      <c r="O22" s="95">
        <v>45.042187499999997</v>
      </c>
    </row>
    <row r="23" spans="1:15" ht="54" customHeight="1" thickTop="1" thickBot="1" x14ac:dyDescent="0.25">
      <c r="A23" s="68"/>
      <c r="B23" s="93" t="s">
        <v>12</v>
      </c>
      <c r="C23" s="94" t="s">
        <v>120</v>
      </c>
      <c r="D23" s="94" t="s">
        <v>121</v>
      </c>
      <c r="E23" s="69" t="s">
        <v>13</v>
      </c>
      <c r="F23" s="69" t="s">
        <v>23</v>
      </c>
      <c r="G23" s="69" t="s">
        <v>122</v>
      </c>
      <c r="H23" s="70" t="s">
        <v>61</v>
      </c>
      <c r="I23" s="83" t="s">
        <v>90</v>
      </c>
      <c r="J23" s="83" t="s">
        <v>63</v>
      </c>
      <c r="K23" s="83">
        <v>0</v>
      </c>
      <c r="L23" s="83" t="s">
        <v>123</v>
      </c>
      <c r="M23" s="83" t="s">
        <v>846</v>
      </c>
      <c r="N23" s="94">
        <v>1</v>
      </c>
      <c r="O23" s="95">
        <v>5.2083333333333333E-4</v>
      </c>
    </row>
    <row r="24" spans="1:15" ht="54" customHeight="1" thickTop="1" thickBot="1" x14ac:dyDescent="0.25">
      <c r="A24" s="68"/>
      <c r="B24" s="93" t="s">
        <v>12</v>
      </c>
      <c r="C24" s="94" t="s">
        <v>125</v>
      </c>
      <c r="D24" s="94" t="s">
        <v>126</v>
      </c>
      <c r="E24" s="69" t="s">
        <v>13</v>
      </c>
      <c r="F24" s="69" t="s">
        <v>23</v>
      </c>
      <c r="G24" s="69" t="s">
        <v>122</v>
      </c>
      <c r="H24" s="70" t="s">
        <v>61</v>
      </c>
      <c r="I24" s="83" t="s">
        <v>90</v>
      </c>
      <c r="J24" s="83" t="s">
        <v>63</v>
      </c>
      <c r="K24" s="83">
        <v>0</v>
      </c>
      <c r="L24" s="83" t="s">
        <v>127</v>
      </c>
      <c r="M24" s="83" t="s">
        <v>846</v>
      </c>
      <c r="N24" s="94">
        <v>2</v>
      </c>
      <c r="O24" s="95">
        <v>6.9444444444444447E-4</v>
      </c>
    </row>
    <row r="25" spans="1:15" ht="54" customHeight="1" thickTop="1" thickBot="1" x14ac:dyDescent="0.25">
      <c r="A25" s="68"/>
      <c r="B25" s="96" t="s">
        <v>12</v>
      </c>
      <c r="C25" s="97" t="s">
        <v>128</v>
      </c>
      <c r="D25" s="97" t="s">
        <v>129</v>
      </c>
      <c r="E25" s="71" t="s">
        <v>13</v>
      </c>
      <c r="F25" s="71" t="s">
        <v>23</v>
      </c>
      <c r="G25" s="71" t="s">
        <v>60</v>
      </c>
      <c r="H25" s="72" t="s">
        <v>61</v>
      </c>
      <c r="I25" s="83" t="s">
        <v>90</v>
      </c>
      <c r="J25" s="83" t="s">
        <v>63</v>
      </c>
      <c r="K25" s="83">
        <v>0</v>
      </c>
      <c r="L25" s="83">
        <v>0</v>
      </c>
      <c r="M25" s="83" t="s">
        <v>108</v>
      </c>
      <c r="N25" s="97"/>
      <c r="O25" s="98"/>
    </row>
    <row r="26" spans="1:15" ht="54" customHeight="1" thickTop="1" thickBot="1" x14ac:dyDescent="0.25">
      <c r="A26" s="68"/>
      <c r="B26" s="90" t="s">
        <v>15</v>
      </c>
      <c r="C26" s="91" t="s">
        <v>130</v>
      </c>
      <c r="D26" s="91" t="s">
        <v>131</v>
      </c>
      <c r="E26" s="81" t="s">
        <v>13</v>
      </c>
      <c r="F26" s="81" t="s">
        <v>23</v>
      </c>
      <c r="G26" s="81" t="s">
        <v>132</v>
      </c>
      <c r="H26" s="82">
        <v>45313</v>
      </c>
      <c r="I26" s="83" t="s">
        <v>133</v>
      </c>
      <c r="J26" s="83" t="s">
        <v>134</v>
      </c>
      <c r="K26" s="83">
        <v>0</v>
      </c>
      <c r="L26" s="83" t="s">
        <v>135</v>
      </c>
      <c r="M26" s="83" t="s">
        <v>108</v>
      </c>
      <c r="N26" s="91">
        <v>4</v>
      </c>
      <c r="O26" s="92">
        <v>1.736111111111111E-3</v>
      </c>
    </row>
    <row r="27" spans="1:15" ht="54" customHeight="1" thickTop="1" thickBot="1" x14ac:dyDescent="0.25">
      <c r="A27" s="68"/>
      <c r="B27" s="93" t="s">
        <v>15</v>
      </c>
      <c r="C27" s="94" t="s">
        <v>136</v>
      </c>
      <c r="D27" s="94" t="s">
        <v>137</v>
      </c>
      <c r="E27" s="78" t="s">
        <v>13</v>
      </c>
      <c r="F27" s="78" t="s">
        <v>23</v>
      </c>
      <c r="G27" s="78" t="s">
        <v>138</v>
      </c>
      <c r="H27" s="79">
        <v>45317</v>
      </c>
      <c r="I27" s="83" t="s">
        <v>133</v>
      </c>
      <c r="J27" s="83" t="s">
        <v>134</v>
      </c>
      <c r="K27" s="83">
        <v>0</v>
      </c>
      <c r="L27" s="83" t="s">
        <v>135</v>
      </c>
      <c r="M27" s="83" t="s">
        <v>108</v>
      </c>
      <c r="N27" s="94">
        <v>4</v>
      </c>
      <c r="O27" s="95">
        <v>1.736111111111111E-3</v>
      </c>
    </row>
    <row r="28" spans="1:15" ht="54" customHeight="1" thickTop="1" thickBot="1" x14ac:dyDescent="0.25">
      <c r="A28" s="68"/>
      <c r="B28" s="93" t="s">
        <v>15</v>
      </c>
      <c r="C28" s="94" t="s">
        <v>139</v>
      </c>
      <c r="D28" s="94" t="s">
        <v>140</v>
      </c>
      <c r="E28" s="78" t="s">
        <v>13</v>
      </c>
      <c r="F28" s="78" t="s">
        <v>23</v>
      </c>
      <c r="G28" s="78" t="s">
        <v>132</v>
      </c>
      <c r="H28" s="79">
        <v>45313</v>
      </c>
      <c r="I28" s="83" t="s">
        <v>133</v>
      </c>
      <c r="J28" s="83" t="s">
        <v>134</v>
      </c>
      <c r="K28" s="83">
        <v>0</v>
      </c>
      <c r="L28" s="83" t="s">
        <v>135</v>
      </c>
      <c r="M28" s="83" t="s">
        <v>108</v>
      </c>
      <c r="N28" s="94">
        <v>4</v>
      </c>
      <c r="O28" s="95">
        <v>1.736111111111111E-3</v>
      </c>
    </row>
    <row r="29" spans="1:15" ht="54" customHeight="1" thickTop="1" thickBot="1" x14ac:dyDescent="0.25">
      <c r="A29" s="68"/>
      <c r="B29" s="93" t="s">
        <v>15</v>
      </c>
      <c r="C29" s="94" t="s">
        <v>141</v>
      </c>
      <c r="D29" s="94" t="s">
        <v>142</v>
      </c>
      <c r="E29" s="78" t="s">
        <v>13</v>
      </c>
      <c r="F29" s="78" t="s">
        <v>23</v>
      </c>
      <c r="G29" s="78" t="s">
        <v>143</v>
      </c>
      <c r="H29" s="79">
        <v>45322</v>
      </c>
      <c r="I29" s="83" t="s">
        <v>133</v>
      </c>
      <c r="J29" s="83" t="s">
        <v>134</v>
      </c>
      <c r="K29" s="83">
        <v>0</v>
      </c>
      <c r="L29" s="83" t="s">
        <v>135</v>
      </c>
      <c r="M29" s="83" t="s">
        <v>108</v>
      </c>
      <c r="N29" s="94">
        <v>4</v>
      </c>
      <c r="O29" s="95">
        <v>1.736111111111111E-3</v>
      </c>
    </row>
    <row r="30" spans="1:15" ht="54" customHeight="1" thickTop="1" thickBot="1" x14ac:dyDescent="0.25">
      <c r="A30" s="68"/>
      <c r="B30" s="93" t="s">
        <v>15</v>
      </c>
      <c r="C30" s="94" t="s">
        <v>144</v>
      </c>
      <c r="D30" s="94" t="s">
        <v>145</v>
      </c>
      <c r="E30" s="78" t="s">
        <v>13</v>
      </c>
      <c r="F30" s="78" t="s">
        <v>23</v>
      </c>
      <c r="G30" s="78" t="s">
        <v>146</v>
      </c>
      <c r="H30" s="79">
        <v>45315</v>
      </c>
      <c r="I30" s="83" t="s">
        <v>133</v>
      </c>
      <c r="J30" s="83" t="s">
        <v>63</v>
      </c>
      <c r="K30" s="83">
        <v>0</v>
      </c>
      <c r="L30" s="83" t="s">
        <v>147</v>
      </c>
      <c r="M30" s="83" t="s">
        <v>124</v>
      </c>
      <c r="N30" s="94">
        <v>2</v>
      </c>
      <c r="O30" s="95">
        <v>5.2083333333333333E-4</v>
      </c>
    </row>
    <row r="31" spans="1:15" ht="54" customHeight="1" thickTop="1" thickBot="1" x14ac:dyDescent="0.25">
      <c r="A31" s="68"/>
      <c r="B31" s="93" t="s">
        <v>15</v>
      </c>
      <c r="C31" s="94" t="s">
        <v>148</v>
      </c>
      <c r="D31" s="94" t="s">
        <v>145</v>
      </c>
      <c r="E31" s="78" t="s">
        <v>13</v>
      </c>
      <c r="F31" s="78" t="s">
        <v>23</v>
      </c>
      <c r="G31" s="78" t="s">
        <v>146</v>
      </c>
      <c r="H31" s="79">
        <v>45315</v>
      </c>
      <c r="I31" s="83" t="s">
        <v>133</v>
      </c>
      <c r="J31" s="83" t="s">
        <v>63</v>
      </c>
      <c r="K31" s="83">
        <v>0</v>
      </c>
      <c r="L31" s="83" t="s">
        <v>147</v>
      </c>
      <c r="M31" s="83" t="s">
        <v>124</v>
      </c>
      <c r="N31" s="94">
        <v>2</v>
      </c>
      <c r="O31" s="95">
        <v>5.2083333333333333E-4</v>
      </c>
    </row>
    <row r="32" spans="1:15" ht="54" customHeight="1" thickTop="1" thickBot="1" x14ac:dyDescent="0.25">
      <c r="A32" s="68"/>
      <c r="B32" s="93" t="s">
        <v>15</v>
      </c>
      <c r="C32" s="94" t="s">
        <v>149</v>
      </c>
      <c r="D32" s="94" t="s">
        <v>150</v>
      </c>
      <c r="E32" s="78" t="s">
        <v>13</v>
      </c>
      <c r="F32" s="78" t="s">
        <v>23</v>
      </c>
      <c r="G32" s="78" t="s">
        <v>151</v>
      </c>
      <c r="H32" s="79">
        <v>45313</v>
      </c>
      <c r="I32" s="83" t="s">
        <v>133</v>
      </c>
      <c r="J32" s="83" t="s">
        <v>63</v>
      </c>
      <c r="K32" s="83">
        <v>0</v>
      </c>
      <c r="L32" s="83" t="s">
        <v>152</v>
      </c>
      <c r="M32" s="83" t="s">
        <v>124</v>
      </c>
      <c r="N32" s="94">
        <v>1</v>
      </c>
      <c r="O32" s="95">
        <v>2.3148148148148146E-4</v>
      </c>
    </row>
    <row r="33" spans="1:15" ht="54" customHeight="1" thickTop="1" thickBot="1" x14ac:dyDescent="0.25">
      <c r="A33" s="68"/>
      <c r="B33" s="93" t="s">
        <v>15</v>
      </c>
      <c r="C33" s="94" t="s">
        <v>153</v>
      </c>
      <c r="D33" s="94" t="s">
        <v>154</v>
      </c>
      <c r="E33" s="78" t="s">
        <v>13</v>
      </c>
      <c r="F33" s="78" t="s">
        <v>23</v>
      </c>
      <c r="G33" s="78" t="s">
        <v>155</v>
      </c>
      <c r="H33" s="79">
        <v>45313</v>
      </c>
      <c r="I33" s="83" t="s">
        <v>133</v>
      </c>
      <c r="J33" s="83" t="s">
        <v>63</v>
      </c>
      <c r="K33" s="83">
        <v>0</v>
      </c>
      <c r="L33" s="83" t="s">
        <v>156</v>
      </c>
      <c r="M33" s="83" t="s">
        <v>124</v>
      </c>
      <c r="N33" s="94">
        <v>2</v>
      </c>
      <c r="O33" s="95">
        <v>2.3148148148148146E-4</v>
      </c>
    </row>
    <row r="34" spans="1:15" ht="54" customHeight="1" thickTop="1" thickBot="1" x14ac:dyDescent="0.25">
      <c r="A34" s="68"/>
      <c r="B34" s="93" t="s">
        <v>15</v>
      </c>
      <c r="C34" s="94" t="s">
        <v>157</v>
      </c>
      <c r="D34" s="94" t="s">
        <v>158</v>
      </c>
      <c r="E34" s="78" t="s">
        <v>13</v>
      </c>
      <c r="F34" s="78" t="s">
        <v>23</v>
      </c>
      <c r="G34" s="78" t="s">
        <v>155</v>
      </c>
      <c r="H34" s="79">
        <v>45313</v>
      </c>
      <c r="I34" s="83" t="s">
        <v>133</v>
      </c>
      <c r="J34" s="83" t="s">
        <v>63</v>
      </c>
      <c r="K34" s="83">
        <v>0</v>
      </c>
      <c r="L34" s="83" t="s">
        <v>159</v>
      </c>
      <c r="M34" s="83" t="s">
        <v>124</v>
      </c>
      <c r="N34" s="94">
        <v>2</v>
      </c>
      <c r="O34" s="95">
        <v>3.4722222222222224E-4</v>
      </c>
    </row>
    <row r="35" spans="1:15" ht="54" customHeight="1" thickTop="1" thickBot="1" x14ac:dyDescent="0.25">
      <c r="A35" s="68"/>
      <c r="B35" s="93" t="s">
        <v>15</v>
      </c>
      <c r="C35" s="94" t="s">
        <v>160</v>
      </c>
      <c r="D35" s="94" t="s">
        <v>161</v>
      </c>
      <c r="E35" s="78" t="s">
        <v>13</v>
      </c>
      <c r="F35" s="78" t="s">
        <v>23</v>
      </c>
      <c r="G35" s="78" t="s">
        <v>138</v>
      </c>
      <c r="H35" s="79">
        <v>45317</v>
      </c>
      <c r="I35" s="83" t="s">
        <v>62</v>
      </c>
      <c r="J35" s="83" t="s">
        <v>134</v>
      </c>
      <c r="K35" s="83">
        <v>0</v>
      </c>
      <c r="L35" s="83" t="s">
        <v>162</v>
      </c>
      <c r="M35" s="83" t="s">
        <v>163</v>
      </c>
      <c r="N35" s="94">
        <v>2</v>
      </c>
      <c r="O35" s="95">
        <v>4.6296296296296293E-4</v>
      </c>
    </row>
    <row r="36" spans="1:15" ht="54" customHeight="1" thickTop="1" thickBot="1" x14ac:dyDescent="0.25">
      <c r="A36" s="68"/>
      <c r="B36" s="93" t="s">
        <v>15</v>
      </c>
      <c r="C36" s="94" t="s">
        <v>164</v>
      </c>
      <c r="D36" s="94" t="s">
        <v>165</v>
      </c>
      <c r="E36" s="78" t="s">
        <v>13</v>
      </c>
      <c r="F36" s="78" t="s">
        <v>23</v>
      </c>
      <c r="G36" s="78" t="s">
        <v>138</v>
      </c>
      <c r="H36" s="79">
        <v>45317</v>
      </c>
      <c r="I36" s="83" t="s">
        <v>62</v>
      </c>
      <c r="J36" s="83" t="s">
        <v>134</v>
      </c>
      <c r="K36" s="83">
        <v>0</v>
      </c>
      <c r="L36" s="83" t="s">
        <v>162</v>
      </c>
      <c r="M36" s="83" t="s">
        <v>163</v>
      </c>
      <c r="N36" s="94">
        <v>2</v>
      </c>
      <c r="O36" s="95">
        <v>4.6296296296296293E-4</v>
      </c>
    </row>
    <row r="37" spans="1:15" ht="54" customHeight="1" thickTop="1" thickBot="1" x14ac:dyDescent="0.25">
      <c r="A37" s="68"/>
      <c r="B37" s="93" t="s">
        <v>15</v>
      </c>
      <c r="C37" s="94" t="s">
        <v>166</v>
      </c>
      <c r="D37" s="94" t="s">
        <v>167</v>
      </c>
      <c r="E37" s="78" t="s">
        <v>13</v>
      </c>
      <c r="F37" s="78" t="s">
        <v>23</v>
      </c>
      <c r="G37" s="78" t="s">
        <v>138</v>
      </c>
      <c r="H37" s="79">
        <v>45317</v>
      </c>
      <c r="I37" s="83" t="s">
        <v>62</v>
      </c>
      <c r="J37" s="83" t="s">
        <v>134</v>
      </c>
      <c r="K37" s="83">
        <v>0</v>
      </c>
      <c r="L37" s="83" t="s">
        <v>168</v>
      </c>
      <c r="M37" s="83" t="s">
        <v>163</v>
      </c>
      <c r="N37" s="94">
        <v>1</v>
      </c>
      <c r="O37" s="95">
        <v>4.6296296296296293E-4</v>
      </c>
    </row>
    <row r="38" spans="1:15" ht="54" customHeight="1" thickTop="1" thickBot="1" x14ac:dyDescent="0.25">
      <c r="A38" s="68"/>
      <c r="B38" s="93" t="s">
        <v>15</v>
      </c>
      <c r="C38" s="94" t="s">
        <v>169</v>
      </c>
      <c r="D38" s="94" t="s">
        <v>170</v>
      </c>
      <c r="E38" s="78" t="s">
        <v>13</v>
      </c>
      <c r="F38" s="78" t="s">
        <v>23</v>
      </c>
      <c r="G38" s="78" t="s">
        <v>138</v>
      </c>
      <c r="H38" s="79">
        <v>45317</v>
      </c>
      <c r="I38" s="83" t="s">
        <v>62</v>
      </c>
      <c r="J38" s="83" t="s">
        <v>134</v>
      </c>
      <c r="K38" s="83">
        <v>0</v>
      </c>
      <c r="L38" s="83" t="s">
        <v>168</v>
      </c>
      <c r="M38" s="83" t="s">
        <v>163</v>
      </c>
      <c r="N38" s="94">
        <v>1</v>
      </c>
      <c r="O38" s="95">
        <v>4.6296296296296293E-4</v>
      </c>
    </row>
    <row r="39" spans="1:15" ht="54" customHeight="1" thickTop="1" thickBot="1" x14ac:dyDescent="0.25">
      <c r="A39" s="68"/>
      <c r="B39" s="93" t="s">
        <v>15</v>
      </c>
      <c r="C39" s="94" t="s">
        <v>171</v>
      </c>
      <c r="D39" s="94" t="s">
        <v>172</v>
      </c>
      <c r="E39" s="78" t="s">
        <v>13</v>
      </c>
      <c r="F39" s="78" t="s">
        <v>23</v>
      </c>
      <c r="G39" s="78" t="s">
        <v>138</v>
      </c>
      <c r="H39" s="79">
        <v>45317</v>
      </c>
      <c r="I39" s="83" t="s">
        <v>62</v>
      </c>
      <c r="J39" s="83" t="s">
        <v>134</v>
      </c>
      <c r="K39" s="83">
        <v>0</v>
      </c>
      <c r="L39" s="83" t="s">
        <v>168</v>
      </c>
      <c r="M39" s="83" t="s">
        <v>163</v>
      </c>
      <c r="N39" s="94">
        <v>1</v>
      </c>
      <c r="O39" s="95">
        <v>4.6296296296296293E-4</v>
      </c>
    </row>
    <row r="40" spans="1:15" ht="54" customHeight="1" thickTop="1" thickBot="1" x14ac:dyDescent="0.25">
      <c r="A40" s="76"/>
      <c r="B40" s="93" t="s">
        <v>15</v>
      </c>
      <c r="C40" s="94" t="s">
        <v>173</v>
      </c>
      <c r="D40" s="94" t="s">
        <v>161</v>
      </c>
      <c r="E40" s="78" t="s">
        <v>13</v>
      </c>
      <c r="F40" s="78" t="s">
        <v>23</v>
      </c>
      <c r="G40" s="78" t="s">
        <v>138</v>
      </c>
      <c r="H40" s="79">
        <v>45317</v>
      </c>
      <c r="I40" s="83" t="s">
        <v>62</v>
      </c>
      <c r="J40" s="83" t="s">
        <v>134</v>
      </c>
      <c r="K40" s="83">
        <v>0</v>
      </c>
      <c r="L40" s="83" t="s">
        <v>162</v>
      </c>
      <c r="M40" s="83" t="s">
        <v>163</v>
      </c>
      <c r="N40" s="94">
        <v>2</v>
      </c>
      <c r="O40" s="95">
        <v>4.6296296296296293E-4</v>
      </c>
    </row>
    <row r="41" spans="1:15" ht="54" customHeight="1" thickTop="1" thickBot="1" x14ac:dyDescent="0.25">
      <c r="A41" s="68"/>
      <c r="B41" s="93" t="s">
        <v>15</v>
      </c>
      <c r="C41" s="94" t="s">
        <v>174</v>
      </c>
      <c r="D41" s="94" t="s">
        <v>165</v>
      </c>
      <c r="E41" s="78" t="s">
        <v>13</v>
      </c>
      <c r="F41" s="78" t="s">
        <v>23</v>
      </c>
      <c r="G41" s="78" t="s">
        <v>138</v>
      </c>
      <c r="H41" s="79">
        <v>45317</v>
      </c>
      <c r="I41" s="83" t="s">
        <v>62</v>
      </c>
      <c r="J41" s="83" t="s">
        <v>134</v>
      </c>
      <c r="K41" s="83">
        <v>0</v>
      </c>
      <c r="L41" s="83" t="s">
        <v>162</v>
      </c>
      <c r="M41" s="83" t="s">
        <v>163</v>
      </c>
      <c r="N41" s="94">
        <v>2</v>
      </c>
      <c r="O41" s="95">
        <v>4.6296296296296293E-4</v>
      </c>
    </row>
    <row r="42" spans="1:15" ht="54" customHeight="1" thickTop="1" thickBot="1" x14ac:dyDescent="0.25">
      <c r="A42" s="68"/>
      <c r="B42" s="93" t="s">
        <v>15</v>
      </c>
      <c r="C42" s="94" t="s">
        <v>175</v>
      </c>
      <c r="D42" s="94" t="s">
        <v>176</v>
      </c>
      <c r="E42" s="78" t="s">
        <v>13</v>
      </c>
      <c r="F42" s="78" t="s">
        <v>23</v>
      </c>
      <c r="G42" s="78" t="s">
        <v>177</v>
      </c>
      <c r="H42" s="79">
        <v>45317</v>
      </c>
      <c r="I42" s="83" t="s">
        <v>90</v>
      </c>
      <c r="J42" s="83" t="s">
        <v>63</v>
      </c>
      <c r="K42" s="83">
        <v>0</v>
      </c>
      <c r="L42" s="83" t="s">
        <v>178</v>
      </c>
      <c r="M42" s="83" t="s">
        <v>108</v>
      </c>
      <c r="N42" s="94">
        <v>1</v>
      </c>
      <c r="O42" s="95">
        <v>6.9444444444444447E-4</v>
      </c>
    </row>
    <row r="43" spans="1:15" ht="54" customHeight="1" thickTop="1" thickBot="1" x14ac:dyDescent="0.25">
      <c r="A43" s="121"/>
      <c r="B43" s="122" t="s">
        <v>15</v>
      </c>
      <c r="C43" s="123" t="s">
        <v>179</v>
      </c>
      <c r="D43" s="123" t="s">
        <v>180</v>
      </c>
      <c r="E43" s="124" t="s">
        <v>23</v>
      </c>
      <c r="F43" s="124"/>
      <c r="G43" s="124"/>
      <c r="H43" s="125"/>
      <c r="I43" s="83" t="s">
        <v>62</v>
      </c>
      <c r="J43" s="83" t="s">
        <v>63</v>
      </c>
      <c r="K43" s="83">
        <v>0</v>
      </c>
      <c r="L43" s="83" t="s">
        <v>181</v>
      </c>
      <c r="M43" s="83" t="s">
        <v>124</v>
      </c>
      <c r="N43" s="123">
        <v>2</v>
      </c>
      <c r="O43" s="127">
        <v>6.9444444444444447E-4</v>
      </c>
    </row>
    <row r="44" spans="1:15" ht="54" customHeight="1" thickTop="1" thickBot="1" x14ac:dyDescent="0.25">
      <c r="A44" s="68"/>
      <c r="B44" s="90" t="s">
        <v>18</v>
      </c>
      <c r="C44" s="91" t="s">
        <v>182</v>
      </c>
      <c r="D44" s="91" t="s">
        <v>183</v>
      </c>
      <c r="E44" s="81" t="s">
        <v>13</v>
      </c>
      <c r="F44" s="81" t="s">
        <v>23</v>
      </c>
      <c r="G44" s="81" t="s">
        <v>184</v>
      </c>
      <c r="H44" s="82">
        <v>45315</v>
      </c>
      <c r="I44" s="83" t="s">
        <v>133</v>
      </c>
      <c r="J44" s="83" t="s">
        <v>63</v>
      </c>
      <c r="K44" s="83">
        <v>0</v>
      </c>
      <c r="L44" s="83" t="s">
        <v>185</v>
      </c>
      <c r="M44" s="83" t="s">
        <v>186</v>
      </c>
      <c r="N44" s="91">
        <v>2</v>
      </c>
      <c r="O44" s="92">
        <v>1.0416666666666667E-3</v>
      </c>
    </row>
    <row r="45" spans="1:15" ht="54" customHeight="1" thickTop="1" thickBot="1" x14ac:dyDescent="0.25">
      <c r="A45" s="68"/>
      <c r="B45" s="93" t="s">
        <v>18</v>
      </c>
      <c r="C45" s="94" t="s">
        <v>187</v>
      </c>
      <c r="D45" s="94" t="s">
        <v>188</v>
      </c>
      <c r="E45" s="78" t="s">
        <v>13</v>
      </c>
      <c r="F45" s="78" t="s">
        <v>23</v>
      </c>
      <c r="G45" s="78" t="s">
        <v>189</v>
      </c>
      <c r="H45" s="79">
        <v>45313</v>
      </c>
      <c r="I45" s="83" t="s">
        <v>133</v>
      </c>
      <c r="J45" s="83" t="s">
        <v>63</v>
      </c>
      <c r="K45" s="83">
        <v>0</v>
      </c>
      <c r="L45" s="83" t="s">
        <v>190</v>
      </c>
      <c r="M45" s="83" t="s">
        <v>124</v>
      </c>
      <c r="N45" s="94">
        <v>2</v>
      </c>
      <c r="O45" s="95">
        <v>1.5624999999999999E-3</v>
      </c>
    </row>
    <row r="46" spans="1:15" ht="54" customHeight="1" thickTop="1" thickBot="1" x14ac:dyDescent="0.25">
      <c r="A46" s="68"/>
      <c r="B46" s="93" t="s">
        <v>18</v>
      </c>
      <c r="C46" s="94" t="s">
        <v>191</v>
      </c>
      <c r="D46" s="94" t="s">
        <v>192</v>
      </c>
      <c r="E46" s="78" t="s">
        <v>13</v>
      </c>
      <c r="F46" s="78" t="s">
        <v>23</v>
      </c>
      <c r="G46" s="78" t="s">
        <v>193</v>
      </c>
      <c r="H46" s="79">
        <v>45315</v>
      </c>
      <c r="I46" s="83" t="s">
        <v>133</v>
      </c>
      <c r="J46" s="83" t="s">
        <v>63</v>
      </c>
      <c r="K46" s="83">
        <v>0</v>
      </c>
      <c r="L46" s="83" t="s">
        <v>194</v>
      </c>
      <c r="M46" s="83" t="s">
        <v>124</v>
      </c>
      <c r="N46" s="94">
        <v>2</v>
      </c>
      <c r="O46" s="95">
        <v>6.9444444444444447E-4</v>
      </c>
    </row>
    <row r="47" spans="1:15" ht="54" customHeight="1" thickTop="1" thickBot="1" x14ac:dyDescent="0.25">
      <c r="A47" s="68"/>
      <c r="B47" s="93" t="s">
        <v>18</v>
      </c>
      <c r="C47" s="94" t="s">
        <v>195</v>
      </c>
      <c r="D47" s="94" t="s">
        <v>196</v>
      </c>
      <c r="E47" s="78" t="s">
        <v>13</v>
      </c>
      <c r="F47" s="78" t="s">
        <v>23</v>
      </c>
      <c r="G47" s="78" t="s">
        <v>193</v>
      </c>
      <c r="H47" s="79">
        <v>45315</v>
      </c>
      <c r="I47" s="83" t="s">
        <v>133</v>
      </c>
      <c r="J47" s="83" t="s">
        <v>63</v>
      </c>
      <c r="K47" s="83">
        <v>0</v>
      </c>
      <c r="L47" s="83" t="s">
        <v>197</v>
      </c>
      <c r="M47" s="83" t="s">
        <v>124</v>
      </c>
      <c r="N47" s="94">
        <v>2</v>
      </c>
      <c r="O47" s="95">
        <v>6.9444444444444447E-4</v>
      </c>
    </row>
    <row r="48" spans="1:15" ht="54" customHeight="1" thickTop="1" thickBot="1" x14ac:dyDescent="0.25">
      <c r="A48" s="68"/>
      <c r="B48" s="93" t="s">
        <v>18</v>
      </c>
      <c r="C48" s="94" t="s">
        <v>198</v>
      </c>
      <c r="D48" s="94" t="s">
        <v>199</v>
      </c>
      <c r="E48" s="78" t="s">
        <v>13</v>
      </c>
      <c r="F48" s="78" t="s">
        <v>23</v>
      </c>
      <c r="G48" s="78" t="s">
        <v>189</v>
      </c>
      <c r="H48" s="79">
        <v>45313</v>
      </c>
      <c r="I48" s="83" t="s">
        <v>133</v>
      </c>
      <c r="J48" s="83" t="s">
        <v>134</v>
      </c>
      <c r="K48" s="83">
        <v>0</v>
      </c>
      <c r="L48" s="83" t="s">
        <v>200</v>
      </c>
      <c r="M48" s="83" t="s">
        <v>124</v>
      </c>
      <c r="N48" s="94">
        <v>2</v>
      </c>
      <c r="O48" s="95">
        <v>5.2083333333333333E-4</v>
      </c>
    </row>
    <row r="49" spans="1:15" ht="54" customHeight="1" thickTop="1" thickBot="1" x14ac:dyDescent="0.25">
      <c r="A49" s="68"/>
      <c r="B49" s="93" t="s">
        <v>18</v>
      </c>
      <c r="C49" s="94" t="s">
        <v>201</v>
      </c>
      <c r="D49" s="94" t="s">
        <v>202</v>
      </c>
      <c r="E49" s="78" t="s">
        <v>13</v>
      </c>
      <c r="F49" s="78" t="s">
        <v>23</v>
      </c>
      <c r="G49" s="78" t="s">
        <v>203</v>
      </c>
      <c r="H49" s="79">
        <v>45316</v>
      </c>
      <c r="I49" s="83" t="s">
        <v>133</v>
      </c>
      <c r="J49" s="83" t="s">
        <v>63</v>
      </c>
      <c r="K49" s="83">
        <v>0</v>
      </c>
      <c r="L49" s="83" t="s">
        <v>204</v>
      </c>
      <c r="M49" s="83" t="s">
        <v>205</v>
      </c>
      <c r="N49" s="94">
        <v>2</v>
      </c>
      <c r="O49" s="95">
        <v>6.9444444444444447E-4</v>
      </c>
    </row>
    <row r="50" spans="1:15" ht="54" customHeight="1" thickTop="1" thickBot="1" x14ac:dyDescent="0.25">
      <c r="A50" s="68"/>
      <c r="B50" s="93" t="s">
        <v>18</v>
      </c>
      <c r="C50" s="94" t="s">
        <v>206</v>
      </c>
      <c r="D50" s="94" t="s">
        <v>207</v>
      </c>
      <c r="E50" s="78" t="s">
        <v>13</v>
      </c>
      <c r="F50" s="78" t="s">
        <v>23</v>
      </c>
      <c r="G50" s="78" t="s">
        <v>208</v>
      </c>
      <c r="H50" s="79">
        <v>45315</v>
      </c>
      <c r="I50" s="83" t="s">
        <v>133</v>
      </c>
      <c r="J50" s="83" t="s">
        <v>134</v>
      </c>
      <c r="K50" s="83">
        <v>0</v>
      </c>
      <c r="L50" s="83" t="s">
        <v>209</v>
      </c>
      <c r="M50" s="83" t="s">
        <v>205</v>
      </c>
      <c r="N50" s="94">
        <v>1</v>
      </c>
      <c r="O50" s="95">
        <v>3.4722222222222224E-4</v>
      </c>
    </row>
    <row r="51" spans="1:15" ht="54" customHeight="1" thickTop="1" thickBot="1" x14ac:dyDescent="0.25">
      <c r="A51" s="68"/>
      <c r="B51" s="93" t="s">
        <v>18</v>
      </c>
      <c r="C51" s="94" t="s">
        <v>210</v>
      </c>
      <c r="D51" s="94" t="s">
        <v>207</v>
      </c>
      <c r="E51" s="78" t="s">
        <v>13</v>
      </c>
      <c r="F51" s="78" t="s">
        <v>23</v>
      </c>
      <c r="G51" s="78" t="s">
        <v>208</v>
      </c>
      <c r="H51" s="79">
        <v>45315</v>
      </c>
      <c r="I51" s="83" t="s">
        <v>133</v>
      </c>
      <c r="J51" s="83" t="s">
        <v>134</v>
      </c>
      <c r="K51" s="83">
        <v>0</v>
      </c>
      <c r="L51" s="83" t="s">
        <v>209</v>
      </c>
      <c r="M51" s="83" t="s">
        <v>205</v>
      </c>
      <c r="N51" s="94">
        <v>1</v>
      </c>
      <c r="O51" s="95">
        <v>3.4722222222222224E-4</v>
      </c>
    </row>
    <row r="52" spans="1:15" ht="54" customHeight="1" thickTop="1" thickBot="1" x14ac:dyDescent="0.25">
      <c r="A52" s="68"/>
      <c r="B52" s="93" t="s">
        <v>18</v>
      </c>
      <c r="C52" s="94" t="s">
        <v>211</v>
      </c>
      <c r="D52" s="94" t="s">
        <v>839</v>
      </c>
      <c r="E52" s="78" t="s">
        <v>13</v>
      </c>
      <c r="F52" s="78" t="s">
        <v>23</v>
      </c>
      <c r="G52" s="78" t="s">
        <v>212</v>
      </c>
      <c r="H52" s="79">
        <v>45314</v>
      </c>
      <c r="I52" s="83" t="s">
        <v>90</v>
      </c>
      <c r="J52" s="83" t="s">
        <v>134</v>
      </c>
      <c r="K52" s="83">
        <v>0</v>
      </c>
      <c r="L52" s="83" t="s">
        <v>213</v>
      </c>
      <c r="M52" s="83" t="s">
        <v>847</v>
      </c>
      <c r="N52" s="94">
        <v>1</v>
      </c>
      <c r="O52" s="95">
        <v>3.4722222222222224E-4</v>
      </c>
    </row>
    <row r="53" spans="1:15" ht="54" customHeight="1" thickTop="1" thickBot="1" x14ac:dyDescent="0.25">
      <c r="A53" s="68"/>
      <c r="B53" s="93" t="s">
        <v>18</v>
      </c>
      <c r="C53" s="94" t="s">
        <v>214</v>
      </c>
      <c r="D53" s="94" t="s">
        <v>215</v>
      </c>
      <c r="E53" s="78" t="s">
        <v>13</v>
      </c>
      <c r="F53" s="78" t="s">
        <v>23</v>
      </c>
      <c r="G53" s="78" t="s">
        <v>216</v>
      </c>
      <c r="H53" s="79">
        <v>45316</v>
      </c>
      <c r="I53" s="83" t="s">
        <v>133</v>
      </c>
      <c r="J53" s="83" t="s">
        <v>134</v>
      </c>
      <c r="K53" s="83">
        <v>0</v>
      </c>
      <c r="L53" s="83" t="s">
        <v>217</v>
      </c>
      <c r="M53" s="83" t="s">
        <v>205</v>
      </c>
      <c r="N53" s="94">
        <v>1</v>
      </c>
      <c r="O53" s="95">
        <v>5.7870370370370378E-4</v>
      </c>
    </row>
    <row r="54" spans="1:15" ht="54" customHeight="1" thickTop="1" thickBot="1" x14ac:dyDescent="0.25">
      <c r="A54" s="68"/>
      <c r="B54" s="93" t="s">
        <v>18</v>
      </c>
      <c r="C54" s="94" t="s">
        <v>218</v>
      </c>
      <c r="D54" s="94" t="s">
        <v>219</v>
      </c>
      <c r="E54" s="78" t="s">
        <v>13</v>
      </c>
      <c r="F54" s="78" t="s">
        <v>23</v>
      </c>
      <c r="G54" s="78" t="s">
        <v>220</v>
      </c>
      <c r="H54" s="79">
        <v>45929</v>
      </c>
      <c r="I54" s="83" t="s">
        <v>133</v>
      </c>
      <c r="J54" s="83" t="s">
        <v>134</v>
      </c>
      <c r="K54" s="83">
        <v>0</v>
      </c>
      <c r="L54" s="83" t="s">
        <v>221</v>
      </c>
      <c r="M54" s="83" t="s">
        <v>205</v>
      </c>
      <c r="N54" s="94">
        <v>2</v>
      </c>
      <c r="O54" s="95">
        <v>6.9444444444444447E-4</v>
      </c>
    </row>
    <row r="55" spans="1:15" ht="54" customHeight="1" thickTop="1" thickBot="1" x14ac:dyDescent="0.25">
      <c r="A55" s="68"/>
      <c r="B55" s="93" t="s">
        <v>18</v>
      </c>
      <c r="C55" s="94" t="s">
        <v>222</v>
      </c>
      <c r="D55" s="94" t="s">
        <v>223</v>
      </c>
      <c r="E55" s="78" t="s">
        <v>13</v>
      </c>
      <c r="F55" s="78" t="s">
        <v>23</v>
      </c>
      <c r="G55" s="78" t="s">
        <v>224</v>
      </c>
      <c r="H55" s="79">
        <v>45315</v>
      </c>
      <c r="I55" s="83" t="s">
        <v>62</v>
      </c>
      <c r="J55" s="83" t="s">
        <v>134</v>
      </c>
      <c r="K55" s="83">
        <v>0</v>
      </c>
      <c r="L55" s="83" t="s">
        <v>225</v>
      </c>
      <c r="M55" s="83" t="s">
        <v>205</v>
      </c>
      <c r="N55" s="94">
        <v>1</v>
      </c>
      <c r="O55" s="95">
        <v>3.4722222222222224E-4</v>
      </c>
    </row>
    <row r="56" spans="1:15" ht="54" customHeight="1" thickTop="1" thickBot="1" x14ac:dyDescent="0.25">
      <c r="A56" s="68"/>
      <c r="B56" s="93" t="s">
        <v>18</v>
      </c>
      <c r="C56" s="94" t="s">
        <v>226</v>
      </c>
      <c r="D56" s="94" t="s">
        <v>227</v>
      </c>
      <c r="E56" s="78" t="s">
        <v>13</v>
      </c>
      <c r="F56" s="78" t="s">
        <v>23</v>
      </c>
      <c r="G56" s="78" t="s">
        <v>216</v>
      </c>
      <c r="H56" s="79">
        <v>45316</v>
      </c>
      <c r="I56" s="83" t="s">
        <v>133</v>
      </c>
      <c r="J56" s="83" t="s">
        <v>63</v>
      </c>
      <c r="K56" s="83">
        <v>0</v>
      </c>
      <c r="L56" s="83" t="s">
        <v>217</v>
      </c>
      <c r="M56" s="83" t="s">
        <v>205</v>
      </c>
      <c r="N56" s="94">
        <v>1</v>
      </c>
      <c r="O56" s="95">
        <v>1.0416666666666667E-3</v>
      </c>
    </row>
    <row r="57" spans="1:15" ht="54" customHeight="1" thickTop="1" thickBot="1" x14ac:dyDescent="0.25">
      <c r="A57" s="68"/>
      <c r="B57" s="93" t="s">
        <v>18</v>
      </c>
      <c r="C57" s="94" t="s">
        <v>228</v>
      </c>
      <c r="D57" s="94" t="s">
        <v>229</v>
      </c>
      <c r="E57" s="78" t="s">
        <v>13</v>
      </c>
      <c r="F57" s="78" t="s">
        <v>23</v>
      </c>
      <c r="G57" s="78" t="s">
        <v>230</v>
      </c>
      <c r="H57" s="79">
        <v>45316</v>
      </c>
      <c r="I57" s="83" t="s">
        <v>133</v>
      </c>
      <c r="J57" s="83" t="s">
        <v>134</v>
      </c>
      <c r="K57" s="83">
        <v>0</v>
      </c>
      <c r="L57" s="83" t="s">
        <v>231</v>
      </c>
      <c r="M57" s="83" t="s">
        <v>205</v>
      </c>
      <c r="N57" s="94">
        <v>1</v>
      </c>
      <c r="O57" s="95">
        <v>1.1574074074074073E-4</v>
      </c>
    </row>
    <row r="58" spans="1:15" ht="54" customHeight="1" thickTop="1" thickBot="1" x14ac:dyDescent="0.25">
      <c r="A58" s="68"/>
      <c r="B58" s="93" t="s">
        <v>18</v>
      </c>
      <c r="C58" s="94" t="s">
        <v>232</v>
      </c>
      <c r="D58" s="94" t="s">
        <v>233</v>
      </c>
      <c r="E58" s="78" t="s">
        <v>234</v>
      </c>
      <c r="F58" s="78" t="s">
        <v>235</v>
      </c>
      <c r="G58" s="78" t="s">
        <v>236</v>
      </c>
      <c r="H58" s="79">
        <v>45927</v>
      </c>
      <c r="I58" s="83" t="s">
        <v>133</v>
      </c>
      <c r="J58" s="83" t="s">
        <v>134</v>
      </c>
      <c r="K58" s="83">
        <v>0</v>
      </c>
      <c r="L58" s="83" t="s">
        <v>237</v>
      </c>
      <c r="M58" s="83" t="s">
        <v>238</v>
      </c>
      <c r="N58" s="94">
        <v>2</v>
      </c>
      <c r="O58" s="95">
        <v>3.4722222222222224E-4</v>
      </c>
    </row>
    <row r="59" spans="1:15" ht="54" customHeight="1" thickTop="1" thickBot="1" x14ac:dyDescent="0.25">
      <c r="A59" s="68"/>
      <c r="B59" s="93" t="s">
        <v>18</v>
      </c>
      <c r="C59" s="94" t="s">
        <v>239</v>
      </c>
      <c r="D59" s="94" t="s">
        <v>240</v>
      </c>
      <c r="E59" s="78" t="s">
        <v>13</v>
      </c>
      <c r="F59" s="78" t="s">
        <v>23</v>
      </c>
      <c r="G59" s="78" t="s">
        <v>241</v>
      </c>
      <c r="H59" s="79">
        <v>45315</v>
      </c>
      <c r="I59" s="83" t="s">
        <v>133</v>
      </c>
      <c r="J59" s="83" t="s">
        <v>134</v>
      </c>
      <c r="K59" s="83">
        <v>0</v>
      </c>
      <c r="L59" s="83" t="s">
        <v>242</v>
      </c>
      <c r="M59" s="83" t="s">
        <v>205</v>
      </c>
      <c r="N59" s="94">
        <v>2</v>
      </c>
      <c r="O59" s="95">
        <v>6.9444444444444447E-4</v>
      </c>
    </row>
    <row r="60" spans="1:15" ht="54" customHeight="1" thickTop="1" thickBot="1" x14ac:dyDescent="0.25">
      <c r="A60" s="68"/>
      <c r="B60" s="93" t="s">
        <v>18</v>
      </c>
      <c r="C60" s="94" t="s">
        <v>243</v>
      </c>
      <c r="D60" s="94" t="s">
        <v>244</v>
      </c>
      <c r="E60" s="78" t="s">
        <v>13</v>
      </c>
      <c r="F60" s="78" t="s">
        <v>23</v>
      </c>
      <c r="G60" s="78" t="s">
        <v>245</v>
      </c>
      <c r="H60" s="79">
        <v>45313</v>
      </c>
      <c r="I60" s="83" t="s">
        <v>133</v>
      </c>
      <c r="J60" s="83" t="s">
        <v>134</v>
      </c>
      <c r="K60" s="83">
        <v>0</v>
      </c>
      <c r="L60" s="83" t="s">
        <v>246</v>
      </c>
      <c r="M60" s="83" t="s">
        <v>205</v>
      </c>
      <c r="N60" s="94">
        <v>1</v>
      </c>
      <c r="O60" s="95">
        <v>6.9444444444444447E-4</v>
      </c>
    </row>
    <row r="61" spans="1:15" ht="54" customHeight="1" thickTop="1" thickBot="1" x14ac:dyDescent="0.25">
      <c r="A61" s="68"/>
      <c r="B61" s="93" t="s">
        <v>18</v>
      </c>
      <c r="C61" s="94" t="s">
        <v>247</v>
      </c>
      <c r="D61" s="94" t="s">
        <v>248</v>
      </c>
      <c r="E61" s="78" t="s">
        <v>13</v>
      </c>
      <c r="F61" s="78" t="s">
        <v>23</v>
      </c>
      <c r="G61" s="78" t="s">
        <v>249</v>
      </c>
      <c r="H61" s="79">
        <v>45930</v>
      </c>
      <c r="I61" s="83" t="s">
        <v>133</v>
      </c>
      <c r="J61" s="83" t="s">
        <v>134</v>
      </c>
      <c r="K61" s="83">
        <v>0</v>
      </c>
      <c r="L61" s="83" t="s">
        <v>250</v>
      </c>
      <c r="M61" s="83" t="s">
        <v>238</v>
      </c>
      <c r="N61" s="94">
        <v>1</v>
      </c>
      <c r="O61" s="95">
        <v>6.9444444444444447E-4</v>
      </c>
    </row>
    <row r="62" spans="1:15" ht="54" customHeight="1" thickTop="1" thickBot="1" x14ac:dyDescent="0.25">
      <c r="A62" s="68"/>
      <c r="B62" s="93" t="s">
        <v>18</v>
      </c>
      <c r="C62" s="94" t="s">
        <v>251</v>
      </c>
      <c r="D62" s="94" t="s">
        <v>252</v>
      </c>
      <c r="E62" s="78" t="s">
        <v>13</v>
      </c>
      <c r="F62" s="78" t="s">
        <v>23</v>
      </c>
      <c r="G62" s="78" t="s">
        <v>253</v>
      </c>
      <c r="H62" s="79">
        <v>45314</v>
      </c>
      <c r="I62" s="83" t="s">
        <v>62</v>
      </c>
      <c r="J62" s="83" t="s">
        <v>134</v>
      </c>
      <c r="K62" s="83">
        <v>0</v>
      </c>
      <c r="L62" s="83" t="s">
        <v>254</v>
      </c>
      <c r="M62" s="83" t="s">
        <v>205</v>
      </c>
      <c r="N62" s="94">
        <v>1</v>
      </c>
      <c r="O62" s="95">
        <v>3.4722222222222224E-4</v>
      </c>
    </row>
    <row r="63" spans="1:15" ht="54" customHeight="1" thickTop="1" thickBot="1" x14ac:dyDescent="0.25">
      <c r="A63" s="68"/>
      <c r="B63" s="93" t="s">
        <v>18</v>
      </c>
      <c r="C63" s="78" t="s">
        <v>255</v>
      </c>
      <c r="D63" s="78" t="s">
        <v>256</v>
      </c>
      <c r="E63" s="78" t="s">
        <v>13</v>
      </c>
      <c r="F63" s="78" t="s">
        <v>23</v>
      </c>
      <c r="G63" s="78" t="s">
        <v>253</v>
      </c>
      <c r="H63" s="79">
        <v>45314</v>
      </c>
      <c r="I63" s="83" t="s">
        <v>62</v>
      </c>
      <c r="J63" s="83" t="s">
        <v>134</v>
      </c>
      <c r="K63" s="83">
        <v>0</v>
      </c>
      <c r="L63" s="83" t="s">
        <v>257</v>
      </c>
      <c r="M63" s="83" t="s">
        <v>205</v>
      </c>
      <c r="N63" s="94">
        <v>2</v>
      </c>
      <c r="O63" s="95">
        <v>3.4722222222222224E-4</v>
      </c>
    </row>
    <row r="64" spans="1:15" ht="54" customHeight="1" thickTop="1" thickBot="1" x14ac:dyDescent="0.25">
      <c r="A64" s="68"/>
      <c r="B64" s="93" t="s">
        <v>18</v>
      </c>
      <c r="C64" s="94" t="s">
        <v>258</v>
      </c>
      <c r="D64" s="94" t="s">
        <v>259</v>
      </c>
      <c r="E64" s="78" t="s">
        <v>13</v>
      </c>
      <c r="F64" s="78" t="s">
        <v>23</v>
      </c>
      <c r="G64" s="78" t="s">
        <v>260</v>
      </c>
      <c r="H64" s="79">
        <v>45314</v>
      </c>
      <c r="I64" s="83" t="s">
        <v>62</v>
      </c>
      <c r="J64" s="83" t="s">
        <v>134</v>
      </c>
      <c r="K64" s="83">
        <v>0</v>
      </c>
      <c r="L64" s="83" t="s">
        <v>261</v>
      </c>
      <c r="M64" s="83" t="s">
        <v>205</v>
      </c>
      <c r="N64" s="94">
        <v>1</v>
      </c>
      <c r="O64" s="95">
        <v>3.4722222222222224E-4</v>
      </c>
    </row>
    <row r="65" spans="1:15" ht="54" customHeight="1" thickTop="1" thickBot="1" x14ac:dyDescent="0.25">
      <c r="A65" s="68"/>
      <c r="B65" s="93" t="s">
        <v>18</v>
      </c>
      <c r="C65" s="94" t="s">
        <v>262</v>
      </c>
      <c r="D65" s="94" t="s">
        <v>840</v>
      </c>
      <c r="E65" s="78" t="s">
        <v>13</v>
      </c>
      <c r="F65" s="78" t="s">
        <v>23</v>
      </c>
      <c r="G65" s="78" t="s">
        <v>264</v>
      </c>
      <c r="H65" s="79">
        <v>45314</v>
      </c>
      <c r="I65" s="83" t="s">
        <v>62</v>
      </c>
      <c r="J65" s="83" t="s">
        <v>134</v>
      </c>
      <c r="K65" s="83">
        <v>0</v>
      </c>
      <c r="L65" s="83" t="s">
        <v>265</v>
      </c>
      <c r="M65" s="83" t="s">
        <v>205</v>
      </c>
      <c r="N65" s="94">
        <v>1</v>
      </c>
      <c r="O65" s="95">
        <v>3.4722222222222224E-4</v>
      </c>
    </row>
    <row r="66" spans="1:15" ht="54" customHeight="1" thickTop="1" thickBot="1" x14ac:dyDescent="0.25">
      <c r="A66" s="68"/>
      <c r="B66" s="93" t="s">
        <v>18</v>
      </c>
      <c r="C66" s="94" t="s">
        <v>266</v>
      </c>
      <c r="D66" s="94" t="s">
        <v>267</v>
      </c>
      <c r="E66" s="78" t="s">
        <v>13</v>
      </c>
      <c r="F66" s="78" t="s">
        <v>23</v>
      </c>
      <c r="G66" s="78" t="s">
        <v>264</v>
      </c>
      <c r="H66" s="79">
        <v>45314</v>
      </c>
      <c r="I66" s="83" t="s">
        <v>62</v>
      </c>
      <c r="J66" s="83" t="s">
        <v>134</v>
      </c>
      <c r="K66" s="83">
        <v>0</v>
      </c>
      <c r="L66" s="83" t="s">
        <v>268</v>
      </c>
      <c r="M66" s="83" t="s">
        <v>205</v>
      </c>
      <c r="N66" s="94">
        <v>1</v>
      </c>
      <c r="O66" s="95">
        <v>3.4722222222222224E-4</v>
      </c>
    </row>
    <row r="67" spans="1:15" ht="54" customHeight="1" thickTop="1" thickBot="1" x14ac:dyDescent="0.25">
      <c r="A67" s="68"/>
      <c r="B67" s="93" t="s">
        <v>18</v>
      </c>
      <c r="C67" s="94" t="s">
        <v>269</v>
      </c>
      <c r="D67" s="94" t="s">
        <v>270</v>
      </c>
      <c r="E67" s="78" t="s">
        <v>13</v>
      </c>
      <c r="F67" s="78" t="s">
        <v>23</v>
      </c>
      <c r="G67" s="78" t="s">
        <v>271</v>
      </c>
      <c r="H67" s="79">
        <v>45314</v>
      </c>
      <c r="I67" s="83" t="s">
        <v>62</v>
      </c>
      <c r="J67" s="83" t="s">
        <v>134</v>
      </c>
      <c r="K67" s="83">
        <v>0</v>
      </c>
      <c r="L67" s="83" t="s">
        <v>272</v>
      </c>
      <c r="M67" s="83" t="s">
        <v>205</v>
      </c>
      <c r="N67" s="94">
        <v>1</v>
      </c>
      <c r="O67" s="95">
        <v>3.4722222222222224E-4</v>
      </c>
    </row>
    <row r="68" spans="1:15" ht="54" customHeight="1" thickTop="1" thickBot="1" x14ac:dyDescent="0.25">
      <c r="A68" s="68"/>
      <c r="B68" s="93" t="s">
        <v>18</v>
      </c>
      <c r="C68" s="94" t="s">
        <v>273</v>
      </c>
      <c r="D68" s="94" t="s">
        <v>274</v>
      </c>
      <c r="E68" s="78" t="s">
        <v>13</v>
      </c>
      <c r="F68" s="78" t="s">
        <v>23</v>
      </c>
      <c r="G68" s="69" t="s">
        <v>275</v>
      </c>
      <c r="H68" s="70">
        <v>45314</v>
      </c>
      <c r="I68" s="83" t="s">
        <v>90</v>
      </c>
      <c r="J68" s="83" t="s">
        <v>134</v>
      </c>
      <c r="K68" s="83">
        <v>0</v>
      </c>
      <c r="L68" s="83" t="s">
        <v>276</v>
      </c>
      <c r="M68" s="83" t="s">
        <v>847</v>
      </c>
      <c r="N68" s="94">
        <v>1</v>
      </c>
      <c r="O68" s="95">
        <v>3.4722222222222224E-4</v>
      </c>
    </row>
    <row r="69" spans="1:15" ht="54" customHeight="1" thickTop="1" thickBot="1" x14ac:dyDescent="0.25">
      <c r="A69" s="68"/>
      <c r="B69" s="93" t="s">
        <v>18</v>
      </c>
      <c r="C69" s="94" t="s">
        <v>277</v>
      </c>
      <c r="D69" s="94" t="s">
        <v>278</v>
      </c>
      <c r="E69" s="78" t="s">
        <v>13</v>
      </c>
      <c r="F69" s="78" t="s">
        <v>23</v>
      </c>
      <c r="G69" s="69" t="s">
        <v>279</v>
      </c>
      <c r="H69" s="70">
        <v>45314</v>
      </c>
      <c r="I69" s="83" t="s">
        <v>90</v>
      </c>
      <c r="J69" s="83" t="s">
        <v>134</v>
      </c>
      <c r="K69" s="83">
        <v>0</v>
      </c>
      <c r="L69" s="83" t="s">
        <v>280</v>
      </c>
      <c r="M69" s="83" t="s">
        <v>847</v>
      </c>
      <c r="N69" s="94">
        <v>1</v>
      </c>
      <c r="O69" s="95">
        <v>5.2083333333333333E-4</v>
      </c>
    </row>
    <row r="70" spans="1:15" ht="54" customHeight="1" thickTop="1" thickBot="1" x14ac:dyDescent="0.25">
      <c r="A70" s="68"/>
      <c r="B70" s="93" t="s">
        <v>18</v>
      </c>
      <c r="C70" s="94" t="s">
        <v>281</v>
      </c>
      <c r="D70" s="94" t="s">
        <v>282</v>
      </c>
      <c r="E70" s="78" t="s">
        <v>13</v>
      </c>
      <c r="F70" s="78" t="s">
        <v>23</v>
      </c>
      <c r="G70" s="69" t="s">
        <v>224</v>
      </c>
      <c r="H70" s="70">
        <v>45314</v>
      </c>
      <c r="I70" s="83" t="s">
        <v>90</v>
      </c>
      <c r="J70" s="83" t="s">
        <v>134</v>
      </c>
      <c r="K70" s="83">
        <v>0</v>
      </c>
      <c r="L70" s="83" t="s">
        <v>283</v>
      </c>
      <c r="M70" s="83" t="s">
        <v>847</v>
      </c>
      <c r="N70" s="94">
        <v>1</v>
      </c>
      <c r="O70" s="95">
        <v>6.9444444444444447E-4</v>
      </c>
    </row>
    <row r="71" spans="1:15" ht="54" customHeight="1" thickTop="1" thickBot="1" x14ac:dyDescent="0.25">
      <c r="A71" s="68"/>
      <c r="B71" s="93" t="s">
        <v>18</v>
      </c>
      <c r="C71" s="94" t="s">
        <v>284</v>
      </c>
      <c r="D71" s="94" t="s">
        <v>285</v>
      </c>
      <c r="E71" s="78" t="s">
        <v>13</v>
      </c>
      <c r="F71" s="78" t="s">
        <v>23</v>
      </c>
      <c r="G71" s="78" t="s">
        <v>286</v>
      </c>
      <c r="H71" s="79">
        <v>45314</v>
      </c>
      <c r="I71" s="83" t="s">
        <v>62</v>
      </c>
      <c r="J71" s="83" t="s">
        <v>134</v>
      </c>
      <c r="K71" s="83">
        <v>0</v>
      </c>
      <c r="L71" s="83" t="s">
        <v>287</v>
      </c>
      <c r="M71" s="83" t="s">
        <v>205</v>
      </c>
      <c r="N71" s="94">
        <v>1</v>
      </c>
      <c r="O71" s="95">
        <v>3.4722222222222224E-4</v>
      </c>
    </row>
    <row r="72" spans="1:15" ht="54" customHeight="1" thickTop="1" thickBot="1" x14ac:dyDescent="0.25">
      <c r="A72" s="68"/>
      <c r="B72" s="93" t="s">
        <v>18</v>
      </c>
      <c r="C72" s="94" t="s">
        <v>288</v>
      </c>
      <c r="D72" s="94" t="s">
        <v>289</v>
      </c>
      <c r="E72" s="78" t="s">
        <v>13</v>
      </c>
      <c r="F72" s="78" t="s">
        <v>23</v>
      </c>
      <c r="G72" s="78" t="s">
        <v>290</v>
      </c>
      <c r="H72" s="79">
        <v>45316</v>
      </c>
      <c r="I72" s="83" t="s">
        <v>133</v>
      </c>
      <c r="J72" s="83" t="s">
        <v>134</v>
      </c>
      <c r="K72" s="83">
        <v>0</v>
      </c>
      <c r="L72" s="83" t="s">
        <v>291</v>
      </c>
      <c r="M72" s="83" t="s">
        <v>205</v>
      </c>
      <c r="N72" s="94">
        <v>1</v>
      </c>
      <c r="O72" s="95">
        <v>6.9444444444444447E-4</v>
      </c>
    </row>
    <row r="73" spans="1:15" ht="54" customHeight="1" thickTop="1" thickBot="1" x14ac:dyDescent="0.25">
      <c r="A73" s="68"/>
      <c r="B73" s="93" t="s">
        <v>18</v>
      </c>
      <c r="C73" s="94" t="s">
        <v>292</v>
      </c>
      <c r="D73" s="94" t="s">
        <v>293</v>
      </c>
      <c r="E73" s="78" t="s">
        <v>13</v>
      </c>
      <c r="F73" s="78" t="s">
        <v>23</v>
      </c>
      <c r="G73" s="78" t="s">
        <v>271</v>
      </c>
      <c r="H73" s="79">
        <v>45314</v>
      </c>
      <c r="I73" s="83" t="s">
        <v>62</v>
      </c>
      <c r="J73" s="83" t="s">
        <v>134</v>
      </c>
      <c r="K73" s="83">
        <v>0</v>
      </c>
      <c r="L73" s="83" t="s">
        <v>294</v>
      </c>
      <c r="M73" s="83" t="s">
        <v>205</v>
      </c>
      <c r="N73" s="94">
        <v>1</v>
      </c>
      <c r="O73" s="95">
        <v>1.3888888888888889E-3</v>
      </c>
    </row>
    <row r="74" spans="1:15" ht="54" customHeight="1" thickTop="1" thickBot="1" x14ac:dyDescent="0.25">
      <c r="A74" s="68"/>
      <c r="B74" s="93" t="s">
        <v>18</v>
      </c>
      <c r="C74" s="94" t="s">
        <v>295</v>
      </c>
      <c r="D74" s="94" t="s">
        <v>296</v>
      </c>
      <c r="E74" s="78" t="s">
        <v>13</v>
      </c>
      <c r="F74" s="78" t="s">
        <v>23</v>
      </c>
      <c r="G74" s="78" t="s">
        <v>297</v>
      </c>
      <c r="H74" s="79">
        <v>45315</v>
      </c>
      <c r="I74" s="83" t="s">
        <v>133</v>
      </c>
      <c r="J74" s="83" t="s">
        <v>134</v>
      </c>
      <c r="K74" s="83">
        <v>0</v>
      </c>
      <c r="L74" s="83" t="s">
        <v>298</v>
      </c>
      <c r="M74" s="83" t="s">
        <v>205</v>
      </c>
      <c r="N74" s="94">
        <v>1</v>
      </c>
      <c r="O74" s="95">
        <v>3.4722222222222224E-4</v>
      </c>
    </row>
    <row r="75" spans="1:15" ht="54" customHeight="1" thickTop="1" thickBot="1" x14ac:dyDescent="0.25">
      <c r="A75" s="68"/>
      <c r="B75" s="93" t="s">
        <v>18</v>
      </c>
      <c r="C75" s="94" t="s">
        <v>299</v>
      </c>
      <c r="D75" s="94" t="s">
        <v>300</v>
      </c>
      <c r="E75" s="78" t="s">
        <v>13</v>
      </c>
      <c r="F75" s="78" t="s">
        <v>23</v>
      </c>
      <c r="G75" s="78" t="s">
        <v>301</v>
      </c>
      <c r="H75" s="79">
        <v>45315</v>
      </c>
      <c r="I75" s="83" t="s">
        <v>133</v>
      </c>
      <c r="J75" s="83" t="s">
        <v>134</v>
      </c>
      <c r="K75" s="83">
        <v>0</v>
      </c>
      <c r="L75" s="83" t="s">
        <v>298</v>
      </c>
      <c r="M75" s="83" t="s">
        <v>205</v>
      </c>
      <c r="N75" s="94">
        <v>1</v>
      </c>
      <c r="O75" s="95">
        <v>3.4722222222222224E-4</v>
      </c>
    </row>
    <row r="76" spans="1:15" ht="54" customHeight="1" thickTop="1" thickBot="1" x14ac:dyDescent="0.25">
      <c r="A76" s="68"/>
      <c r="B76" s="93" t="s">
        <v>18</v>
      </c>
      <c r="C76" s="94" t="s">
        <v>302</v>
      </c>
      <c r="D76" s="94" t="s">
        <v>303</v>
      </c>
      <c r="E76" s="78" t="s">
        <v>13</v>
      </c>
      <c r="F76" s="78" t="s">
        <v>23</v>
      </c>
      <c r="G76" s="78" t="s">
        <v>297</v>
      </c>
      <c r="H76" s="79">
        <v>45313</v>
      </c>
      <c r="I76" s="83" t="s">
        <v>133</v>
      </c>
      <c r="J76" s="83" t="s">
        <v>134</v>
      </c>
      <c r="K76" s="83">
        <v>0</v>
      </c>
      <c r="L76" s="83" t="s">
        <v>298</v>
      </c>
      <c r="M76" s="83" t="s">
        <v>205</v>
      </c>
      <c r="N76" s="94">
        <v>1</v>
      </c>
      <c r="O76" s="95">
        <v>3.4722222222222224E-4</v>
      </c>
    </row>
    <row r="77" spans="1:15" ht="54" customHeight="1" thickTop="1" thickBot="1" x14ac:dyDescent="0.25">
      <c r="A77" s="68"/>
      <c r="B77" s="93" t="s">
        <v>18</v>
      </c>
      <c r="C77" s="94" t="s">
        <v>304</v>
      </c>
      <c r="D77" s="94" t="s">
        <v>305</v>
      </c>
      <c r="E77" s="78" t="s">
        <v>13</v>
      </c>
      <c r="F77" s="78" t="s">
        <v>23</v>
      </c>
      <c r="G77" s="78" t="s">
        <v>253</v>
      </c>
      <c r="H77" s="79">
        <v>45314</v>
      </c>
      <c r="I77" s="83" t="s">
        <v>62</v>
      </c>
      <c r="J77" s="83" t="s">
        <v>134</v>
      </c>
      <c r="K77" s="83">
        <v>0</v>
      </c>
      <c r="L77" s="83" t="s">
        <v>306</v>
      </c>
      <c r="M77" s="83" t="s">
        <v>205</v>
      </c>
      <c r="N77" s="94">
        <v>1</v>
      </c>
      <c r="O77" s="95">
        <v>6.9444444444444447E-4</v>
      </c>
    </row>
    <row r="78" spans="1:15" ht="54" customHeight="1" thickTop="1" thickBot="1" x14ac:dyDescent="0.25">
      <c r="A78" s="68"/>
      <c r="B78" s="93" t="s">
        <v>18</v>
      </c>
      <c r="C78" s="94" t="s">
        <v>307</v>
      </c>
      <c r="D78" s="94" t="s">
        <v>841</v>
      </c>
      <c r="E78" s="78" t="s">
        <v>13</v>
      </c>
      <c r="F78" s="78" t="s">
        <v>23</v>
      </c>
      <c r="G78" s="78" t="s">
        <v>212</v>
      </c>
      <c r="H78" s="79">
        <v>45314</v>
      </c>
      <c r="I78" s="83" t="s">
        <v>90</v>
      </c>
      <c r="J78" s="83" t="s">
        <v>134</v>
      </c>
      <c r="K78" s="83">
        <v>0</v>
      </c>
      <c r="L78" s="83" t="s">
        <v>213</v>
      </c>
      <c r="M78" s="83" t="s">
        <v>847</v>
      </c>
      <c r="N78" s="94">
        <v>1</v>
      </c>
      <c r="O78" s="95">
        <v>3.4722222222222224E-4</v>
      </c>
    </row>
    <row r="79" spans="1:15" ht="54" customHeight="1" thickTop="1" thickBot="1" x14ac:dyDescent="0.25">
      <c r="A79" s="68"/>
      <c r="B79" s="93" t="s">
        <v>18</v>
      </c>
      <c r="C79" s="94" t="s">
        <v>308</v>
      </c>
      <c r="D79" s="94" t="s">
        <v>309</v>
      </c>
      <c r="E79" s="94" t="s">
        <v>13</v>
      </c>
      <c r="F79" s="94" t="s">
        <v>23</v>
      </c>
      <c r="G79" s="94" t="s">
        <v>310</v>
      </c>
      <c r="H79" s="99">
        <v>45314</v>
      </c>
      <c r="I79" s="83" t="s">
        <v>62</v>
      </c>
      <c r="J79" s="83" t="s">
        <v>134</v>
      </c>
      <c r="K79" s="83">
        <v>0</v>
      </c>
      <c r="L79" s="83" t="s">
        <v>311</v>
      </c>
      <c r="M79" s="83" t="s">
        <v>205</v>
      </c>
      <c r="N79" s="94">
        <v>1</v>
      </c>
      <c r="O79" s="95">
        <v>8.6805555555555551E-4</v>
      </c>
    </row>
    <row r="80" spans="1:15" ht="54" customHeight="1" thickTop="1" thickBot="1" x14ac:dyDescent="0.25">
      <c r="A80" s="68"/>
      <c r="B80" s="93" t="s">
        <v>18</v>
      </c>
      <c r="C80" s="94" t="s">
        <v>312</v>
      </c>
      <c r="D80" s="94" t="s">
        <v>313</v>
      </c>
      <c r="E80" s="78" t="s">
        <v>13</v>
      </c>
      <c r="F80" s="78" t="s">
        <v>23</v>
      </c>
      <c r="G80" s="78" t="s">
        <v>314</v>
      </c>
      <c r="H80" s="79">
        <v>45313</v>
      </c>
      <c r="I80" s="83" t="s">
        <v>133</v>
      </c>
      <c r="J80" s="83" t="s">
        <v>134</v>
      </c>
      <c r="K80" s="83">
        <v>0</v>
      </c>
      <c r="L80" s="83" t="s">
        <v>315</v>
      </c>
      <c r="M80" s="83" t="s">
        <v>205</v>
      </c>
      <c r="N80" s="94">
        <v>1</v>
      </c>
      <c r="O80" s="95">
        <v>6.9444444444444447E-4</v>
      </c>
    </row>
    <row r="81" spans="1:15" ht="54" customHeight="1" thickTop="1" thickBot="1" x14ac:dyDescent="0.25">
      <c r="A81" s="68"/>
      <c r="B81" s="93" t="s">
        <v>18</v>
      </c>
      <c r="C81" s="94" t="s">
        <v>316</v>
      </c>
      <c r="D81" s="94" t="s">
        <v>317</v>
      </c>
      <c r="E81" s="78" t="s">
        <v>13</v>
      </c>
      <c r="F81" s="78" t="s">
        <v>23</v>
      </c>
      <c r="G81" s="78" t="s">
        <v>318</v>
      </c>
      <c r="H81" s="79">
        <v>45314</v>
      </c>
      <c r="I81" s="83" t="s">
        <v>62</v>
      </c>
      <c r="J81" s="83" t="s">
        <v>134</v>
      </c>
      <c r="K81" s="83">
        <v>0</v>
      </c>
      <c r="L81" s="83" t="s">
        <v>319</v>
      </c>
      <c r="M81" s="83" t="s">
        <v>205</v>
      </c>
      <c r="N81" s="94">
        <v>1</v>
      </c>
      <c r="O81" s="95">
        <v>6.9444444444444447E-4</v>
      </c>
    </row>
    <row r="82" spans="1:15" ht="54" customHeight="1" thickTop="1" thickBot="1" x14ac:dyDescent="0.25">
      <c r="A82" s="68"/>
      <c r="B82" s="93" t="s">
        <v>18</v>
      </c>
      <c r="C82" s="94" t="s">
        <v>320</v>
      </c>
      <c r="D82" s="94" t="s">
        <v>321</v>
      </c>
      <c r="E82" s="78" t="s">
        <v>13</v>
      </c>
      <c r="F82" s="78" t="s">
        <v>23</v>
      </c>
      <c r="G82" s="78" t="s">
        <v>314</v>
      </c>
      <c r="H82" s="79">
        <v>45313</v>
      </c>
      <c r="I82" s="83" t="s">
        <v>133</v>
      </c>
      <c r="J82" s="83" t="s">
        <v>134</v>
      </c>
      <c r="K82" s="83">
        <v>0</v>
      </c>
      <c r="L82" s="83" t="s">
        <v>315</v>
      </c>
      <c r="M82" s="83" t="s">
        <v>205</v>
      </c>
      <c r="N82" s="94">
        <v>1</v>
      </c>
      <c r="O82" s="95">
        <v>6.9444444444444447E-4</v>
      </c>
    </row>
    <row r="83" spans="1:15" ht="54" customHeight="1" thickTop="1" thickBot="1" x14ac:dyDescent="0.25">
      <c r="B83" s="169" t="s">
        <v>18</v>
      </c>
      <c r="C83" s="170" t="s">
        <v>322</v>
      </c>
      <c r="D83" s="170" t="s">
        <v>323</v>
      </c>
      <c r="E83" s="171" t="s">
        <v>324</v>
      </c>
      <c r="F83" s="171" t="s">
        <v>325</v>
      </c>
      <c r="G83" s="171" t="s">
        <v>326</v>
      </c>
      <c r="H83" s="172" t="s">
        <v>327</v>
      </c>
      <c r="I83" s="83" t="s">
        <v>62</v>
      </c>
      <c r="J83" s="83" t="s">
        <v>63</v>
      </c>
      <c r="K83" s="83">
        <v>0</v>
      </c>
      <c r="L83" s="83" t="s">
        <v>328</v>
      </c>
      <c r="M83" s="83" t="s">
        <v>124</v>
      </c>
      <c r="N83" s="115">
        <v>1</v>
      </c>
      <c r="O83" s="119">
        <v>1.7361111111111112E-4</v>
      </c>
    </row>
    <row r="84" spans="1:15" ht="54" customHeight="1" thickTop="1" thickBot="1" x14ac:dyDescent="0.25">
      <c r="B84" s="114" t="s">
        <v>18</v>
      </c>
      <c r="C84" s="115" t="s">
        <v>329</v>
      </c>
      <c r="D84" s="115" t="s">
        <v>330</v>
      </c>
      <c r="E84" s="116" t="s">
        <v>23</v>
      </c>
      <c r="F84" s="116"/>
      <c r="G84" s="116"/>
      <c r="H84" s="117"/>
      <c r="I84" s="83" t="s">
        <v>62</v>
      </c>
      <c r="J84" s="83" t="s">
        <v>134</v>
      </c>
      <c r="K84" s="83">
        <v>0</v>
      </c>
      <c r="L84" s="83" t="s">
        <v>331</v>
      </c>
      <c r="M84" s="83" t="s">
        <v>238</v>
      </c>
      <c r="N84" s="115">
        <v>2</v>
      </c>
      <c r="O84" s="119">
        <v>5.2083333333333333E-4</v>
      </c>
    </row>
    <row r="85" spans="1:15" ht="54" customHeight="1" thickTop="1" thickBot="1" x14ac:dyDescent="0.25">
      <c r="A85" s="120"/>
      <c r="B85" s="169" t="s">
        <v>18</v>
      </c>
      <c r="C85" s="170" t="s">
        <v>332</v>
      </c>
      <c r="D85" s="170" t="s">
        <v>333</v>
      </c>
      <c r="E85" s="171" t="s">
        <v>324</v>
      </c>
      <c r="F85" s="171" t="s">
        <v>325</v>
      </c>
      <c r="G85" s="171" t="s">
        <v>334</v>
      </c>
      <c r="H85" s="172" t="s">
        <v>327</v>
      </c>
      <c r="I85" s="83" t="s">
        <v>62</v>
      </c>
      <c r="J85" s="83" t="s">
        <v>63</v>
      </c>
      <c r="K85" s="83">
        <v>0</v>
      </c>
      <c r="L85" s="83">
        <v>0</v>
      </c>
      <c r="M85" s="83" t="s">
        <v>124</v>
      </c>
      <c r="N85" s="115">
        <v>3</v>
      </c>
      <c r="O85" s="119">
        <v>5.2083333333333333E-4</v>
      </c>
    </row>
    <row r="86" spans="1:15" ht="54" customHeight="1" thickTop="1" thickBot="1" x14ac:dyDescent="0.25">
      <c r="B86" s="169" t="s">
        <v>18</v>
      </c>
      <c r="C86" s="170" t="s">
        <v>335</v>
      </c>
      <c r="D86" s="170" t="s">
        <v>336</v>
      </c>
      <c r="E86" s="171" t="s">
        <v>324</v>
      </c>
      <c r="F86" s="171" t="s">
        <v>325</v>
      </c>
      <c r="G86" s="171" t="s">
        <v>334</v>
      </c>
      <c r="H86" s="172" t="s">
        <v>327</v>
      </c>
      <c r="I86" s="83" t="s">
        <v>62</v>
      </c>
      <c r="J86" s="83" t="s">
        <v>63</v>
      </c>
      <c r="K86" s="83">
        <v>0</v>
      </c>
      <c r="L86" s="83">
        <v>0</v>
      </c>
      <c r="M86" s="83" t="s">
        <v>124</v>
      </c>
      <c r="N86" s="115">
        <v>4</v>
      </c>
      <c r="O86" s="119">
        <v>5.2083333333333333E-4</v>
      </c>
    </row>
    <row r="87" spans="1:15" ht="54" customHeight="1" thickTop="1" thickBot="1" x14ac:dyDescent="0.25">
      <c r="A87" s="77"/>
      <c r="B87" s="173" t="s">
        <v>18</v>
      </c>
      <c r="C87" s="174" t="s">
        <v>337</v>
      </c>
      <c r="D87" s="174" t="s">
        <v>338</v>
      </c>
      <c r="E87" s="175" t="s">
        <v>13</v>
      </c>
      <c r="F87" s="175" t="s">
        <v>23</v>
      </c>
      <c r="G87" s="175" t="s">
        <v>253</v>
      </c>
      <c r="H87" s="176">
        <v>45314</v>
      </c>
      <c r="I87" s="83" t="s">
        <v>62</v>
      </c>
      <c r="J87" s="83" t="s">
        <v>134</v>
      </c>
      <c r="K87" s="83">
        <v>0</v>
      </c>
      <c r="L87" s="83" t="s">
        <v>257</v>
      </c>
      <c r="M87" s="83" t="s">
        <v>205</v>
      </c>
      <c r="N87" s="97">
        <v>2</v>
      </c>
      <c r="O87" s="98">
        <v>3.4722222222222224E-4</v>
      </c>
    </row>
    <row r="88" spans="1:15" ht="66" customHeight="1" thickTop="1" thickBot="1" x14ac:dyDescent="0.25">
      <c r="A88" s="68"/>
      <c r="B88" s="177" t="s">
        <v>22</v>
      </c>
      <c r="C88" s="178" t="s">
        <v>339</v>
      </c>
      <c r="D88" s="178" t="s">
        <v>340</v>
      </c>
      <c r="E88" s="179" t="s">
        <v>234</v>
      </c>
      <c r="F88" s="179"/>
      <c r="G88" s="179" t="s">
        <v>341</v>
      </c>
      <c r="H88" s="180">
        <v>45930</v>
      </c>
      <c r="I88" s="83" t="s">
        <v>133</v>
      </c>
      <c r="J88" s="83" t="s">
        <v>134</v>
      </c>
      <c r="K88" s="83">
        <v>0</v>
      </c>
      <c r="L88" s="83" t="s">
        <v>342</v>
      </c>
      <c r="M88" s="83" t="s">
        <v>343</v>
      </c>
      <c r="N88" s="91">
        <v>4</v>
      </c>
      <c r="O88" s="92" t="s">
        <v>344</v>
      </c>
    </row>
    <row r="89" spans="1:15" ht="54" customHeight="1" thickTop="1" thickBot="1" x14ac:dyDescent="0.25">
      <c r="A89" s="68"/>
      <c r="B89" s="169" t="s">
        <v>22</v>
      </c>
      <c r="C89" s="94" t="s">
        <v>842</v>
      </c>
      <c r="D89" s="94" t="s">
        <v>843</v>
      </c>
      <c r="E89" s="171" t="s">
        <v>234</v>
      </c>
      <c r="F89" s="171"/>
      <c r="G89" s="171" t="s">
        <v>341</v>
      </c>
      <c r="H89" s="172">
        <v>45930</v>
      </c>
      <c r="I89" s="83" t="s">
        <v>133</v>
      </c>
      <c r="J89" s="83" t="s">
        <v>134</v>
      </c>
      <c r="K89" s="83">
        <v>0</v>
      </c>
      <c r="L89" s="83" t="s">
        <v>345</v>
      </c>
      <c r="M89" s="83" t="s">
        <v>343</v>
      </c>
      <c r="N89" s="94">
        <v>4</v>
      </c>
      <c r="O89" s="95">
        <v>1.3888888888888889E-3</v>
      </c>
    </row>
    <row r="90" spans="1:15" ht="54" customHeight="1" thickTop="1" thickBot="1" x14ac:dyDescent="0.25">
      <c r="A90" s="68"/>
      <c r="B90" s="169" t="s">
        <v>22</v>
      </c>
      <c r="C90" s="170" t="s">
        <v>346</v>
      </c>
      <c r="D90" s="170" t="s">
        <v>347</v>
      </c>
      <c r="E90" s="171" t="s">
        <v>234</v>
      </c>
      <c r="F90" s="171" t="s">
        <v>235</v>
      </c>
      <c r="G90" s="171" t="s">
        <v>348</v>
      </c>
      <c r="H90" s="172">
        <v>45928</v>
      </c>
      <c r="I90" s="83" t="s">
        <v>133</v>
      </c>
      <c r="J90" s="83" t="s">
        <v>134</v>
      </c>
      <c r="K90" s="83">
        <v>0</v>
      </c>
      <c r="L90" s="83" t="s">
        <v>349</v>
      </c>
      <c r="M90" s="83" t="s">
        <v>350</v>
      </c>
      <c r="N90" s="94">
        <v>2</v>
      </c>
      <c r="O90" s="95">
        <v>2.0833333333333333E-3</v>
      </c>
    </row>
    <row r="91" spans="1:15" ht="54" customHeight="1" thickTop="1" thickBot="1" x14ac:dyDescent="0.25">
      <c r="A91" s="68"/>
      <c r="B91" s="169" t="s">
        <v>22</v>
      </c>
      <c r="C91" s="170" t="s">
        <v>351</v>
      </c>
      <c r="D91" s="170" t="s">
        <v>352</v>
      </c>
      <c r="E91" s="171" t="s">
        <v>234</v>
      </c>
      <c r="F91" s="171" t="s">
        <v>235</v>
      </c>
      <c r="G91" s="171" t="s">
        <v>348</v>
      </c>
      <c r="H91" s="172">
        <v>45928</v>
      </c>
      <c r="I91" s="83" t="s">
        <v>133</v>
      </c>
      <c r="J91" s="83" t="s">
        <v>134</v>
      </c>
      <c r="K91" s="83">
        <v>0</v>
      </c>
      <c r="L91" s="83" t="s">
        <v>353</v>
      </c>
      <c r="M91" s="83" t="s">
        <v>350</v>
      </c>
      <c r="N91" s="94">
        <v>2</v>
      </c>
      <c r="O91" s="95">
        <v>2.0833333333333333E-3</v>
      </c>
    </row>
    <row r="92" spans="1:15" ht="54" customHeight="1" thickTop="1" thickBot="1" x14ac:dyDescent="0.25">
      <c r="B92" s="169" t="s">
        <v>22</v>
      </c>
      <c r="C92" s="170" t="s">
        <v>354</v>
      </c>
      <c r="D92" s="170" t="s">
        <v>355</v>
      </c>
      <c r="E92" s="171" t="s">
        <v>324</v>
      </c>
      <c r="F92" s="171" t="s">
        <v>325</v>
      </c>
      <c r="G92" s="171" t="s">
        <v>326</v>
      </c>
      <c r="H92" s="172" t="s">
        <v>327</v>
      </c>
      <c r="I92" s="83" t="s">
        <v>62</v>
      </c>
      <c r="J92" s="83" t="s">
        <v>63</v>
      </c>
      <c r="K92" s="83">
        <v>0</v>
      </c>
      <c r="L92" s="83" t="s">
        <v>356</v>
      </c>
      <c r="M92" s="83" t="s">
        <v>124</v>
      </c>
      <c r="N92" s="115">
        <v>2</v>
      </c>
      <c r="O92" s="119">
        <v>6.9444444444444447E-4</v>
      </c>
    </row>
    <row r="93" spans="1:15" ht="54" customHeight="1" thickTop="1" thickBot="1" x14ac:dyDescent="0.25">
      <c r="A93" s="68"/>
      <c r="B93" s="93" t="s">
        <v>22</v>
      </c>
      <c r="C93" s="94" t="s">
        <v>357</v>
      </c>
      <c r="D93" s="94" t="s">
        <v>358</v>
      </c>
      <c r="E93" s="78" t="s">
        <v>234</v>
      </c>
      <c r="F93" s="78" t="s">
        <v>235</v>
      </c>
      <c r="G93" s="78" t="s">
        <v>359</v>
      </c>
      <c r="H93" s="79">
        <v>45931</v>
      </c>
      <c r="I93" s="83" t="s">
        <v>133</v>
      </c>
      <c r="J93" s="83" t="s">
        <v>134</v>
      </c>
      <c r="K93" s="83">
        <v>0</v>
      </c>
      <c r="L93" s="83" t="s">
        <v>360</v>
      </c>
      <c r="M93" s="83" t="s">
        <v>361</v>
      </c>
      <c r="N93" s="94">
        <v>1</v>
      </c>
      <c r="O93" s="95">
        <v>1.2152777777777778E-3</v>
      </c>
    </row>
    <row r="94" spans="1:15" ht="54" customHeight="1" thickTop="1" thickBot="1" x14ac:dyDescent="0.25">
      <c r="A94" s="68"/>
      <c r="B94" s="93" t="s">
        <v>22</v>
      </c>
      <c r="C94" s="94" t="s">
        <v>362</v>
      </c>
      <c r="D94" s="94" t="s">
        <v>363</v>
      </c>
      <c r="E94" s="78" t="s">
        <v>234</v>
      </c>
      <c r="F94" s="78" t="s">
        <v>364</v>
      </c>
      <c r="G94" s="78" t="s">
        <v>365</v>
      </c>
      <c r="H94" s="79">
        <v>45927</v>
      </c>
      <c r="I94" s="83" t="s">
        <v>133</v>
      </c>
      <c r="J94" s="83" t="s">
        <v>134</v>
      </c>
      <c r="K94" s="83">
        <v>0</v>
      </c>
      <c r="L94" s="83" t="s">
        <v>366</v>
      </c>
      <c r="M94" s="83" t="s">
        <v>361</v>
      </c>
      <c r="N94" s="94">
        <v>2</v>
      </c>
      <c r="O94" s="95">
        <v>2.7777777777777779E-3</v>
      </c>
    </row>
    <row r="95" spans="1:15" ht="54" customHeight="1" thickTop="1" thickBot="1" x14ac:dyDescent="0.25">
      <c r="A95" s="68"/>
      <c r="B95" s="93" t="s">
        <v>22</v>
      </c>
      <c r="C95" s="94" t="s">
        <v>367</v>
      </c>
      <c r="D95" s="94" t="s">
        <v>368</v>
      </c>
      <c r="E95" s="78" t="s">
        <v>13</v>
      </c>
      <c r="F95" s="78" t="s">
        <v>23</v>
      </c>
      <c r="G95" s="78" t="s">
        <v>359</v>
      </c>
      <c r="H95" s="79">
        <v>45931</v>
      </c>
      <c r="I95" s="83" t="s">
        <v>133</v>
      </c>
      <c r="J95" s="83" t="s">
        <v>134</v>
      </c>
      <c r="K95" s="83">
        <v>0</v>
      </c>
      <c r="L95" s="83" t="s">
        <v>369</v>
      </c>
      <c r="M95" s="83" t="s">
        <v>361</v>
      </c>
      <c r="N95" s="94">
        <v>2</v>
      </c>
      <c r="O95" s="95">
        <v>6.9444444444444447E-4</v>
      </c>
    </row>
    <row r="96" spans="1:15" ht="54" customHeight="1" thickTop="1" thickBot="1" x14ac:dyDescent="0.25">
      <c r="B96" s="114" t="s">
        <v>22</v>
      </c>
      <c r="C96" s="115" t="s">
        <v>370</v>
      </c>
      <c r="D96" s="115" t="s">
        <v>371</v>
      </c>
      <c r="E96" s="116" t="s">
        <v>23</v>
      </c>
      <c r="F96" s="116"/>
      <c r="G96" s="116"/>
      <c r="H96" s="117"/>
      <c r="I96" s="83" t="s">
        <v>133</v>
      </c>
      <c r="J96" s="83" t="s">
        <v>134</v>
      </c>
      <c r="K96" s="83">
        <v>0</v>
      </c>
      <c r="L96" s="83" t="s">
        <v>372</v>
      </c>
      <c r="M96" s="83" t="s">
        <v>205</v>
      </c>
      <c r="N96" s="115">
        <v>2</v>
      </c>
      <c r="O96" s="119">
        <v>1.736111111111111E-3</v>
      </c>
    </row>
    <row r="97" spans="1:15" ht="54" customHeight="1" thickTop="1" thickBot="1" x14ac:dyDescent="0.25">
      <c r="B97" s="114" t="s">
        <v>22</v>
      </c>
      <c r="C97" s="115" t="s">
        <v>373</v>
      </c>
      <c r="D97" s="115" t="s">
        <v>374</v>
      </c>
      <c r="E97" s="116" t="s">
        <v>23</v>
      </c>
      <c r="F97" s="116"/>
      <c r="G97" s="116"/>
      <c r="H97" s="117"/>
      <c r="I97" s="83" t="s">
        <v>62</v>
      </c>
      <c r="J97" s="83" t="s">
        <v>134</v>
      </c>
      <c r="K97" s="83">
        <v>0</v>
      </c>
      <c r="L97" s="83" t="s">
        <v>375</v>
      </c>
      <c r="M97" s="83" t="s">
        <v>163</v>
      </c>
      <c r="N97" s="115">
        <v>2</v>
      </c>
      <c r="O97" s="119">
        <v>5.2083333333333333E-4</v>
      </c>
    </row>
    <row r="98" spans="1:15" ht="54" customHeight="1" thickTop="1" thickBot="1" x14ac:dyDescent="0.25">
      <c r="B98" s="114" t="s">
        <v>22</v>
      </c>
      <c r="C98" s="115" t="s">
        <v>376</v>
      </c>
      <c r="D98" s="115" t="s">
        <v>377</v>
      </c>
      <c r="E98" s="116" t="s">
        <v>23</v>
      </c>
      <c r="F98" s="116"/>
      <c r="G98" s="116"/>
      <c r="H98" s="117"/>
      <c r="I98" s="83" t="s">
        <v>62</v>
      </c>
      <c r="J98" s="83" t="s">
        <v>134</v>
      </c>
      <c r="K98" s="83">
        <v>0</v>
      </c>
      <c r="L98" s="83" t="s">
        <v>378</v>
      </c>
      <c r="M98" s="83" t="s">
        <v>163</v>
      </c>
      <c r="N98" s="115">
        <v>1</v>
      </c>
      <c r="O98" s="119">
        <v>9.2592592592592585E-4</v>
      </c>
    </row>
    <row r="99" spans="1:15" ht="54" customHeight="1" thickTop="1" thickBot="1" x14ac:dyDescent="0.25">
      <c r="B99" s="114" t="s">
        <v>22</v>
      </c>
      <c r="C99" s="115" t="s">
        <v>379</v>
      </c>
      <c r="D99" s="115" t="s">
        <v>380</v>
      </c>
      <c r="E99" s="116" t="s">
        <v>23</v>
      </c>
      <c r="F99" s="116"/>
      <c r="G99" s="116"/>
      <c r="H99" s="117"/>
      <c r="I99" s="83" t="s">
        <v>62</v>
      </c>
      <c r="J99" s="83" t="s">
        <v>63</v>
      </c>
      <c r="K99" s="83">
        <v>0</v>
      </c>
      <c r="L99" s="83" t="s">
        <v>381</v>
      </c>
      <c r="M99" s="83" t="s">
        <v>361</v>
      </c>
      <c r="N99" s="115">
        <v>1</v>
      </c>
      <c r="O99" s="119">
        <v>1.1574074074074073E-4</v>
      </c>
    </row>
    <row r="100" spans="1:15" ht="54" customHeight="1" thickTop="1" thickBot="1" x14ac:dyDescent="0.25">
      <c r="B100" s="114" t="s">
        <v>22</v>
      </c>
      <c r="C100" s="115" t="s">
        <v>382</v>
      </c>
      <c r="D100" s="115" t="s">
        <v>383</v>
      </c>
      <c r="E100" s="116" t="s">
        <v>23</v>
      </c>
      <c r="F100" s="116"/>
      <c r="G100" s="116"/>
      <c r="H100" s="117"/>
      <c r="I100" s="83" t="s">
        <v>90</v>
      </c>
      <c r="J100" s="83" t="s">
        <v>63</v>
      </c>
      <c r="K100" s="83">
        <v>0</v>
      </c>
      <c r="L100" s="83" t="s">
        <v>384</v>
      </c>
      <c r="M100" s="83" t="s">
        <v>846</v>
      </c>
      <c r="N100" s="115">
        <v>1</v>
      </c>
      <c r="O100" s="119">
        <v>6.9444444444444447E-4</v>
      </c>
    </row>
    <row r="101" spans="1:15" ht="54" customHeight="1" thickTop="1" thickBot="1" x14ac:dyDescent="0.25">
      <c r="B101" s="114" t="s">
        <v>22</v>
      </c>
      <c r="C101" s="115" t="s">
        <v>385</v>
      </c>
      <c r="D101" s="115" t="s">
        <v>386</v>
      </c>
      <c r="E101" s="116" t="s">
        <v>23</v>
      </c>
      <c r="F101" s="116"/>
      <c r="G101" s="116"/>
      <c r="H101" s="117"/>
      <c r="I101" s="83" t="s">
        <v>62</v>
      </c>
      <c r="J101" s="83" t="s">
        <v>134</v>
      </c>
      <c r="K101" s="83">
        <v>0</v>
      </c>
      <c r="L101" s="83" t="s">
        <v>387</v>
      </c>
      <c r="M101" s="83" t="s">
        <v>108</v>
      </c>
      <c r="N101" s="115">
        <v>1</v>
      </c>
      <c r="O101" s="119">
        <v>6.9444444444444447E-4</v>
      </c>
    </row>
    <row r="102" spans="1:15" ht="54" customHeight="1" thickTop="1" thickBot="1" x14ac:dyDescent="0.25">
      <c r="B102" s="114" t="s">
        <v>22</v>
      </c>
      <c r="C102" s="115" t="s">
        <v>388</v>
      </c>
      <c r="D102" s="115" t="s">
        <v>389</v>
      </c>
      <c r="E102" s="116" t="s">
        <v>23</v>
      </c>
      <c r="F102" s="116"/>
      <c r="G102" s="116"/>
      <c r="H102" s="117"/>
      <c r="I102" s="83" t="s">
        <v>62</v>
      </c>
      <c r="J102" s="83" t="s">
        <v>134</v>
      </c>
      <c r="K102" s="83">
        <v>0</v>
      </c>
      <c r="L102" s="83" t="s">
        <v>390</v>
      </c>
      <c r="M102" s="83" t="s">
        <v>108</v>
      </c>
      <c r="N102" s="115">
        <v>1</v>
      </c>
      <c r="O102" s="119">
        <v>4.0509259259259258E-4</v>
      </c>
    </row>
    <row r="103" spans="1:15" ht="54" customHeight="1" thickTop="1" thickBot="1" x14ac:dyDescent="0.25">
      <c r="B103" s="114" t="s">
        <v>22</v>
      </c>
      <c r="C103" s="115" t="s">
        <v>391</v>
      </c>
      <c r="D103" s="115" t="s">
        <v>392</v>
      </c>
      <c r="E103" s="116" t="s">
        <v>23</v>
      </c>
      <c r="F103" s="116"/>
      <c r="G103" s="116"/>
      <c r="H103" s="117"/>
      <c r="I103" s="83" t="s">
        <v>133</v>
      </c>
      <c r="J103" s="83" t="s">
        <v>63</v>
      </c>
      <c r="K103" s="83">
        <v>0</v>
      </c>
      <c r="L103" s="83" t="s">
        <v>393</v>
      </c>
      <c r="M103" s="83" t="s">
        <v>124</v>
      </c>
      <c r="N103" s="115">
        <v>2</v>
      </c>
      <c r="O103" s="119">
        <v>1.3888888888888889E-3</v>
      </c>
    </row>
    <row r="104" spans="1:15" ht="54" customHeight="1" thickTop="1" thickBot="1" x14ac:dyDescent="0.25">
      <c r="A104" s="68"/>
      <c r="B104" s="93" t="s">
        <v>22</v>
      </c>
      <c r="C104" s="94" t="s">
        <v>394</v>
      </c>
      <c r="D104" s="94" t="s">
        <v>395</v>
      </c>
      <c r="E104" s="78" t="s">
        <v>324</v>
      </c>
      <c r="F104" s="78" t="s">
        <v>325</v>
      </c>
      <c r="G104" s="78" t="s">
        <v>396</v>
      </c>
      <c r="H104" s="79">
        <v>45927</v>
      </c>
      <c r="I104" s="83" t="s">
        <v>133</v>
      </c>
      <c r="J104" s="83" t="s">
        <v>63</v>
      </c>
      <c r="K104" s="83">
        <v>0</v>
      </c>
      <c r="L104" s="83" t="s">
        <v>397</v>
      </c>
      <c r="M104" s="83" t="s">
        <v>848</v>
      </c>
      <c r="N104" s="94">
        <v>2</v>
      </c>
      <c r="O104" s="95">
        <v>1.736111111111111E-3</v>
      </c>
    </row>
    <row r="105" spans="1:15" ht="54" customHeight="1" thickTop="1" thickBot="1" x14ac:dyDescent="0.25">
      <c r="B105" s="169" t="s">
        <v>22</v>
      </c>
      <c r="C105" s="170" t="s">
        <v>398</v>
      </c>
      <c r="D105" s="170" t="s">
        <v>399</v>
      </c>
      <c r="E105" s="171" t="s">
        <v>324</v>
      </c>
      <c r="F105" s="171" t="s">
        <v>325</v>
      </c>
      <c r="G105" s="171" t="s">
        <v>400</v>
      </c>
      <c r="H105" s="172" t="s">
        <v>327</v>
      </c>
      <c r="I105" s="83" t="s">
        <v>62</v>
      </c>
      <c r="J105" s="83" t="s">
        <v>63</v>
      </c>
      <c r="K105" s="83">
        <v>0</v>
      </c>
      <c r="L105" s="83" t="s">
        <v>401</v>
      </c>
      <c r="M105" s="83" t="s">
        <v>124</v>
      </c>
      <c r="N105" s="115">
        <v>1</v>
      </c>
      <c r="O105" s="119">
        <v>6.9444444444444447E-4</v>
      </c>
    </row>
    <row r="106" spans="1:15" ht="54" customHeight="1" thickTop="1" thickBot="1" x14ac:dyDescent="0.25">
      <c r="B106" s="114" t="s">
        <v>22</v>
      </c>
      <c r="C106" s="115" t="s">
        <v>402</v>
      </c>
      <c r="D106" s="115" t="s">
        <v>844</v>
      </c>
      <c r="E106" s="116" t="s">
        <v>23</v>
      </c>
      <c r="F106" s="116"/>
      <c r="G106" s="116"/>
      <c r="H106" s="117"/>
      <c r="I106" s="83" t="s">
        <v>62</v>
      </c>
      <c r="J106" s="83" t="s">
        <v>63</v>
      </c>
      <c r="K106" s="83">
        <v>0</v>
      </c>
      <c r="L106" s="83" t="s">
        <v>403</v>
      </c>
      <c r="M106" s="83" t="s">
        <v>124</v>
      </c>
      <c r="N106" s="115">
        <v>2</v>
      </c>
      <c r="O106" s="119">
        <v>3.4722222222222224E-4</v>
      </c>
    </row>
    <row r="107" spans="1:15" ht="54" customHeight="1" thickTop="1" thickBot="1" x14ac:dyDescent="0.25">
      <c r="B107" s="114" t="s">
        <v>22</v>
      </c>
      <c r="C107" s="115" t="s">
        <v>404</v>
      </c>
      <c r="D107" s="115" t="s">
        <v>405</v>
      </c>
      <c r="E107" s="116" t="s">
        <v>23</v>
      </c>
      <c r="F107" s="116"/>
      <c r="G107" s="116"/>
      <c r="H107" s="117"/>
      <c r="I107" s="83" t="s">
        <v>90</v>
      </c>
      <c r="J107" s="83" t="s">
        <v>63</v>
      </c>
      <c r="K107" s="83">
        <v>0</v>
      </c>
      <c r="L107" s="83" t="s">
        <v>406</v>
      </c>
      <c r="M107" s="83" t="s">
        <v>846</v>
      </c>
      <c r="N107" s="115">
        <v>2</v>
      </c>
      <c r="O107" s="119">
        <v>6.9444444444444447E-4</v>
      </c>
    </row>
    <row r="108" spans="1:15" ht="54" customHeight="1" thickTop="1" thickBot="1" x14ac:dyDescent="0.25">
      <c r="B108" s="169" t="s">
        <v>22</v>
      </c>
      <c r="C108" s="170" t="s">
        <v>407</v>
      </c>
      <c r="D108" s="170" t="s">
        <v>408</v>
      </c>
      <c r="E108" s="171" t="s">
        <v>324</v>
      </c>
      <c r="F108" s="171" t="s">
        <v>325</v>
      </c>
      <c r="G108" s="171" t="s">
        <v>409</v>
      </c>
      <c r="H108" s="172" t="s">
        <v>327</v>
      </c>
      <c r="I108" s="83" t="s">
        <v>62</v>
      </c>
      <c r="J108" s="83" t="s">
        <v>63</v>
      </c>
      <c r="K108" s="83">
        <v>0</v>
      </c>
      <c r="L108" s="83" t="s">
        <v>410</v>
      </c>
      <c r="M108" s="83" t="s">
        <v>124</v>
      </c>
      <c r="N108" s="115">
        <v>2</v>
      </c>
      <c r="O108" s="119">
        <v>6.9444444444444447E-4</v>
      </c>
    </row>
    <row r="109" spans="1:15" ht="54" customHeight="1" thickTop="1" thickBot="1" x14ac:dyDescent="0.25">
      <c r="B109" s="114" t="s">
        <v>22</v>
      </c>
      <c r="C109" s="115" t="s">
        <v>411</v>
      </c>
      <c r="D109" s="115" t="s">
        <v>412</v>
      </c>
      <c r="E109" s="116" t="s">
        <v>23</v>
      </c>
      <c r="F109" s="116"/>
      <c r="G109" s="116"/>
      <c r="H109" s="117"/>
      <c r="I109" s="83" t="s">
        <v>90</v>
      </c>
      <c r="J109" s="83" t="s">
        <v>63</v>
      </c>
      <c r="K109" s="83">
        <v>0</v>
      </c>
      <c r="L109" s="83" t="s">
        <v>413</v>
      </c>
      <c r="M109" s="83" t="s">
        <v>108</v>
      </c>
      <c r="N109" s="115">
        <v>4</v>
      </c>
      <c r="O109" s="119">
        <v>2.0833333333333333E-3</v>
      </c>
    </row>
    <row r="110" spans="1:15" ht="54" customHeight="1" thickTop="1" thickBot="1" x14ac:dyDescent="0.25">
      <c r="B110" s="114" t="s">
        <v>22</v>
      </c>
      <c r="C110" s="115" t="s">
        <v>414</v>
      </c>
      <c r="D110" s="115" t="s">
        <v>415</v>
      </c>
      <c r="E110" s="116" t="s">
        <v>23</v>
      </c>
      <c r="F110" s="116"/>
      <c r="G110" s="116"/>
      <c r="H110" s="117"/>
      <c r="I110" s="83" t="s">
        <v>62</v>
      </c>
      <c r="J110" s="83" t="s">
        <v>63</v>
      </c>
      <c r="K110" s="83">
        <v>0</v>
      </c>
      <c r="L110" s="83" t="s">
        <v>416</v>
      </c>
      <c r="M110" s="83" t="s">
        <v>108</v>
      </c>
      <c r="N110" s="115">
        <v>2</v>
      </c>
      <c r="O110" s="119">
        <v>6.9444444444444447E-4</v>
      </c>
    </row>
    <row r="111" spans="1:15" ht="54" customHeight="1" thickTop="1" thickBot="1" x14ac:dyDescent="0.25">
      <c r="B111" s="169" t="s">
        <v>22</v>
      </c>
      <c r="C111" s="170" t="s">
        <v>417</v>
      </c>
      <c r="D111" s="170" t="s">
        <v>418</v>
      </c>
      <c r="E111" s="171" t="s">
        <v>324</v>
      </c>
      <c r="F111" s="171" t="s">
        <v>325</v>
      </c>
      <c r="G111" s="171" t="s">
        <v>409</v>
      </c>
      <c r="H111" s="172" t="s">
        <v>327</v>
      </c>
      <c r="I111" s="83" t="s">
        <v>62</v>
      </c>
      <c r="J111" s="83" t="s">
        <v>63</v>
      </c>
      <c r="K111" s="83">
        <v>0</v>
      </c>
      <c r="L111" s="83" t="s">
        <v>419</v>
      </c>
      <c r="M111" s="83" t="s">
        <v>124</v>
      </c>
      <c r="N111" s="115">
        <v>2</v>
      </c>
      <c r="O111" s="119">
        <v>6.9444444444444447E-4</v>
      </c>
    </row>
    <row r="112" spans="1:15" ht="54" customHeight="1" thickTop="1" thickBot="1" x14ac:dyDescent="0.25">
      <c r="B112" s="114" t="s">
        <v>22</v>
      </c>
      <c r="C112" s="115" t="s">
        <v>420</v>
      </c>
      <c r="D112" s="115" t="s">
        <v>421</v>
      </c>
      <c r="E112" s="116" t="s">
        <v>23</v>
      </c>
      <c r="F112" s="116"/>
      <c r="G112" s="116"/>
      <c r="H112" s="117"/>
      <c r="I112" s="83" t="s">
        <v>90</v>
      </c>
      <c r="J112" s="83" t="s">
        <v>134</v>
      </c>
      <c r="K112" s="83">
        <v>0</v>
      </c>
      <c r="L112" s="83" t="s">
        <v>422</v>
      </c>
      <c r="M112" s="83" t="s">
        <v>108</v>
      </c>
      <c r="N112" s="115">
        <v>2</v>
      </c>
      <c r="O112" s="119">
        <v>1.3888888888888889E-3</v>
      </c>
    </row>
    <row r="113" spans="1:15" ht="54" customHeight="1" thickTop="1" thickBot="1" x14ac:dyDescent="0.25">
      <c r="A113" s="121"/>
      <c r="B113" s="122" t="s">
        <v>22</v>
      </c>
      <c r="C113" s="123" t="s">
        <v>423</v>
      </c>
      <c r="D113" s="123" t="s">
        <v>424</v>
      </c>
      <c r="E113" s="124" t="s">
        <v>23</v>
      </c>
      <c r="F113" s="124"/>
      <c r="G113" s="124"/>
      <c r="H113" s="125"/>
      <c r="I113" s="83" t="s">
        <v>90</v>
      </c>
      <c r="J113" s="83" t="s">
        <v>63</v>
      </c>
      <c r="K113" s="83">
        <v>0</v>
      </c>
      <c r="L113" s="83" t="s">
        <v>425</v>
      </c>
      <c r="M113" s="83" t="s">
        <v>108</v>
      </c>
      <c r="N113" s="123">
        <v>2</v>
      </c>
      <c r="O113" s="127">
        <v>6.9444444444444447E-4</v>
      </c>
    </row>
    <row r="114" spans="1:15" ht="54" customHeight="1" thickTop="1" thickBot="1" x14ac:dyDescent="0.25">
      <c r="A114" s="120"/>
      <c r="B114" s="109" t="s">
        <v>26</v>
      </c>
      <c r="C114" s="110" t="s">
        <v>426</v>
      </c>
      <c r="D114" s="110" t="s">
        <v>427</v>
      </c>
      <c r="E114" s="111" t="s">
        <v>23</v>
      </c>
      <c r="F114" s="111"/>
      <c r="G114" s="111"/>
      <c r="H114" s="112"/>
      <c r="I114" s="83" t="s">
        <v>133</v>
      </c>
      <c r="J114" s="83" t="s">
        <v>63</v>
      </c>
      <c r="K114" s="83">
        <v>0</v>
      </c>
      <c r="L114" s="83" t="s">
        <v>428</v>
      </c>
      <c r="M114" s="83" t="s">
        <v>108</v>
      </c>
      <c r="N114" s="110">
        <v>1</v>
      </c>
      <c r="O114" s="113">
        <v>6.9444444444444447E-4</v>
      </c>
    </row>
    <row r="115" spans="1:15" ht="54" customHeight="1" thickTop="1" thickBot="1" x14ac:dyDescent="0.25">
      <c r="B115" s="114" t="s">
        <v>26</v>
      </c>
      <c r="C115" s="115" t="s">
        <v>429</v>
      </c>
      <c r="D115" s="115" t="s">
        <v>430</v>
      </c>
      <c r="E115" s="116" t="s">
        <v>23</v>
      </c>
      <c r="F115" s="116"/>
      <c r="G115" s="116"/>
      <c r="H115" s="117"/>
      <c r="I115" s="83" t="s">
        <v>133</v>
      </c>
      <c r="J115" s="83" t="s">
        <v>63</v>
      </c>
      <c r="K115" s="83">
        <v>0</v>
      </c>
      <c r="L115" s="83" t="s">
        <v>431</v>
      </c>
      <c r="M115" s="83" t="s">
        <v>238</v>
      </c>
      <c r="N115" s="115">
        <v>1</v>
      </c>
      <c r="O115" s="119">
        <v>4.6296296296296293E-4</v>
      </c>
    </row>
    <row r="116" spans="1:15" ht="54" customHeight="1" thickTop="1" thickBot="1" x14ac:dyDescent="0.25">
      <c r="B116" s="114" t="s">
        <v>26</v>
      </c>
      <c r="C116" s="115" t="s">
        <v>432</v>
      </c>
      <c r="D116" s="115" t="s">
        <v>433</v>
      </c>
      <c r="E116" s="116" t="s">
        <v>23</v>
      </c>
      <c r="F116" s="116"/>
      <c r="G116" s="116"/>
      <c r="H116" s="117"/>
      <c r="I116" s="83" t="s">
        <v>133</v>
      </c>
      <c r="J116" s="83" t="s">
        <v>63</v>
      </c>
      <c r="K116" s="83">
        <v>0</v>
      </c>
      <c r="L116" s="83" t="s">
        <v>434</v>
      </c>
      <c r="M116" s="83" t="s">
        <v>238</v>
      </c>
      <c r="N116" s="115">
        <v>1</v>
      </c>
      <c r="O116" s="119">
        <v>6.9444444444444447E-4</v>
      </c>
    </row>
    <row r="117" spans="1:15" ht="54" customHeight="1" thickTop="1" thickBot="1" x14ac:dyDescent="0.25">
      <c r="B117" s="114" t="s">
        <v>26</v>
      </c>
      <c r="C117" s="115" t="s">
        <v>435</v>
      </c>
      <c r="D117" s="115" t="s">
        <v>436</v>
      </c>
      <c r="E117" s="116" t="s">
        <v>23</v>
      </c>
      <c r="F117" s="116"/>
      <c r="G117" s="116"/>
      <c r="H117" s="117"/>
      <c r="I117" s="83" t="s">
        <v>133</v>
      </c>
      <c r="J117" s="83" t="s">
        <v>63</v>
      </c>
      <c r="K117" s="83">
        <v>0</v>
      </c>
      <c r="L117" s="83" t="s">
        <v>437</v>
      </c>
      <c r="M117" s="83" t="s">
        <v>849</v>
      </c>
      <c r="N117" s="115">
        <v>1</v>
      </c>
      <c r="O117" s="119">
        <v>6.9444444444444447E-4</v>
      </c>
    </row>
    <row r="118" spans="1:15" ht="54" customHeight="1" thickTop="1" thickBot="1" x14ac:dyDescent="0.25">
      <c r="B118" s="114" t="s">
        <v>26</v>
      </c>
      <c r="C118" s="115" t="s">
        <v>438</v>
      </c>
      <c r="D118" s="115" t="s">
        <v>439</v>
      </c>
      <c r="E118" s="116" t="s">
        <v>23</v>
      </c>
      <c r="F118" s="116"/>
      <c r="G118" s="116"/>
      <c r="H118" s="117"/>
      <c r="I118" s="83" t="s">
        <v>133</v>
      </c>
      <c r="J118" s="83" t="s">
        <v>63</v>
      </c>
      <c r="K118" s="83">
        <v>0</v>
      </c>
      <c r="L118" s="83" t="s">
        <v>440</v>
      </c>
      <c r="M118" s="83" t="s">
        <v>849</v>
      </c>
      <c r="N118" s="115">
        <v>1</v>
      </c>
      <c r="O118" s="119">
        <v>6.9444444444444447E-4</v>
      </c>
    </row>
    <row r="119" spans="1:15" ht="54" customHeight="1" thickTop="1" thickBot="1" x14ac:dyDescent="0.25">
      <c r="B119" s="114" t="s">
        <v>26</v>
      </c>
      <c r="C119" s="115" t="s">
        <v>441</v>
      </c>
      <c r="D119" s="115" t="s">
        <v>442</v>
      </c>
      <c r="E119" s="116" t="s">
        <v>23</v>
      </c>
      <c r="F119" s="116"/>
      <c r="G119" s="116"/>
      <c r="H119" s="117"/>
      <c r="I119" s="83" t="s">
        <v>133</v>
      </c>
      <c r="J119" s="83" t="s">
        <v>63</v>
      </c>
      <c r="K119" s="83">
        <v>0</v>
      </c>
      <c r="L119" s="83" t="s">
        <v>443</v>
      </c>
      <c r="M119" s="83" t="s">
        <v>849</v>
      </c>
      <c r="N119" s="115">
        <v>1</v>
      </c>
      <c r="O119" s="119">
        <v>3.4722222222222224E-4</v>
      </c>
    </row>
    <row r="120" spans="1:15" ht="54" customHeight="1" thickTop="1" thickBot="1" x14ac:dyDescent="0.25">
      <c r="B120" s="114" t="s">
        <v>26</v>
      </c>
      <c r="C120" s="115" t="s">
        <v>444</v>
      </c>
      <c r="D120" s="115" t="s">
        <v>445</v>
      </c>
      <c r="E120" s="116" t="s">
        <v>23</v>
      </c>
      <c r="F120" s="116"/>
      <c r="G120" s="116"/>
      <c r="H120" s="117"/>
      <c r="I120" s="83" t="s">
        <v>133</v>
      </c>
      <c r="J120" s="83" t="s">
        <v>63</v>
      </c>
      <c r="K120" s="83">
        <v>0</v>
      </c>
      <c r="L120" s="83" t="s">
        <v>446</v>
      </c>
      <c r="M120" s="83" t="s">
        <v>238</v>
      </c>
      <c r="N120" s="115">
        <v>1</v>
      </c>
      <c r="O120" s="119">
        <v>6.9444444444444447E-4</v>
      </c>
    </row>
    <row r="121" spans="1:15" ht="54" customHeight="1" thickTop="1" thickBot="1" x14ac:dyDescent="0.25">
      <c r="B121" s="114" t="s">
        <v>26</v>
      </c>
      <c r="C121" s="115" t="s">
        <v>447</v>
      </c>
      <c r="D121" s="115" t="s">
        <v>448</v>
      </c>
      <c r="E121" s="116" t="s">
        <v>23</v>
      </c>
      <c r="F121" s="116"/>
      <c r="G121" s="116"/>
      <c r="H121" s="117"/>
      <c r="I121" s="83" t="s">
        <v>133</v>
      </c>
      <c r="J121" s="83" t="s">
        <v>63</v>
      </c>
      <c r="K121" s="83">
        <v>0</v>
      </c>
      <c r="L121" s="83" t="s">
        <v>449</v>
      </c>
      <c r="M121" s="83" t="s">
        <v>238</v>
      </c>
      <c r="N121" s="115">
        <v>2</v>
      </c>
      <c r="O121" s="119">
        <v>1.0416666666666667E-3</v>
      </c>
    </row>
    <row r="122" spans="1:15" ht="54" customHeight="1" thickTop="1" thickBot="1" x14ac:dyDescent="0.25">
      <c r="B122" s="114" t="s">
        <v>26</v>
      </c>
      <c r="C122" s="115" t="s">
        <v>450</v>
      </c>
      <c r="D122" s="115" t="s">
        <v>451</v>
      </c>
      <c r="E122" s="116" t="s">
        <v>23</v>
      </c>
      <c r="F122" s="116"/>
      <c r="G122" s="116"/>
      <c r="H122" s="117"/>
      <c r="I122" s="83" t="s">
        <v>133</v>
      </c>
      <c r="J122" s="83" t="s">
        <v>63</v>
      </c>
      <c r="K122" s="83">
        <v>0</v>
      </c>
      <c r="L122" s="83" t="s">
        <v>452</v>
      </c>
      <c r="M122" s="83" t="s">
        <v>238</v>
      </c>
      <c r="N122" s="115">
        <v>1</v>
      </c>
      <c r="O122" s="119">
        <v>1.0416666666666667E-3</v>
      </c>
    </row>
    <row r="123" spans="1:15" ht="54" customHeight="1" thickTop="1" thickBot="1" x14ac:dyDescent="0.25">
      <c r="B123" s="114" t="s">
        <v>26</v>
      </c>
      <c r="C123" s="115" t="s">
        <v>453</v>
      </c>
      <c r="D123" s="115" t="s">
        <v>454</v>
      </c>
      <c r="E123" s="116" t="s">
        <v>23</v>
      </c>
      <c r="F123" s="116"/>
      <c r="G123" s="116"/>
      <c r="H123" s="117"/>
      <c r="I123" s="83" t="s">
        <v>133</v>
      </c>
      <c r="J123" s="83" t="s">
        <v>63</v>
      </c>
      <c r="K123" s="83">
        <v>0</v>
      </c>
      <c r="L123" s="83" t="s">
        <v>455</v>
      </c>
      <c r="M123" s="83" t="s">
        <v>124</v>
      </c>
      <c r="N123" s="115">
        <v>1</v>
      </c>
      <c r="O123" s="119">
        <v>1.0416666666666667E-3</v>
      </c>
    </row>
    <row r="124" spans="1:15" ht="54" customHeight="1" thickTop="1" thickBot="1" x14ac:dyDescent="0.25">
      <c r="B124" s="114" t="s">
        <v>26</v>
      </c>
      <c r="C124" s="115" t="s">
        <v>456</v>
      </c>
      <c r="D124" s="115" t="s">
        <v>457</v>
      </c>
      <c r="E124" s="116" t="s">
        <v>23</v>
      </c>
      <c r="F124" s="116"/>
      <c r="G124" s="116"/>
      <c r="H124" s="117"/>
      <c r="I124" s="83" t="s">
        <v>90</v>
      </c>
      <c r="J124" s="83" t="s">
        <v>63</v>
      </c>
      <c r="K124" s="83">
        <v>0</v>
      </c>
      <c r="L124" s="83" t="s">
        <v>458</v>
      </c>
      <c r="M124" s="83" t="s">
        <v>850</v>
      </c>
      <c r="N124" s="115">
        <v>2</v>
      </c>
      <c r="O124" s="119">
        <v>6.9444444444444447E-4</v>
      </c>
    </row>
    <row r="125" spans="1:15" ht="54" customHeight="1" thickTop="1" thickBot="1" x14ac:dyDescent="0.25">
      <c r="B125" s="114" t="s">
        <v>26</v>
      </c>
      <c r="C125" s="115" t="s">
        <v>459</v>
      </c>
      <c r="D125" s="115" t="s">
        <v>460</v>
      </c>
      <c r="E125" s="116" t="s">
        <v>23</v>
      </c>
      <c r="F125" s="116"/>
      <c r="G125" s="116"/>
      <c r="H125" s="117"/>
      <c r="I125" s="83" t="s">
        <v>90</v>
      </c>
      <c r="J125" s="83" t="s">
        <v>134</v>
      </c>
      <c r="K125" s="83">
        <v>0</v>
      </c>
      <c r="L125" s="83" t="s">
        <v>390</v>
      </c>
      <c r="M125" s="83" t="s">
        <v>108</v>
      </c>
      <c r="N125" s="115">
        <v>3</v>
      </c>
      <c r="O125" s="119">
        <v>1.736111111111111E-3</v>
      </c>
    </row>
    <row r="126" spans="1:15" ht="54" customHeight="1" thickTop="1" thickBot="1" x14ac:dyDescent="0.25">
      <c r="B126" s="114" t="s">
        <v>26</v>
      </c>
      <c r="C126" s="115" t="s">
        <v>461</v>
      </c>
      <c r="D126" s="115" t="s">
        <v>462</v>
      </c>
      <c r="E126" s="116" t="s">
        <v>23</v>
      </c>
      <c r="F126" s="116"/>
      <c r="G126" s="116"/>
      <c r="H126" s="117"/>
      <c r="I126" s="83" t="s">
        <v>62</v>
      </c>
      <c r="J126" s="83" t="s">
        <v>63</v>
      </c>
      <c r="K126" s="83">
        <v>0</v>
      </c>
      <c r="L126" s="83">
        <v>0</v>
      </c>
      <c r="M126" s="83" t="s">
        <v>124</v>
      </c>
      <c r="N126" s="115">
        <v>2</v>
      </c>
      <c r="O126" s="119">
        <v>6.9444444444444447E-4</v>
      </c>
    </row>
    <row r="127" spans="1:15" ht="54" customHeight="1" thickTop="1" thickBot="1" x14ac:dyDescent="0.25">
      <c r="A127" s="129"/>
      <c r="B127" s="122" t="s">
        <v>26</v>
      </c>
      <c r="C127" s="123" t="s">
        <v>463</v>
      </c>
      <c r="D127" s="123" t="s">
        <v>464</v>
      </c>
      <c r="E127" s="124" t="s">
        <v>23</v>
      </c>
      <c r="F127" s="124"/>
      <c r="G127" s="124"/>
      <c r="H127" s="125"/>
      <c r="I127" s="83" t="s">
        <v>62</v>
      </c>
      <c r="J127" s="83" t="s">
        <v>63</v>
      </c>
      <c r="K127" s="83">
        <v>0</v>
      </c>
      <c r="L127" s="83" t="s">
        <v>465</v>
      </c>
      <c r="M127" s="83" t="s">
        <v>851</v>
      </c>
      <c r="N127" s="123">
        <v>2</v>
      </c>
      <c r="O127" s="127">
        <v>6.9444444444444447E-4</v>
      </c>
    </row>
    <row r="128" spans="1:15" ht="66" customHeight="1" thickTop="1" thickBot="1" x14ac:dyDescent="0.3">
      <c r="A128" s="130"/>
      <c r="B128" s="131" t="s">
        <v>466</v>
      </c>
      <c r="C128" s="132" t="s">
        <v>467</v>
      </c>
      <c r="D128" s="132" t="s">
        <v>468</v>
      </c>
      <c r="E128" s="133" t="s">
        <v>23</v>
      </c>
      <c r="F128" s="133"/>
      <c r="G128" s="133"/>
      <c r="H128" s="134"/>
      <c r="I128" s="83" t="s">
        <v>90</v>
      </c>
      <c r="J128" s="83" t="s">
        <v>134</v>
      </c>
      <c r="K128" s="83">
        <v>0</v>
      </c>
      <c r="L128" s="83" t="s">
        <v>469</v>
      </c>
      <c r="M128" s="83" t="s">
        <v>852</v>
      </c>
      <c r="N128" s="135">
        <v>2</v>
      </c>
      <c r="O128" s="136">
        <v>2.0013888888888891</v>
      </c>
    </row>
  </sheetData>
  <autoFilter ref="A2:O128" xr:uid="{F9976FA7-4D4F-48EE-A7BD-4E9E5B149848}"/>
  <phoneticPr fontId="7" type="noConversion"/>
  <conditionalFormatting sqref="C3:D22 C41:D46 C48:D51 N48:O124 C64:D64 I3:M128 C53:D62 C52 C66:D77 C65 C79:D88 C78 C90:D105 C107:D127 C106">
    <cfRule type="expression" dxfId="122" priority="26">
      <formula>AND(OR($E3="No",$E3=""), $D3= "Yes",$F3&lt;&gt;"",$G3&lt;&gt;"")</formula>
    </cfRule>
  </conditionalFormatting>
  <conditionalFormatting sqref="C26:D26 C35:D40">
    <cfRule type="expression" dxfId="121" priority="27">
      <formula>AND(OR($E27="No",$E27=""), $D26= "Yes",$F26&lt;&gt;"",$G26&lt;&gt;"")</formula>
    </cfRule>
  </conditionalFormatting>
  <conditionalFormatting sqref="C27:D34">
    <cfRule type="expression" dxfId="120" priority="25">
      <formula>AND(OR($E28="No",$E28=""), $D27= "Yes",$F27&lt;&gt;"",$G27&lt;&gt;"")</formula>
    </cfRule>
  </conditionalFormatting>
  <conditionalFormatting sqref="N41:O41 N127:O127 O125:O126 N43:O46">
    <cfRule type="expression" dxfId="119" priority="19">
      <formula>AND(OR($E41="No",$E41=""), $D41= "Yes",$F41&lt;&gt;"",$G41&lt;&gt;"")</formula>
    </cfRule>
  </conditionalFormatting>
  <conditionalFormatting sqref="N3:O19 N21:O22 N20">
    <cfRule type="expression" dxfId="118" priority="17">
      <formula>AND(OR($E3="No",$E3=""), $D3= "Yes",$F3&lt;&gt;"",$G3&lt;&gt;"")</formula>
    </cfRule>
  </conditionalFormatting>
  <conditionalFormatting sqref="N26:O40">
    <cfRule type="expression" dxfId="117" priority="18">
      <formula>AND(OR($E27="No",$E27=""), $D26= "Yes",$F26&lt;&gt;"",$G26&lt;&gt;"")</formula>
    </cfRule>
  </conditionalFormatting>
  <conditionalFormatting sqref="N126">
    <cfRule type="expression" dxfId="116" priority="20">
      <formula>AND(OR($E125="No",$E125=""), $D125= "Yes",$F125&lt;&gt;"",$G125&lt;&gt;"")</formula>
    </cfRule>
  </conditionalFormatting>
  <conditionalFormatting sqref="O20">
    <cfRule type="expression" dxfId="115" priority="16">
      <formula>AND(OR($E20="No",$E20=""), $D20= "Yes",$F20&lt;&gt;"",$G20&lt;&gt;"")</formula>
    </cfRule>
  </conditionalFormatting>
  <conditionalFormatting sqref="N125">
    <cfRule type="expression" dxfId="114" priority="15">
      <formula>AND(OR($E125="No",$E125=""), $D125= "Yes",$F125&lt;&gt;"",$G125&lt;&gt;"")</formula>
    </cfRule>
  </conditionalFormatting>
  <conditionalFormatting sqref="N42:O42">
    <cfRule type="expression" dxfId="113" priority="14">
      <formula>AND(OR($F42="No",$F42=""), $E42= "Yes",$G42&lt;&gt;"",$H42&lt;&gt;"")</formula>
    </cfRule>
  </conditionalFormatting>
  <conditionalFormatting sqref="N23:O25 C23:H24">
    <cfRule type="expression" dxfId="112" priority="11">
      <formula>AND(OR($E23="No",$E23=""), $D23= "Yes",$F23&lt;&gt;"",$G23&lt;&gt;"")</formula>
    </cfRule>
  </conditionalFormatting>
  <conditionalFormatting sqref="C25:D25">
    <cfRule type="expression" dxfId="111" priority="10">
      <formula>AND(OR($E25="No",$E25=""), $D25= "Yes",$F25&lt;&gt;"",$G25&lt;&gt;"")</formula>
    </cfRule>
  </conditionalFormatting>
  <conditionalFormatting sqref="G68:H70">
    <cfRule type="expression" dxfId="110" priority="8">
      <formula>AND(OR($E68="No",$E68=""), $F68= "Yes",$G68&lt;&gt;"",$H68&lt;&gt;"")</formula>
    </cfRule>
    <cfRule type="expression" dxfId="109" priority="9">
      <formula>AND(OR($F68="No",$F68=""), $E68= "Yes",$G68&lt;&gt;"",$H68&lt;&gt;"")</formula>
    </cfRule>
  </conditionalFormatting>
  <conditionalFormatting sqref="E79:H79">
    <cfRule type="expression" dxfId="108" priority="7">
      <formula>AND(OR($F79="No",$F79=""), $E79= "Yes",$G79&lt;&gt;"",$H79&lt;&gt;"")</formula>
    </cfRule>
  </conditionalFormatting>
  <conditionalFormatting sqref="D52">
    <cfRule type="expression" dxfId="107" priority="6">
      <formula>AND(OR($F52="No",$F52=""), $E52= "Yes",$G52&lt;&gt;"",$H52&lt;&gt;"")</formula>
    </cfRule>
  </conditionalFormatting>
  <conditionalFormatting sqref="D65">
    <cfRule type="expression" dxfId="106" priority="5">
      <formula>AND(OR($F65="No",$F65=""), $E65= "Yes",$G65&lt;&gt;"",$H65&lt;&gt;"")</formula>
    </cfRule>
  </conditionalFormatting>
  <conditionalFormatting sqref="D78">
    <cfRule type="expression" dxfId="105" priority="4">
      <formula>AND(OR($F78="No",$F78=""), $E78= "Yes",$G78&lt;&gt;"",$H78&lt;&gt;"")</formula>
    </cfRule>
  </conditionalFormatting>
  <conditionalFormatting sqref="C89:D89">
    <cfRule type="expression" dxfId="104" priority="2">
      <formula>AND(OR($E89="No",$E89=""), $F89= "Yes",$G89&lt;&gt;"",$H89&lt;&gt;"")</formula>
    </cfRule>
    <cfRule type="expression" dxfId="103" priority="3">
      <formula>AND(OR($F89="No",$F89=""), $E89= "Yes",$G89&lt;&gt;"",$H89&lt;&gt;"")</formula>
    </cfRule>
  </conditionalFormatting>
  <conditionalFormatting sqref="D106">
    <cfRule type="expression" dxfId="102" priority="1">
      <formula>AND(OR($F106="No",$F106=""), $E106= "Yes",$G106&lt;&gt;"",$H106&lt;&gt;"")</formula>
    </cfRule>
  </conditionalFormatting>
  <dataValidations count="1">
    <dataValidation type="list" allowBlank="1" showInputMessage="1" showErrorMessage="1" sqref="E1:F2 K1:K2 E23:F24 E79:F79" xr:uid="{459544E2-9136-4FFF-AD79-5FB115C5BAB9}">
      <formula1>"Yes, No"</formula1>
    </dataValidation>
  </dataValidations>
  <pageMargins left="0.2" right="0.2" top="0.2" bottom="0.2" header="0.3" footer="0.3"/>
  <pageSetup paperSize="8" scale="80" fitToHeight="0" orientation="landscape" r:id="rId1"/>
  <extLst>
    <ext xmlns:x14="http://schemas.microsoft.com/office/spreadsheetml/2009/9/main" uri="{78C0D931-6437-407d-A8EE-F0AAD7539E65}">
      <x14:conditionalFormattings>
        <x14:conditionalFormatting xmlns:xm="http://schemas.microsoft.com/office/excel/2006/main">
          <x14:cfRule type="expression" priority="154"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28"/>
  <sheetViews>
    <sheetView zoomScale="60" zoomScaleNormal="60" workbookViewId="0">
      <pane ySplit="2" topLeftCell="A40" activePane="bottomLeft" state="frozen"/>
      <selection pane="bottomLeft" activeCell="D52" sqref="D52"/>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25">
      <c r="A1" s="21"/>
      <c r="B1" s="75" t="s">
        <v>49</v>
      </c>
      <c r="C1" s="57" t="s">
        <v>470</v>
      </c>
      <c r="D1" s="44"/>
      <c r="E1" s="5"/>
      <c r="F1" s="5"/>
      <c r="G1" s="5"/>
      <c r="H1" s="5"/>
      <c r="I1" s="19"/>
      <c r="J1" s="19"/>
      <c r="K1" s="5"/>
      <c r="L1" s="5"/>
    </row>
    <row r="2" spans="1:15" s="6" customFormat="1" ht="87.95" customHeight="1" thickBot="1" x14ac:dyDescent="0.25">
      <c r="A2" s="51" t="s">
        <v>43</v>
      </c>
      <c r="B2" s="61" t="s">
        <v>44</v>
      </c>
      <c r="C2" s="51" t="s">
        <v>45</v>
      </c>
      <c r="D2" s="52" t="s">
        <v>46</v>
      </c>
      <c r="E2" s="53" t="s">
        <v>25</v>
      </c>
      <c r="F2" s="53" t="s">
        <v>21</v>
      </c>
      <c r="G2" s="54" t="s">
        <v>47</v>
      </c>
      <c r="H2" s="54" t="s">
        <v>48</v>
      </c>
      <c r="I2" s="55" t="s">
        <v>51</v>
      </c>
      <c r="J2" s="55" t="s">
        <v>52</v>
      </c>
      <c r="K2" s="55" t="s">
        <v>53</v>
      </c>
      <c r="L2" s="55" t="s">
        <v>54</v>
      </c>
      <c r="M2" s="55" t="s">
        <v>55</v>
      </c>
      <c r="N2" s="67" t="s">
        <v>56</v>
      </c>
      <c r="O2" s="67" t="s">
        <v>57</v>
      </c>
    </row>
    <row r="3" spans="1:15" ht="54" customHeight="1" thickTop="1" thickBot="1" x14ac:dyDescent="0.25">
      <c r="A3" s="85"/>
      <c r="B3" s="90" t="s">
        <v>12</v>
      </c>
      <c r="C3" s="91" t="s">
        <v>471</v>
      </c>
      <c r="D3" s="91" t="s">
        <v>472</v>
      </c>
      <c r="E3" s="91" t="s">
        <v>13</v>
      </c>
      <c r="F3" s="91" t="s">
        <v>23</v>
      </c>
      <c r="G3" s="91" t="s">
        <v>60</v>
      </c>
      <c r="H3" s="100" t="s">
        <v>61</v>
      </c>
      <c r="I3" s="91" t="s">
        <v>62</v>
      </c>
      <c r="J3" s="91" t="s">
        <v>63</v>
      </c>
      <c r="K3" s="91">
        <v>0</v>
      </c>
      <c r="L3" s="91" t="s">
        <v>473</v>
      </c>
      <c r="M3" s="91" t="s">
        <v>65</v>
      </c>
      <c r="N3" s="91">
        <v>2</v>
      </c>
      <c r="O3" s="92">
        <v>5.2083333333333333E-4</v>
      </c>
    </row>
    <row r="4" spans="1:15" ht="54" customHeight="1" thickTop="1" thickBot="1" x14ac:dyDescent="0.25">
      <c r="A4" s="85"/>
      <c r="B4" s="93" t="s">
        <v>12</v>
      </c>
      <c r="C4" s="94" t="s">
        <v>474</v>
      </c>
      <c r="D4" s="94" t="s">
        <v>475</v>
      </c>
      <c r="E4" s="94" t="s">
        <v>13</v>
      </c>
      <c r="F4" s="94" t="s">
        <v>23</v>
      </c>
      <c r="G4" s="94" t="s">
        <v>60</v>
      </c>
      <c r="H4" s="99" t="s">
        <v>61</v>
      </c>
      <c r="I4" s="91" t="s">
        <v>62</v>
      </c>
      <c r="J4" s="91" t="s">
        <v>63</v>
      </c>
      <c r="K4" s="91">
        <v>0</v>
      </c>
      <c r="L4" s="91" t="s">
        <v>68</v>
      </c>
      <c r="M4" s="91" t="s">
        <v>69</v>
      </c>
      <c r="N4" s="94">
        <v>1</v>
      </c>
      <c r="O4" s="95">
        <v>1.3888888888888889E-3</v>
      </c>
    </row>
    <row r="5" spans="1:15" ht="54" customHeight="1" thickTop="1" thickBot="1" x14ac:dyDescent="0.25">
      <c r="A5" s="85"/>
      <c r="B5" s="93" t="s">
        <v>12</v>
      </c>
      <c r="C5" s="94" t="s">
        <v>476</v>
      </c>
      <c r="D5" s="94" t="s">
        <v>477</v>
      </c>
      <c r="E5" s="94" t="s">
        <v>13</v>
      </c>
      <c r="F5" s="94" t="s">
        <v>23</v>
      </c>
      <c r="G5" s="94" t="s">
        <v>60</v>
      </c>
      <c r="H5" s="99" t="s">
        <v>61</v>
      </c>
      <c r="I5" s="91" t="s">
        <v>62</v>
      </c>
      <c r="J5" s="91" t="s">
        <v>63</v>
      </c>
      <c r="K5" s="91">
        <v>0</v>
      </c>
      <c r="L5" s="91" t="s">
        <v>95</v>
      </c>
      <c r="M5" s="91" t="s">
        <v>65</v>
      </c>
      <c r="N5" s="94">
        <v>1</v>
      </c>
      <c r="O5" s="95">
        <v>2.0833333333333333E-3</v>
      </c>
    </row>
    <row r="6" spans="1:15" ht="54" customHeight="1" thickTop="1" thickBot="1" x14ac:dyDescent="0.25">
      <c r="A6" s="86"/>
      <c r="B6" s="96" t="s">
        <v>12</v>
      </c>
      <c r="C6" s="97" t="s">
        <v>478</v>
      </c>
      <c r="D6" s="97" t="s">
        <v>479</v>
      </c>
      <c r="E6" s="97" t="s">
        <v>13</v>
      </c>
      <c r="F6" s="97" t="s">
        <v>23</v>
      </c>
      <c r="G6" s="97" t="s">
        <v>60</v>
      </c>
      <c r="H6" s="101" t="s">
        <v>61</v>
      </c>
      <c r="I6" s="91" t="s">
        <v>62</v>
      </c>
      <c r="J6" s="91" t="s">
        <v>63</v>
      </c>
      <c r="K6" s="91">
        <v>0</v>
      </c>
      <c r="L6" s="91" t="s">
        <v>100</v>
      </c>
      <c r="M6" s="91" t="s">
        <v>65</v>
      </c>
      <c r="N6" s="97">
        <v>1</v>
      </c>
      <c r="O6" s="98">
        <v>1.0416666666666667E-3</v>
      </c>
    </row>
    <row r="7" spans="1:15" ht="54" customHeight="1" thickTop="1" thickBot="1" x14ac:dyDescent="0.25">
      <c r="A7" s="85"/>
      <c r="B7" s="90" t="s">
        <v>15</v>
      </c>
      <c r="C7" s="91" t="s">
        <v>480</v>
      </c>
      <c r="D7" s="91" t="s">
        <v>481</v>
      </c>
      <c r="E7" s="91" t="s">
        <v>13</v>
      </c>
      <c r="F7" s="91" t="s">
        <v>23</v>
      </c>
      <c r="G7" s="91" t="s">
        <v>132</v>
      </c>
      <c r="H7" s="100">
        <v>45313</v>
      </c>
      <c r="I7" s="91" t="s">
        <v>133</v>
      </c>
      <c r="J7" s="91" t="s">
        <v>134</v>
      </c>
      <c r="K7" s="91">
        <v>0</v>
      </c>
      <c r="L7" s="91" t="s">
        <v>135</v>
      </c>
      <c r="M7" s="91" t="s">
        <v>108</v>
      </c>
      <c r="N7" s="91">
        <v>4</v>
      </c>
      <c r="O7" s="92">
        <v>1.736111111111111E-3</v>
      </c>
    </row>
    <row r="8" spans="1:15" ht="54" customHeight="1" thickTop="1" thickBot="1" x14ac:dyDescent="0.25">
      <c r="A8" s="85"/>
      <c r="B8" s="93" t="s">
        <v>15</v>
      </c>
      <c r="C8" s="94" t="s">
        <v>482</v>
      </c>
      <c r="D8" s="94" t="s">
        <v>483</v>
      </c>
      <c r="E8" s="94" t="s">
        <v>13</v>
      </c>
      <c r="F8" s="94" t="s">
        <v>23</v>
      </c>
      <c r="G8" s="94" t="s">
        <v>132</v>
      </c>
      <c r="H8" s="99">
        <v>45321</v>
      </c>
      <c r="I8" s="91" t="s">
        <v>133</v>
      </c>
      <c r="J8" s="91" t="s">
        <v>134</v>
      </c>
      <c r="K8" s="91">
        <v>0</v>
      </c>
      <c r="L8" s="91" t="s">
        <v>135</v>
      </c>
      <c r="M8" s="91" t="s">
        <v>108</v>
      </c>
      <c r="N8" s="94">
        <v>4</v>
      </c>
      <c r="O8" s="95">
        <v>1.736111111111111E-3</v>
      </c>
    </row>
    <row r="9" spans="1:15" ht="54" customHeight="1" thickTop="1" thickBot="1" x14ac:dyDescent="0.25">
      <c r="A9" s="85"/>
      <c r="B9" s="93" t="s">
        <v>15</v>
      </c>
      <c r="C9" s="94" t="s">
        <v>484</v>
      </c>
      <c r="D9" s="94" t="s">
        <v>485</v>
      </c>
      <c r="E9" s="94" t="s">
        <v>13</v>
      </c>
      <c r="F9" s="94" t="s">
        <v>23</v>
      </c>
      <c r="G9" s="94" t="s">
        <v>132</v>
      </c>
      <c r="H9" s="99">
        <v>45313</v>
      </c>
      <c r="I9" s="91" t="s">
        <v>133</v>
      </c>
      <c r="J9" s="91" t="s">
        <v>134</v>
      </c>
      <c r="K9" s="91">
        <v>0</v>
      </c>
      <c r="L9" s="91" t="s">
        <v>135</v>
      </c>
      <c r="M9" s="91" t="s">
        <v>108</v>
      </c>
      <c r="N9" s="94">
        <v>4</v>
      </c>
      <c r="O9" s="95">
        <v>1.736111111111111E-3</v>
      </c>
    </row>
    <row r="10" spans="1:15" ht="54" customHeight="1" thickTop="1" thickBot="1" x14ac:dyDescent="0.25">
      <c r="A10" s="85"/>
      <c r="B10" s="93" t="s">
        <v>15</v>
      </c>
      <c r="C10" s="94" t="s">
        <v>486</v>
      </c>
      <c r="D10" s="94" t="s">
        <v>487</v>
      </c>
      <c r="E10" s="94" t="s">
        <v>13</v>
      </c>
      <c r="F10" s="94" t="s">
        <v>23</v>
      </c>
      <c r="G10" s="94" t="s">
        <v>138</v>
      </c>
      <c r="H10" s="99">
        <v>45322</v>
      </c>
      <c r="I10" s="91" t="s">
        <v>133</v>
      </c>
      <c r="J10" s="91" t="s">
        <v>134</v>
      </c>
      <c r="K10" s="91">
        <v>0</v>
      </c>
      <c r="L10" s="91" t="s">
        <v>135</v>
      </c>
      <c r="M10" s="91" t="s">
        <v>108</v>
      </c>
      <c r="N10" s="94">
        <v>4</v>
      </c>
      <c r="O10" s="95">
        <v>1.736111111111111E-3</v>
      </c>
    </row>
    <row r="11" spans="1:15" ht="54" customHeight="1" thickTop="1" thickBot="1" x14ac:dyDescent="0.25">
      <c r="A11" s="85"/>
      <c r="B11" s="93" t="s">
        <v>15</v>
      </c>
      <c r="C11" s="94" t="s">
        <v>488</v>
      </c>
      <c r="D11" s="94" t="s">
        <v>489</v>
      </c>
      <c r="E11" s="94" t="s">
        <v>13</v>
      </c>
      <c r="F11" s="94" t="s">
        <v>23</v>
      </c>
      <c r="G11" s="94" t="s">
        <v>155</v>
      </c>
      <c r="H11" s="99">
        <v>45313</v>
      </c>
      <c r="I11" s="91" t="s">
        <v>133</v>
      </c>
      <c r="J11" s="91" t="s">
        <v>63</v>
      </c>
      <c r="K11" s="91">
        <v>0</v>
      </c>
      <c r="L11" s="91" t="s">
        <v>490</v>
      </c>
      <c r="M11" s="91" t="s">
        <v>124</v>
      </c>
      <c r="N11" s="94">
        <v>1</v>
      </c>
      <c r="O11" s="95">
        <v>6.9444444444444447E-4</v>
      </c>
    </row>
    <row r="12" spans="1:15" ht="54" customHeight="1" thickTop="1" thickBot="1" x14ac:dyDescent="0.25">
      <c r="A12" s="85"/>
      <c r="B12" s="93" t="s">
        <v>15</v>
      </c>
      <c r="C12" s="94" t="s">
        <v>491</v>
      </c>
      <c r="D12" s="94" t="s">
        <v>492</v>
      </c>
      <c r="E12" s="94" t="s">
        <v>13</v>
      </c>
      <c r="F12" s="94" t="s">
        <v>23</v>
      </c>
      <c r="G12" s="94" t="s">
        <v>132</v>
      </c>
      <c r="H12" s="99">
        <v>45321</v>
      </c>
      <c r="I12" s="91" t="s">
        <v>62</v>
      </c>
      <c r="J12" s="91" t="s">
        <v>134</v>
      </c>
      <c r="K12" s="91">
        <v>0</v>
      </c>
      <c r="L12" s="91" t="s">
        <v>162</v>
      </c>
      <c r="M12" s="91" t="s">
        <v>163</v>
      </c>
      <c r="N12" s="94">
        <v>2</v>
      </c>
      <c r="O12" s="95">
        <v>4.6296296296296293E-4</v>
      </c>
    </row>
    <row r="13" spans="1:15" ht="54" customHeight="1" thickTop="1" thickBot="1" x14ac:dyDescent="0.25">
      <c r="A13" s="85"/>
      <c r="B13" s="93" t="s">
        <v>15</v>
      </c>
      <c r="C13" s="94" t="s">
        <v>493</v>
      </c>
      <c r="D13" s="94" t="s">
        <v>494</v>
      </c>
      <c r="E13" s="94" t="s">
        <v>13</v>
      </c>
      <c r="F13" s="94" t="s">
        <v>23</v>
      </c>
      <c r="G13" s="94" t="s">
        <v>138</v>
      </c>
      <c r="H13" s="99">
        <v>45322</v>
      </c>
      <c r="I13" s="91" t="s">
        <v>62</v>
      </c>
      <c r="J13" s="91" t="s">
        <v>134</v>
      </c>
      <c r="K13" s="91">
        <v>0</v>
      </c>
      <c r="L13" s="91" t="s">
        <v>162</v>
      </c>
      <c r="M13" s="91" t="s">
        <v>163</v>
      </c>
      <c r="N13" s="94">
        <v>2</v>
      </c>
      <c r="O13" s="95">
        <v>4.6296296296296293E-4</v>
      </c>
    </row>
    <row r="14" spans="1:15" ht="54" customHeight="1" thickTop="1" thickBot="1" x14ac:dyDescent="0.25">
      <c r="A14" s="86"/>
      <c r="B14" s="96" t="s">
        <v>15</v>
      </c>
      <c r="C14" s="97" t="s">
        <v>495</v>
      </c>
      <c r="D14" s="97" t="s">
        <v>496</v>
      </c>
      <c r="E14" s="71" t="s">
        <v>13</v>
      </c>
      <c r="F14" s="71" t="s">
        <v>23</v>
      </c>
      <c r="G14" s="71" t="s">
        <v>177</v>
      </c>
      <c r="H14" s="101">
        <v>45322</v>
      </c>
      <c r="I14" s="91" t="s">
        <v>90</v>
      </c>
      <c r="J14" s="91" t="s">
        <v>63</v>
      </c>
      <c r="K14" s="91">
        <v>0</v>
      </c>
      <c r="L14" s="91" t="s">
        <v>497</v>
      </c>
      <c r="M14" s="91" t="s">
        <v>108</v>
      </c>
      <c r="N14" s="97">
        <v>1</v>
      </c>
      <c r="O14" s="98">
        <v>6.9444444444444447E-4</v>
      </c>
    </row>
    <row r="15" spans="1:15" ht="54" customHeight="1" thickTop="1" thickBot="1" x14ac:dyDescent="0.25">
      <c r="A15" s="85"/>
      <c r="B15" s="90" t="s">
        <v>18</v>
      </c>
      <c r="C15" s="91" t="s">
        <v>498</v>
      </c>
      <c r="D15" s="91" t="s">
        <v>207</v>
      </c>
      <c r="E15" s="91" t="s">
        <v>13</v>
      </c>
      <c r="F15" s="91" t="s">
        <v>23</v>
      </c>
      <c r="G15" s="91" t="s">
        <v>208</v>
      </c>
      <c r="H15" s="100">
        <v>45315</v>
      </c>
      <c r="I15" s="91" t="s">
        <v>133</v>
      </c>
      <c r="J15" s="91" t="s">
        <v>134</v>
      </c>
      <c r="K15" s="91">
        <v>0</v>
      </c>
      <c r="L15" s="91" t="s">
        <v>209</v>
      </c>
      <c r="M15" s="91" t="s">
        <v>205</v>
      </c>
      <c r="N15" s="91">
        <v>1</v>
      </c>
      <c r="O15" s="92">
        <v>3.4722222222222224E-4</v>
      </c>
    </row>
    <row r="16" spans="1:15" ht="54" customHeight="1" thickTop="1" thickBot="1" x14ac:dyDescent="0.25">
      <c r="A16" s="85"/>
      <c r="B16" s="93" t="s">
        <v>18</v>
      </c>
      <c r="C16" s="94" t="s">
        <v>499</v>
      </c>
      <c r="D16" s="94" t="s">
        <v>207</v>
      </c>
      <c r="E16" s="94" t="s">
        <v>13</v>
      </c>
      <c r="F16" s="94" t="s">
        <v>23</v>
      </c>
      <c r="G16" s="94" t="s">
        <v>208</v>
      </c>
      <c r="H16" s="99">
        <v>45315</v>
      </c>
      <c r="I16" s="91" t="s">
        <v>133</v>
      </c>
      <c r="J16" s="91" t="s">
        <v>134</v>
      </c>
      <c r="K16" s="91">
        <v>0</v>
      </c>
      <c r="L16" s="91" t="s">
        <v>209</v>
      </c>
      <c r="M16" s="91" t="s">
        <v>205</v>
      </c>
      <c r="N16" s="94">
        <v>1</v>
      </c>
      <c r="O16" s="95">
        <v>3.4722222222222224E-4</v>
      </c>
    </row>
    <row r="17" spans="1:15" ht="54" customHeight="1" thickTop="1" thickBot="1" x14ac:dyDescent="0.25">
      <c r="A17" s="85"/>
      <c r="B17" s="93" t="s">
        <v>18</v>
      </c>
      <c r="C17" s="94" t="s">
        <v>500</v>
      </c>
      <c r="D17" s="94" t="s">
        <v>839</v>
      </c>
      <c r="E17" s="94" t="s">
        <v>13</v>
      </c>
      <c r="F17" s="94" t="s">
        <v>23</v>
      </c>
      <c r="G17" s="94" t="s">
        <v>212</v>
      </c>
      <c r="H17" s="99">
        <v>45314</v>
      </c>
      <c r="I17" s="91" t="s">
        <v>90</v>
      </c>
      <c r="J17" s="91" t="s">
        <v>134</v>
      </c>
      <c r="K17" s="91">
        <v>0</v>
      </c>
      <c r="L17" s="91" t="s">
        <v>573</v>
      </c>
      <c r="M17" s="91" t="s">
        <v>847</v>
      </c>
      <c r="N17" s="94">
        <v>1</v>
      </c>
      <c r="O17" s="95">
        <v>3.4722222222222224E-4</v>
      </c>
    </row>
    <row r="18" spans="1:15" ht="54" customHeight="1" thickTop="1" thickBot="1" x14ac:dyDescent="0.25">
      <c r="A18" s="85"/>
      <c r="B18" s="93" t="s">
        <v>18</v>
      </c>
      <c r="C18" s="94" t="s">
        <v>502</v>
      </c>
      <c r="D18" s="94" t="s">
        <v>215</v>
      </c>
      <c r="E18" s="94" t="s">
        <v>13</v>
      </c>
      <c r="F18" s="94" t="s">
        <v>23</v>
      </c>
      <c r="G18" s="94" t="s">
        <v>216</v>
      </c>
      <c r="H18" s="99">
        <v>45316</v>
      </c>
      <c r="I18" s="91" t="s">
        <v>133</v>
      </c>
      <c r="J18" s="91" t="s">
        <v>134</v>
      </c>
      <c r="K18" s="91">
        <v>0</v>
      </c>
      <c r="L18" s="91" t="s">
        <v>217</v>
      </c>
      <c r="M18" s="91" t="s">
        <v>205</v>
      </c>
      <c r="N18" s="94">
        <v>1</v>
      </c>
      <c r="O18" s="95">
        <v>5.7870370370370378E-4</v>
      </c>
    </row>
    <row r="19" spans="1:15" ht="54" customHeight="1" thickTop="1" thickBot="1" x14ac:dyDescent="0.25">
      <c r="A19" s="85"/>
      <c r="B19" s="93" t="s">
        <v>18</v>
      </c>
      <c r="C19" s="94" t="s">
        <v>503</v>
      </c>
      <c r="D19" s="94" t="s">
        <v>219</v>
      </c>
      <c r="E19" s="94" t="s">
        <v>13</v>
      </c>
      <c r="F19" s="94" t="s">
        <v>23</v>
      </c>
      <c r="G19" s="94" t="s">
        <v>220</v>
      </c>
      <c r="H19" s="99">
        <v>45929</v>
      </c>
      <c r="I19" s="91" t="s">
        <v>133</v>
      </c>
      <c r="J19" s="91" t="s">
        <v>134</v>
      </c>
      <c r="K19" s="91">
        <v>0</v>
      </c>
      <c r="L19" s="91" t="s">
        <v>221</v>
      </c>
      <c r="M19" s="91" t="s">
        <v>205</v>
      </c>
      <c r="N19" s="94">
        <v>2</v>
      </c>
      <c r="O19" s="95">
        <v>6.9444444444444447E-4</v>
      </c>
    </row>
    <row r="20" spans="1:15" ht="54" customHeight="1" thickTop="1" thickBot="1" x14ac:dyDescent="0.25">
      <c r="A20" s="85"/>
      <c r="B20" s="93" t="s">
        <v>18</v>
      </c>
      <c r="C20" s="94" t="s">
        <v>504</v>
      </c>
      <c r="D20" s="94" t="s">
        <v>223</v>
      </c>
      <c r="E20" s="94" t="s">
        <v>13</v>
      </c>
      <c r="F20" s="94" t="s">
        <v>23</v>
      </c>
      <c r="G20" s="94" t="s">
        <v>224</v>
      </c>
      <c r="H20" s="99">
        <v>45315</v>
      </c>
      <c r="I20" s="91" t="s">
        <v>62</v>
      </c>
      <c r="J20" s="91" t="s">
        <v>134</v>
      </c>
      <c r="K20" s="91">
        <v>0</v>
      </c>
      <c r="L20" s="91" t="s">
        <v>225</v>
      </c>
      <c r="M20" s="91" t="s">
        <v>205</v>
      </c>
      <c r="N20" s="94">
        <v>1</v>
      </c>
      <c r="O20" s="95">
        <v>3.4722222222222224E-4</v>
      </c>
    </row>
    <row r="21" spans="1:15" ht="54" customHeight="1" thickTop="1" thickBot="1" x14ac:dyDescent="0.25">
      <c r="A21" s="85"/>
      <c r="B21" s="93" t="s">
        <v>18</v>
      </c>
      <c r="C21" s="94" t="s">
        <v>505</v>
      </c>
      <c r="D21" s="94" t="s">
        <v>227</v>
      </c>
      <c r="E21" s="94" t="s">
        <v>13</v>
      </c>
      <c r="F21" s="94" t="s">
        <v>23</v>
      </c>
      <c r="G21" s="94" t="s">
        <v>216</v>
      </c>
      <c r="H21" s="99">
        <v>45316</v>
      </c>
      <c r="I21" s="91" t="s">
        <v>133</v>
      </c>
      <c r="J21" s="91" t="s">
        <v>63</v>
      </c>
      <c r="K21" s="91">
        <v>0</v>
      </c>
      <c r="L21" s="91" t="s">
        <v>217</v>
      </c>
      <c r="M21" s="91" t="s">
        <v>205</v>
      </c>
      <c r="N21" s="94">
        <v>1</v>
      </c>
      <c r="O21" s="95">
        <v>1.0416666666666667E-3</v>
      </c>
    </row>
    <row r="22" spans="1:15" ht="54" customHeight="1" thickTop="1" thickBot="1" x14ac:dyDescent="0.25">
      <c r="A22" s="85"/>
      <c r="B22" s="93" t="s">
        <v>18</v>
      </c>
      <c r="C22" s="94" t="s">
        <v>506</v>
      </c>
      <c r="D22" s="94" t="s">
        <v>229</v>
      </c>
      <c r="E22" s="94" t="s">
        <v>13</v>
      </c>
      <c r="F22" s="94" t="s">
        <v>23</v>
      </c>
      <c r="G22" s="94" t="s">
        <v>230</v>
      </c>
      <c r="H22" s="99">
        <v>45316</v>
      </c>
      <c r="I22" s="91" t="s">
        <v>133</v>
      </c>
      <c r="J22" s="91" t="s">
        <v>134</v>
      </c>
      <c r="K22" s="91">
        <v>0</v>
      </c>
      <c r="L22" s="91" t="s">
        <v>231</v>
      </c>
      <c r="M22" s="91" t="s">
        <v>205</v>
      </c>
      <c r="N22" s="94">
        <v>1</v>
      </c>
      <c r="O22" s="95">
        <v>1.1574074074074073E-4</v>
      </c>
    </row>
    <row r="23" spans="1:15" ht="54" customHeight="1" thickTop="1" thickBot="1" x14ac:dyDescent="0.25">
      <c r="A23" s="85"/>
      <c r="B23" s="93" t="s">
        <v>18</v>
      </c>
      <c r="C23" s="94" t="s">
        <v>507</v>
      </c>
      <c r="D23" s="94" t="s">
        <v>856</v>
      </c>
      <c r="E23" s="94" t="s">
        <v>13</v>
      </c>
      <c r="F23" s="94" t="s">
        <v>23</v>
      </c>
      <c r="G23" s="94" t="s">
        <v>508</v>
      </c>
      <c r="H23" s="99">
        <v>45314</v>
      </c>
      <c r="I23" s="91" t="s">
        <v>90</v>
      </c>
      <c r="J23" s="91" t="s">
        <v>134</v>
      </c>
      <c r="K23" s="91">
        <v>0</v>
      </c>
      <c r="L23" s="91" t="s">
        <v>509</v>
      </c>
      <c r="M23" s="91" t="s">
        <v>847</v>
      </c>
      <c r="N23" s="94">
        <v>1</v>
      </c>
      <c r="O23" s="95">
        <v>3.4722222222222224E-4</v>
      </c>
    </row>
    <row r="24" spans="1:15" ht="54" customHeight="1" thickTop="1" thickBot="1" x14ac:dyDescent="0.25">
      <c r="A24" s="85"/>
      <c r="B24" s="93" t="s">
        <v>18</v>
      </c>
      <c r="C24" s="94" t="s">
        <v>510</v>
      </c>
      <c r="D24" s="94" t="s">
        <v>244</v>
      </c>
      <c r="E24" s="94" t="s">
        <v>13</v>
      </c>
      <c r="F24" s="94" t="s">
        <v>23</v>
      </c>
      <c r="G24" s="94" t="s">
        <v>245</v>
      </c>
      <c r="H24" s="99">
        <v>45313</v>
      </c>
      <c r="I24" s="91" t="s">
        <v>133</v>
      </c>
      <c r="J24" s="91" t="s">
        <v>134</v>
      </c>
      <c r="K24" s="91">
        <v>0</v>
      </c>
      <c r="L24" s="91" t="s">
        <v>246</v>
      </c>
      <c r="M24" s="91" t="s">
        <v>205</v>
      </c>
      <c r="N24" s="94">
        <v>1</v>
      </c>
      <c r="O24" s="95">
        <v>6.9444444444444447E-4</v>
      </c>
    </row>
    <row r="25" spans="1:15" ht="54" customHeight="1" thickTop="1" thickBot="1" x14ac:dyDescent="0.25">
      <c r="A25" s="85"/>
      <c r="B25" s="93" t="s">
        <v>18</v>
      </c>
      <c r="C25" s="94" t="s">
        <v>511</v>
      </c>
      <c r="D25" s="94" t="s">
        <v>267</v>
      </c>
      <c r="E25" s="94" t="s">
        <v>13</v>
      </c>
      <c r="F25" s="94" t="s">
        <v>23</v>
      </c>
      <c r="G25" s="94" t="s">
        <v>264</v>
      </c>
      <c r="H25" s="99">
        <v>45314</v>
      </c>
      <c r="I25" s="91" t="s">
        <v>62</v>
      </c>
      <c r="J25" s="91" t="s">
        <v>134</v>
      </c>
      <c r="K25" s="91">
        <v>0</v>
      </c>
      <c r="L25" s="91" t="s">
        <v>268</v>
      </c>
      <c r="M25" s="91" t="s">
        <v>205</v>
      </c>
      <c r="N25" s="94">
        <v>1</v>
      </c>
      <c r="O25" s="95">
        <v>3.4722222222222224E-4</v>
      </c>
    </row>
    <row r="26" spans="1:15" ht="54" customHeight="1" thickTop="1" thickBot="1" x14ac:dyDescent="0.25">
      <c r="A26" s="85"/>
      <c r="B26" s="93" t="s">
        <v>18</v>
      </c>
      <c r="C26" s="94" t="s">
        <v>512</v>
      </c>
      <c r="D26" s="94" t="s">
        <v>513</v>
      </c>
      <c r="E26" s="94" t="s">
        <v>13</v>
      </c>
      <c r="F26" s="94" t="s">
        <v>23</v>
      </c>
      <c r="G26" s="94" t="s">
        <v>514</v>
      </c>
      <c r="H26" s="99">
        <v>45314</v>
      </c>
      <c r="I26" s="91" t="s">
        <v>62</v>
      </c>
      <c r="J26" s="91" t="s">
        <v>134</v>
      </c>
      <c r="K26" s="91">
        <v>0</v>
      </c>
      <c r="L26" s="91" t="s">
        <v>515</v>
      </c>
      <c r="M26" s="91" t="s">
        <v>205</v>
      </c>
      <c r="N26" s="94">
        <v>2</v>
      </c>
      <c r="O26" s="95">
        <v>2.3148148148148146E-4</v>
      </c>
    </row>
    <row r="27" spans="1:15" ht="54" customHeight="1" thickTop="1" thickBot="1" x14ac:dyDescent="0.25">
      <c r="A27" s="85"/>
      <c r="B27" s="93" t="s">
        <v>18</v>
      </c>
      <c r="C27" s="94" t="s">
        <v>516</v>
      </c>
      <c r="D27" s="94" t="s">
        <v>857</v>
      </c>
      <c r="E27" s="94" t="s">
        <v>13</v>
      </c>
      <c r="F27" s="94" t="s">
        <v>23</v>
      </c>
      <c r="G27" s="94" t="s">
        <v>236</v>
      </c>
      <c r="H27" s="99">
        <v>45314</v>
      </c>
      <c r="I27" s="91" t="s">
        <v>90</v>
      </c>
      <c r="J27" s="91" t="s">
        <v>134</v>
      </c>
      <c r="K27" s="91">
        <v>0</v>
      </c>
      <c r="L27" s="91" t="s">
        <v>517</v>
      </c>
      <c r="M27" s="91" t="s">
        <v>847</v>
      </c>
      <c r="N27" s="94">
        <v>1</v>
      </c>
      <c r="O27" s="95">
        <v>3.4722222222222224E-4</v>
      </c>
    </row>
    <row r="28" spans="1:15" ht="54" customHeight="1" thickTop="1" thickBot="1" x14ac:dyDescent="0.25">
      <c r="A28" s="85"/>
      <c r="B28" s="93" t="s">
        <v>18</v>
      </c>
      <c r="C28" s="94" t="s">
        <v>518</v>
      </c>
      <c r="D28" s="94" t="s">
        <v>519</v>
      </c>
      <c r="E28" s="94" t="s">
        <v>13</v>
      </c>
      <c r="F28" s="94" t="s">
        <v>23</v>
      </c>
      <c r="G28" s="94" t="s">
        <v>514</v>
      </c>
      <c r="H28" s="99">
        <v>45314</v>
      </c>
      <c r="I28" s="91" t="s">
        <v>62</v>
      </c>
      <c r="J28" s="91" t="s">
        <v>134</v>
      </c>
      <c r="K28" s="91">
        <v>0</v>
      </c>
      <c r="L28" s="91" t="s">
        <v>520</v>
      </c>
      <c r="M28" s="91" t="s">
        <v>205</v>
      </c>
      <c r="N28" s="94">
        <v>1</v>
      </c>
      <c r="O28" s="95">
        <v>4.6296296296296293E-4</v>
      </c>
    </row>
    <row r="29" spans="1:15" ht="54" customHeight="1" thickTop="1" thickBot="1" x14ac:dyDescent="0.25">
      <c r="A29" s="85"/>
      <c r="B29" s="93" t="s">
        <v>18</v>
      </c>
      <c r="C29" s="94" t="s">
        <v>521</v>
      </c>
      <c r="D29" s="94" t="s">
        <v>522</v>
      </c>
      <c r="E29" s="94" t="s">
        <v>13</v>
      </c>
      <c r="F29" s="94" t="s">
        <v>23</v>
      </c>
      <c r="G29" s="94" t="s">
        <v>523</v>
      </c>
      <c r="H29" s="99">
        <v>45927</v>
      </c>
      <c r="I29" s="91" t="s">
        <v>62</v>
      </c>
      <c r="J29" s="91" t="s">
        <v>63</v>
      </c>
      <c r="K29" s="91">
        <v>0</v>
      </c>
      <c r="L29" s="91" t="s">
        <v>524</v>
      </c>
      <c r="M29" s="91" t="s">
        <v>205</v>
      </c>
      <c r="N29" s="94">
        <v>1</v>
      </c>
      <c r="O29" s="95">
        <v>6.9444444444444447E-4</v>
      </c>
    </row>
    <row r="30" spans="1:15" ht="54" customHeight="1" thickTop="1" thickBot="1" x14ac:dyDescent="0.25">
      <c r="A30" s="85"/>
      <c r="B30" s="93" t="s">
        <v>18</v>
      </c>
      <c r="C30" s="94" t="s">
        <v>525</v>
      </c>
      <c r="D30" s="94" t="s">
        <v>526</v>
      </c>
      <c r="E30" s="94" t="s">
        <v>13</v>
      </c>
      <c r="F30" s="94" t="s">
        <v>23</v>
      </c>
      <c r="G30" s="69" t="s">
        <v>275</v>
      </c>
      <c r="H30" s="88">
        <v>45314</v>
      </c>
      <c r="I30" s="91" t="s">
        <v>90</v>
      </c>
      <c r="J30" s="91" t="s">
        <v>134</v>
      </c>
      <c r="K30" s="91">
        <v>0</v>
      </c>
      <c r="L30" s="91" t="s">
        <v>276</v>
      </c>
      <c r="M30" s="91" t="s">
        <v>847</v>
      </c>
      <c r="N30" s="94">
        <v>1</v>
      </c>
      <c r="O30" s="95">
        <v>3.4722222222222224E-4</v>
      </c>
    </row>
    <row r="31" spans="1:15" ht="54" customHeight="1" thickTop="1" thickBot="1" x14ac:dyDescent="0.25">
      <c r="A31" s="85"/>
      <c r="B31" s="93" t="s">
        <v>18</v>
      </c>
      <c r="C31" s="94" t="s">
        <v>527</v>
      </c>
      <c r="D31" s="94" t="s">
        <v>528</v>
      </c>
      <c r="E31" s="94" t="s">
        <v>13</v>
      </c>
      <c r="F31" s="94" t="s">
        <v>23</v>
      </c>
      <c r="G31" s="69" t="s">
        <v>224</v>
      </c>
      <c r="H31" s="88">
        <v>45314</v>
      </c>
      <c r="I31" s="91" t="s">
        <v>90</v>
      </c>
      <c r="J31" s="91" t="s">
        <v>134</v>
      </c>
      <c r="K31" s="91">
        <v>0</v>
      </c>
      <c r="L31" s="91" t="s">
        <v>283</v>
      </c>
      <c r="M31" s="91" t="s">
        <v>847</v>
      </c>
      <c r="N31" s="94">
        <v>1</v>
      </c>
      <c r="O31" s="95">
        <v>6.9444444444444447E-4</v>
      </c>
    </row>
    <row r="32" spans="1:15" ht="54" customHeight="1" thickTop="1" thickBot="1" x14ac:dyDescent="0.25">
      <c r="A32" s="85"/>
      <c r="B32" s="93" t="s">
        <v>18</v>
      </c>
      <c r="C32" s="94" t="s">
        <v>529</v>
      </c>
      <c r="D32" s="94" t="s">
        <v>285</v>
      </c>
      <c r="E32" s="94" t="s">
        <v>13</v>
      </c>
      <c r="F32" s="94" t="s">
        <v>23</v>
      </c>
      <c r="G32" s="94" t="s">
        <v>286</v>
      </c>
      <c r="H32" s="99">
        <v>45314</v>
      </c>
      <c r="I32" s="91" t="s">
        <v>62</v>
      </c>
      <c r="J32" s="91" t="s">
        <v>134</v>
      </c>
      <c r="K32" s="91">
        <v>0</v>
      </c>
      <c r="L32" s="91" t="s">
        <v>287</v>
      </c>
      <c r="M32" s="91" t="s">
        <v>205</v>
      </c>
      <c r="N32" s="94">
        <v>1</v>
      </c>
      <c r="O32" s="95">
        <v>3.4722222222222224E-4</v>
      </c>
    </row>
    <row r="33" spans="1:15" ht="54" customHeight="1" thickTop="1" thickBot="1" x14ac:dyDescent="0.25">
      <c r="A33" s="137"/>
      <c r="B33" s="114" t="s">
        <v>18</v>
      </c>
      <c r="C33" s="115" t="s">
        <v>530</v>
      </c>
      <c r="D33" s="115" t="s">
        <v>531</v>
      </c>
      <c r="E33" s="115" t="s">
        <v>23</v>
      </c>
      <c r="F33" s="115"/>
      <c r="G33" s="115"/>
      <c r="H33" s="128"/>
      <c r="I33" s="91" t="s">
        <v>62</v>
      </c>
      <c r="J33" s="91" t="s">
        <v>134</v>
      </c>
      <c r="K33" s="91">
        <v>0</v>
      </c>
      <c r="L33" s="91" t="s">
        <v>532</v>
      </c>
      <c r="M33" s="91" t="s">
        <v>205</v>
      </c>
      <c r="N33" s="115">
        <v>1</v>
      </c>
      <c r="O33" s="119">
        <v>5.7870370370370378E-4</v>
      </c>
    </row>
    <row r="34" spans="1:15" ht="54" customHeight="1" thickTop="1" thickBot="1" x14ac:dyDescent="0.25">
      <c r="A34" s="85"/>
      <c r="B34" s="93" t="s">
        <v>18</v>
      </c>
      <c r="C34" s="94" t="s">
        <v>533</v>
      </c>
      <c r="D34" s="94" t="s">
        <v>534</v>
      </c>
      <c r="E34" s="94" t="s">
        <v>13</v>
      </c>
      <c r="F34" s="94" t="s">
        <v>23</v>
      </c>
      <c r="G34" s="94" t="s">
        <v>514</v>
      </c>
      <c r="H34" s="99">
        <v>45314</v>
      </c>
      <c r="I34" s="91" t="s">
        <v>62</v>
      </c>
      <c r="J34" s="91" t="s">
        <v>134</v>
      </c>
      <c r="K34" s="91">
        <v>0</v>
      </c>
      <c r="L34" s="91" t="s">
        <v>535</v>
      </c>
      <c r="M34" s="91" t="s">
        <v>205</v>
      </c>
      <c r="N34" s="94">
        <v>1</v>
      </c>
      <c r="O34" s="95">
        <v>2.3148148148148146E-4</v>
      </c>
    </row>
    <row r="35" spans="1:15" ht="54" customHeight="1" thickTop="1" thickBot="1" x14ac:dyDescent="0.25">
      <c r="A35" s="85"/>
      <c r="B35" s="93" t="s">
        <v>18</v>
      </c>
      <c r="C35" s="94" t="s">
        <v>536</v>
      </c>
      <c r="D35" s="94" t="s">
        <v>289</v>
      </c>
      <c r="E35" s="94" t="s">
        <v>13</v>
      </c>
      <c r="F35" s="94" t="s">
        <v>23</v>
      </c>
      <c r="G35" s="94" t="s">
        <v>290</v>
      </c>
      <c r="H35" s="99">
        <v>45316</v>
      </c>
      <c r="I35" s="91" t="s">
        <v>133</v>
      </c>
      <c r="J35" s="91" t="s">
        <v>134</v>
      </c>
      <c r="K35" s="91">
        <v>0</v>
      </c>
      <c r="L35" s="91" t="s">
        <v>291</v>
      </c>
      <c r="M35" s="91" t="s">
        <v>205</v>
      </c>
      <c r="N35" s="94">
        <v>1</v>
      </c>
      <c r="O35" s="95">
        <v>6.9444444444444447E-4</v>
      </c>
    </row>
    <row r="36" spans="1:15" ht="54" customHeight="1" thickTop="1" thickBot="1" x14ac:dyDescent="0.25">
      <c r="A36" s="85"/>
      <c r="B36" s="93" t="s">
        <v>18</v>
      </c>
      <c r="C36" s="94" t="s">
        <v>537</v>
      </c>
      <c r="D36" s="94" t="s">
        <v>538</v>
      </c>
      <c r="E36" s="94" t="s">
        <v>13</v>
      </c>
      <c r="F36" s="94" t="s">
        <v>23</v>
      </c>
      <c r="G36" s="94" t="s">
        <v>310</v>
      </c>
      <c r="H36" s="99">
        <v>45314</v>
      </c>
      <c r="I36" s="91" t="s">
        <v>62</v>
      </c>
      <c r="J36" s="91" t="s">
        <v>134</v>
      </c>
      <c r="K36" s="91">
        <v>0</v>
      </c>
      <c r="L36" s="91" t="s">
        <v>311</v>
      </c>
      <c r="M36" s="91" t="s">
        <v>205</v>
      </c>
      <c r="N36" s="94">
        <v>1</v>
      </c>
      <c r="O36" s="95">
        <v>8.6805555555555551E-4</v>
      </c>
    </row>
    <row r="37" spans="1:15" ht="54" customHeight="1" thickTop="1" thickBot="1" x14ac:dyDescent="0.25">
      <c r="A37" s="85"/>
      <c r="B37" s="93" t="s">
        <v>18</v>
      </c>
      <c r="C37" s="94" t="s">
        <v>539</v>
      </c>
      <c r="D37" s="94" t="s">
        <v>540</v>
      </c>
      <c r="E37" s="94" t="s">
        <v>13</v>
      </c>
      <c r="F37" s="94" t="s">
        <v>23</v>
      </c>
      <c r="G37" s="94" t="s">
        <v>314</v>
      </c>
      <c r="H37" s="99">
        <v>45315</v>
      </c>
      <c r="I37" s="91" t="s">
        <v>133</v>
      </c>
      <c r="J37" s="91" t="s">
        <v>134</v>
      </c>
      <c r="K37" s="91">
        <v>0</v>
      </c>
      <c r="L37" s="91" t="s">
        <v>315</v>
      </c>
      <c r="M37" s="91" t="s">
        <v>205</v>
      </c>
      <c r="N37" s="94">
        <v>1</v>
      </c>
      <c r="O37" s="95">
        <v>6.9444444444444447E-4</v>
      </c>
    </row>
    <row r="38" spans="1:15" ht="54" customHeight="1" thickTop="1" thickBot="1" x14ac:dyDescent="0.25">
      <c r="A38" s="85"/>
      <c r="B38" s="93" t="s">
        <v>18</v>
      </c>
      <c r="C38" s="94" t="s">
        <v>541</v>
      </c>
      <c r="D38" s="94" t="s">
        <v>542</v>
      </c>
      <c r="E38" s="94" t="s">
        <v>13</v>
      </c>
      <c r="F38" s="94" t="s">
        <v>23</v>
      </c>
      <c r="G38" s="94" t="s">
        <v>314</v>
      </c>
      <c r="H38" s="99">
        <v>45315</v>
      </c>
      <c r="I38" s="91" t="s">
        <v>133</v>
      </c>
      <c r="J38" s="91" t="s">
        <v>134</v>
      </c>
      <c r="K38" s="91">
        <v>0</v>
      </c>
      <c r="L38" s="91" t="s">
        <v>315</v>
      </c>
      <c r="M38" s="91" t="s">
        <v>205</v>
      </c>
      <c r="N38" s="94">
        <v>1</v>
      </c>
      <c r="O38" s="95">
        <v>6.9444444444444447E-4</v>
      </c>
    </row>
    <row r="39" spans="1:15" ht="54" customHeight="1" thickTop="1" thickBot="1" x14ac:dyDescent="0.25">
      <c r="A39" s="86"/>
      <c r="B39" s="96" t="s">
        <v>18</v>
      </c>
      <c r="C39" s="97" t="s">
        <v>543</v>
      </c>
      <c r="D39" s="97" t="s">
        <v>544</v>
      </c>
      <c r="E39" s="97" t="s">
        <v>13</v>
      </c>
      <c r="F39" s="97" t="s">
        <v>23</v>
      </c>
      <c r="G39" s="97" t="s">
        <v>545</v>
      </c>
      <c r="H39" s="101">
        <v>45928</v>
      </c>
      <c r="I39" s="91" t="s">
        <v>62</v>
      </c>
      <c r="J39" s="91" t="s">
        <v>63</v>
      </c>
      <c r="K39" s="91">
        <v>0</v>
      </c>
      <c r="L39" s="91" t="s">
        <v>546</v>
      </c>
      <c r="M39" s="91" t="s">
        <v>124</v>
      </c>
      <c r="N39" s="97">
        <v>2</v>
      </c>
      <c r="O39" s="98">
        <v>4.6296296296296293E-4</v>
      </c>
    </row>
    <row r="40" spans="1:15" ht="54" customHeight="1" thickTop="1" thickBot="1" x14ac:dyDescent="0.25">
      <c r="A40" s="85"/>
      <c r="B40" s="90" t="s">
        <v>22</v>
      </c>
      <c r="C40" s="91" t="s">
        <v>547</v>
      </c>
      <c r="D40" s="91" t="s">
        <v>548</v>
      </c>
      <c r="E40" s="91" t="s">
        <v>13</v>
      </c>
      <c r="F40" s="91" t="s">
        <v>23</v>
      </c>
      <c r="G40" s="91" t="s">
        <v>549</v>
      </c>
      <c r="H40" s="100">
        <v>45928</v>
      </c>
      <c r="I40" s="91" t="s">
        <v>133</v>
      </c>
      <c r="J40" s="91" t="s">
        <v>134</v>
      </c>
      <c r="K40" s="91">
        <v>0</v>
      </c>
      <c r="L40" s="91" t="s">
        <v>353</v>
      </c>
      <c r="M40" s="91" t="s">
        <v>350</v>
      </c>
      <c r="N40" s="91">
        <v>2</v>
      </c>
      <c r="O40" s="92">
        <v>2.0833333333333333E-3</v>
      </c>
    </row>
    <row r="41" spans="1:15" s="18" customFormat="1" ht="54" customHeight="1" thickTop="1" thickBot="1" x14ac:dyDescent="0.25">
      <c r="A41" s="140"/>
      <c r="B41" s="114" t="s">
        <v>22</v>
      </c>
      <c r="C41" s="115" t="s">
        <v>550</v>
      </c>
      <c r="D41" s="115" t="s">
        <v>551</v>
      </c>
      <c r="E41" s="115" t="str">
        <f>'DM 3 Car'!E89</f>
        <v xml:space="preserve">Yes </v>
      </c>
      <c r="F41" s="115">
        <f>'DM 3 Car'!F89</f>
        <v>0</v>
      </c>
      <c r="G41" s="118" t="s">
        <v>552</v>
      </c>
      <c r="H41" s="115">
        <f>'DM 3 Car'!H89</f>
        <v>45930</v>
      </c>
      <c r="I41" s="91" t="s">
        <v>133</v>
      </c>
      <c r="J41" s="91" t="s">
        <v>134</v>
      </c>
      <c r="K41" s="91">
        <v>0</v>
      </c>
      <c r="L41" s="91" t="s">
        <v>345</v>
      </c>
      <c r="M41" s="91" t="s">
        <v>343</v>
      </c>
      <c r="N41" s="115">
        <v>4</v>
      </c>
      <c r="O41" s="119">
        <v>5.208333333333333E-3</v>
      </c>
    </row>
    <row r="42" spans="1:15" ht="54" customHeight="1" thickTop="1" thickBot="1" x14ac:dyDescent="0.25">
      <c r="A42" s="85"/>
      <c r="B42" s="93" t="s">
        <v>22</v>
      </c>
      <c r="C42" s="94" t="s">
        <v>553</v>
      </c>
      <c r="D42" s="94" t="s">
        <v>554</v>
      </c>
      <c r="E42" s="94" t="s">
        <v>13</v>
      </c>
      <c r="F42" s="94" t="s">
        <v>23</v>
      </c>
      <c r="G42" s="94" t="s">
        <v>549</v>
      </c>
      <c r="H42" s="99">
        <v>45928</v>
      </c>
      <c r="I42" s="91" t="s">
        <v>133</v>
      </c>
      <c r="J42" s="91" t="s">
        <v>134</v>
      </c>
      <c r="K42" s="91">
        <v>0</v>
      </c>
      <c r="L42" s="91" t="s">
        <v>353</v>
      </c>
      <c r="M42" s="91" t="s">
        <v>350</v>
      </c>
      <c r="N42" s="94">
        <v>2</v>
      </c>
      <c r="O42" s="95">
        <v>2.0833333333333333E-3</v>
      </c>
    </row>
    <row r="43" spans="1:15" s="18" customFormat="1" ht="54" customHeight="1" thickTop="1" thickBot="1" x14ac:dyDescent="0.25">
      <c r="A43" s="140"/>
      <c r="B43" s="114" t="s">
        <v>22</v>
      </c>
      <c r="C43" s="115" t="s">
        <v>555</v>
      </c>
      <c r="D43" s="115" t="s">
        <v>556</v>
      </c>
      <c r="E43" s="115" t="str">
        <f>'UNDM 3 Car'!E66</f>
        <v>Yes</v>
      </c>
      <c r="F43" s="115" t="str">
        <f>'UNDM 3 Car'!F66</f>
        <v>No</v>
      </c>
      <c r="G43" s="118" t="s">
        <v>557</v>
      </c>
      <c r="H43" s="115">
        <f>'UNDM 3 Car'!H66</f>
        <v>45926</v>
      </c>
      <c r="I43" s="91" t="s">
        <v>133</v>
      </c>
      <c r="J43" s="91" t="s">
        <v>134</v>
      </c>
      <c r="K43" s="91">
        <v>0</v>
      </c>
      <c r="L43" s="91" t="s">
        <v>345</v>
      </c>
      <c r="M43" s="91" t="s">
        <v>343</v>
      </c>
      <c r="N43" s="115">
        <v>4</v>
      </c>
      <c r="O43" s="119">
        <v>5.208333333333333E-3</v>
      </c>
    </row>
    <row r="44" spans="1:15" ht="54" customHeight="1" thickTop="1" thickBot="1" x14ac:dyDescent="0.25">
      <c r="A44" s="137"/>
      <c r="B44" s="114" t="s">
        <v>22</v>
      </c>
      <c r="C44" s="115" t="s">
        <v>558</v>
      </c>
      <c r="D44" s="115" t="s">
        <v>559</v>
      </c>
      <c r="E44" s="115" t="s">
        <v>23</v>
      </c>
      <c r="F44" s="115"/>
      <c r="G44" s="115"/>
      <c r="H44" s="128"/>
      <c r="I44" s="91" t="s">
        <v>133</v>
      </c>
      <c r="J44" s="91" t="s">
        <v>134</v>
      </c>
      <c r="K44" s="91">
        <v>0</v>
      </c>
      <c r="L44" s="91" t="s">
        <v>560</v>
      </c>
      <c r="M44" s="91" t="s">
        <v>205</v>
      </c>
      <c r="N44" s="115">
        <v>2</v>
      </c>
      <c r="O44" s="119">
        <v>2.0833333333333333E-3</v>
      </c>
    </row>
    <row r="45" spans="1:15" ht="54" customHeight="1" thickTop="1" thickBot="1" x14ac:dyDescent="0.25">
      <c r="A45" s="137"/>
      <c r="B45" s="114" t="s">
        <v>22</v>
      </c>
      <c r="C45" s="115" t="s">
        <v>561</v>
      </c>
      <c r="D45" s="115" t="s">
        <v>371</v>
      </c>
      <c r="E45" s="115" t="s">
        <v>23</v>
      </c>
      <c r="F45" s="115"/>
      <c r="G45" s="115"/>
      <c r="H45" s="128"/>
      <c r="I45" s="91" t="s">
        <v>133</v>
      </c>
      <c r="J45" s="91" t="s">
        <v>134</v>
      </c>
      <c r="K45" s="91">
        <v>0</v>
      </c>
      <c r="L45" s="91" t="s">
        <v>372</v>
      </c>
      <c r="M45" s="91" t="s">
        <v>205</v>
      </c>
      <c r="N45" s="115">
        <v>2</v>
      </c>
      <c r="O45" s="119">
        <v>3.4722222222222224E-4</v>
      </c>
    </row>
    <row r="46" spans="1:15" ht="54" customHeight="1" thickTop="1" thickBot="1" x14ac:dyDescent="0.25">
      <c r="A46" s="137"/>
      <c r="B46" s="114" t="s">
        <v>22</v>
      </c>
      <c r="C46" s="115" t="s">
        <v>562</v>
      </c>
      <c r="D46" s="115" t="s">
        <v>563</v>
      </c>
      <c r="E46" s="115" t="s">
        <v>23</v>
      </c>
      <c r="F46" s="115"/>
      <c r="G46" s="115"/>
      <c r="H46" s="128"/>
      <c r="I46" s="91" t="s">
        <v>62</v>
      </c>
      <c r="J46" s="91" t="s">
        <v>134</v>
      </c>
      <c r="K46" s="91">
        <v>0</v>
      </c>
      <c r="L46" s="91" t="s">
        <v>375</v>
      </c>
      <c r="M46" s="91" t="s">
        <v>163</v>
      </c>
      <c r="N46" s="115">
        <v>2</v>
      </c>
      <c r="O46" s="119">
        <v>4.6296296296296293E-4</v>
      </c>
    </row>
    <row r="47" spans="1:15" ht="54" customHeight="1" thickTop="1" thickBot="1" x14ac:dyDescent="0.25">
      <c r="A47" s="137"/>
      <c r="B47" s="114" t="s">
        <v>22</v>
      </c>
      <c r="C47" s="115" t="s">
        <v>564</v>
      </c>
      <c r="D47" s="115" t="s">
        <v>565</v>
      </c>
      <c r="E47" s="115" t="s">
        <v>23</v>
      </c>
      <c r="F47" s="115"/>
      <c r="G47" s="115"/>
      <c r="H47" s="128"/>
      <c r="I47" s="91" t="s">
        <v>133</v>
      </c>
      <c r="J47" s="91" t="s">
        <v>134</v>
      </c>
      <c r="K47" s="91">
        <v>0</v>
      </c>
      <c r="L47" s="91" t="s">
        <v>566</v>
      </c>
      <c r="M47" s="91" t="s">
        <v>205</v>
      </c>
      <c r="N47" s="115">
        <v>1</v>
      </c>
      <c r="O47" s="119">
        <v>6.9444444444444447E-4</v>
      </c>
    </row>
    <row r="48" spans="1:15" ht="54" customHeight="1" thickTop="1" thickBot="1" x14ac:dyDescent="0.25">
      <c r="A48" s="85"/>
      <c r="B48" s="93" t="s">
        <v>22</v>
      </c>
      <c r="C48" s="94" t="s">
        <v>567</v>
      </c>
      <c r="D48" s="94" t="s">
        <v>568</v>
      </c>
      <c r="E48" s="94" t="s">
        <v>13</v>
      </c>
      <c r="F48" s="94" t="s">
        <v>23</v>
      </c>
      <c r="G48" s="94" t="s">
        <v>236</v>
      </c>
      <c r="H48" s="99">
        <v>45927</v>
      </c>
      <c r="I48" s="91" t="s">
        <v>133</v>
      </c>
      <c r="J48" s="91" t="s">
        <v>134</v>
      </c>
      <c r="K48" s="91">
        <v>0</v>
      </c>
      <c r="L48" s="91" t="s">
        <v>569</v>
      </c>
      <c r="M48" s="91" t="s">
        <v>238</v>
      </c>
      <c r="N48" s="94">
        <v>1</v>
      </c>
      <c r="O48" s="95">
        <v>3.4722222222222224E-4</v>
      </c>
    </row>
    <row r="49" spans="1:15" ht="54" customHeight="1" thickTop="1" thickBot="1" x14ac:dyDescent="0.25">
      <c r="A49" s="85"/>
      <c r="B49" s="93" t="s">
        <v>22</v>
      </c>
      <c r="C49" s="94" t="s">
        <v>570</v>
      </c>
      <c r="D49" s="94" t="s">
        <v>571</v>
      </c>
      <c r="E49" s="94" t="s">
        <v>13</v>
      </c>
      <c r="F49" s="94" t="s">
        <v>23</v>
      </c>
      <c r="G49" s="94" t="s">
        <v>572</v>
      </c>
      <c r="H49" s="99">
        <v>45314</v>
      </c>
      <c r="I49" s="91" t="s">
        <v>90</v>
      </c>
      <c r="J49" s="91" t="s">
        <v>134</v>
      </c>
      <c r="K49" s="91">
        <v>0</v>
      </c>
      <c r="L49" s="91" t="s">
        <v>573</v>
      </c>
      <c r="M49" s="91" t="s">
        <v>847</v>
      </c>
      <c r="N49" s="94">
        <v>1</v>
      </c>
      <c r="O49" s="95">
        <v>6.9444444444444447E-4</v>
      </c>
    </row>
    <row r="50" spans="1:15" ht="54" customHeight="1" thickTop="1" thickBot="1" x14ac:dyDescent="0.25">
      <c r="A50" s="85"/>
      <c r="B50" s="93" t="s">
        <v>22</v>
      </c>
      <c r="C50" s="94" t="s">
        <v>574</v>
      </c>
      <c r="D50" s="94" t="s">
        <v>575</v>
      </c>
      <c r="E50" s="94" t="s">
        <v>13</v>
      </c>
      <c r="F50" s="94" t="s">
        <v>23</v>
      </c>
      <c r="G50" s="94" t="s">
        <v>545</v>
      </c>
      <c r="H50" s="99">
        <v>45928</v>
      </c>
      <c r="I50" s="91" t="s">
        <v>62</v>
      </c>
      <c r="J50" s="91" t="s">
        <v>63</v>
      </c>
      <c r="K50" s="91">
        <v>0</v>
      </c>
      <c r="L50" s="91" t="s">
        <v>576</v>
      </c>
      <c r="M50" s="91" t="s">
        <v>124</v>
      </c>
      <c r="N50" s="94">
        <v>2</v>
      </c>
      <c r="O50" s="95">
        <v>2.0833333333333333E-3</v>
      </c>
    </row>
    <row r="51" spans="1:15" ht="54" customHeight="1" thickTop="1" thickBot="1" x14ac:dyDescent="0.25">
      <c r="A51" s="85"/>
      <c r="B51" s="93" t="s">
        <v>22</v>
      </c>
      <c r="C51" s="94" t="s">
        <v>577</v>
      </c>
      <c r="D51" s="94" t="s">
        <v>578</v>
      </c>
      <c r="E51" s="94" t="s">
        <v>13</v>
      </c>
      <c r="F51" s="94" t="s">
        <v>23</v>
      </c>
      <c r="G51" s="94" t="s">
        <v>545</v>
      </c>
      <c r="H51" s="99">
        <v>45928</v>
      </c>
      <c r="I51" s="91" t="s">
        <v>62</v>
      </c>
      <c r="J51" s="91" t="s">
        <v>63</v>
      </c>
      <c r="K51" s="91">
        <v>0</v>
      </c>
      <c r="L51" s="91" t="s">
        <v>579</v>
      </c>
      <c r="M51" s="91" t="s">
        <v>124</v>
      </c>
      <c r="N51" s="94">
        <v>2</v>
      </c>
      <c r="O51" s="95">
        <v>6.9444444444444447E-4</v>
      </c>
    </row>
    <row r="52" spans="1:15" ht="54" customHeight="1" thickTop="1" thickBot="1" x14ac:dyDescent="0.25">
      <c r="A52" s="85"/>
      <c r="B52" s="93" t="s">
        <v>22</v>
      </c>
      <c r="C52" s="94" t="s">
        <v>580</v>
      </c>
      <c r="D52" s="94" t="s">
        <v>581</v>
      </c>
      <c r="E52" s="94" t="s">
        <v>13</v>
      </c>
      <c r="F52" s="94" t="s">
        <v>23</v>
      </c>
      <c r="G52" s="94" t="s">
        <v>582</v>
      </c>
      <c r="H52" s="99">
        <v>45928</v>
      </c>
      <c r="I52" s="91" t="s">
        <v>62</v>
      </c>
      <c r="J52" s="91" t="s">
        <v>63</v>
      </c>
      <c r="K52" s="91">
        <v>0</v>
      </c>
      <c r="L52" s="91" t="s">
        <v>583</v>
      </c>
      <c r="M52" s="91" t="s">
        <v>65</v>
      </c>
      <c r="N52" s="94">
        <v>2</v>
      </c>
      <c r="O52" s="95">
        <v>6.9444444444444447E-4</v>
      </c>
    </row>
    <row r="53" spans="1:15" ht="54" customHeight="1" thickTop="1" thickBot="1" x14ac:dyDescent="0.25">
      <c r="A53" s="85"/>
      <c r="B53" s="93" t="s">
        <v>22</v>
      </c>
      <c r="C53" s="94" t="s">
        <v>584</v>
      </c>
      <c r="D53" s="94" t="s">
        <v>585</v>
      </c>
      <c r="E53" s="94" t="s">
        <v>13</v>
      </c>
      <c r="F53" s="94" t="s">
        <v>23</v>
      </c>
      <c r="G53" s="94" t="s">
        <v>582</v>
      </c>
      <c r="H53" s="99">
        <v>45928</v>
      </c>
      <c r="I53" s="91" t="s">
        <v>62</v>
      </c>
      <c r="J53" s="91" t="s">
        <v>63</v>
      </c>
      <c r="K53" s="91">
        <v>0</v>
      </c>
      <c r="L53" s="91" t="s">
        <v>586</v>
      </c>
      <c r="M53" s="91" t="s">
        <v>124</v>
      </c>
      <c r="N53" s="94">
        <v>2</v>
      </c>
      <c r="O53" s="95">
        <v>6.9444444444444447E-4</v>
      </c>
    </row>
    <row r="54" spans="1:15" ht="54" customHeight="1" thickTop="1" thickBot="1" x14ac:dyDescent="0.25">
      <c r="A54" s="137"/>
      <c r="B54" s="114" t="s">
        <v>22</v>
      </c>
      <c r="C54" s="115" t="s">
        <v>587</v>
      </c>
      <c r="D54" s="115" t="s">
        <v>412</v>
      </c>
      <c r="E54" s="115" t="s">
        <v>23</v>
      </c>
      <c r="F54" s="115"/>
      <c r="G54" s="115"/>
      <c r="H54" s="128"/>
      <c r="I54" s="91" t="s">
        <v>90</v>
      </c>
      <c r="J54" s="91" t="s">
        <v>63</v>
      </c>
      <c r="K54" s="91">
        <v>0</v>
      </c>
      <c r="L54" s="91" t="s">
        <v>413</v>
      </c>
      <c r="M54" s="91" t="s">
        <v>108</v>
      </c>
      <c r="N54" s="115">
        <v>4</v>
      </c>
      <c r="O54" s="119">
        <v>2.0833333333333333E-3</v>
      </c>
    </row>
    <row r="55" spans="1:15" ht="54" customHeight="1" thickTop="1" thickBot="1" x14ac:dyDescent="0.25">
      <c r="A55" s="129"/>
      <c r="B55" s="122" t="s">
        <v>22</v>
      </c>
      <c r="C55" s="123" t="s">
        <v>588</v>
      </c>
      <c r="D55" s="123" t="s">
        <v>424</v>
      </c>
      <c r="E55" s="123" t="s">
        <v>23</v>
      </c>
      <c r="F55" s="123"/>
      <c r="G55" s="123"/>
      <c r="H55" s="139"/>
      <c r="I55" s="91" t="s">
        <v>62</v>
      </c>
      <c r="J55" s="91" t="s">
        <v>63</v>
      </c>
      <c r="K55" s="91">
        <v>0</v>
      </c>
      <c r="L55" s="91" t="s">
        <v>425</v>
      </c>
      <c r="M55" s="91" t="s">
        <v>108</v>
      </c>
      <c r="N55" s="123">
        <v>2</v>
      </c>
      <c r="O55" s="127">
        <v>6.9444444444444447E-4</v>
      </c>
    </row>
    <row r="56" spans="1:15" ht="54" customHeight="1" thickTop="1" thickBot="1" x14ac:dyDescent="0.25">
      <c r="A56" s="137"/>
      <c r="B56" s="109" t="s">
        <v>26</v>
      </c>
      <c r="C56" s="110" t="s">
        <v>589</v>
      </c>
      <c r="D56" s="110" t="s">
        <v>433</v>
      </c>
      <c r="E56" s="110" t="s">
        <v>23</v>
      </c>
      <c r="F56" s="110"/>
      <c r="G56" s="110"/>
      <c r="H56" s="138"/>
      <c r="I56" s="91" t="s">
        <v>133</v>
      </c>
      <c r="J56" s="91" t="s">
        <v>63</v>
      </c>
      <c r="K56" s="91">
        <v>0</v>
      </c>
      <c r="L56" s="91" t="s">
        <v>434</v>
      </c>
      <c r="M56" s="91" t="s">
        <v>238</v>
      </c>
      <c r="N56" s="110">
        <v>1</v>
      </c>
      <c r="O56" s="113">
        <v>6.9444444444444447E-4</v>
      </c>
    </row>
    <row r="57" spans="1:15" ht="54" customHeight="1" thickTop="1" thickBot="1" x14ac:dyDescent="0.25">
      <c r="A57" s="137"/>
      <c r="B57" s="114" t="s">
        <v>26</v>
      </c>
      <c r="C57" s="115" t="s">
        <v>590</v>
      </c>
      <c r="D57" s="115" t="s">
        <v>591</v>
      </c>
      <c r="E57" s="115" t="s">
        <v>23</v>
      </c>
      <c r="F57" s="115"/>
      <c r="G57" s="115"/>
      <c r="H57" s="128"/>
      <c r="I57" s="91" t="s">
        <v>133</v>
      </c>
      <c r="J57" s="91" t="s">
        <v>63</v>
      </c>
      <c r="K57" s="91">
        <v>0</v>
      </c>
      <c r="L57" s="91">
        <v>0</v>
      </c>
      <c r="M57" s="91" t="s">
        <v>849</v>
      </c>
      <c r="N57" s="115">
        <v>1</v>
      </c>
      <c r="O57" s="119">
        <v>3.4722222222222224E-4</v>
      </c>
    </row>
    <row r="58" spans="1:15" ht="54" customHeight="1" thickTop="1" thickBot="1" x14ac:dyDescent="0.25">
      <c r="A58" s="129"/>
      <c r="B58" s="114" t="s">
        <v>26</v>
      </c>
      <c r="C58" s="115" t="s">
        <v>592</v>
      </c>
      <c r="D58" s="115" t="s">
        <v>593</v>
      </c>
      <c r="E58" s="115" t="s">
        <v>23</v>
      </c>
      <c r="F58" s="115"/>
      <c r="G58" s="115"/>
      <c r="H58" s="128"/>
      <c r="I58" s="91" t="s">
        <v>62</v>
      </c>
      <c r="J58" s="91" t="s">
        <v>63</v>
      </c>
      <c r="K58" s="91">
        <v>0</v>
      </c>
      <c r="L58" s="91" t="s">
        <v>422</v>
      </c>
      <c r="M58" s="91" t="s">
        <v>108</v>
      </c>
      <c r="N58" s="115">
        <v>1</v>
      </c>
      <c r="O58" s="119">
        <v>1.0416666666666667E-3</v>
      </c>
    </row>
    <row r="59" spans="1:15" ht="32.25" thickTop="1" x14ac:dyDescent="0.2">
      <c r="B59" s="181" t="s">
        <v>853</v>
      </c>
      <c r="C59" s="182" t="s">
        <v>854</v>
      </c>
      <c r="D59" s="182" t="s">
        <v>855</v>
      </c>
      <c r="E59" s="94" t="s">
        <v>13</v>
      </c>
      <c r="F59" s="141"/>
      <c r="G59" s="141"/>
      <c r="H59" s="141"/>
      <c r="I59" s="91" t="s">
        <v>62</v>
      </c>
      <c r="J59" s="91" t="s">
        <v>134</v>
      </c>
      <c r="K59" s="91">
        <v>0</v>
      </c>
      <c r="L59" s="91">
        <v>0</v>
      </c>
      <c r="M59" s="91" t="s">
        <v>108</v>
      </c>
      <c r="N59" s="141"/>
      <c r="O59" s="142"/>
    </row>
    <row r="60" spans="1:15" ht="15.75" thickBot="1" x14ac:dyDescent="0.25">
      <c r="B60" s="143"/>
      <c r="C60" s="144"/>
      <c r="D60" s="144"/>
      <c r="E60" s="145"/>
      <c r="F60" s="145"/>
      <c r="G60" s="145"/>
      <c r="H60" s="145"/>
      <c r="I60" s="126"/>
      <c r="J60" s="126"/>
      <c r="K60" s="145"/>
      <c r="L60" s="145"/>
      <c r="M60" s="145"/>
      <c r="N60" s="145"/>
      <c r="O60" s="146"/>
    </row>
    <row r="61" spans="1:15" ht="15.75" thickTop="1" x14ac:dyDescent="0.2"/>
    <row r="88" ht="66" customHeight="1" x14ac:dyDescent="0.2"/>
    <row r="128" ht="66" customHeight="1" x14ac:dyDescent="0.2"/>
  </sheetData>
  <autoFilter ref="A2:M59" xr:uid="{2BDE6E76-94FA-42DA-9D7A-8C55E4DD00DF}"/>
  <conditionalFormatting sqref="C32:H40 C30:D31 C4:H13 C15:H16 C14:D14 H14 C42:H42 D41:F41 D43:F43 C44:H58 H41 H43 C3:M3 I4:M59 C18:H22 C17 E17:H17 C24:H26 C23 E23:H23 C28:H29 C27 E27:H27">
    <cfRule type="expression" dxfId="100" priority="19">
      <formula>AND(OR($F3="No",$F3=""), $E3= "Yes",$G3&lt;&gt;"",$H3&lt;&gt;"")</formula>
    </cfRule>
  </conditionalFormatting>
  <conditionalFormatting sqref="N57:N58 N15:O56">
    <cfRule type="expression" dxfId="99" priority="13">
      <formula>AND(OR($F15="No",$F15=""), $E15= "Yes",$G15&lt;&gt;"",$H15&lt;&gt;"")</formula>
    </cfRule>
  </conditionalFormatting>
  <conditionalFormatting sqref="N3:O13">
    <cfRule type="expression" dxfId="98" priority="12">
      <formula>AND(OR($F3="No",$F3=""), $E3= "Yes",$G3&lt;&gt;"",$H3&lt;&gt;"")</formula>
    </cfRule>
  </conditionalFormatting>
  <conditionalFormatting sqref="O57:O58">
    <cfRule type="expression" dxfId="97" priority="11">
      <formula>AND(OR($F57="No",$F57=""), $E57= "Yes",$G57&lt;&gt;"",$H57&lt;&gt;"")</formula>
    </cfRule>
  </conditionalFormatting>
  <conditionalFormatting sqref="N14:O14">
    <cfRule type="expression" dxfId="96" priority="10">
      <formula>AND(OR($F14="No",$F14=""), $E14= "Yes",$G14&lt;&gt;"",$H14&lt;&gt;"")</formula>
    </cfRule>
  </conditionalFormatting>
  <conditionalFormatting sqref="G30:H31">
    <cfRule type="expression" dxfId="95" priority="8">
      <formula>AND(OR($F30="No",$F30=""), $E30= "Yes",$G30&lt;&gt;"",$H30&lt;&gt;"")</formula>
    </cfRule>
    <cfRule type="expression" dxfId="94" priority="9">
      <formula>AND(OR($E30="No",$E30=""), $F30= "Yes",$G30&lt;&gt;"",$H30&lt;&gt;"")</formula>
    </cfRule>
  </conditionalFormatting>
  <conditionalFormatting sqref="E30:F31">
    <cfRule type="expression" dxfId="93" priority="7">
      <formula>AND(OR($F30="No",$F30=""), $E30= "Yes",$G30&lt;&gt;"",$H30&lt;&gt;"")</formula>
    </cfRule>
  </conditionalFormatting>
  <conditionalFormatting sqref="C41">
    <cfRule type="expression" dxfId="92" priority="6">
      <formula>AND(OR($F41="No",$F41=""), $E41= "Yes",$G41&lt;&gt;"",$H41&lt;&gt;"")</formula>
    </cfRule>
  </conditionalFormatting>
  <conditionalFormatting sqref="C43">
    <cfRule type="expression" dxfId="91" priority="5">
      <formula>AND(OR($F43="No",$F43=""), $E43= "Yes",$G43&lt;&gt;"",$H43&lt;&gt;"")</formula>
    </cfRule>
  </conditionalFormatting>
  <conditionalFormatting sqref="D17">
    <cfRule type="expression" dxfId="90" priority="4">
      <formula>AND(OR($F17="No",$F17=""), $E17= "Yes",$G17&lt;&gt;"",$H17&lt;&gt;"")</formula>
    </cfRule>
  </conditionalFormatting>
  <conditionalFormatting sqref="D23">
    <cfRule type="expression" dxfId="89" priority="3">
      <formula>AND(OR($F23="No",$F23=""), $E23= "Yes",$G23&lt;&gt;"",$H23&lt;&gt;"")</formula>
    </cfRule>
  </conditionalFormatting>
  <conditionalFormatting sqref="D27">
    <cfRule type="expression" dxfId="88" priority="2">
      <formula>AND(OR($F27="No",$F27=""), $E27= "Yes",$G27&lt;&gt;"",$H27&lt;&gt;"")</formula>
    </cfRule>
  </conditionalFormatting>
  <conditionalFormatting sqref="E59">
    <cfRule type="expression" dxfId="87" priority="1">
      <formula>AND(OR($F59="No",$F59=""), $E59= "Yes",$G59&lt;&gt;"",$H59&lt;&gt;"")</formula>
    </cfRule>
  </conditionalFormatting>
  <dataValidations count="1">
    <dataValidation type="list" allowBlank="1" showInputMessage="1" showErrorMessage="1" sqref="K1:K2 E3:F13 E15:F40 E44:F58" xr:uid="{6361FEAB-AAE8-4802-B012-814A505453F1}">
      <formula1>"Yes, No"</formula1>
    </dataValidation>
  </dataValidations>
  <pageMargins left="0.2" right="0.2" top="0.2" bottom="0.2" header="0.3" footer="0.3"/>
  <pageSetup paperSize="8" scale="81"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28"/>
  <sheetViews>
    <sheetView zoomScale="60" zoomScaleNormal="60" workbookViewId="0">
      <pane ySplit="2" topLeftCell="A66" activePane="bottomLeft" state="frozen"/>
      <selection pane="bottomLeft" activeCell="D75" sqref="D75"/>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5" width="9.21875" style="2" customWidth="1"/>
    <col min="16" max="16384" width="9.21875" style="2"/>
  </cols>
  <sheetData>
    <row r="1" spans="1:15" ht="21" customHeight="1" thickBot="1" x14ac:dyDescent="0.3">
      <c r="A1" s="21"/>
      <c r="B1" s="75" t="s">
        <v>49</v>
      </c>
      <c r="C1" s="56" t="s">
        <v>594</v>
      </c>
      <c r="D1" s="5"/>
      <c r="E1" s="5"/>
      <c r="F1" s="5"/>
      <c r="G1" s="5"/>
      <c r="H1" s="5"/>
      <c r="I1" s="19"/>
      <c r="J1" s="5"/>
      <c r="K1" s="5"/>
      <c r="L1" s="5"/>
    </row>
    <row r="2" spans="1:15" s="6" customFormat="1" ht="87.95" customHeight="1" thickBot="1" x14ac:dyDescent="0.25">
      <c r="A2" s="51" t="s">
        <v>43</v>
      </c>
      <c r="B2" s="61" t="s">
        <v>44</v>
      </c>
      <c r="C2" s="51" t="s">
        <v>45</v>
      </c>
      <c r="D2" s="52" t="s">
        <v>46</v>
      </c>
      <c r="E2" s="53" t="s">
        <v>25</v>
      </c>
      <c r="F2" s="53" t="s">
        <v>21</v>
      </c>
      <c r="G2" s="54" t="s">
        <v>47</v>
      </c>
      <c r="H2" s="54" t="s">
        <v>48</v>
      </c>
      <c r="I2" s="55" t="s">
        <v>51</v>
      </c>
      <c r="J2" s="55" t="s">
        <v>52</v>
      </c>
      <c r="K2" s="55" t="s">
        <v>53</v>
      </c>
      <c r="L2" s="55" t="s">
        <v>54</v>
      </c>
      <c r="M2" s="55" t="s">
        <v>55</v>
      </c>
      <c r="N2" s="67" t="s">
        <v>56</v>
      </c>
      <c r="O2" s="67" t="s">
        <v>57</v>
      </c>
    </row>
    <row r="3" spans="1:15" ht="54" customHeight="1" thickTop="1" thickBot="1" x14ac:dyDescent="0.25">
      <c r="A3" s="85"/>
      <c r="B3" s="90" t="s">
        <v>12</v>
      </c>
      <c r="C3" s="91" t="s">
        <v>595</v>
      </c>
      <c r="D3" s="91" t="s">
        <v>596</v>
      </c>
      <c r="E3" s="91" t="s">
        <v>13</v>
      </c>
      <c r="F3" s="91" t="s">
        <v>23</v>
      </c>
      <c r="G3" s="91" t="s">
        <v>60</v>
      </c>
      <c r="H3" s="100" t="s">
        <v>61</v>
      </c>
      <c r="I3" s="83" t="s">
        <v>62</v>
      </c>
      <c r="J3" s="83" t="s">
        <v>63</v>
      </c>
      <c r="K3" s="83">
        <v>0</v>
      </c>
      <c r="L3" s="83" t="s">
        <v>473</v>
      </c>
      <c r="M3" s="83" t="s">
        <v>65</v>
      </c>
      <c r="N3" s="91">
        <v>2</v>
      </c>
      <c r="O3" s="92">
        <v>5.2083333333333333E-4</v>
      </c>
    </row>
    <row r="4" spans="1:15" ht="54" customHeight="1" thickTop="1" thickBot="1" x14ac:dyDescent="0.25">
      <c r="A4" s="85"/>
      <c r="B4" s="93" t="s">
        <v>12</v>
      </c>
      <c r="C4" s="94" t="s">
        <v>597</v>
      </c>
      <c r="D4" s="94" t="s">
        <v>598</v>
      </c>
      <c r="E4" s="94" t="s">
        <v>13</v>
      </c>
      <c r="F4" s="94" t="s">
        <v>23</v>
      </c>
      <c r="G4" s="94" t="s">
        <v>60</v>
      </c>
      <c r="H4" s="99" t="s">
        <v>61</v>
      </c>
      <c r="I4" s="83" t="s">
        <v>62</v>
      </c>
      <c r="J4" s="83" t="s">
        <v>63</v>
      </c>
      <c r="K4" s="83">
        <v>0</v>
      </c>
      <c r="L4" s="83" t="s">
        <v>64</v>
      </c>
      <c r="M4" s="83" t="s">
        <v>65</v>
      </c>
      <c r="N4" s="94">
        <v>1</v>
      </c>
      <c r="O4" s="95">
        <v>2.4305555555555556E-3</v>
      </c>
    </row>
    <row r="5" spans="1:15" ht="54" customHeight="1" thickTop="1" thickBot="1" x14ac:dyDescent="0.25">
      <c r="A5" s="85"/>
      <c r="B5" s="93" t="s">
        <v>12</v>
      </c>
      <c r="C5" s="94" t="s">
        <v>599</v>
      </c>
      <c r="D5" s="94" t="s">
        <v>475</v>
      </c>
      <c r="E5" s="94" t="s">
        <v>13</v>
      </c>
      <c r="F5" s="94" t="s">
        <v>23</v>
      </c>
      <c r="G5" s="94" t="s">
        <v>60</v>
      </c>
      <c r="H5" s="99" t="s">
        <v>61</v>
      </c>
      <c r="I5" s="83" t="s">
        <v>62</v>
      </c>
      <c r="J5" s="83" t="s">
        <v>63</v>
      </c>
      <c r="K5" s="83">
        <v>0</v>
      </c>
      <c r="L5" s="83" t="s">
        <v>68</v>
      </c>
      <c r="M5" s="83" t="s">
        <v>69</v>
      </c>
      <c r="N5" s="94">
        <v>1</v>
      </c>
      <c r="O5" s="95">
        <v>1.3888888888888889E-3</v>
      </c>
    </row>
    <row r="6" spans="1:15" ht="54" customHeight="1" thickTop="1" thickBot="1" x14ac:dyDescent="0.25">
      <c r="A6" s="85"/>
      <c r="B6" s="93" t="s">
        <v>12</v>
      </c>
      <c r="C6" s="94" t="s">
        <v>600</v>
      </c>
      <c r="D6" s="94" t="s">
        <v>104</v>
      </c>
      <c r="E6" s="94" t="s">
        <v>13</v>
      </c>
      <c r="F6" s="94" t="s">
        <v>23</v>
      </c>
      <c r="G6" s="94" t="s">
        <v>60</v>
      </c>
      <c r="H6" s="99" t="s">
        <v>61</v>
      </c>
      <c r="I6" s="83" t="s">
        <v>62</v>
      </c>
      <c r="J6" s="83" t="s">
        <v>63</v>
      </c>
      <c r="K6" s="83">
        <v>0</v>
      </c>
      <c r="L6" s="83" t="s">
        <v>75</v>
      </c>
      <c r="M6" s="83" t="s">
        <v>76</v>
      </c>
      <c r="N6" s="94">
        <v>1</v>
      </c>
      <c r="O6" s="95">
        <v>3.4722222222222224E-4</v>
      </c>
    </row>
    <row r="7" spans="1:15" ht="54" customHeight="1" thickTop="1" thickBot="1" x14ac:dyDescent="0.25">
      <c r="A7" s="85"/>
      <c r="B7" s="93" t="s">
        <v>12</v>
      </c>
      <c r="C7" s="94" t="s">
        <v>601</v>
      </c>
      <c r="D7" s="94" t="s">
        <v>602</v>
      </c>
      <c r="E7" s="94" t="s">
        <v>13</v>
      </c>
      <c r="F7" s="94" t="s">
        <v>23</v>
      </c>
      <c r="G7" s="94" t="s">
        <v>60</v>
      </c>
      <c r="H7" s="99" t="s">
        <v>61</v>
      </c>
      <c r="I7" s="83" t="s">
        <v>62</v>
      </c>
      <c r="J7" s="83" t="s">
        <v>63</v>
      </c>
      <c r="K7" s="83">
        <v>0</v>
      </c>
      <c r="L7" s="83" t="s">
        <v>95</v>
      </c>
      <c r="M7" s="83" t="s">
        <v>65</v>
      </c>
      <c r="N7" s="94">
        <v>1</v>
      </c>
      <c r="O7" s="95">
        <v>3.1249999999999997E-3</v>
      </c>
    </row>
    <row r="8" spans="1:15" ht="54" customHeight="1" thickTop="1" thickBot="1" x14ac:dyDescent="0.25">
      <c r="A8" s="85"/>
      <c r="B8" s="93" t="s">
        <v>12</v>
      </c>
      <c r="C8" s="94" t="s">
        <v>603</v>
      </c>
      <c r="D8" s="94" t="s">
        <v>604</v>
      </c>
      <c r="E8" s="94" t="s">
        <v>13</v>
      </c>
      <c r="F8" s="94" t="s">
        <v>23</v>
      </c>
      <c r="G8" s="94" t="s">
        <v>60</v>
      </c>
      <c r="H8" s="99" t="s">
        <v>61</v>
      </c>
      <c r="I8" s="83" t="s">
        <v>62</v>
      </c>
      <c r="J8" s="83" t="s">
        <v>63</v>
      </c>
      <c r="K8" s="83">
        <v>0</v>
      </c>
      <c r="L8" s="83" t="s">
        <v>100</v>
      </c>
      <c r="M8" s="83" t="s">
        <v>65</v>
      </c>
      <c r="N8" s="94">
        <v>1</v>
      </c>
      <c r="O8" s="95">
        <v>8.1018518518518516E-4</v>
      </c>
    </row>
    <row r="9" spans="1:15" ht="54" customHeight="1" thickTop="1" thickBot="1" x14ac:dyDescent="0.25">
      <c r="A9" s="85"/>
      <c r="B9" s="93" t="s">
        <v>12</v>
      </c>
      <c r="C9" s="94" t="s">
        <v>605</v>
      </c>
      <c r="D9" s="94" t="s">
        <v>106</v>
      </c>
      <c r="E9" s="94" t="s">
        <v>13</v>
      </c>
      <c r="F9" s="94" t="s">
        <v>23</v>
      </c>
      <c r="G9" s="94" t="s">
        <v>60</v>
      </c>
      <c r="H9" s="99" t="s">
        <v>61</v>
      </c>
      <c r="I9" s="83" t="s">
        <v>90</v>
      </c>
      <c r="J9" s="83" t="s">
        <v>63</v>
      </c>
      <c r="K9" s="83">
        <v>0</v>
      </c>
      <c r="L9" s="83" t="s">
        <v>111</v>
      </c>
      <c r="M9" s="83" t="s">
        <v>108</v>
      </c>
      <c r="N9" s="94">
        <v>1</v>
      </c>
      <c r="O9" s="95">
        <v>6.9444444444444447E-4</v>
      </c>
    </row>
    <row r="10" spans="1:15" ht="54" customHeight="1" thickTop="1" thickBot="1" x14ac:dyDescent="0.25">
      <c r="A10" s="85"/>
      <c r="B10" s="93" t="s">
        <v>12</v>
      </c>
      <c r="C10" s="94" t="s">
        <v>606</v>
      </c>
      <c r="D10" s="94" t="s">
        <v>110</v>
      </c>
      <c r="E10" s="94" t="s">
        <v>13</v>
      </c>
      <c r="F10" s="94" t="s">
        <v>23</v>
      </c>
      <c r="G10" s="94" t="s">
        <v>60</v>
      </c>
      <c r="H10" s="99" t="s">
        <v>61</v>
      </c>
      <c r="I10" s="83" t="s">
        <v>90</v>
      </c>
      <c r="J10" s="83" t="s">
        <v>63</v>
      </c>
      <c r="K10" s="83">
        <v>0</v>
      </c>
      <c r="L10" s="83" t="s">
        <v>107</v>
      </c>
      <c r="M10" s="83" t="s">
        <v>108</v>
      </c>
      <c r="N10" s="94">
        <v>1</v>
      </c>
      <c r="O10" s="95">
        <v>6.9444444444444447E-4</v>
      </c>
    </row>
    <row r="11" spans="1:15" ht="54" customHeight="1" thickTop="1" thickBot="1" x14ac:dyDescent="0.25">
      <c r="A11" s="85"/>
      <c r="B11" s="93" t="s">
        <v>12</v>
      </c>
      <c r="C11" s="94" t="s">
        <v>607</v>
      </c>
      <c r="D11" s="94" t="s">
        <v>118</v>
      </c>
      <c r="E11" s="94" t="s">
        <v>13</v>
      </c>
      <c r="F11" s="94" t="s">
        <v>23</v>
      </c>
      <c r="G11" s="94" t="s">
        <v>60</v>
      </c>
      <c r="H11" s="99" t="s">
        <v>61</v>
      </c>
      <c r="I11" s="83" t="s">
        <v>90</v>
      </c>
      <c r="J11" s="83" t="s">
        <v>63</v>
      </c>
      <c r="K11" s="83">
        <v>0</v>
      </c>
      <c r="L11" s="83" t="s">
        <v>135</v>
      </c>
      <c r="M11" s="83" t="s">
        <v>108</v>
      </c>
      <c r="N11" s="94">
        <v>2</v>
      </c>
      <c r="O11" s="95">
        <v>45.042187499999997</v>
      </c>
    </row>
    <row r="12" spans="1:15" ht="54" customHeight="1" thickTop="1" thickBot="1" x14ac:dyDescent="0.25">
      <c r="A12" s="86"/>
      <c r="B12" s="93" t="s">
        <v>12</v>
      </c>
      <c r="C12" s="94" t="s">
        <v>608</v>
      </c>
      <c r="D12" s="94" t="s">
        <v>115</v>
      </c>
      <c r="E12" s="94" t="s">
        <v>13</v>
      </c>
      <c r="F12" s="94" t="s">
        <v>23</v>
      </c>
      <c r="G12" s="94" t="s">
        <v>60</v>
      </c>
      <c r="H12" s="99" t="s">
        <v>61</v>
      </c>
      <c r="I12" s="83" t="s">
        <v>90</v>
      </c>
      <c r="J12" s="83" t="s">
        <v>63</v>
      </c>
      <c r="K12" s="83">
        <v>0</v>
      </c>
      <c r="L12" s="83" t="s">
        <v>135</v>
      </c>
      <c r="M12" s="83" t="s">
        <v>108</v>
      </c>
      <c r="N12" s="94">
        <v>2</v>
      </c>
      <c r="O12" s="95">
        <v>45.000520833333333</v>
      </c>
    </row>
    <row r="13" spans="1:15" ht="54" customHeight="1" thickTop="1" thickBot="1" x14ac:dyDescent="0.25">
      <c r="A13" s="73"/>
      <c r="B13" s="93" t="s">
        <v>12</v>
      </c>
      <c r="C13" s="94" t="s">
        <v>609</v>
      </c>
      <c r="D13" s="94" t="s">
        <v>121</v>
      </c>
      <c r="E13" s="94" t="s">
        <v>13</v>
      </c>
      <c r="F13" s="94" t="s">
        <v>23</v>
      </c>
      <c r="G13" s="94" t="s">
        <v>60</v>
      </c>
      <c r="H13" s="99" t="s">
        <v>61</v>
      </c>
      <c r="I13" s="83" t="s">
        <v>90</v>
      </c>
      <c r="J13" s="83" t="s">
        <v>63</v>
      </c>
      <c r="K13" s="83">
        <v>0</v>
      </c>
      <c r="L13" s="83" t="s">
        <v>123</v>
      </c>
      <c r="M13" s="83" t="s">
        <v>846</v>
      </c>
      <c r="N13" s="94">
        <v>1</v>
      </c>
      <c r="O13" s="95">
        <v>5.2083333333333333E-4</v>
      </c>
    </row>
    <row r="14" spans="1:15" ht="54" customHeight="1" thickTop="1" thickBot="1" x14ac:dyDescent="0.25">
      <c r="A14" s="73"/>
      <c r="B14" s="96" t="s">
        <v>12</v>
      </c>
      <c r="C14" s="97" t="s">
        <v>610</v>
      </c>
      <c r="D14" s="97" t="s">
        <v>126</v>
      </c>
      <c r="E14" s="97" t="s">
        <v>13</v>
      </c>
      <c r="F14" s="97" t="s">
        <v>23</v>
      </c>
      <c r="G14" s="97" t="s">
        <v>60</v>
      </c>
      <c r="H14" s="101" t="s">
        <v>61</v>
      </c>
      <c r="I14" s="83" t="s">
        <v>90</v>
      </c>
      <c r="J14" s="83" t="s">
        <v>63</v>
      </c>
      <c r="K14" s="83">
        <v>0</v>
      </c>
      <c r="L14" s="83" t="s">
        <v>127</v>
      </c>
      <c r="M14" s="83" t="s">
        <v>846</v>
      </c>
      <c r="N14" s="97">
        <v>2</v>
      </c>
      <c r="O14" s="98">
        <v>6.9444444444444447E-4</v>
      </c>
    </row>
    <row r="15" spans="1:15" ht="54" customHeight="1" thickTop="1" thickBot="1" x14ac:dyDescent="0.25">
      <c r="A15" s="85"/>
      <c r="B15" s="90" t="s">
        <v>15</v>
      </c>
      <c r="C15" s="91" t="s">
        <v>611</v>
      </c>
      <c r="D15" s="91" t="s">
        <v>612</v>
      </c>
      <c r="E15" s="91" t="s">
        <v>13</v>
      </c>
      <c r="F15" s="91" t="s">
        <v>23</v>
      </c>
      <c r="G15" s="91" t="s">
        <v>613</v>
      </c>
      <c r="H15" s="100">
        <v>45313</v>
      </c>
      <c r="I15" s="83" t="s">
        <v>133</v>
      </c>
      <c r="J15" s="83" t="s">
        <v>134</v>
      </c>
      <c r="K15" s="83">
        <v>0</v>
      </c>
      <c r="L15" s="83" t="s">
        <v>135</v>
      </c>
      <c r="M15" s="83" t="s">
        <v>108</v>
      </c>
      <c r="N15" s="91">
        <v>4</v>
      </c>
      <c r="O15" s="92">
        <v>1.736111111111111E-3</v>
      </c>
    </row>
    <row r="16" spans="1:15" ht="54" customHeight="1" thickTop="1" thickBot="1" x14ac:dyDescent="0.25">
      <c r="A16" s="85"/>
      <c r="B16" s="93" t="s">
        <v>15</v>
      </c>
      <c r="C16" s="94" t="s">
        <v>614</v>
      </c>
      <c r="D16" s="94" t="s">
        <v>615</v>
      </c>
      <c r="E16" s="94" t="s">
        <v>13</v>
      </c>
      <c r="F16" s="94" t="s">
        <v>23</v>
      </c>
      <c r="G16" s="94" t="s">
        <v>143</v>
      </c>
      <c r="H16" s="99">
        <v>45322</v>
      </c>
      <c r="I16" s="83" t="s">
        <v>133</v>
      </c>
      <c r="J16" s="83" t="s">
        <v>134</v>
      </c>
      <c r="K16" s="83">
        <v>0</v>
      </c>
      <c r="L16" s="83" t="s">
        <v>135</v>
      </c>
      <c r="M16" s="83" t="s">
        <v>108</v>
      </c>
      <c r="N16" s="94">
        <v>4</v>
      </c>
      <c r="O16" s="95">
        <v>1.736111111111111E-3</v>
      </c>
    </row>
    <row r="17" spans="1:15" ht="54" customHeight="1" thickTop="1" thickBot="1" x14ac:dyDescent="0.25">
      <c r="A17" s="85"/>
      <c r="B17" s="93" t="s">
        <v>15</v>
      </c>
      <c r="C17" s="94" t="s">
        <v>616</v>
      </c>
      <c r="D17" s="94" t="s">
        <v>617</v>
      </c>
      <c r="E17" s="94" t="s">
        <v>13</v>
      </c>
      <c r="F17" s="94" t="s">
        <v>23</v>
      </c>
      <c r="G17" s="94" t="s">
        <v>613</v>
      </c>
      <c r="H17" s="99">
        <v>45313</v>
      </c>
      <c r="I17" s="83" t="s">
        <v>133</v>
      </c>
      <c r="J17" s="83" t="s">
        <v>134</v>
      </c>
      <c r="K17" s="83">
        <v>0</v>
      </c>
      <c r="L17" s="83" t="s">
        <v>147</v>
      </c>
      <c r="M17" s="83" t="s">
        <v>108</v>
      </c>
      <c r="N17" s="94">
        <v>4</v>
      </c>
      <c r="O17" s="95">
        <v>1.736111111111111E-3</v>
      </c>
    </row>
    <row r="18" spans="1:15" ht="54" customHeight="1" thickTop="1" thickBot="1" x14ac:dyDescent="0.25">
      <c r="A18" s="85"/>
      <c r="B18" s="93" t="s">
        <v>15</v>
      </c>
      <c r="C18" s="94" t="s">
        <v>618</v>
      </c>
      <c r="D18" s="94" t="s">
        <v>619</v>
      </c>
      <c r="E18" s="94" t="s">
        <v>13</v>
      </c>
      <c r="F18" s="94" t="s">
        <v>23</v>
      </c>
      <c r="G18" s="94" t="s">
        <v>143</v>
      </c>
      <c r="H18" s="99">
        <v>45322</v>
      </c>
      <c r="I18" s="83" t="s">
        <v>133</v>
      </c>
      <c r="J18" s="83" t="s">
        <v>134</v>
      </c>
      <c r="K18" s="83">
        <v>0</v>
      </c>
      <c r="L18" s="83" t="s">
        <v>147</v>
      </c>
      <c r="M18" s="83" t="s">
        <v>108</v>
      </c>
      <c r="N18" s="94">
        <v>4</v>
      </c>
      <c r="O18" s="95">
        <v>1.736111111111111E-3</v>
      </c>
    </row>
    <row r="19" spans="1:15" ht="54" customHeight="1" thickTop="1" thickBot="1" x14ac:dyDescent="0.25">
      <c r="A19" s="85"/>
      <c r="B19" s="93" t="s">
        <v>15</v>
      </c>
      <c r="C19" s="94" t="s">
        <v>620</v>
      </c>
      <c r="D19" s="94" t="s">
        <v>145</v>
      </c>
      <c r="E19" s="94" t="s">
        <v>13</v>
      </c>
      <c r="F19" s="94" t="s">
        <v>23</v>
      </c>
      <c r="G19" s="94" t="s">
        <v>146</v>
      </c>
      <c r="H19" s="99">
        <v>45315</v>
      </c>
      <c r="I19" s="83" t="s">
        <v>133</v>
      </c>
      <c r="J19" s="83" t="s">
        <v>63</v>
      </c>
      <c r="K19" s="83">
        <v>0</v>
      </c>
      <c r="L19" s="83" t="s">
        <v>152</v>
      </c>
      <c r="M19" s="83" t="s">
        <v>124</v>
      </c>
      <c r="N19" s="94">
        <v>2</v>
      </c>
      <c r="O19" s="95">
        <v>5.2083333333333333E-4</v>
      </c>
    </row>
    <row r="20" spans="1:15" ht="54" customHeight="1" thickTop="1" thickBot="1" x14ac:dyDescent="0.25">
      <c r="A20" s="85"/>
      <c r="B20" s="93" t="s">
        <v>15</v>
      </c>
      <c r="C20" s="94" t="s">
        <v>621</v>
      </c>
      <c r="D20" s="94" t="s">
        <v>145</v>
      </c>
      <c r="E20" s="94" t="s">
        <v>13</v>
      </c>
      <c r="F20" s="94" t="s">
        <v>23</v>
      </c>
      <c r="G20" s="94" t="s">
        <v>146</v>
      </c>
      <c r="H20" s="99">
        <v>45315</v>
      </c>
      <c r="I20" s="83" t="s">
        <v>133</v>
      </c>
      <c r="J20" s="83" t="s">
        <v>63</v>
      </c>
      <c r="K20" s="83">
        <v>0</v>
      </c>
      <c r="L20" s="83" t="s">
        <v>152</v>
      </c>
      <c r="M20" s="83" t="s">
        <v>124</v>
      </c>
      <c r="N20" s="94">
        <v>2</v>
      </c>
      <c r="O20" s="95">
        <v>5.2083333333333333E-4</v>
      </c>
    </row>
    <row r="21" spans="1:15" ht="54" customHeight="1" thickTop="1" thickBot="1" x14ac:dyDescent="0.25">
      <c r="A21" s="85"/>
      <c r="B21" s="93" t="s">
        <v>15</v>
      </c>
      <c r="C21" s="94" t="s">
        <v>622</v>
      </c>
      <c r="D21" s="94" t="s">
        <v>150</v>
      </c>
      <c r="E21" s="94" t="s">
        <v>13</v>
      </c>
      <c r="F21" s="94" t="s">
        <v>23</v>
      </c>
      <c r="G21" s="94" t="s">
        <v>623</v>
      </c>
      <c r="H21" s="99">
        <v>45313</v>
      </c>
      <c r="I21" s="83" t="s">
        <v>133</v>
      </c>
      <c r="J21" s="83" t="s">
        <v>63</v>
      </c>
      <c r="K21" s="83">
        <v>0</v>
      </c>
      <c r="L21" s="83" t="s">
        <v>162</v>
      </c>
      <c r="M21" s="83" t="s">
        <v>124</v>
      </c>
      <c r="N21" s="94">
        <v>1</v>
      </c>
      <c r="O21" s="95">
        <v>2.3148148148148146E-4</v>
      </c>
    </row>
    <row r="22" spans="1:15" ht="54" customHeight="1" thickTop="1" thickBot="1" x14ac:dyDescent="0.25">
      <c r="A22" s="85"/>
      <c r="B22" s="93" t="s">
        <v>15</v>
      </c>
      <c r="C22" s="94" t="s">
        <v>624</v>
      </c>
      <c r="D22" s="94" t="s">
        <v>154</v>
      </c>
      <c r="E22" s="94" t="s">
        <v>13</v>
      </c>
      <c r="F22" s="94" t="s">
        <v>23</v>
      </c>
      <c r="G22" s="94" t="s">
        <v>155</v>
      </c>
      <c r="H22" s="99">
        <v>45313</v>
      </c>
      <c r="I22" s="83" t="s">
        <v>133</v>
      </c>
      <c r="J22" s="83" t="s">
        <v>63</v>
      </c>
      <c r="K22" s="83">
        <v>0</v>
      </c>
      <c r="L22" s="83" t="s">
        <v>162</v>
      </c>
      <c r="M22" s="83" t="s">
        <v>124</v>
      </c>
      <c r="N22" s="94">
        <v>2</v>
      </c>
      <c r="O22" s="95">
        <v>2.3148148148148146E-4</v>
      </c>
    </row>
    <row r="23" spans="1:15" ht="54" customHeight="1" thickTop="1" thickBot="1" x14ac:dyDescent="0.25">
      <c r="A23" s="85"/>
      <c r="B23" s="93" t="s">
        <v>15</v>
      </c>
      <c r="C23" s="94" t="s">
        <v>625</v>
      </c>
      <c r="D23" s="94" t="s">
        <v>492</v>
      </c>
      <c r="E23" s="94" t="s">
        <v>13</v>
      </c>
      <c r="F23" s="94" t="s">
        <v>23</v>
      </c>
      <c r="G23" s="94" t="s">
        <v>613</v>
      </c>
      <c r="H23" s="99">
        <v>45313</v>
      </c>
      <c r="I23" s="83" t="s">
        <v>62</v>
      </c>
      <c r="J23" s="83" t="s">
        <v>134</v>
      </c>
      <c r="K23" s="83">
        <v>0</v>
      </c>
      <c r="L23" s="83" t="s">
        <v>162</v>
      </c>
      <c r="M23" s="83" t="s">
        <v>163</v>
      </c>
      <c r="N23" s="94">
        <v>2</v>
      </c>
      <c r="O23" s="95">
        <v>4.6296296296296293E-4</v>
      </c>
    </row>
    <row r="24" spans="1:15" ht="54" customHeight="1" thickTop="1" thickBot="1" x14ac:dyDescent="0.25">
      <c r="A24" s="85"/>
      <c r="B24" s="93" t="s">
        <v>15</v>
      </c>
      <c r="C24" s="94" t="s">
        <v>626</v>
      </c>
      <c r="D24" s="94" t="s">
        <v>627</v>
      </c>
      <c r="E24" s="94" t="s">
        <v>13</v>
      </c>
      <c r="F24" s="94" t="s">
        <v>23</v>
      </c>
      <c r="G24" s="94" t="s">
        <v>613</v>
      </c>
      <c r="H24" s="99">
        <v>45313</v>
      </c>
      <c r="I24" s="83" t="s">
        <v>62</v>
      </c>
      <c r="J24" s="83" t="s">
        <v>134</v>
      </c>
      <c r="K24" s="83">
        <v>0</v>
      </c>
      <c r="L24" s="83" t="s">
        <v>162</v>
      </c>
      <c r="M24" s="83" t="s">
        <v>163</v>
      </c>
      <c r="N24" s="94">
        <v>2</v>
      </c>
      <c r="O24" s="95">
        <v>4.6296296296296293E-4</v>
      </c>
    </row>
    <row r="25" spans="1:15" ht="54" customHeight="1" thickTop="1" thickBot="1" x14ac:dyDescent="0.25">
      <c r="A25" s="85"/>
      <c r="B25" s="93" t="s">
        <v>15</v>
      </c>
      <c r="C25" s="94" t="s">
        <v>628</v>
      </c>
      <c r="D25" s="94" t="s">
        <v>494</v>
      </c>
      <c r="E25" s="94" t="s">
        <v>13</v>
      </c>
      <c r="F25" s="94" t="s">
        <v>23</v>
      </c>
      <c r="G25" s="94" t="s">
        <v>143</v>
      </c>
      <c r="H25" s="99">
        <v>45322</v>
      </c>
      <c r="I25" s="83" t="s">
        <v>62</v>
      </c>
      <c r="J25" s="83" t="s">
        <v>134</v>
      </c>
      <c r="K25" s="83">
        <v>0</v>
      </c>
      <c r="L25" s="83" t="s">
        <v>181</v>
      </c>
      <c r="M25" s="83" t="s">
        <v>163</v>
      </c>
      <c r="N25" s="94">
        <v>2</v>
      </c>
      <c r="O25" s="95">
        <v>4.6296296296296293E-4</v>
      </c>
    </row>
    <row r="26" spans="1:15" ht="54" customHeight="1" thickTop="1" thickBot="1" x14ac:dyDescent="0.25">
      <c r="A26" s="85"/>
      <c r="B26" s="93" t="s">
        <v>15</v>
      </c>
      <c r="C26" s="94" t="s">
        <v>629</v>
      </c>
      <c r="D26" s="94" t="s">
        <v>630</v>
      </c>
      <c r="E26" s="94" t="s">
        <v>13</v>
      </c>
      <c r="F26" s="94" t="s">
        <v>23</v>
      </c>
      <c r="G26" s="94" t="s">
        <v>143</v>
      </c>
      <c r="H26" s="99">
        <v>45322</v>
      </c>
      <c r="I26" s="83" t="s">
        <v>62</v>
      </c>
      <c r="J26" s="83" t="s">
        <v>134</v>
      </c>
      <c r="K26" s="83">
        <v>0</v>
      </c>
      <c r="L26" s="83" t="s">
        <v>178</v>
      </c>
      <c r="M26" s="83" t="s">
        <v>163</v>
      </c>
      <c r="N26" s="94">
        <v>2</v>
      </c>
      <c r="O26" s="95">
        <v>4.6296296296296293E-4</v>
      </c>
    </row>
    <row r="27" spans="1:15" ht="54" customHeight="1" thickTop="1" thickBot="1" x14ac:dyDescent="0.25">
      <c r="A27" s="137"/>
      <c r="B27" s="114" t="s">
        <v>15</v>
      </c>
      <c r="C27" s="115" t="s">
        <v>631</v>
      </c>
      <c r="D27" s="115" t="s">
        <v>180</v>
      </c>
      <c r="E27" s="115" t="s">
        <v>23</v>
      </c>
      <c r="F27" s="115"/>
      <c r="G27" s="115"/>
      <c r="H27" s="128"/>
      <c r="I27" s="83" t="s">
        <v>62</v>
      </c>
      <c r="J27" s="83" t="s">
        <v>63</v>
      </c>
      <c r="K27" s="83">
        <v>0</v>
      </c>
      <c r="L27" s="83" t="s">
        <v>632</v>
      </c>
      <c r="M27" s="83" t="s">
        <v>124</v>
      </c>
      <c r="N27" s="115">
        <v>2</v>
      </c>
      <c r="O27" s="119">
        <v>6.9444444444444447E-4</v>
      </c>
    </row>
    <row r="28" spans="1:15" ht="54" customHeight="1" thickTop="1" thickBot="1" x14ac:dyDescent="0.25">
      <c r="A28" s="86"/>
      <c r="B28" s="96" t="s">
        <v>15</v>
      </c>
      <c r="C28" s="97" t="s">
        <v>633</v>
      </c>
      <c r="D28" s="97" t="s">
        <v>176</v>
      </c>
      <c r="E28" s="71" t="s">
        <v>13</v>
      </c>
      <c r="F28" s="71" t="s">
        <v>23</v>
      </c>
      <c r="G28" s="71" t="s">
        <v>177</v>
      </c>
      <c r="H28" s="101">
        <v>45313</v>
      </c>
      <c r="I28" s="83" t="s">
        <v>90</v>
      </c>
      <c r="J28" s="83" t="s">
        <v>63</v>
      </c>
      <c r="K28" s="83">
        <v>0</v>
      </c>
      <c r="L28" s="83" t="s">
        <v>190</v>
      </c>
      <c r="M28" s="83" t="s">
        <v>108</v>
      </c>
      <c r="N28" s="97">
        <v>1</v>
      </c>
      <c r="O28" s="98">
        <v>6.9444444444444447E-4</v>
      </c>
    </row>
    <row r="29" spans="1:15" ht="54" customHeight="1" thickTop="1" thickBot="1" x14ac:dyDescent="0.25">
      <c r="A29" s="85"/>
      <c r="B29" s="90" t="s">
        <v>18</v>
      </c>
      <c r="C29" s="91" t="s">
        <v>634</v>
      </c>
      <c r="D29" s="91" t="s">
        <v>183</v>
      </c>
      <c r="E29" s="91" t="s">
        <v>13</v>
      </c>
      <c r="F29" s="91" t="s">
        <v>23</v>
      </c>
      <c r="G29" s="91" t="s">
        <v>635</v>
      </c>
      <c r="H29" s="100">
        <v>45315</v>
      </c>
      <c r="I29" s="83" t="s">
        <v>133</v>
      </c>
      <c r="J29" s="83" t="s">
        <v>63</v>
      </c>
      <c r="K29" s="83">
        <v>0</v>
      </c>
      <c r="L29" s="83" t="s">
        <v>636</v>
      </c>
      <c r="M29" s="83" t="s">
        <v>186</v>
      </c>
      <c r="N29" s="91">
        <v>2</v>
      </c>
      <c r="O29" s="92">
        <v>1.0416666666666667E-3</v>
      </c>
    </row>
    <row r="30" spans="1:15" ht="54" customHeight="1" thickTop="1" thickBot="1" x14ac:dyDescent="0.25">
      <c r="A30" s="85"/>
      <c r="B30" s="93" t="s">
        <v>18</v>
      </c>
      <c r="C30" s="94" t="s">
        <v>637</v>
      </c>
      <c r="D30" s="94" t="s">
        <v>188</v>
      </c>
      <c r="E30" s="94" t="s">
        <v>13</v>
      </c>
      <c r="F30" s="94" t="s">
        <v>23</v>
      </c>
      <c r="G30" s="94" t="s">
        <v>638</v>
      </c>
      <c r="H30" s="99">
        <v>45313</v>
      </c>
      <c r="I30" s="83" t="s">
        <v>133</v>
      </c>
      <c r="J30" s="83" t="s">
        <v>63</v>
      </c>
      <c r="K30" s="83">
        <v>0</v>
      </c>
      <c r="L30" s="83" t="s">
        <v>639</v>
      </c>
      <c r="M30" s="83" t="s">
        <v>124</v>
      </c>
      <c r="N30" s="94">
        <v>2</v>
      </c>
      <c r="O30" s="95">
        <v>1.5624999999999999E-3</v>
      </c>
    </row>
    <row r="31" spans="1:15" ht="54" customHeight="1" thickTop="1" thickBot="1" x14ac:dyDescent="0.25">
      <c r="A31" s="85"/>
      <c r="B31" s="93" t="s">
        <v>18</v>
      </c>
      <c r="C31" s="94" t="s">
        <v>640</v>
      </c>
      <c r="D31" s="94" t="s">
        <v>641</v>
      </c>
      <c r="E31" s="94" t="s">
        <v>13</v>
      </c>
      <c r="F31" s="94" t="s">
        <v>23</v>
      </c>
      <c r="G31" s="94" t="s">
        <v>638</v>
      </c>
      <c r="H31" s="99">
        <v>45313</v>
      </c>
      <c r="I31" s="83" t="s">
        <v>133</v>
      </c>
      <c r="J31" s="83" t="s">
        <v>134</v>
      </c>
      <c r="K31" s="83">
        <v>0</v>
      </c>
      <c r="L31" s="83" t="s">
        <v>194</v>
      </c>
      <c r="M31" s="83" t="s">
        <v>124</v>
      </c>
      <c r="N31" s="94">
        <v>2</v>
      </c>
      <c r="O31" s="95">
        <v>5.2083333333333333E-4</v>
      </c>
    </row>
    <row r="32" spans="1:15" ht="54" customHeight="1" thickTop="1" thickBot="1" x14ac:dyDescent="0.25">
      <c r="A32" s="85"/>
      <c r="B32" s="93" t="s">
        <v>18</v>
      </c>
      <c r="C32" s="94" t="s">
        <v>642</v>
      </c>
      <c r="D32" s="94" t="s">
        <v>643</v>
      </c>
      <c r="E32" s="94" t="s">
        <v>13</v>
      </c>
      <c r="F32" s="94" t="s">
        <v>23</v>
      </c>
      <c r="G32" s="94" t="s">
        <v>193</v>
      </c>
      <c r="H32" s="99">
        <v>45315</v>
      </c>
      <c r="I32" s="83" t="s">
        <v>133</v>
      </c>
      <c r="J32" s="83" t="s">
        <v>63</v>
      </c>
      <c r="K32" s="83">
        <v>0</v>
      </c>
      <c r="L32" s="83" t="s">
        <v>209</v>
      </c>
      <c r="M32" s="83" t="s">
        <v>124</v>
      </c>
      <c r="N32" s="94">
        <v>2</v>
      </c>
      <c r="O32" s="95">
        <v>6.9444444444444447E-4</v>
      </c>
    </row>
    <row r="33" spans="1:15" ht="54" customHeight="1" thickTop="1" thickBot="1" x14ac:dyDescent="0.25">
      <c r="A33" s="85"/>
      <c r="B33" s="93" t="s">
        <v>18</v>
      </c>
      <c r="C33" s="94" t="s">
        <v>644</v>
      </c>
      <c r="D33" s="94" t="s">
        <v>645</v>
      </c>
      <c r="E33" s="94" t="s">
        <v>13</v>
      </c>
      <c r="F33" s="94" t="s">
        <v>23</v>
      </c>
      <c r="G33" s="94" t="s">
        <v>193</v>
      </c>
      <c r="H33" s="99">
        <v>45315</v>
      </c>
      <c r="I33" s="83" t="s">
        <v>133</v>
      </c>
      <c r="J33" s="83" t="s">
        <v>63</v>
      </c>
      <c r="K33" s="83">
        <v>0</v>
      </c>
      <c r="L33" s="83" t="s">
        <v>209</v>
      </c>
      <c r="M33" s="83" t="s">
        <v>124</v>
      </c>
      <c r="N33" s="94">
        <v>2</v>
      </c>
      <c r="O33" s="95">
        <v>6.9444444444444447E-4</v>
      </c>
    </row>
    <row r="34" spans="1:15" ht="54" customHeight="1" thickTop="1" thickBot="1" x14ac:dyDescent="0.25">
      <c r="A34" s="85"/>
      <c r="B34" s="93" t="s">
        <v>18</v>
      </c>
      <c r="C34" s="94" t="s">
        <v>646</v>
      </c>
      <c r="D34" s="94" t="s">
        <v>207</v>
      </c>
      <c r="E34" s="94" t="s">
        <v>13</v>
      </c>
      <c r="F34" s="94" t="s">
        <v>23</v>
      </c>
      <c r="G34" s="94" t="s">
        <v>208</v>
      </c>
      <c r="H34" s="99">
        <v>45315</v>
      </c>
      <c r="I34" s="83" t="s">
        <v>133</v>
      </c>
      <c r="J34" s="83" t="s">
        <v>134</v>
      </c>
      <c r="K34" s="83">
        <v>0</v>
      </c>
      <c r="L34" s="83" t="s">
        <v>213</v>
      </c>
      <c r="M34" s="83" t="s">
        <v>205</v>
      </c>
      <c r="N34" s="94">
        <v>1</v>
      </c>
      <c r="O34" s="95">
        <v>3.4722222222222224E-4</v>
      </c>
    </row>
    <row r="35" spans="1:15" ht="54" customHeight="1" thickTop="1" thickBot="1" x14ac:dyDescent="0.25">
      <c r="A35" s="85"/>
      <c r="B35" s="93" t="s">
        <v>18</v>
      </c>
      <c r="C35" s="94" t="s">
        <v>647</v>
      </c>
      <c r="D35" s="94" t="s">
        <v>207</v>
      </c>
      <c r="E35" s="94" t="s">
        <v>13</v>
      </c>
      <c r="F35" s="94" t="s">
        <v>23</v>
      </c>
      <c r="G35" s="94" t="s">
        <v>208</v>
      </c>
      <c r="H35" s="99">
        <v>45315</v>
      </c>
      <c r="I35" s="83" t="s">
        <v>133</v>
      </c>
      <c r="J35" s="83" t="s">
        <v>134</v>
      </c>
      <c r="K35" s="83">
        <v>0</v>
      </c>
      <c r="L35" s="83" t="s">
        <v>213</v>
      </c>
      <c r="M35" s="83" t="s">
        <v>205</v>
      </c>
      <c r="N35" s="94">
        <v>1</v>
      </c>
      <c r="O35" s="95">
        <v>3.4722222222222224E-4</v>
      </c>
    </row>
    <row r="36" spans="1:15" ht="54" customHeight="1" thickTop="1" thickBot="1" x14ac:dyDescent="0.25">
      <c r="A36" s="85"/>
      <c r="B36" s="93" t="s">
        <v>18</v>
      </c>
      <c r="C36" s="94" t="s">
        <v>648</v>
      </c>
      <c r="D36" s="94" t="s">
        <v>839</v>
      </c>
      <c r="E36" s="94" t="s">
        <v>13</v>
      </c>
      <c r="F36" s="94" t="s">
        <v>23</v>
      </c>
      <c r="G36" s="94" t="s">
        <v>212</v>
      </c>
      <c r="H36" s="99">
        <v>45314</v>
      </c>
      <c r="I36" s="83" t="s">
        <v>90</v>
      </c>
      <c r="J36" s="83" t="s">
        <v>134</v>
      </c>
      <c r="K36" s="83">
        <v>0</v>
      </c>
      <c r="L36" s="83">
        <v>0</v>
      </c>
      <c r="M36" s="83" t="s">
        <v>847</v>
      </c>
      <c r="N36" s="94">
        <v>1</v>
      </c>
      <c r="O36" s="95">
        <v>3.4722222222222224E-4</v>
      </c>
    </row>
    <row r="37" spans="1:15" ht="54" customHeight="1" thickTop="1" thickBot="1" x14ac:dyDescent="0.25">
      <c r="A37" s="85"/>
      <c r="B37" s="93" t="s">
        <v>18</v>
      </c>
      <c r="C37" s="94" t="s">
        <v>649</v>
      </c>
      <c r="D37" s="94" t="s">
        <v>215</v>
      </c>
      <c r="E37" s="94" t="s">
        <v>13</v>
      </c>
      <c r="F37" s="94" t="s">
        <v>23</v>
      </c>
      <c r="G37" s="94" t="s">
        <v>216</v>
      </c>
      <c r="H37" s="99">
        <v>45316</v>
      </c>
      <c r="I37" s="83" t="s">
        <v>133</v>
      </c>
      <c r="J37" s="83" t="s">
        <v>134</v>
      </c>
      <c r="K37" s="83">
        <v>0</v>
      </c>
      <c r="L37" s="83" t="s">
        <v>225</v>
      </c>
      <c r="M37" s="83" t="s">
        <v>205</v>
      </c>
      <c r="N37" s="94">
        <v>1</v>
      </c>
      <c r="O37" s="95">
        <v>5.7870370370370378E-4</v>
      </c>
    </row>
    <row r="38" spans="1:15" ht="54" customHeight="1" thickTop="1" thickBot="1" x14ac:dyDescent="0.25">
      <c r="A38" s="85"/>
      <c r="B38" s="93" t="s">
        <v>18</v>
      </c>
      <c r="C38" s="94" t="s">
        <v>650</v>
      </c>
      <c r="D38" s="94" t="s">
        <v>219</v>
      </c>
      <c r="E38" s="94" t="s">
        <v>13</v>
      </c>
      <c r="F38" s="94" t="s">
        <v>23</v>
      </c>
      <c r="G38" s="94" t="s">
        <v>220</v>
      </c>
      <c r="H38" s="99">
        <v>45929</v>
      </c>
      <c r="I38" s="83" t="s">
        <v>133</v>
      </c>
      <c r="J38" s="83" t="s">
        <v>134</v>
      </c>
      <c r="K38" s="83">
        <v>0</v>
      </c>
      <c r="L38" s="83" t="s">
        <v>217</v>
      </c>
      <c r="M38" s="83" t="s">
        <v>205</v>
      </c>
      <c r="N38" s="94">
        <v>2</v>
      </c>
      <c r="O38" s="95">
        <v>6.9444444444444447E-4</v>
      </c>
    </row>
    <row r="39" spans="1:15" ht="54" customHeight="1" thickTop="1" thickBot="1" x14ac:dyDescent="0.25">
      <c r="A39" s="85"/>
      <c r="B39" s="93" t="s">
        <v>18</v>
      </c>
      <c r="C39" s="94" t="s">
        <v>651</v>
      </c>
      <c r="D39" s="94" t="s">
        <v>223</v>
      </c>
      <c r="E39" s="94" t="s">
        <v>13</v>
      </c>
      <c r="F39" s="94" t="s">
        <v>23</v>
      </c>
      <c r="G39" s="94" t="s">
        <v>224</v>
      </c>
      <c r="H39" s="99">
        <v>45315</v>
      </c>
      <c r="I39" s="83" t="s">
        <v>62</v>
      </c>
      <c r="J39" s="83" t="s">
        <v>134</v>
      </c>
      <c r="K39" s="83">
        <v>0</v>
      </c>
      <c r="L39" s="83" t="s">
        <v>231</v>
      </c>
      <c r="M39" s="83" t="s">
        <v>205</v>
      </c>
      <c r="N39" s="94">
        <v>1</v>
      </c>
      <c r="O39" s="95">
        <v>3.4722222222222224E-4</v>
      </c>
    </row>
    <row r="40" spans="1:15" ht="54" customHeight="1" thickTop="1" thickBot="1" x14ac:dyDescent="0.25">
      <c r="A40" s="85"/>
      <c r="B40" s="93" t="s">
        <v>18</v>
      </c>
      <c r="C40" s="94" t="s">
        <v>652</v>
      </c>
      <c r="D40" s="94" t="s">
        <v>227</v>
      </c>
      <c r="E40" s="94" t="s">
        <v>13</v>
      </c>
      <c r="F40" s="94" t="s">
        <v>23</v>
      </c>
      <c r="G40" s="94" t="s">
        <v>216</v>
      </c>
      <c r="H40" s="99">
        <v>45316</v>
      </c>
      <c r="I40" s="83" t="s">
        <v>133</v>
      </c>
      <c r="J40" s="83" t="s">
        <v>63</v>
      </c>
      <c r="K40" s="83">
        <v>0</v>
      </c>
      <c r="L40" s="83" t="s">
        <v>237</v>
      </c>
      <c r="M40" s="83" t="s">
        <v>205</v>
      </c>
      <c r="N40" s="94">
        <v>1</v>
      </c>
      <c r="O40" s="95">
        <v>1.0416666666666667E-3</v>
      </c>
    </row>
    <row r="41" spans="1:15" ht="54" customHeight="1" thickTop="1" thickBot="1" x14ac:dyDescent="0.25">
      <c r="A41" s="85"/>
      <c r="B41" s="93" t="s">
        <v>18</v>
      </c>
      <c r="C41" s="94" t="s">
        <v>653</v>
      </c>
      <c r="D41" s="94" t="s">
        <v>229</v>
      </c>
      <c r="E41" s="94" t="s">
        <v>13</v>
      </c>
      <c r="F41" s="94" t="s">
        <v>23</v>
      </c>
      <c r="G41" s="94" t="s">
        <v>230</v>
      </c>
      <c r="H41" s="99">
        <v>45316</v>
      </c>
      <c r="I41" s="83" t="s">
        <v>133</v>
      </c>
      <c r="J41" s="83" t="s">
        <v>134</v>
      </c>
      <c r="K41" s="83">
        <v>0</v>
      </c>
      <c r="L41" s="83" t="s">
        <v>246</v>
      </c>
      <c r="M41" s="83" t="s">
        <v>205</v>
      </c>
      <c r="N41" s="94">
        <v>1</v>
      </c>
      <c r="O41" s="95">
        <v>1.1574074074074073E-4</v>
      </c>
    </row>
    <row r="42" spans="1:15" ht="54" customHeight="1" thickTop="1" thickBot="1" x14ac:dyDescent="0.25">
      <c r="A42" s="85"/>
      <c r="B42" s="93" t="s">
        <v>18</v>
      </c>
      <c r="C42" s="94" t="s">
        <v>654</v>
      </c>
      <c r="D42" s="94" t="s">
        <v>233</v>
      </c>
      <c r="E42" s="94" t="s">
        <v>234</v>
      </c>
      <c r="F42" s="94" t="s">
        <v>364</v>
      </c>
      <c r="G42" s="94" t="s">
        <v>236</v>
      </c>
      <c r="H42" s="99">
        <v>45927</v>
      </c>
      <c r="I42" s="83" t="s">
        <v>133</v>
      </c>
      <c r="J42" s="83" t="s">
        <v>134</v>
      </c>
      <c r="K42" s="83">
        <v>0</v>
      </c>
      <c r="L42" s="83" t="s">
        <v>250</v>
      </c>
      <c r="M42" s="83" t="s">
        <v>238</v>
      </c>
      <c r="N42" s="94">
        <v>2</v>
      </c>
      <c r="O42" s="95">
        <v>3.4722222222222224E-4</v>
      </c>
    </row>
    <row r="43" spans="1:15" ht="54" customHeight="1" thickTop="1" thickBot="1" x14ac:dyDescent="0.25">
      <c r="A43" s="85"/>
      <c r="B43" s="93" t="s">
        <v>18</v>
      </c>
      <c r="C43" s="94" t="s">
        <v>655</v>
      </c>
      <c r="D43" s="94" t="s">
        <v>244</v>
      </c>
      <c r="E43" s="94" t="s">
        <v>13</v>
      </c>
      <c r="F43" s="94" t="s">
        <v>23</v>
      </c>
      <c r="G43" s="94" t="s">
        <v>245</v>
      </c>
      <c r="H43" s="99">
        <v>45313</v>
      </c>
      <c r="I43" s="83" t="s">
        <v>133</v>
      </c>
      <c r="J43" s="83" t="s">
        <v>134</v>
      </c>
      <c r="K43" s="83">
        <v>0</v>
      </c>
      <c r="L43" s="83" t="s">
        <v>656</v>
      </c>
      <c r="M43" s="83" t="s">
        <v>205</v>
      </c>
      <c r="N43" s="94">
        <v>1</v>
      </c>
      <c r="O43" s="95">
        <v>6.9444444444444447E-4</v>
      </c>
    </row>
    <row r="44" spans="1:15" ht="54" customHeight="1" thickTop="1" thickBot="1" x14ac:dyDescent="0.25">
      <c r="A44" s="85"/>
      <c r="B44" s="93" t="s">
        <v>18</v>
      </c>
      <c r="C44" s="94" t="s">
        <v>657</v>
      </c>
      <c r="D44" s="94" t="s">
        <v>658</v>
      </c>
      <c r="E44" s="94" t="s">
        <v>234</v>
      </c>
      <c r="F44" s="94" t="s">
        <v>235</v>
      </c>
      <c r="G44" s="94" t="s">
        <v>249</v>
      </c>
      <c r="H44" s="99">
        <v>45930</v>
      </c>
      <c r="I44" s="83" t="s">
        <v>133</v>
      </c>
      <c r="J44" s="83" t="s">
        <v>134</v>
      </c>
      <c r="K44" s="83">
        <v>0</v>
      </c>
      <c r="L44" s="83" t="s">
        <v>265</v>
      </c>
      <c r="M44" s="83" t="s">
        <v>238</v>
      </c>
      <c r="N44" s="94">
        <v>1</v>
      </c>
      <c r="O44" s="95">
        <v>6.9444444444444447E-4</v>
      </c>
    </row>
    <row r="45" spans="1:15" ht="54" customHeight="1" thickTop="1" thickBot="1" x14ac:dyDescent="0.25">
      <c r="A45" s="85"/>
      <c r="B45" s="93" t="s">
        <v>18</v>
      </c>
      <c r="C45" s="94" t="s">
        <v>659</v>
      </c>
      <c r="D45" s="94" t="s">
        <v>338</v>
      </c>
      <c r="E45" s="94" t="s">
        <v>13</v>
      </c>
      <c r="F45" s="94" t="s">
        <v>23</v>
      </c>
      <c r="G45" s="94" t="s">
        <v>660</v>
      </c>
      <c r="H45" s="99">
        <v>45316</v>
      </c>
      <c r="I45" s="83" t="s">
        <v>62</v>
      </c>
      <c r="J45" s="83" t="s">
        <v>134</v>
      </c>
      <c r="K45" s="83">
        <v>0</v>
      </c>
      <c r="L45" s="83" t="s">
        <v>268</v>
      </c>
      <c r="M45" s="83" t="s">
        <v>205</v>
      </c>
      <c r="N45" s="94">
        <v>2</v>
      </c>
      <c r="O45" s="95">
        <v>3.4722222222222224E-4</v>
      </c>
    </row>
    <row r="46" spans="1:15" ht="54" customHeight="1" thickTop="1" thickBot="1" x14ac:dyDescent="0.25">
      <c r="A46" s="85"/>
      <c r="B46" s="93" t="s">
        <v>18</v>
      </c>
      <c r="C46" s="94" t="s">
        <v>661</v>
      </c>
      <c r="D46" s="94" t="s">
        <v>263</v>
      </c>
      <c r="E46" s="94" t="s">
        <v>13</v>
      </c>
      <c r="F46" s="94" t="s">
        <v>23</v>
      </c>
      <c r="G46" s="94" t="s">
        <v>264</v>
      </c>
      <c r="H46" s="99">
        <v>45314</v>
      </c>
      <c r="I46" s="83" t="s">
        <v>62</v>
      </c>
      <c r="J46" s="83" t="s">
        <v>134</v>
      </c>
      <c r="K46" s="83">
        <v>0</v>
      </c>
      <c r="L46" s="83" t="s">
        <v>272</v>
      </c>
      <c r="M46" s="83" t="s">
        <v>205</v>
      </c>
      <c r="N46" s="94">
        <v>1</v>
      </c>
      <c r="O46" s="95">
        <v>3.4722222222222224E-4</v>
      </c>
    </row>
    <row r="47" spans="1:15" ht="54" customHeight="1" thickTop="1" thickBot="1" x14ac:dyDescent="0.25">
      <c r="A47" s="85"/>
      <c r="B47" s="93" t="s">
        <v>18</v>
      </c>
      <c r="C47" s="94" t="s">
        <v>662</v>
      </c>
      <c r="D47" s="94" t="s">
        <v>267</v>
      </c>
      <c r="E47" s="94" t="s">
        <v>13</v>
      </c>
      <c r="F47" s="94" t="s">
        <v>23</v>
      </c>
      <c r="G47" s="94" t="s">
        <v>264</v>
      </c>
      <c r="H47" s="99">
        <v>45314</v>
      </c>
      <c r="I47" s="83" t="s">
        <v>62</v>
      </c>
      <c r="J47" s="83" t="s">
        <v>134</v>
      </c>
      <c r="K47" s="83">
        <v>0</v>
      </c>
      <c r="L47" s="83" t="s">
        <v>276</v>
      </c>
      <c r="M47" s="83" t="s">
        <v>205</v>
      </c>
      <c r="N47" s="94">
        <v>1</v>
      </c>
      <c r="O47" s="95">
        <v>3.4722222222222224E-4</v>
      </c>
    </row>
    <row r="48" spans="1:15" ht="54" customHeight="1" thickTop="1" thickBot="1" x14ac:dyDescent="0.25">
      <c r="A48" s="85"/>
      <c r="B48" s="93" t="s">
        <v>18</v>
      </c>
      <c r="C48" s="94" t="s">
        <v>663</v>
      </c>
      <c r="D48" s="94" t="s">
        <v>664</v>
      </c>
      <c r="E48" s="94" t="s">
        <v>13</v>
      </c>
      <c r="F48" s="94" t="s">
        <v>23</v>
      </c>
      <c r="G48" s="94" t="s">
        <v>271</v>
      </c>
      <c r="H48" s="99">
        <v>45314</v>
      </c>
      <c r="I48" s="83" t="s">
        <v>62</v>
      </c>
      <c r="J48" s="83" t="s">
        <v>134</v>
      </c>
      <c r="K48" s="83">
        <v>0</v>
      </c>
      <c r="L48" s="83" t="s">
        <v>280</v>
      </c>
      <c r="M48" s="83" t="s">
        <v>205</v>
      </c>
      <c r="N48" s="94">
        <v>1</v>
      </c>
      <c r="O48" s="95">
        <v>3.4722222222222224E-4</v>
      </c>
    </row>
    <row r="49" spans="1:16" ht="54" customHeight="1" thickTop="1" thickBot="1" x14ac:dyDescent="0.25">
      <c r="A49" s="85"/>
      <c r="B49" s="93" t="s">
        <v>18</v>
      </c>
      <c r="C49" s="94" t="s">
        <v>665</v>
      </c>
      <c r="D49" s="94" t="s">
        <v>526</v>
      </c>
      <c r="E49" s="94" t="s">
        <v>13</v>
      </c>
      <c r="F49" s="94" t="s">
        <v>23</v>
      </c>
      <c r="G49" s="69" t="s">
        <v>275</v>
      </c>
      <c r="H49" s="88">
        <v>45314</v>
      </c>
      <c r="I49" s="83" t="s">
        <v>90</v>
      </c>
      <c r="J49" s="83" t="s">
        <v>134</v>
      </c>
      <c r="K49" s="83">
        <v>0</v>
      </c>
      <c r="L49" s="83" t="s">
        <v>283</v>
      </c>
      <c r="M49" s="83" t="s">
        <v>847</v>
      </c>
      <c r="N49" s="94">
        <v>1</v>
      </c>
      <c r="O49" s="95">
        <v>3.4722222222222224E-4</v>
      </c>
    </row>
    <row r="50" spans="1:16" ht="54" customHeight="1" thickTop="1" thickBot="1" x14ac:dyDescent="0.25">
      <c r="A50" s="85"/>
      <c r="B50" s="93" t="s">
        <v>18</v>
      </c>
      <c r="C50" s="94" t="s">
        <v>666</v>
      </c>
      <c r="D50" s="94" t="s">
        <v>278</v>
      </c>
      <c r="E50" s="94" t="s">
        <v>13</v>
      </c>
      <c r="F50" s="94" t="s">
        <v>23</v>
      </c>
      <c r="G50" s="69" t="s">
        <v>279</v>
      </c>
      <c r="H50" s="88">
        <v>45314</v>
      </c>
      <c r="I50" s="83" t="s">
        <v>90</v>
      </c>
      <c r="J50" s="83" t="s">
        <v>134</v>
      </c>
      <c r="K50" s="83">
        <v>0</v>
      </c>
      <c r="L50" s="83" t="s">
        <v>287</v>
      </c>
      <c r="M50" s="83" t="s">
        <v>847</v>
      </c>
      <c r="N50" s="94">
        <v>1</v>
      </c>
      <c r="O50" s="95">
        <v>5.2083333333333333E-4</v>
      </c>
    </row>
    <row r="51" spans="1:16" ht="54" customHeight="1" thickTop="1" thickBot="1" x14ac:dyDescent="0.25">
      <c r="A51" s="85"/>
      <c r="B51" s="93" t="s">
        <v>18</v>
      </c>
      <c r="C51" s="94" t="s">
        <v>667</v>
      </c>
      <c r="D51" s="94" t="s">
        <v>668</v>
      </c>
      <c r="E51" s="94" t="s">
        <v>13</v>
      </c>
      <c r="F51" s="94" t="s">
        <v>23</v>
      </c>
      <c r="G51" s="69" t="s">
        <v>224</v>
      </c>
      <c r="H51" s="88">
        <v>45314</v>
      </c>
      <c r="I51" s="83" t="s">
        <v>90</v>
      </c>
      <c r="J51" s="83" t="s">
        <v>134</v>
      </c>
      <c r="K51" s="83">
        <v>0</v>
      </c>
      <c r="L51" s="83" t="s">
        <v>291</v>
      </c>
      <c r="M51" s="83" t="s">
        <v>847</v>
      </c>
      <c r="N51" s="94">
        <v>1</v>
      </c>
      <c r="O51" s="95">
        <v>6.9444444444444447E-4</v>
      </c>
    </row>
    <row r="52" spans="1:16" ht="54" customHeight="1" thickTop="1" thickBot="1" x14ac:dyDescent="0.25">
      <c r="A52" s="85"/>
      <c r="B52" s="93" t="s">
        <v>18</v>
      </c>
      <c r="C52" s="94" t="s">
        <v>669</v>
      </c>
      <c r="D52" s="94" t="s">
        <v>285</v>
      </c>
      <c r="E52" s="94" t="s">
        <v>13</v>
      </c>
      <c r="F52" s="94" t="s">
        <v>23</v>
      </c>
      <c r="G52" s="94" t="s">
        <v>286</v>
      </c>
      <c r="H52" s="99">
        <v>45314</v>
      </c>
      <c r="I52" s="83" t="s">
        <v>62</v>
      </c>
      <c r="J52" s="83" t="s">
        <v>134</v>
      </c>
      <c r="K52" s="83">
        <v>0</v>
      </c>
      <c r="L52" s="83" t="s">
        <v>298</v>
      </c>
      <c r="M52" s="83" t="s">
        <v>205</v>
      </c>
      <c r="N52" s="94">
        <v>1</v>
      </c>
      <c r="O52" s="95">
        <v>3.4722222222222224E-4</v>
      </c>
    </row>
    <row r="53" spans="1:16" ht="54" customHeight="1" thickTop="1" thickBot="1" x14ac:dyDescent="0.25">
      <c r="A53" s="85"/>
      <c r="B53" s="93" t="s">
        <v>18</v>
      </c>
      <c r="C53" s="94" t="s">
        <v>670</v>
      </c>
      <c r="D53" s="94" t="s">
        <v>289</v>
      </c>
      <c r="E53" s="94" t="s">
        <v>13</v>
      </c>
      <c r="F53" s="94" t="s">
        <v>23</v>
      </c>
      <c r="G53" s="94" t="s">
        <v>671</v>
      </c>
      <c r="H53" s="99">
        <v>45316</v>
      </c>
      <c r="I53" s="83" t="s">
        <v>133</v>
      </c>
      <c r="J53" s="83" t="s">
        <v>134</v>
      </c>
      <c r="K53" s="83">
        <v>0</v>
      </c>
      <c r="L53" s="83" t="s">
        <v>298</v>
      </c>
      <c r="M53" s="83" t="s">
        <v>205</v>
      </c>
      <c r="N53" s="94">
        <v>1</v>
      </c>
      <c r="O53" s="95">
        <v>6.9444444444444447E-4</v>
      </c>
    </row>
    <row r="54" spans="1:16" ht="54" customHeight="1" thickTop="1" thickBot="1" x14ac:dyDescent="0.25">
      <c r="A54" s="85"/>
      <c r="B54" s="93" t="s">
        <v>18</v>
      </c>
      <c r="C54" s="94" t="s">
        <v>672</v>
      </c>
      <c r="D54" s="94" t="s">
        <v>296</v>
      </c>
      <c r="E54" s="94" t="s">
        <v>13</v>
      </c>
      <c r="F54" s="94" t="s">
        <v>23</v>
      </c>
      <c r="G54" s="94" t="s">
        <v>673</v>
      </c>
      <c r="H54" s="99">
        <v>45315</v>
      </c>
      <c r="I54" s="83" t="s">
        <v>133</v>
      </c>
      <c r="J54" s="83" t="s">
        <v>134</v>
      </c>
      <c r="K54" s="83">
        <v>0</v>
      </c>
      <c r="L54" s="83" t="s">
        <v>311</v>
      </c>
      <c r="M54" s="83" t="s">
        <v>205</v>
      </c>
      <c r="N54" s="94">
        <v>1</v>
      </c>
      <c r="O54" s="95">
        <v>3.4722222222222224E-4</v>
      </c>
    </row>
    <row r="55" spans="1:16" ht="54" customHeight="1" thickTop="1" thickBot="1" x14ac:dyDescent="0.25">
      <c r="A55" s="85"/>
      <c r="B55" s="93" t="s">
        <v>18</v>
      </c>
      <c r="C55" s="94" t="s">
        <v>674</v>
      </c>
      <c r="D55" s="94" t="s">
        <v>300</v>
      </c>
      <c r="E55" s="94" t="s">
        <v>13</v>
      </c>
      <c r="F55" s="94" t="s">
        <v>23</v>
      </c>
      <c r="G55" s="94" t="s">
        <v>673</v>
      </c>
      <c r="H55" s="99">
        <v>45315</v>
      </c>
      <c r="I55" s="83" t="s">
        <v>133</v>
      </c>
      <c r="J55" s="83" t="s">
        <v>134</v>
      </c>
      <c r="K55" s="83">
        <v>0</v>
      </c>
      <c r="L55" s="83" t="s">
        <v>315</v>
      </c>
      <c r="M55" s="83" t="s">
        <v>205</v>
      </c>
      <c r="N55" s="94">
        <v>1</v>
      </c>
      <c r="O55" s="95">
        <v>3.4722222222222224E-4</v>
      </c>
    </row>
    <row r="56" spans="1:16" ht="54" customHeight="1" thickTop="1" thickBot="1" x14ac:dyDescent="0.25">
      <c r="A56" s="85"/>
      <c r="B56" s="93" t="s">
        <v>18</v>
      </c>
      <c r="C56" s="94" t="s">
        <v>648</v>
      </c>
      <c r="D56" s="94" t="s">
        <v>501</v>
      </c>
      <c r="E56" s="94" t="s">
        <v>13</v>
      </c>
      <c r="F56" s="94" t="s">
        <v>23</v>
      </c>
      <c r="G56" s="94" t="s">
        <v>212</v>
      </c>
      <c r="H56" s="99">
        <v>45314</v>
      </c>
      <c r="I56" s="83" t="s">
        <v>90</v>
      </c>
      <c r="J56" s="83" t="s">
        <v>134</v>
      </c>
      <c r="K56" s="83">
        <v>0</v>
      </c>
      <c r="L56" s="83">
        <v>0</v>
      </c>
      <c r="M56" s="83" t="s">
        <v>847</v>
      </c>
      <c r="N56" s="94">
        <v>1</v>
      </c>
      <c r="O56" s="95">
        <v>3.4722222222222224E-4</v>
      </c>
    </row>
    <row r="57" spans="1:16" ht="54" customHeight="1" thickTop="1" thickBot="1" x14ac:dyDescent="0.25">
      <c r="A57" s="85"/>
      <c r="B57" s="93" t="s">
        <v>18</v>
      </c>
      <c r="C57" s="94" t="s">
        <v>675</v>
      </c>
      <c r="D57" s="94" t="s">
        <v>676</v>
      </c>
      <c r="E57" s="94" t="s">
        <v>13</v>
      </c>
      <c r="F57" s="94" t="s">
        <v>23</v>
      </c>
      <c r="G57" s="94" t="s">
        <v>310</v>
      </c>
      <c r="H57" s="99">
        <v>45314</v>
      </c>
      <c r="I57" s="83" t="s">
        <v>62</v>
      </c>
      <c r="J57" s="83" t="s">
        <v>134</v>
      </c>
      <c r="K57" s="83">
        <v>0</v>
      </c>
      <c r="L57" s="83" t="s">
        <v>677</v>
      </c>
      <c r="M57" s="83" t="s">
        <v>205</v>
      </c>
      <c r="N57" s="94">
        <v>1</v>
      </c>
      <c r="O57" s="95">
        <v>8.6805555555555551E-4</v>
      </c>
    </row>
    <row r="58" spans="1:16" ht="54" customHeight="1" thickTop="1" thickBot="1" x14ac:dyDescent="0.25">
      <c r="A58" s="85"/>
      <c r="B58" s="93" t="s">
        <v>18</v>
      </c>
      <c r="C58" s="94" t="s">
        <v>678</v>
      </c>
      <c r="D58" s="94" t="s">
        <v>313</v>
      </c>
      <c r="E58" s="94" t="s">
        <v>13</v>
      </c>
      <c r="F58" s="94" t="s">
        <v>23</v>
      </c>
      <c r="G58" s="94" t="s">
        <v>314</v>
      </c>
      <c r="H58" s="99">
        <v>45315</v>
      </c>
      <c r="I58" s="83" t="s">
        <v>133</v>
      </c>
      <c r="J58" s="83" t="s">
        <v>134</v>
      </c>
      <c r="K58" s="83">
        <v>0</v>
      </c>
      <c r="L58" s="83" t="s">
        <v>328</v>
      </c>
      <c r="M58" s="83" t="s">
        <v>205</v>
      </c>
      <c r="N58" s="94">
        <v>1</v>
      </c>
      <c r="O58" s="95">
        <v>6.9444444444444447E-4</v>
      </c>
    </row>
    <row r="59" spans="1:16" ht="54" customHeight="1" thickTop="1" thickBot="1" x14ac:dyDescent="0.25">
      <c r="A59" s="85"/>
      <c r="B59" s="93" t="s">
        <v>18</v>
      </c>
      <c r="C59" s="94" t="s">
        <v>679</v>
      </c>
      <c r="D59" s="94" t="s">
        <v>321</v>
      </c>
      <c r="E59" s="94" t="s">
        <v>13</v>
      </c>
      <c r="F59" s="94" t="s">
        <v>23</v>
      </c>
      <c r="G59" s="94" t="s">
        <v>314</v>
      </c>
      <c r="H59" s="99">
        <v>45315</v>
      </c>
      <c r="I59" s="83" t="s">
        <v>133</v>
      </c>
      <c r="J59" s="83" t="s">
        <v>134</v>
      </c>
      <c r="K59" s="83">
        <v>0</v>
      </c>
      <c r="L59" s="83" t="s">
        <v>680</v>
      </c>
      <c r="M59" s="83" t="s">
        <v>205</v>
      </c>
      <c r="N59" s="94">
        <v>1</v>
      </c>
      <c r="O59" s="95">
        <v>6.9444444444444447E-4</v>
      </c>
    </row>
    <row r="60" spans="1:16" ht="54" customHeight="1" thickTop="1" thickBot="1" x14ac:dyDescent="0.25">
      <c r="A60" s="137"/>
      <c r="B60" s="114" t="s">
        <v>18</v>
      </c>
      <c r="C60" s="115" t="s">
        <v>681</v>
      </c>
      <c r="D60" s="115" t="s">
        <v>682</v>
      </c>
      <c r="E60" s="115" t="s">
        <v>23</v>
      </c>
      <c r="F60" s="115"/>
      <c r="G60" s="115"/>
      <c r="H60" s="128"/>
      <c r="I60" s="83" t="s">
        <v>90</v>
      </c>
      <c r="J60" s="83" t="s">
        <v>63</v>
      </c>
      <c r="K60" s="83">
        <v>0</v>
      </c>
      <c r="L60" s="83">
        <v>0</v>
      </c>
      <c r="M60" s="83" t="s">
        <v>846</v>
      </c>
      <c r="N60" s="115">
        <v>1</v>
      </c>
      <c r="O60" s="119">
        <v>6.9444444444444447E-4</v>
      </c>
    </row>
    <row r="61" spans="1:16" ht="54" customHeight="1" thickTop="1" thickBot="1" x14ac:dyDescent="0.25">
      <c r="A61" s="137"/>
      <c r="B61" s="114" t="s">
        <v>18</v>
      </c>
      <c r="C61" s="115" t="s">
        <v>683</v>
      </c>
      <c r="D61" s="115" t="s">
        <v>323</v>
      </c>
      <c r="E61" s="115" t="s">
        <v>324</v>
      </c>
      <c r="F61" s="115" t="s">
        <v>325</v>
      </c>
      <c r="G61" s="115" t="s">
        <v>326</v>
      </c>
      <c r="H61" s="128" t="s">
        <v>327</v>
      </c>
      <c r="I61" s="83" t="s">
        <v>62</v>
      </c>
      <c r="J61" s="83" t="s">
        <v>63</v>
      </c>
      <c r="K61" s="83">
        <v>0</v>
      </c>
      <c r="L61" s="83">
        <v>0</v>
      </c>
      <c r="M61" s="83" t="s">
        <v>124</v>
      </c>
      <c r="N61" s="115">
        <v>1</v>
      </c>
      <c r="O61" s="119">
        <v>1.7361111111111112E-4</v>
      </c>
    </row>
    <row r="62" spans="1:16" ht="54" customHeight="1" thickTop="1" thickBot="1" x14ac:dyDescent="0.25">
      <c r="A62" s="137"/>
      <c r="B62" s="114" t="s">
        <v>18</v>
      </c>
      <c r="C62" s="115" t="s">
        <v>684</v>
      </c>
      <c r="D62" s="115" t="s">
        <v>330</v>
      </c>
      <c r="E62" s="115" t="s">
        <v>23</v>
      </c>
      <c r="F62" s="115"/>
      <c r="G62" s="115"/>
      <c r="H62" s="128"/>
      <c r="I62" s="83" t="s">
        <v>62</v>
      </c>
      <c r="J62" s="83" t="s">
        <v>134</v>
      </c>
      <c r="K62" s="83">
        <v>0</v>
      </c>
      <c r="L62" s="83">
        <v>0</v>
      </c>
      <c r="M62" s="83" t="s">
        <v>238</v>
      </c>
      <c r="N62" s="115">
        <v>2</v>
      </c>
      <c r="O62" s="119">
        <v>5.2083333333333333E-4</v>
      </c>
    </row>
    <row r="63" spans="1:16" ht="54" customHeight="1" thickTop="1" thickBot="1" x14ac:dyDescent="0.25">
      <c r="A63" s="137"/>
      <c r="B63" s="114" t="s">
        <v>18</v>
      </c>
      <c r="C63" s="115" t="s">
        <v>685</v>
      </c>
      <c r="D63" s="115" t="s">
        <v>686</v>
      </c>
      <c r="E63" s="115" t="s">
        <v>324</v>
      </c>
      <c r="F63" s="115" t="s">
        <v>325</v>
      </c>
      <c r="G63" s="115" t="s">
        <v>334</v>
      </c>
      <c r="H63" s="128" t="s">
        <v>327</v>
      </c>
      <c r="I63" s="83" t="s">
        <v>62</v>
      </c>
      <c r="J63" s="83" t="s">
        <v>63</v>
      </c>
      <c r="K63" s="83">
        <v>0</v>
      </c>
      <c r="L63" s="83" t="s">
        <v>331</v>
      </c>
      <c r="M63" s="83" t="s">
        <v>124</v>
      </c>
      <c r="N63" s="115">
        <v>3</v>
      </c>
      <c r="O63" s="119">
        <v>5.2083333333333333E-4</v>
      </c>
    </row>
    <row r="64" spans="1:16" ht="54" customHeight="1" thickTop="1" thickBot="1" x14ac:dyDescent="0.25">
      <c r="A64" s="129"/>
      <c r="B64" s="122" t="s">
        <v>18</v>
      </c>
      <c r="C64" s="123" t="s">
        <v>687</v>
      </c>
      <c r="D64" s="123" t="s">
        <v>336</v>
      </c>
      <c r="E64" s="123" t="s">
        <v>324</v>
      </c>
      <c r="F64" s="123" t="s">
        <v>325</v>
      </c>
      <c r="G64" s="123" t="s">
        <v>334</v>
      </c>
      <c r="H64" s="139" t="s">
        <v>327</v>
      </c>
      <c r="I64" s="83" t="s">
        <v>62</v>
      </c>
      <c r="J64" s="83" t="s">
        <v>63</v>
      </c>
      <c r="K64" s="83">
        <v>0</v>
      </c>
      <c r="L64" s="83" t="s">
        <v>688</v>
      </c>
      <c r="M64" s="83" t="s">
        <v>124</v>
      </c>
      <c r="N64" s="123">
        <v>4</v>
      </c>
      <c r="O64" s="127">
        <v>5.2083333333333333E-4</v>
      </c>
      <c r="P64" s="147"/>
    </row>
    <row r="65" spans="1:16" s="148" customFormat="1" ht="54" customHeight="1" thickTop="1" thickBot="1" x14ac:dyDescent="0.25">
      <c r="A65" s="154"/>
      <c r="B65" s="157" t="s">
        <v>22</v>
      </c>
      <c r="C65" s="158" t="s">
        <v>689</v>
      </c>
      <c r="D65" s="158" t="s">
        <v>690</v>
      </c>
      <c r="E65" s="158" t="s">
        <v>23</v>
      </c>
      <c r="F65" s="158" t="s">
        <v>13</v>
      </c>
      <c r="G65" s="159" t="s">
        <v>557</v>
      </c>
      <c r="H65" s="160">
        <v>45931</v>
      </c>
      <c r="I65" s="83" t="s">
        <v>133</v>
      </c>
      <c r="J65" s="83" t="s">
        <v>134</v>
      </c>
      <c r="K65" s="83">
        <v>0</v>
      </c>
      <c r="L65" s="83" t="s">
        <v>345</v>
      </c>
      <c r="M65" s="83" t="s">
        <v>343</v>
      </c>
      <c r="N65" s="155">
        <v>4</v>
      </c>
      <c r="O65" s="156">
        <v>4.1666666666666666E-3</v>
      </c>
      <c r="P65" s="149"/>
    </row>
    <row r="66" spans="1:16" ht="54" customHeight="1" thickTop="1" thickBot="1" x14ac:dyDescent="0.25">
      <c r="A66" s="85"/>
      <c r="B66" s="93" t="s">
        <v>22</v>
      </c>
      <c r="C66" s="94" t="s">
        <v>691</v>
      </c>
      <c r="D66" s="94" t="s">
        <v>692</v>
      </c>
      <c r="E66" s="94" t="s">
        <v>13</v>
      </c>
      <c r="F66" s="94" t="s">
        <v>23</v>
      </c>
      <c r="G66" s="69" t="s">
        <v>557</v>
      </c>
      <c r="H66" s="99">
        <v>45926</v>
      </c>
      <c r="I66" s="83" t="s">
        <v>133</v>
      </c>
      <c r="J66" s="83" t="s">
        <v>134</v>
      </c>
      <c r="K66" s="83">
        <v>0</v>
      </c>
      <c r="L66" s="83" t="s">
        <v>693</v>
      </c>
      <c r="M66" s="83" t="s">
        <v>343</v>
      </c>
      <c r="N66" s="94">
        <v>4</v>
      </c>
      <c r="O66" s="95">
        <v>1.3888888888888889E-3</v>
      </c>
      <c r="P66" s="147"/>
    </row>
    <row r="67" spans="1:16" ht="54" customHeight="1" thickTop="1" thickBot="1" x14ac:dyDescent="0.25">
      <c r="A67" s="85"/>
      <c r="B67" s="93" t="s">
        <v>22</v>
      </c>
      <c r="C67" s="94" t="s">
        <v>694</v>
      </c>
      <c r="D67" s="94" t="s">
        <v>347</v>
      </c>
      <c r="E67" s="94" t="s">
        <v>13</v>
      </c>
      <c r="F67" s="94" t="s">
        <v>235</v>
      </c>
      <c r="G67" s="94" t="s">
        <v>549</v>
      </c>
      <c r="H67" s="99">
        <v>45928</v>
      </c>
      <c r="I67" s="83" t="s">
        <v>133</v>
      </c>
      <c r="J67" s="83" t="s">
        <v>134</v>
      </c>
      <c r="K67" s="83">
        <v>0</v>
      </c>
      <c r="L67" s="83" t="s">
        <v>353</v>
      </c>
      <c r="M67" s="83" t="s">
        <v>350</v>
      </c>
      <c r="N67" s="94">
        <v>2</v>
      </c>
      <c r="O67" s="95">
        <v>2.0833333333333333E-3</v>
      </c>
      <c r="P67" s="147"/>
    </row>
    <row r="68" spans="1:16" ht="54" customHeight="1" thickTop="1" thickBot="1" x14ac:dyDescent="0.25">
      <c r="A68" s="85"/>
      <c r="B68" s="93" t="s">
        <v>22</v>
      </c>
      <c r="C68" s="94" t="s">
        <v>695</v>
      </c>
      <c r="D68" s="94" t="s">
        <v>352</v>
      </c>
      <c r="E68" s="94" t="s">
        <v>13</v>
      </c>
      <c r="F68" s="94" t="s">
        <v>23</v>
      </c>
      <c r="G68" s="94" t="s">
        <v>549</v>
      </c>
      <c r="H68" s="99">
        <v>45928</v>
      </c>
      <c r="I68" s="83" t="s">
        <v>133</v>
      </c>
      <c r="J68" s="83" t="s">
        <v>134</v>
      </c>
      <c r="K68" s="83">
        <v>0</v>
      </c>
      <c r="L68" s="83" t="s">
        <v>356</v>
      </c>
      <c r="M68" s="83" t="s">
        <v>350</v>
      </c>
      <c r="N68" s="94">
        <v>2</v>
      </c>
      <c r="O68" s="95">
        <v>2.0833333333333333E-3</v>
      </c>
      <c r="P68" s="147"/>
    </row>
    <row r="69" spans="1:16" ht="54" customHeight="1" thickTop="1" thickBot="1" x14ac:dyDescent="0.25">
      <c r="A69" s="137"/>
      <c r="B69" s="114" t="s">
        <v>22</v>
      </c>
      <c r="C69" s="115" t="s">
        <v>696</v>
      </c>
      <c r="D69" s="115" t="s">
        <v>355</v>
      </c>
      <c r="E69" s="115" t="s">
        <v>324</v>
      </c>
      <c r="F69" s="115" t="s">
        <v>325</v>
      </c>
      <c r="G69" s="115" t="s">
        <v>326</v>
      </c>
      <c r="H69" s="128" t="s">
        <v>327</v>
      </c>
      <c r="I69" s="83" t="s">
        <v>62</v>
      </c>
      <c r="J69" s="83" t="s">
        <v>63</v>
      </c>
      <c r="K69" s="83">
        <v>0</v>
      </c>
      <c r="L69" s="83" t="s">
        <v>372</v>
      </c>
      <c r="M69" s="83" t="s">
        <v>124</v>
      </c>
      <c r="N69" s="115">
        <v>2</v>
      </c>
      <c r="O69" s="119">
        <v>6.9444444444444447E-4</v>
      </c>
      <c r="P69" s="147"/>
    </row>
    <row r="70" spans="1:16" ht="54" customHeight="1" thickTop="1" thickBot="1" x14ac:dyDescent="0.25">
      <c r="A70" s="137"/>
      <c r="B70" s="114" t="s">
        <v>22</v>
      </c>
      <c r="C70" s="115" t="s">
        <v>697</v>
      </c>
      <c r="D70" s="115" t="s">
        <v>371</v>
      </c>
      <c r="E70" s="115" t="s">
        <v>23</v>
      </c>
      <c r="F70" s="115"/>
      <c r="G70" s="115"/>
      <c r="H70" s="128"/>
      <c r="I70" s="83" t="s">
        <v>133</v>
      </c>
      <c r="J70" s="83" t="s">
        <v>134</v>
      </c>
      <c r="K70" s="83">
        <v>0</v>
      </c>
      <c r="L70" s="83" t="s">
        <v>378</v>
      </c>
      <c r="M70" s="83" t="s">
        <v>205</v>
      </c>
      <c r="N70" s="115">
        <v>2</v>
      </c>
      <c r="O70" s="119">
        <v>1.736111111111111E-3</v>
      </c>
      <c r="P70" s="147"/>
    </row>
    <row r="71" spans="1:16" ht="54" customHeight="1" thickTop="1" thickBot="1" x14ac:dyDescent="0.25">
      <c r="A71" s="137"/>
      <c r="B71" s="114" t="s">
        <v>22</v>
      </c>
      <c r="C71" s="115" t="s">
        <v>698</v>
      </c>
      <c r="D71" s="115" t="s">
        <v>699</v>
      </c>
      <c r="E71" s="115" t="s">
        <v>23</v>
      </c>
      <c r="F71" s="115"/>
      <c r="G71" s="115"/>
      <c r="H71" s="128"/>
      <c r="I71" s="83" t="s">
        <v>62</v>
      </c>
      <c r="J71" s="83" t="s">
        <v>134</v>
      </c>
      <c r="K71" s="83">
        <v>0</v>
      </c>
      <c r="L71" s="83" t="s">
        <v>375</v>
      </c>
      <c r="M71" s="83" t="s">
        <v>163</v>
      </c>
      <c r="N71" s="115">
        <v>1</v>
      </c>
      <c r="O71" s="119">
        <v>9.2592592592592585E-4</v>
      </c>
      <c r="P71" s="147"/>
    </row>
    <row r="72" spans="1:16" ht="54" customHeight="1" thickTop="1" thickBot="1" x14ac:dyDescent="0.25">
      <c r="A72" s="137"/>
      <c r="B72" s="114" t="s">
        <v>22</v>
      </c>
      <c r="C72" s="115" t="s">
        <v>700</v>
      </c>
      <c r="D72" s="115" t="s">
        <v>701</v>
      </c>
      <c r="E72" s="115" t="s">
        <v>23</v>
      </c>
      <c r="F72" s="115"/>
      <c r="G72" s="115"/>
      <c r="H72" s="128"/>
      <c r="I72" s="83" t="s">
        <v>62</v>
      </c>
      <c r="J72" s="83" t="s">
        <v>134</v>
      </c>
      <c r="K72" s="83">
        <v>0</v>
      </c>
      <c r="L72" s="83" t="s">
        <v>381</v>
      </c>
      <c r="M72" s="83" t="s">
        <v>163</v>
      </c>
      <c r="N72" s="115">
        <v>2</v>
      </c>
      <c r="O72" s="119">
        <v>9.2592592592592585E-4</v>
      </c>
      <c r="P72" s="147"/>
    </row>
    <row r="73" spans="1:16" ht="54" customHeight="1" thickTop="1" thickBot="1" x14ac:dyDescent="0.25">
      <c r="A73" s="137"/>
      <c r="B73" s="114" t="s">
        <v>22</v>
      </c>
      <c r="C73" s="115" t="s">
        <v>702</v>
      </c>
      <c r="D73" s="115" t="s">
        <v>380</v>
      </c>
      <c r="E73" s="115" t="s">
        <v>23</v>
      </c>
      <c r="F73" s="115"/>
      <c r="G73" s="115"/>
      <c r="H73" s="128"/>
      <c r="I73" s="83" t="s">
        <v>62</v>
      </c>
      <c r="J73" s="83" t="s">
        <v>63</v>
      </c>
      <c r="K73" s="83">
        <v>0</v>
      </c>
      <c r="L73" s="83" t="s">
        <v>384</v>
      </c>
      <c r="M73" s="83" t="s">
        <v>361</v>
      </c>
      <c r="N73" s="115">
        <v>1</v>
      </c>
      <c r="O73" s="119">
        <v>1.1574074074074073E-4</v>
      </c>
      <c r="P73" s="147"/>
    </row>
    <row r="74" spans="1:16" ht="54" customHeight="1" thickTop="1" thickBot="1" x14ac:dyDescent="0.25">
      <c r="A74" s="137"/>
      <c r="B74" s="114" t="s">
        <v>22</v>
      </c>
      <c r="C74" s="115" t="s">
        <v>703</v>
      </c>
      <c r="D74" s="115" t="s">
        <v>383</v>
      </c>
      <c r="E74" s="115" t="s">
        <v>23</v>
      </c>
      <c r="F74" s="115"/>
      <c r="G74" s="115"/>
      <c r="H74" s="128"/>
      <c r="I74" s="83" t="s">
        <v>90</v>
      </c>
      <c r="J74" s="83" t="s">
        <v>63</v>
      </c>
      <c r="K74" s="83">
        <v>0</v>
      </c>
      <c r="L74" s="83" t="s">
        <v>123</v>
      </c>
      <c r="M74" s="83" t="s">
        <v>846</v>
      </c>
      <c r="N74" s="115">
        <v>1</v>
      </c>
      <c r="O74" s="119">
        <v>6.9444444444444447E-4</v>
      </c>
      <c r="P74" s="147"/>
    </row>
    <row r="75" spans="1:16" ht="54" customHeight="1" thickTop="1" thickBot="1" x14ac:dyDescent="0.25">
      <c r="A75" s="137"/>
      <c r="B75" s="114" t="s">
        <v>22</v>
      </c>
      <c r="C75" s="115" t="s">
        <v>704</v>
      </c>
      <c r="D75" s="115" t="s">
        <v>858</v>
      </c>
      <c r="E75" s="115" t="s">
        <v>23</v>
      </c>
      <c r="F75" s="115"/>
      <c r="G75" s="115"/>
      <c r="H75" s="128"/>
      <c r="I75" s="83" t="s">
        <v>62</v>
      </c>
      <c r="J75" s="83" t="s">
        <v>63</v>
      </c>
      <c r="K75" s="83">
        <v>0</v>
      </c>
      <c r="L75" s="83" t="s">
        <v>116</v>
      </c>
      <c r="M75" s="83" t="s">
        <v>124</v>
      </c>
      <c r="N75" s="115">
        <v>2</v>
      </c>
      <c r="O75" s="119">
        <v>3.4722222222222224E-4</v>
      </c>
      <c r="P75" s="147"/>
    </row>
    <row r="76" spans="1:16" ht="54" customHeight="1" thickTop="1" thickBot="1" x14ac:dyDescent="0.25">
      <c r="A76" s="137"/>
      <c r="B76" s="114" t="s">
        <v>22</v>
      </c>
      <c r="C76" s="115" t="s">
        <v>705</v>
      </c>
      <c r="D76" s="115" t="s">
        <v>706</v>
      </c>
      <c r="E76" s="115" t="s">
        <v>23</v>
      </c>
      <c r="F76" s="115"/>
      <c r="G76" s="115"/>
      <c r="H76" s="128"/>
      <c r="I76" s="83" t="s">
        <v>62</v>
      </c>
      <c r="J76" s="83" t="s">
        <v>63</v>
      </c>
      <c r="K76" s="83">
        <v>0</v>
      </c>
      <c r="L76" s="83" t="s">
        <v>119</v>
      </c>
      <c r="M76" s="83" t="s">
        <v>124</v>
      </c>
      <c r="N76" s="115">
        <v>2</v>
      </c>
      <c r="O76" s="119">
        <v>6.9444444444444447E-4</v>
      </c>
      <c r="P76" s="147"/>
    </row>
    <row r="77" spans="1:16" ht="54" customHeight="1" thickTop="1" thickBot="1" x14ac:dyDescent="0.25">
      <c r="A77" s="137"/>
      <c r="B77" s="114" t="s">
        <v>22</v>
      </c>
      <c r="C77" s="115" t="s">
        <v>707</v>
      </c>
      <c r="D77" s="115" t="s">
        <v>421</v>
      </c>
      <c r="E77" s="115" t="s">
        <v>23</v>
      </c>
      <c r="F77" s="115"/>
      <c r="G77" s="115"/>
      <c r="H77" s="128"/>
      <c r="I77" s="83" t="s">
        <v>90</v>
      </c>
      <c r="J77" s="83" t="s">
        <v>134</v>
      </c>
      <c r="K77" s="83">
        <v>0</v>
      </c>
      <c r="L77" s="83" t="s">
        <v>413</v>
      </c>
      <c r="M77" s="83" t="s">
        <v>108</v>
      </c>
      <c r="N77" s="115">
        <v>2</v>
      </c>
      <c r="O77" s="119">
        <v>1.3888888888888889E-3</v>
      </c>
      <c r="P77" s="147"/>
    </row>
    <row r="78" spans="1:16" ht="54" customHeight="1" thickTop="1" thickBot="1" x14ac:dyDescent="0.25">
      <c r="A78" s="137"/>
      <c r="B78" s="114" t="s">
        <v>22</v>
      </c>
      <c r="C78" s="115" t="s">
        <v>708</v>
      </c>
      <c r="D78" s="115" t="s">
        <v>709</v>
      </c>
      <c r="E78" s="115" t="s">
        <v>324</v>
      </c>
      <c r="F78" s="115" t="s">
        <v>325</v>
      </c>
      <c r="G78" s="115" t="s">
        <v>710</v>
      </c>
      <c r="H78" s="128" t="s">
        <v>327</v>
      </c>
      <c r="I78" s="83" t="s">
        <v>62</v>
      </c>
      <c r="J78" s="83" t="s">
        <v>63</v>
      </c>
      <c r="K78" s="83">
        <v>0</v>
      </c>
      <c r="L78" s="83" t="s">
        <v>711</v>
      </c>
      <c r="M78" s="83" t="s">
        <v>124</v>
      </c>
      <c r="N78" s="115">
        <v>1</v>
      </c>
      <c r="O78" s="119">
        <v>6.9444444444444447E-4</v>
      </c>
      <c r="P78" s="147"/>
    </row>
    <row r="79" spans="1:16" ht="54" customHeight="1" thickTop="1" thickBot="1" x14ac:dyDescent="0.25">
      <c r="A79" s="137"/>
      <c r="B79" s="114" t="s">
        <v>22</v>
      </c>
      <c r="C79" s="115" t="s">
        <v>712</v>
      </c>
      <c r="D79" s="115" t="s">
        <v>412</v>
      </c>
      <c r="E79" s="115" t="s">
        <v>23</v>
      </c>
      <c r="F79" s="115"/>
      <c r="G79" s="115"/>
      <c r="H79" s="128"/>
      <c r="I79" s="83" t="s">
        <v>90</v>
      </c>
      <c r="J79" s="83" t="s">
        <v>63</v>
      </c>
      <c r="K79" s="83">
        <v>0</v>
      </c>
      <c r="L79" s="83" t="s">
        <v>127</v>
      </c>
      <c r="M79" s="83" t="s">
        <v>108</v>
      </c>
      <c r="N79" s="115">
        <v>4</v>
      </c>
      <c r="O79" s="119">
        <v>2.0833333333333333E-3</v>
      </c>
      <c r="P79" s="147"/>
    </row>
    <row r="80" spans="1:16" ht="54" customHeight="1" thickTop="1" thickBot="1" x14ac:dyDescent="0.25">
      <c r="A80" s="129"/>
      <c r="B80" s="122" t="s">
        <v>22</v>
      </c>
      <c r="C80" s="123" t="s">
        <v>713</v>
      </c>
      <c r="D80" s="123" t="s">
        <v>424</v>
      </c>
      <c r="E80" s="123" t="s">
        <v>23</v>
      </c>
      <c r="F80" s="123"/>
      <c r="G80" s="123"/>
      <c r="H80" s="139"/>
      <c r="I80" s="83" t="s">
        <v>90</v>
      </c>
      <c r="J80" s="83" t="s">
        <v>63</v>
      </c>
      <c r="K80" s="83">
        <v>0</v>
      </c>
      <c r="L80" s="83" t="s">
        <v>425</v>
      </c>
      <c r="M80" s="83" t="s">
        <v>108</v>
      </c>
      <c r="N80" s="123">
        <v>2</v>
      </c>
      <c r="O80" s="127">
        <v>6.9444444444444447E-4</v>
      </c>
      <c r="P80" s="147"/>
    </row>
    <row r="81" spans="1:16" ht="54" customHeight="1" thickTop="1" thickBot="1" x14ac:dyDescent="0.25">
      <c r="A81" s="150"/>
      <c r="B81" s="109" t="s">
        <v>26</v>
      </c>
      <c r="C81" s="110" t="s">
        <v>714</v>
      </c>
      <c r="D81" s="110" t="s">
        <v>442</v>
      </c>
      <c r="E81" s="110" t="s">
        <v>23</v>
      </c>
      <c r="F81" s="110"/>
      <c r="G81" s="110"/>
      <c r="H81" s="138"/>
      <c r="I81" s="83" t="s">
        <v>133</v>
      </c>
      <c r="J81" s="83" t="s">
        <v>63</v>
      </c>
      <c r="K81" s="83">
        <v>0</v>
      </c>
      <c r="L81" s="83" t="s">
        <v>437</v>
      </c>
      <c r="M81" s="83" t="s">
        <v>108</v>
      </c>
      <c r="N81" s="110">
        <v>1</v>
      </c>
      <c r="O81" s="113">
        <v>3.4722222222222224E-4</v>
      </c>
      <c r="P81" s="147"/>
    </row>
    <row r="82" spans="1:16" ht="54" customHeight="1" thickTop="1" thickBot="1" x14ac:dyDescent="0.25">
      <c r="A82" s="137"/>
      <c r="B82" s="114" t="s">
        <v>26</v>
      </c>
      <c r="C82" s="115" t="s">
        <v>715</v>
      </c>
      <c r="D82" s="115" t="s">
        <v>436</v>
      </c>
      <c r="E82" s="115" t="s">
        <v>23</v>
      </c>
      <c r="F82" s="115"/>
      <c r="G82" s="115"/>
      <c r="H82" s="128"/>
      <c r="I82" s="83" t="s">
        <v>133</v>
      </c>
      <c r="J82" s="83" t="s">
        <v>63</v>
      </c>
      <c r="K82" s="83">
        <v>0</v>
      </c>
      <c r="L82" s="83" t="s">
        <v>434</v>
      </c>
      <c r="M82" s="83" t="s">
        <v>108</v>
      </c>
      <c r="N82" s="115">
        <v>1</v>
      </c>
      <c r="O82" s="119">
        <v>6.9444444444444447E-4</v>
      </c>
    </row>
    <row r="83" spans="1:16" ht="54" customHeight="1" thickTop="1" thickBot="1" x14ac:dyDescent="0.25">
      <c r="A83" s="137"/>
      <c r="B83" s="114" t="s">
        <v>26</v>
      </c>
      <c r="C83" s="115" t="s">
        <v>716</v>
      </c>
      <c r="D83" s="115" t="s">
        <v>433</v>
      </c>
      <c r="E83" s="115" t="s">
        <v>23</v>
      </c>
      <c r="F83" s="115"/>
      <c r="G83" s="115"/>
      <c r="H83" s="128"/>
      <c r="I83" s="83" t="s">
        <v>133</v>
      </c>
      <c r="J83" s="83" t="s">
        <v>63</v>
      </c>
      <c r="K83" s="83">
        <v>0</v>
      </c>
      <c r="L83" s="83" t="s">
        <v>446</v>
      </c>
      <c r="M83" s="83" t="s">
        <v>238</v>
      </c>
      <c r="N83" s="115">
        <v>1</v>
      </c>
      <c r="O83" s="119">
        <v>6.9444444444444447E-4</v>
      </c>
    </row>
    <row r="84" spans="1:16" ht="54" customHeight="1" thickTop="1" thickBot="1" x14ac:dyDescent="0.25">
      <c r="A84" s="137"/>
      <c r="B84" s="114" t="s">
        <v>26</v>
      </c>
      <c r="C84" s="115" t="s">
        <v>717</v>
      </c>
      <c r="D84" s="115" t="s">
        <v>718</v>
      </c>
      <c r="E84" s="115" t="s">
        <v>23</v>
      </c>
      <c r="F84" s="115"/>
      <c r="G84" s="115"/>
      <c r="H84" s="128"/>
      <c r="I84" s="83" t="s">
        <v>133</v>
      </c>
      <c r="J84" s="83" t="s">
        <v>63</v>
      </c>
      <c r="K84" s="83">
        <v>0</v>
      </c>
      <c r="L84" s="83" t="s">
        <v>449</v>
      </c>
      <c r="M84" s="83" t="s">
        <v>238</v>
      </c>
      <c r="N84" s="115">
        <v>1</v>
      </c>
      <c r="O84" s="119">
        <v>0</v>
      </c>
    </row>
    <row r="85" spans="1:16" ht="54" customHeight="1" thickTop="1" thickBot="1" x14ac:dyDescent="0.25">
      <c r="A85" s="137"/>
      <c r="B85" s="114" t="s">
        <v>26</v>
      </c>
      <c r="C85" s="115" t="s">
        <v>719</v>
      </c>
      <c r="D85" s="115" t="s">
        <v>448</v>
      </c>
      <c r="E85" s="115" t="s">
        <v>23</v>
      </c>
      <c r="F85" s="115"/>
      <c r="G85" s="115"/>
      <c r="H85" s="128"/>
      <c r="I85" s="83" t="s">
        <v>133</v>
      </c>
      <c r="J85" s="83" t="s">
        <v>63</v>
      </c>
      <c r="K85" s="83">
        <v>0</v>
      </c>
      <c r="L85" s="83" t="s">
        <v>393</v>
      </c>
      <c r="M85" s="83" t="s">
        <v>238</v>
      </c>
      <c r="N85" s="115">
        <v>2</v>
      </c>
      <c r="O85" s="119">
        <v>1.0416666666666667E-3</v>
      </c>
    </row>
    <row r="86" spans="1:16" ht="54" customHeight="1" thickTop="1" thickBot="1" x14ac:dyDescent="0.25">
      <c r="A86" s="137"/>
      <c r="B86" s="114" t="s">
        <v>26</v>
      </c>
      <c r="C86" s="115" t="s">
        <v>720</v>
      </c>
      <c r="D86" s="115" t="s">
        <v>721</v>
      </c>
      <c r="E86" s="115" t="s">
        <v>23</v>
      </c>
      <c r="F86" s="115"/>
      <c r="G86" s="115"/>
      <c r="H86" s="128"/>
      <c r="I86" s="83" t="s">
        <v>62</v>
      </c>
      <c r="J86" s="83" t="s">
        <v>63</v>
      </c>
      <c r="K86" s="83">
        <v>0</v>
      </c>
      <c r="L86" s="83" t="s">
        <v>443</v>
      </c>
      <c r="M86" s="83" t="s">
        <v>851</v>
      </c>
      <c r="N86" s="115">
        <v>2</v>
      </c>
      <c r="O86" s="119">
        <v>5.2083333333333333E-4</v>
      </c>
    </row>
    <row r="87" spans="1:16" ht="54" customHeight="1" thickTop="1" thickBot="1" x14ac:dyDescent="0.25">
      <c r="A87" s="129"/>
      <c r="B87" s="151" t="s">
        <v>26</v>
      </c>
      <c r="C87" s="124" t="s">
        <v>722</v>
      </c>
      <c r="D87" s="124" t="s">
        <v>457</v>
      </c>
      <c r="E87" s="123" t="s">
        <v>23</v>
      </c>
      <c r="F87" s="123"/>
      <c r="G87" s="123"/>
      <c r="H87" s="139"/>
      <c r="I87" s="83" t="s">
        <v>90</v>
      </c>
      <c r="J87" s="83" t="s">
        <v>63</v>
      </c>
      <c r="K87" s="83">
        <v>0</v>
      </c>
      <c r="L87" s="83" t="s">
        <v>458</v>
      </c>
      <c r="M87" s="83" t="s">
        <v>850</v>
      </c>
      <c r="N87" s="123">
        <v>2</v>
      </c>
      <c r="O87" s="127">
        <v>6.9444444444444447E-4</v>
      </c>
    </row>
    <row r="88" spans="1:16" ht="66" customHeight="1" thickTop="1" thickBot="1" x14ac:dyDescent="0.25">
      <c r="A88" s="130"/>
      <c r="B88" s="131" t="s">
        <v>723</v>
      </c>
      <c r="C88" s="132" t="s">
        <v>724</v>
      </c>
      <c r="D88" s="132" t="s">
        <v>468</v>
      </c>
      <c r="E88" s="135" t="s">
        <v>23</v>
      </c>
      <c r="F88" s="135"/>
      <c r="G88" s="135"/>
      <c r="H88" s="152"/>
      <c r="I88" s="83" t="s">
        <v>90</v>
      </c>
      <c r="J88" s="83" t="s">
        <v>134</v>
      </c>
      <c r="K88" s="83">
        <v>0</v>
      </c>
      <c r="L88" s="83" t="s">
        <v>725</v>
      </c>
      <c r="M88" s="83" t="s">
        <v>852</v>
      </c>
      <c r="N88" s="135">
        <v>2</v>
      </c>
      <c r="O88" s="153">
        <v>2.0013888888888891</v>
      </c>
    </row>
    <row r="128" ht="66" customHeight="1" x14ac:dyDescent="0.2"/>
  </sheetData>
  <autoFilter ref="A2:M88" xr:uid="{142B8B72-3655-4553-88C5-F7018C9CD4CE}"/>
  <phoneticPr fontId="7" type="noConversion"/>
  <conditionalFormatting sqref="C3:H12 C15:D35 N64:O88 E15:H27 H28 E29:H48 E52:H64 E67:H88 H65:H66 E65:F66 C37:D55 C36 C57:D74 C56 C76:D86 C75">
    <cfRule type="expression" dxfId="86" priority="35">
      <formula>AND(OR($F3="No",$F3=""), $E3= "Yes",$G3&lt;&gt;"",$H3&lt;&gt;"")</formula>
    </cfRule>
  </conditionalFormatting>
  <conditionalFormatting sqref="I3:M88">
    <cfRule type="expression" dxfId="85" priority="21">
      <formula>AND(OR($E4="No",$E4=""), $D3= "Yes",$F3&lt;&gt;"",$G3&lt;&gt;"")</formula>
    </cfRule>
  </conditionalFormatting>
  <conditionalFormatting sqref="N3:O12 N29:O62 N15:O27">
    <cfRule type="expression" dxfId="84" priority="12">
      <formula>AND(OR($F3="No",$F3=""), $E3= "Yes",$G3&lt;&gt;"",$H3&lt;&gt;"")</formula>
    </cfRule>
  </conditionalFormatting>
  <conditionalFormatting sqref="N63:O63">
    <cfRule type="expression" dxfId="83" priority="11">
      <formula>AND(OR($E63="No",$E63=""), $D63= "Yes",$F63&lt;&gt;"",$G63&lt;&gt;"")</formula>
    </cfRule>
  </conditionalFormatting>
  <conditionalFormatting sqref="N28:O28">
    <cfRule type="expression" dxfId="82" priority="10">
      <formula>AND(OR($F28="No",$F28=""), $E28= "Yes",$G28&lt;&gt;"",$H28&lt;&gt;"")</formula>
    </cfRule>
  </conditionalFormatting>
  <conditionalFormatting sqref="C13:H14">
    <cfRule type="expression" dxfId="81" priority="8">
      <formula>AND(OR($F13="No",$F13=""), $E13= "Yes",$G13&lt;&gt;"",$H13&lt;&gt;"")</formula>
    </cfRule>
  </conditionalFormatting>
  <conditionalFormatting sqref="N13:O14">
    <cfRule type="expression" dxfId="80" priority="7">
      <formula>AND(OR($E13="No",$E13=""), $D13= "Yes",$F13&lt;&gt;"",$G13&lt;&gt;"")</formula>
    </cfRule>
  </conditionalFormatting>
  <conditionalFormatting sqref="G49:H51">
    <cfRule type="expression" dxfId="79" priority="5">
      <formula>AND(OR($F49="No",$F49=""), $E49= "Yes",$G49&lt;&gt;"",$H49&lt;&gt;"")</formula>
    </cfRule>
    <cfRule type="expression" dxfId="78" priority="6">
      <formula>AND(OR($E49="No",$E49=""), $F49= "Yes",$G49&lt;&gt;"",$H49&lt;&gt;"")</formula>
    </cfRule>
  </conditionalFormatting>
  <conditionalFormatting sqref="E49:F51">
    <cfRule type="expression" dxfId="77" priority="4">
      <formula>AND(OR($F49="No",$F49=""), $E49= "Yes",$G49&lt;&gt;"",$H49&lt;&gt;"")</formula>
    </cfRule>
  </conditionalFormatting>
  <conditionalFormatting sqref="D36">
    <cfRule type="expression" dxfId="76" priority="3">
      <formula>AND(OR($F36="No",$F36=""), $E36= "Yes",$G36&lt;&gt;"",$H36&lt;&gt;"")</formula>
    </cfRule>
  </conditionalFormatting>
  <conditionalFormatting sqref="D56">
    <cfRule type="expression" dxfId="75" priority="2">
      <formula>AND(OR($F56="No",$F56=""), $E56= "Yes",$G56&lt;&gt;"",$H56&lt;&gt;"")</formula>
    </cfRule>
  </conditionalFormatting>
  <conditionalFormatting sqref="D75">
    <cfRule type="expression" dxfId="74"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K1:K2 K89:K1048576" xr:uid="{19AFA7F1-2931-4B63-8375-F75E42C1ACAA}">
      <formula1>"Yes, No"</formula1>
    </dataValidation>
  </dataValidations>
  <pageMargins left="0.2" right="0.2" top="0.2" bottom="0.2" header="0.3" footer="0.3"/>
  <pageSetup paperSize="8" scale="78"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28"/>
  <sheetViews>
    <sheetView zoomScale="55" zoomScaleNormal="55" workbookViewId="0">
      <pane ySplit="2" topLeftCell="A63" activePane="bottomLeft" state="frozen"/>
      <selection pane="bottomLeft" activeCell="D75" sqref="D75"/>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5" width="8.88671875" style="2" customWidth="1"/>
    <col min="16" max="16384" width="8.88671875" style="2"/>
  </cols>
  <sheetData>
    <row r="1" spans="1:16" ht="21" customHeight="1" thickBot="1" x14ac:dyDescent="0.25">
      <c r="A1" s="21"/>
      <c r="B1" s="75" t="s">
        <v>49</v>
      </c>
      <c r="C1" s="57" t="s">
        <v>726</v>
      </c>
      <c r="D1" s="44"/>
      <c r="E1" s="19"/>
      <c r="F1" s="19"/>
      <c r="G1" s="19"/>
      <c r="H1" s="19"/>
      <c r="I1" s="19"/>
      <c r="J1" s="19"/>
      <c r="K1" s="5"/>
      <c r="L1" s="5"/>
    </row>
    <row r="2" spans="1:16" s="6" customFormat="1" ht="87.95" customHeight="1" thickBot="1" x14ac:dyDescent="0.25">
      <c r="A2" s="51" t="s">
        <v>43</v>
      </c>
      <c r="B2" s="61" t="s">
        <v>44</v>
      </c>
      <c r="C2" s="51" t="s">
        <v>45</v>
      </c>
      <c r="D2" s="52" t="s">
        <v>46</v>
      </c>
      <c r="E2" s="53" t="s">
        <v>25</v>
      </c>
      <c r="F2" s="53" t="s">
        <v>21</v>
      </c>
      <c r="G2" s="54" t="s">
        <v>47</v>
      </c>
      <c r="H2" s="54" t="s">
        <v>48</v>
      </c>
      <c r="I2" s="55" t="s">
        <v>51</v>
      </c>
      <c r="J2" s="55" t="s">
        <v>52</v>
      </c>
      <c r="K2" s="55" t="s">
        <v>53</v>
      </c>
      <c r="L2" s="55" t="s">
        <v>54</v>
      </c>
      <c r="M2" s="55" t="s">
        <v>55</v>
      </c>
      <c r="N2" s="67" t="s">
        <v>56</v>
      </c>
      <c r="O2" s="67" t="s">
        <v>57</v>
      </c>
    </row>
    <row r="3" spans="1:16" ht="54" customHeight="1" thickTop="1" thickBot="1" x14ac:dyDescent="0.25">
      <c r="A3" s="85"/>
      <c r="B3" s="90" t="s">
        <v>12</v>
      </c>
      <c r="C3" s="91" t="s">
        <v>595</v>
      </c>
      <c r="D3" s="91" t="s">
        <v>596</v>
      </c>
      <c r="E3" s="91" t="s">
        <v>13</v>
      </c>
      <c r="F3" s="91" t="s">
        <v>23</v>
      </c>
      <c r="G3" s="91" t="s">
        <v>60</v>
      </c>
      <c r="H3" s="100" t="s">
        <v>61</v>
      </c>
      <c r="I3" s="83" t="s">
        <v>62</v>
      </c>
      <c r="J3" s="83" t="s">
        <v>63</v>
      </c>
      <c r="K3" s="83">
        <v>0</v>
      </c>
      <c r="L3" s="83" t="s">
        <v>473</v>
      </c>
      <c r="M3" s="83" t="s">
        <v>65</v>
      </c>
      <c r="N3" s="91">
        <v>2</v>
      </c>
      <c r="O3" s="92">
        <v>5.2083333333333333E-4</v>
      </c>
    </row>
    <row r="4" spans="1:16" ht="54" customHeight="1" thickTop="1" thickBot="1" x14ac:dyDescent="0.25">
      <c r="A4" s="85"/>
      <c r="B4" s="93" t="s">
        <v>12</v>
      </c>
      <c r="C4" s="94" t="s">
        <v>597</v>
      </c>
      <c r="D4" s="94" t="s">
        <v>598</v>
      </c>
      <c r="E4" s="94" t="s">
        <v>13</v>
      </c>
      <c r="F4" s="94" t="s">
        <v>23</v>
      </c>
      <c r="G4" s="94" t="s">
        <v>60</v>
      </c>
      <c r="H4" s="99" t="s">
        <v>61</v>
      </c>
      <c r="I4" s="83" t="s">
        <v>62</v>
      </c>
      <c r="J4" s="83" t="s">
        <v>63</v>
      </c>
      <c r="K4" s="83">
        <v>0</v>
      </c>
      <c r="L4" s="83" t="s">
        <v>64</v>
      </c>
      <c r="M4" s="83" t="s">
        <v>65</v>
      </c>
      <c r="N4" s="94">
        <v>1</v>
      </c>
      <c r="O4" s="95">
        <v>2.4305555555555556E-3</v>
      </c>
    </row>
    <row r="5" spans="1:16" ht="54" customHeight="1" thickTop="1" thickBot="1" x14ac:dyDescent="0.25">
      <c r="A5" s="85"/>
      <c r="B5" s="93" t="s">
        <v>12</v>
      </c>
      <c r="C5" s="94" t="s">
        <v>599</v>
      </c>
      <c r="D5" s="94" t="s">
        <v>475</v>
      </c>
      <c r="E5" s="94" t="s">
        <v>13</v>
      </c>
      <c r="F5" s="94" t="s">
        <v>23</v>
      </c>
      <c r="G5" s="94" t="s">
        <v>60</v>
      </c>
      <c r="H5" s="99" t="s">
        <v>61</v>
      </c>
      <c r="I5" s="83" t="s">
        <v>62</v>
      </c>
      <c r="J5" s="83" t="s">
        <v>63</v>
      </c>
      <c r="K5" s="83">
        <v>0</v>
      </c>
      <c r="L5" s="83" t="s">
        <v>68</v>
      </c>
      <c r="M5" s="83" t="s">
        <v>69</v>
      </c>
      <c r="N5" s="94">
        <v>1</v>
      </c>
      <c r="O5" s="95">
        <v>1.3888888888888889E-3</v>
      </c>
    </row>
    <row r="6" spans="1:16" ht="54" customHeight="1" thickTop="1" thickBot="1" x14ac:dyDescent="0.25">
      <c r="A6" s="85"/>
      <c r="B6" s="93" t="s">
        <v>12</v>
      </c>
      <c r="C6" s="94" t="s">
        <v>600</v>
      </c>
      <c r="D6" s="94" t="s">
        <v>104</v>
      </c>
      <c r="E6" s="94" t="s">
        <v>13</v>
      </c>
      <c r="F6" s="94" t="s">
        <v>23</v>
      </c>
      <c r="G6" s="94" t="s">
        <v>60</v>
      </c>
      <c r="H6" s="99" t="s">
        <v>61</v>
      </c>
      <c r="I6" s="83" t="s">
        <v>62</v>
      </c>
      <c r="J6" s="83" t="s">
        <v>63</v>
      </c>
      <c r="K6" s="83">
        <v>0</v>
      </c>
      <c r="L6" s="83" t="s">
        <v>75</v>
      </c>
      <c r="M6" s="83" t="s">
        <v>76</v>
      </c>
      <c r="N6" s="94">
        <v>1</v>
      </c>
      <c r="O6" s="95">
        <v>3.4722222222222224E-4</v>
      </c>
    </row>
    <row r="7" spans="1:16" ht="54" customHeight="1" thickTop="1" thickBot="1" x14ac:dyDescent="0.25">
      <c r="A7" s="85"/>
      <c r="B7" s="93" t="s">
        <v>12</v>
      </c>
      <c r="C7" s="94" t="s">
        <v>601</v>
      </c>
      <c r="D7" s="94" t="s">
        <v>602</v>
      </c>
      <c r="E7" s="94" t="s">
        <v>13</v>
      </c>
      <c r="F7" s="94" t="s">
        <v>23</v>
      </c>
      <c r="G7" s="94" t="s">
        <v>60</v>
      </c>
      <c r="H7" s="99" t="s">
        <v>61</v>
      </c>
      <c r="I7" s="83" t="s">
        <v>62</v>
      </c>
      <c r="J7" s="83" t="s">
        <v>63</v>
      </c>
      <c r="K7" s="83">
        <v>0</v>
      </c>
      <c r="L7" s="83" t="s">
        <v>95</v>
      </c>
      <c r="M7" s="83" t="s">
        <v>65</v>
      </c>
      <c r="N7" s="94">
        <v>1</v>
      </c>
      <c r="O7" s="95">
        <v>3.1249999999999997E-3</v>
      </c>
    </row>
    <row r="8" spans="1:16" ht="54" customHeight="1" thickTop="1" thickBot="1" x14ac:dyDescent="0.25">
      <c r="A8" s="85"/>
      <c r="B8" s="93" t="s">
        <v>12</v>
      </c>
      <c r="C8" s="94" t="s">
        <v>603</v>
      </c>
      <c r="D8" s="94" t="s">
        <v>604</v>
      </c>
      <c r="E8" s="94" t="s">
        <v>13</v>
      </c>
      <c r="F8" s="94" t="s">
        <v>23</v>
      </c>
      <c r="G8" s="94" t="s">
        <v>60</v>
      </c>
      <c r="H8" s="99" t="s">
        <v>61</v>
      </c>
      <c r="I8" s="83" t="s">
        <v>62</v>
      </c>
      <c r="J8" s="83" t="s">
        <v>63</v>
      </c>
      <c r="K8" s="83">
        <v>0</v>
      </c>
      <c r="L8" s="83" t="s">
        <v>100</v>
      </c>
      <c r="M8" s="83" t="s">
        <v>65</v>
      </c>
      <c r="N8" s="94">
        <v>1</v>
      </c>
      <c r="O8" s="95">
        <v>8.1018518518518516E-4</v>
      </c>
    </row>
    <row r="9" spans="1:16" ht="54" customHeight="1" thickTop="1" thickBot="1" x14ac:dyDescent="0.25">
      <c r="A9" s="85"/>
      <c r="B9" s="93" t="s">
        <v>12</v>
      </c>
      <c r="C9" s="94" t="s">
        <v>605</v>
      </c>
      <c r="D9" s="94" t="s">
        <v>106</v>
      </c>
      <c r="E9" s="94" t="s">
        <v>13</v>
      </c>
      <c r="F9" s="94" t="s">
        <v>23</v>
      </c>
      <c r="G9" s="94" t="s">
        <v>60</v>
      </c>
      <c r="H9" s="99" t="s">
        <v>61</v>
      </c>
      <c r="I9" s="83" t="s">
        <v>90</v>
      </c>
      <c r="J9" s="83" t="s">
        <v>63</v>
      </c>
      <c r="K9" s="83">
        <v>0</v>
      </c>
      <c r="L9" s="83" t="s">
        <v>107</v>
      </c>
      <c r="M9" s="83" t="s">
        <v>108</v>
      </c>
      <c r="N9" s="94">
        <v>1</v>
      </c>
      <c r="O9" s="95">
        <v>6.9444444444444447E-4</v>
      </c>
    </row>
    <row r="10" spans="1:16" ht="54" customHeight="1" thickTop="1" thickBot="1" x14ac:dyDescent="0.25">
      <c r="A10" s="85"/>
      <c r="B10" s="93" t="s">
        <v>12</v>
      </c>
      <c r="C10" s="94" t="s">
        <v>606</v>
      </c>
      <c r="D10" s="94" t="s">
        <v>110</v>
      </c>
      <c r="E10" s="94" t="s">
        <v>13</v>
      </c>
      <c r="F10" s="94" t="s">
        <v>23</v>
      </c>
      <c r="G10" s="94" t="s">
        <v>60</v>
      </c>
      <c r="H10" s="99" t="s">
        <v>61</v>
      </c>
      <c r="I10" s="83" t="s">
        <v>90</v>
      </c>
      <c r="J10" s="83" t="s">
        <v>63</v>
      </c>
      <c r="K10" s="83">
        <v>0</v>
      </c>
      <c r="L10" s="83" t="s">
        <v>111</v>
      </c>
      <c r="M10" s="83" t="s">
        <v>108</v>
      </c>
      <c r="N10" s="94">
        <v>1</v>
      </c>
      <c r="O10" s="95">
        <v>6.9444444444444447E-4</v>
      </c>
    </row>
    <row r="11" spans="1:16" ht="54" customHeight="1" thickTop="1" thickBot="1" x14ac:dyDescent="0.3">
      <c r="A11" s="85"/>
      <c r="B11" s="93" t="s">
        <v>12</v>
      </c>
      <c r="C11" s="94" t="s">
        <v>607</v>
      </c>
      <c r="D11" s="94" t="s">
        <v>118</v>
      </c>
      <c r="E11" s="94" t="s">
        <v>13</v>
      </c>
      <c r="F11" s="94" t="s">
        <v>23</v>
      </c>
      <c r="G11" s="94" t="s">
        <v>60</v>
      </c>
      <c r="H11" s="99" t="s">
        <v>61</v>
      </c>
      <c r="I11" s="83" t="s">
        <v>90</v>
      </c>
      <c r="J11" s="83" t="s">
        <v>63</v>
      </c>
      <c r="K11" s="83">
        <v>0</v>
      </c>
      <c r="L11" s="83" t="s">
        <v>119</v>
      </c>
      <c r="M11" s="83" t="s">
        <v>108</v>
      </c>
      <c r="N11" s="94">
        <v>2</v>
      </c>
      <c r="O11" s="95">
        <v>45.042187499999997</v>
      </c>
      <c r="P11" s="161"/>
    </row>
    <row r="12" spans="1:16" ht="54" customHeight="1" thickTop="1" thickBot="1" x14ac:dyDescent="0.3">
      <c r="A12" s="86"/>
      <c r="B12" s="93" t="s">
        <v>12</v>
      </c>
      <c r="C12" s="94" t="s">
        <v>608</v>
      </c>
      <c r="D12" s="94" t="s">
        <v>115</v>
      </c>
      <c r="E12" s="94" t="s">
        <v>13</v>
      </c>
      <c r="F12" s="94" t="s">
        <v>23</v>
      </c>
      <c r="G12" s="94" t="s">
        <v>60</v>
      </c>
      <c r="H12" s="99" t="s">
        <v>61</v>
      </c>
      <c r="I12" s="83" t="s">
        <v>90</v>
      </c>
      <c r="J12" s="83" t="s">
        <v>63</v>
      </c>
      <c r="K12" s="83">
        <v>0</v>
      </c>
      <c r="L12" s="83" t="s">
        <v>116</v>
      </c>
      <c r="M12" s="83" t="s">
        <v>108</v>
      </c>
      <c r="N12" s="94">
        <v>2</v>
      </c>
      <c r="O12" s="95">
        <v>45.000520833333333</v>
      </c>
      <c r="P12" s="161"/>
    </row>
    <row r="13" spans="1:16" ht="54" customHeight="1" thickTop="1" thickBot="1" x14ac:dyDescent="0.25">
      <c r="A13" s="73"/>
      <c r="B13" s="93" t="s">
        <v>12</v>
      </c>
      <c r="C13" s="94" t="s">
        <v>609</v>
      </c>
      <c r="D13" s="94" t="s">
        <v>121</v>
      </c>
      <c r="E13" s="94" t="s">
        <v>13</v>
      </c>
      <c r="F13" s="94" t="s">
        <v>23</v>
      </c>
      <c r="G13" s="94" t="s">
        <v>60</v>
      </c>
      <c r="H13" s="99" t="s">
        <v>61</v>
      </c>
      <c r="I13" s="83" t="s">
        <v>90</v>
      </c>
      <c r="J13" s="83" t="s">
        <v>63</v>
      </c>
      <c r="K13" s="83">
        <v>0</v>
      </c>
      <c r="L13" s="83" t="s">
        <v>123</v>
      </c>
      <c r="M13" s="83" t="s">
        <v>846</v>
      </c>
      <c r="N13" s="94">
        <v>1</v>
      </c>
      <c r="O13" s="95">
        <v>5.2083333333333333E-4</v>
      </c>
    </row>
    <row r="14" spans="1:16" ht="54" customHeight="1" thickTop="1" thickBot="1" x14ac:dyDescent="0.25">
      <c r="A14" s="73"/>
      <c r="B14" s="96" t="s">
        <v>12</v>
      </c>
      <c r="C14" s="97" t="s">
        <v>610</v>
      </c>
      <c r="D14" s="97" t="s">
        <v>126</v>
      </c>
      <c r="E14" s="97" t="s">
        <v>13</v>
      </c>
      <c r="F14" s="97" t="s">
        <v>23</v>
      </c>
      <c r="G14" s="97" t="s">
        <v>60</v>
      </c>
      <c r="H14" s="101" t="s">
        <v>61</v>
      </c>
      <c r="I14" s="83" t="s">
        <v>90</v>
      </c>
      <c r="J14" s="83" t="s">
        <v>63</v>
      </c>
      <c r="K14" s="83">
        <v>0</v>
      </c>
      <c r="L14" s="83" t="s">
        <v>127</v>
      </c>
      <c r="M14" s="83" t="s">
        <v>846</v>
      </c>
      <c r="N14" s="97">
        <v>2</v>
      </c>
      <c r="O14" s="98">
        <v>6.9444444444444447E-4</v>
      </c>
    </row>
    <row r="15" spans="1:16" ht="54" customHeight="1" thickTop="1" thickBot="1" x14ac:dyDescent="0.3">
      <c r="A15" s="85"/>
      <c r="B15" s="90" t="s">
        <v>15</v>
      </c>
      <c r="C15" s="91" t="s">
        <v>611</v>
      </c>
      <c r="D15" s="91" t="s">
        <v>612</v>
      </c>
      <c r="E15" s="91" t="s">
        <v>13</v>
      </c>
      <c r="F15" s="91" t="s">
        <v>23</v>
      </c>
      <c r="G15" s="91" t="s">
        <v>132</v>
      </c>
      <c r="H15" s="100">
        <v>45313</v>
      </c>
      <c r="I15" s="83" t="s">
        <v>133</v>
      </c>
      <c r="J15" s="83" t="s">
        <v>134</v>
      </c>
      <c r="K15" s="83">
        <v>0</v>
      </c>
      <c r="L15" s="83" t="s">
        <v>135</v>
      </c>
      <c r="M15" s="83" t="s">
        <v>108</v>
      </c>
      <c r="N15" s="91">
        <v>4</v>
      </c>
      <c r="O15" s="92">
        <v>1.736111111111111E-3</v>
      </c>
      <c r="P15" s="161"/>
    </row>
    <row r="16" spans="1:16" ht="54" customHeight="1" thickTop="1" thickBot="1" x14ac:dyDescent="0.3">
      <c r="A16" s="85"/>
      <c r="B16" s="93" t="s">
        <v>15</v>
      </c>
      <c r="C16" s="94" t="s">
        <v>614</v>
      </c>
      <c r="D16" s="94" t="s">
        <v>615</v>
      </c>
      <c r="E16" s="94" t="s">
        <v>13</v>
      </c>
      <c r="F16" s="94" t="s">
        <v>23</v>
      </c>
      <c r="G16" s="94" t="s">
        <v>138</v>
      </c>
      <c r="H16" s="99">
        <v>45322</v>
      </c>
      <c r="I16" s="83" t="s">
        <v>133</v>
      </c>
      <c r="J16" s="83" t="s">
        <v>134</v>
      </c>
      <c r="K16" s="83">
        <v>0</v>
      </c>
      <c r="L16" s="83" t="s">
        <v>135</v>
      </c>
      <c r="M16" s="83" t="s">
        <v>108</v>
      </c>
      <c r="N16" s="94">
        <v>4</v>
      </c>
      <c r="O16" s="95">
        <v>1.736111111111111E-3</v>
      </c>
      <c r="P16" s="161"/>
    </row>
    <row r="17" spans="1:16" ht="54" customHeight="1" thickTop="1" thickBot="1" x14ac:dyDescent="0.3">
      <c r="A17" s="85"/>
      <c r="B17" s="93" t="s">
        <v>15</v>
      </c>
      <c r="C17" s="94" t="s">
        <v>616</v>
      </c>
      <c r="D17" s="94" t="s">
        <v>617</v>
      </c>
      <c r="E17" s="94" t="s">
        <v>13</v>
      </c>
      <c r="F17" s="94" t="s">
        <v>23</v>
      </c>
      <c r="G17" s="94" t="s">
        <v>132</v>
      </c>
      <c r="H17" s="99">
        <v>45313</v>
      </c>
      <c r="I17" s="83" t="s">
        <v>133</v>
      </c>
      <c r="J17" s="83" t="s">
        <v>134</v>
      </c>
      <c r="K17" s="83">
        <v>0</v>
      </c>
      <c r="L17" s="83" t="s">
        <v>135</v>
      </c>
      <c r="M17" s="83" t="s">
        <v>108</v>
      </c>
      <c r="N17" s="94">
        <v>4</v>
      </c>
      <c r="O17" s="95">
        <v>1.736111111111111E-3</v>
      </c>
      <c r="P17" s="161"/>
    </row>
    <row r="18" spans="1:16" ht="54" customHeight="1" thickTop="1" thickBot="1" x14ac:dyDescent="0.3">
      <c r="A18" s="85"/>
      <c r="B18" s="93" t="s">
        <v>15</v>
      </c>
      <c r="C18" s="94" t="s">
        <v>618</v>
      </c>
      <c r="D18" s="94" t="s">
        <v>619</v>
      </c>
      <c r="E18" s="94" t="s">
        <v>13</v>
      </c>
      <c r="F18" s="94" t="s">
        <v>23</v>
      </c>
      <c r="G18" s="94" t="s">
        <v>132</v>
      </c>
      <c r="H18" s="99">
        <v>45321</v>
      </c>
      <c r="I18" s="83" t="s">
        <v>133</v>
      </c>
      <c r="J18" s="83" t="s">
        <v>134</v>
      </c>
      <c r="K18" s="83">
        <v>0</v>
      </c>
      <c r="L18" s="83" t="s">
        <v>135</v>
      </c>
      <c r="M18" s="83" t="s">
        <v>108</v>
      </c>
      <c r="N18" s="94">
        <v>4</v>
      </c>
      <c r="O18" s="95">
        <v>1.736111111111111E-3</v>
      </c>
      <c r="P18" s="161"/>
    </row>
    <row r="19" spans="1:16" ht="54" customHeight="1" thickTop="1" thickBot="1" x14ac:dyDescent="0.3">
      <c r="A19" s="85"/>
      <c r="B19" s="93" t="s">
        <v>15</v>
      </c>
      <c r="C19" s="94" t="s">
        <v>620</v>
      </c>
      <c r="D19" s="94" t="s">
        <v>145</v>
      </c>
      <c r="E19" s="94" t="s">
        <v>13</v>
      </c>
      <c r="F19" s="94" t="s">
        <v>23</v>
      </c>
      <c r="G19" s="94" t="s">
        <v>146</v>
      </c>
      <c r="H19" s="99">
        <v>45315</v>
      </c>
      <c r="I19" s="83" t="s">
        <v>133</v>
      </c>
      <c r="J19" s="83" t="s">
        <v>63</v>
      </c>
      <c r="K19" s="83">
        <v>0</v>
      </c>
      <c r="L19" s="83" t="s">
        <v>147</v>
      </c>
      <c r="M19" s="83" t="s">
        <v>124</v>
      </c>
      <c r="N19" s="94">
        <v>2</v>
      </c>
      <c r="O19" s="95">
        <v>5.2083333333333333E-4</v>
      </c>
      <c r="P19" s="161"/>
    </row>
    <row r="20" spans="1:16" ht="54" customHeight="1" thickTop="1" thickBot="1" x14ac:dyDescent="0.3">
      <c r="A20" s="85"/>
      <c r="B20" s="93" t="s">
        <v>15</v>
      </c>
      <c r="C20" s="94" t="s">
        <v>621</v>
      </c>
      <c r="D20" s="94" t="s">
        <v>145</v>
      </c>
      <c r="E20" s="94" t="s">
        <v>13</v>
      </c>
      <c r="F20" s="94" t="s">
        <v>23</v>
      </c>
      <c r="G20" s="94" t="s">
        <v>146</v>
      </c>
      <c r="H20" s="99">
        <v>45315</v>
      </c>
      <c r="I20" s="83" t="s">
        <v>133</v>
      </c>
      <c r="J20" s="83" t="s">
        <v>63</v>
      </c>
      <c r="K20" s="83">
        <v>0</v>
      </c>
      <c r="L20" s="83" t="s">
        <v>147</v>
      </c>
      <c r="M20" s="83" t="s">
        <v>124</v>
      </c>
      <c r="N20" s="94">
        <v>2</v>
      </c>
      <c r="O20" s="95">
        <v>5.2083333333333333E-4</v>
      </c>
      <c r="P20" s="161"/>
    </row>
    <row r="21" spans="1:16" ht="54" customHeight="1" thickTop="1" thickBot="1" x14ac:dyDescent="0.3">
      <c r="A21" s="85"/>
      <c r="B21" s="93" t="s">
        <v>15</v>
      </c>
      <c r="C21" s="94" t="s">
        <v>622</v>
      </c>
      <c r="D21" s="94" t="s">
        <v>150</v>
      </c>
      <c r="E21" s="94" t="s">
        <v>13</v>
      </c>
      <c r="F21" s="94" t="s">
        <v>23</v>
      </c>
      <c r="G21" s="94" t="s">
        <v>727</v>
      </c>
      <c r="H21" s="99">
        <v>45313</v>
      </c>
      <c r="I21" s="83" t="s">
        <v>133</v>
      </c>
      <c r="J21" s="83" t="s">
        <v>63</v>
      </c>
      <c r="K21" s="83">
        <v>0</v>
      </c>
      <c r="L21" s="83" t="s">
        <v>152</v>
      </c>
      <c r="M21" s="83" t="s">
        <v>124</v>
      </c>
      <c r="N21" s="94">
        <v>1</v>
      </c>
      <c r="O21" s="95">
        <v>2.3148148148148146E-4</v>
      </c>
      <c r="P21" s="161"/>
    </row>
    <row r="22" spans="1:16" ht="54" customHeight="1" thickTop="1" thickBot="1" x14ac:dyDescent="0.3">
      <c r="A22" s="85"/>
      <c r="B22" s="93" t="s">
        <v>15</v>
      </c>
      <c r="C22" s="94" t="s">
        <v>624</v>
      </c>
      <c r="D22" s="94" t="s">
        <v>154</v>
      </c>
      <c r="E22" s="94" t="s">
        <v>13</v>
      </c>
      <c r="F22" s="94" t="s">
        <v>23</v>
      </c>
      <c r="G22" s="94" t="s">
        <v>728</v>
      </c>
      <c r="H22" s="99">
        <v>45313</v>
      </c>
      <c r="I22" s="83" t="s">
        <v>133</v>
      </c>
      <c r="J22" s="83" t="s">
        <v>63</v>
      </c>
      <c r="K22" s="83">
        <v>0</v>
      </c>
      <c r="L22" s="83" t="s">
        <v>156</v>
      </c>
      <c r="M22" s="83" t="s">
        <v>124</v>
      </c>
      <c r="N22" s="94">
        <v>2</v>
      </c>
      <c r="O22" s="95">
        <v>2.3148148148148146E-4</v>
      </c>
      <c r="P22" s="161"/>
    </row>
    <row r="23" spans="1:16" ht="54" customHeight="1" thickTop="1" thickBot="1" x14ac:dyDescent="0.3">
      <c r="A23" s="85"/>
      <c r="B23" s="93" t="s">
        <v>15</v>
      </c>
      <c r="C23" s="94" t="s">
        <v>625</v>
      </c>
      <c r="D23" s="94" t="s">
        <v>492</v>
      </c>
      <c r="E23" s="94" t="s">
        <v>13</v>
      </c>
      <c r="F23" s="94" t="s">
        <v>23</v>
      </c>
      <c r="G23" s="94" t="s">
        <v>132</v>
      </c>
      <c r="H23" s="99">
        <v>45321</v>
      </c>
      <c r="I23" s="83" t="s">
        <v>133</v>
      </c>
      <c r="J23" s="83" t="s">
        <v>134</v>
      </c>
      <c r="K23" s="83">
        <v>0</v>
      </c>
      <c r="L23" s="83" t="s">
        <v>162</v>
      </c>
      <c r="M23" s="83" t="s">
        <v>163</v>
      </c>
      <c r="N23" s="94">
        <v>2</v>
      </c>
      <c r="O23" s="95">
        <v>4.6296296296296293E-4</v>
      </c>
      <c r="P23" s="161"/>
    </row>
    <row r="24" spans="1:16" ht="54" customHeight="1" thickTop="1" thickBot="1" x14ac:dyDescent="0.3">
      <c r="A24" s="85"/>
      <c r="B24" s="93" t="s">
        <v>15</v>
      </c>
      <c r="C24" s="94" t="s">
        <v>626</v>
      </c>
      <c r="D24" s="94" t="s">
        <v>627</v>
      </c>
      <c r="E24" s="94" t="s">
        <v>13</v>
      </c>
      <c r="F24" s="94" t="s">
        <v>23</v>
      </c>
      <c r="G24" s="94" t="s">
        <v>132</v>
      </c>
      <c r="H24" s="99">
        <v>45321</v>
      </c>
      <c r="I24" s="83" t="s">
        <v>133</v>
      </c>
      <c r="J24" s="83" t="s">
        <v>134</v>
      </c>
      <c r="K24" s="83">
        <v>0</v>
      </c>
      <c r="L24" s="83" t="s">
        <v>162</v>
      </c>
      <c r="M24" s="83" t="s">
        <v>163</v>
      </c>
      <c r="N24" s="94">
        <v>2</v>
      </c>
      <c r="O24" s="95">
        <v>4.6296296296296293E-4</v>
      </c>
      <c r="P24" s="161"/>
    </row>
    <row r="25" spans="1:16" ht="54" customHeight="1" thickTop="1" thickBot="1" x14ac:dyDescent="0.3">
      <c r="A25" s="85"/>
      <c r="B25" s="93" t="s">
        <v>15</v>
      </c>
      <c r="C25" s="94" t="s">
        <v>628</v>
      </c>
      <c r="D25" s="94" t="s">
        <v>494</v>
      </c>
      <c r="E25" s="94" t="s">
        <v>13</v>
      </c>
      <c r="F25" s="94" t="s">
        <v>23</v>
      </c>
      <c r="G25" s="94" t="s">
        <v>138</v>
      </c>
      <c r="H25" s="99">
        <v>45322</v>
      </c>
      <c r="I25" s="83" t="s">
        <v>62</v>
      </c>
      <c r="J25" s="83" t="s">
        <v>134</v>
      </c>
      <c r="K25" s="83">
        <v>0</v>
      </c>
      <c r="L25" s="83" t="s">
        <v>162</v>
      </c>
      <c r="M25" s="83" t="s">
        <v>163</v>
      </c>
      <c r="N25" s="94">
        <v>2</v>
      </c>
      <c r="O25" s="95">
        <v>4.6296296296296293E-4</v>
      </c>
      <c r="P25" s="161"/>
    </row>
    <row r="26" spans="1:16" ht="54" customHeight="1" thickTop="1" thickBot="1" x14ac:dyDescent="0.3">
      <c r="A26" s="85"/>
      <c r="B26" s="93" t="s">
        <v>15</v>
      </c>
      <c r="C26" s="94" t="s">
        <v>629</v>
      </c>
      <c r="D26" s="94" t="s">
        <v>630</v>
      </c>
      <c r="E26" s="94" t="s">
        <v>13</v>
      </c>
      <c r="F26" s="94" t="s">
        <v>23</v>
      </c>
      <c r="G26" s="94" t="s">
        <v>138</v>
      </c>
      <c r="H26" s="99">
        <v>45322</v>
      </c>
      <c r="I26" s="83" t="s">
        <v>62</v>
      </c>
      <c r="J26" s="83" t="s">
        <v>134</v>
      </c>
      <c r="K26" s="83">
        <v>0</v>
      </c>
      <c r="L26" s="83" t="s">
        <v>162</v>
      </c>
      <c r="M26" s="83" t="s">
        <v>163</v>
      </c>
      <c r="N26" s="94">
        <v>2</v>
      </c>
      <c r="O26" s="95">
        <v>4.6296296296296293E-4</v>
      </c>
      <c r="P26" s="161"/>
    </row>
    <row r="27" spans="1:16" ht="54" customHeight="1" thickTop="1" thickBot="1" x14ac:dyDescent="0.3">
      <c r="A27" s="137"/>
      <c r="B27" s="114" t="s">
        <v>15</v>
      </c>
      <c r="C27" s="115" t="s">
        <v>631</v>
      </c>
      <c r="D27" s="115" t="s">
        <v>180</v>
      </c>
      <c r="E27" s="115" t="s">
        <v>23</v>
      </c>
      <c r="F27" s="115"/>
      <c r="G27" s="115"/>
      <c r="H27" s="128"/>
      <c r="I27" s="83" t="s">
        <v>62</v>
      </c>
      <c r="J27" s="83" t="s">
        <v>63</v>
      </c>
      <c r="K27" s="83">
        <v>0</v>
      </c>
      <c r="L27" s="83" t="s">
        <v>181</v>
      </c>
      <c r="M27" s="83" t="s">
        <v>124</v>
      </c>
      <c r="N27" s="115">
        <v>2</v>
      </c>
      <c r="O27" s="119">
        <v>6.9444444444444447E-4</v>
      </c>
      <c r="P27" s="161"/>
    </row>
    <row r="28" spans="1:16" ht="54" customHeight="1" thickTop="1" thickBot="1" x14ac:dyDescent="0.25">
      <c r="A28" s="86"/>
      <c r="B28" s="96" t="s">
        <v>15</v>
      </c>
      <c r="C28" s="97" t="s">
        <v>633</v>
      </c>
      <c r="D28" s="97" t="s">
        <v>176</v>
      </c>
      <c r="E28" s="71" t="s">
        <v>13</v>
      </c>
      <c r="F28" s="71" t="s">
        <v>23</v>
      </c>
      <c r="G28" s="71" t="s">
        <v>177</v>
      </c>
      <c r="H28" s="101">
        <v>45321</v>
      </c>
      <c r="I28" s="83" t="s">
        <v>62</v>
      </c>
      <c r="J28" s="83" t="s">
        <v>63</v>
      </c>
      <c r="K28" s="83">
        <v>0</v>
      </c>
      <c r="L28" s="83" t="s">
        <v>178</v>
      </c>
      <c r="M28" s="83" t="s">
        <v>108</v>
      </c>
      <c r="N28" s="97">
        <v>1</v>
      </c>
      <c r="O28" s="98">
        <v>6.9444444444444447E-4</v>
      </c>
    </row>
    <row r="29" spans="1:16" ht="54" customHeight="1" thickTop="1" thickBot="1" x14ac:dyDescent="0.25">
      <c r="A29" s="85"/>
      <c r="B29" s="90" t="s">
        <v>18</v>
      </c>
      <c r="C29" s="91" t="s">
        <v>634</v>
      </c>
      <c r="D29" s="91" t="s">
        <v>183</v>
      </c>
      <c r="E29" s="91" t="s">
        <v>13</v>
      </c>
      <c r="F29" s="91" t="s">
        <v>23</v>
      </c>
      <c r="G29" s="91" t="s">
        <v>514</v>
      </c>
      <c r="H29" s="100">
        <v>45315</v>
      </c>
      <c r="I29" s="83" t="s">
        <v>62</v>
      </c>
      <c r="J29" s="83" t="s">
        <v>63</v>
      </c>
      <c r="K29" s="83">
        <v>0</v>
      </c>
      <c r="L29" s="83" t="s">
        <v>632</v>
      </c>
      <c r="M29" s="83" t="s">
        <v>186</v>
      </c>
      <c r="N29" s="91">
        <v>2</v>
      </c>
      <c r="O29" s="92">
        <v>1.0416666666666667E-3</v>
      </c>
    </row>
    <row r="30" spans="1:16" ht="54" customHeight="1" thickTop="1" thickBot="1" x14ac:dyDescent="0.25">
      <c r="A30" s="85"/>
      <c r="B30" s="93" t="s">
        <v>18</v>
      </c>
      <c r="C30" s="94" t="s">
        <v>637</v>
      </c>
      <c r="D30" s="94" t="s">
        <v>188</v>
      </c>
      <c r="E30" s="94" t="s">
        <v>13</v>
      </c>
      <c r="F30" s="94" t="s">
        <v>23</v>
      </c>
      <c r="G30" s="94" t="s">
        <v>729</v>
      </c>
      <c r="H30" s="99">
        <v>45315</v>
      </c>
      <c r="I30" s="83" t="s">
        <v>133</v>
      </c>
      <c r="J30" s="83" t="s">
        <v>63</v>
      </c>
      <c r="K30" s="83">
        <v>0</v>
      </c>
      <c r="L30" s="83" t="s">
        <v>190</v>
      </c>
      <c r="M30" s="83" t="s">
        <v>124</v>
      </c>
      <c r="N30" s="94">
        <v>2</v>
      </c>
      <c r="O30" s="95">
        <v>1.5624999999999999E-3</v>
      </c>
    </row>
    <row r="31" spans="1:16" ht="54" customHeight="1" thickTop="1" thickBot="1" x14ac:dyDescent="0.25">
      <c r="A31" s="85"/>
      <c r="B31" s="93" t="s">
        <v>18</v>
      </c>
      <c r="C31" s="94" t="s">
        <v>640</v>
      </c>
      <c r="D31" s="94" t="s">
        <v>641</v>
      </c>
      <c r="E31" s="94" t="s">
        <v>13</v>
      </c>
      <c r="F31" s="94" t="s">
        <v>23</v>
      </c>
      <c r="G31" s="94" t="s">
        <v>729</v>
      </c>
      <c r="H31" s="99">
        <v>45315</v>
      </c>
      <c r="I31" s="83" t="s">
        <v>133</v>
      </c>
      <c r="J31" s="83" t="s">
        <v>134</v>
      </c>
      <c r="K31" s="83">
        <v>0</v>
      </c>
      <c r="L31" s="83" t="s">
        <v>636</v>
      </c>
      <c r="M31" s="83" t="s">
        <v>124</v>
      </c>
      <c r="N31" s="94">
        <v>2</v>
      </c>
      <c r="O31" s="95">
        <v>5.2083333333333333E-4</v>
      </c>
    </row>
    <row r="32" spans="1:16" ht="54" customHeight="1" thickTop="1" thickBot="1" x14ac:dyDescent="0.25">
      <c r="A32" s="85"/>
      <c r="B32" s="93" t="s">
        <v>18</v>
      </c>
      <c r="C32" s="94" t="s">
        <v>642</v>
      </c>
      <c r="D32" s="94" t="s">
        <v>643</v>
      </c>
      <c r="E32" s="94" t="s">
        <v>13</v>
      </c>
      <c r="F32" s="94" t="s">
        <v>23</v>
      </c>
      <c r="G32" s="94" t="s">
        <v>730</v>
      </c>
      <c r="H32" s="99">
        <v>45313</v>
      </c>
      <c r="I32" s="83" t="s">
        <v>133</v>
      </c>
      <c r="J32" s="83" t="s">
        <v>63</v>
      </c>
      <c r="K32" s="83">
        <v>0</v>
      </c>
      <c r="L32" s="83" t="s">
        <v>639</v>
      </c>
      <c r="M32" s="83" t="s">
        <v>124</v>
      </c>
      <c r="N32" s="94">
        <v>2</v>
      </c>
      <c r="O32" s="95">
        <v>6.9444444444444447E-4</v>
      </c>
    </row>
    <row r="33" spans="1:15" ht="54" customHeight="1" thickTop="1" thickBot="1" x14ac:dyDescent="0.25">
      <c r="A33" s="85"/>
      <c r="B33" s="93" t="s">
        <v>18</v>
      </c>
      <c r="C33" s="94" t="s">
        <v>644</v>
      </c>
      <c r="D33" s="94" t="s">
        <v>645</v>
      </c>
      <c r="E33" s="94" t="s">
        <v>13</v>
      </c>
      <c r="F33" s="94" t="s">
        <v>23</v>
      </c>
      <c r="G33" s="94" t="s">
        <v>730</v>
      </c>
      <c r="H33" s="99">
        <v>45313</v>
      </c>
      <c r="I33" s="83" t="s">
        <v>133</v>
      </c>
      <c r="J33" s="83" t="s">
        <v>63</v>
      </c>
      <c r="K33" s="83">
        <v>0</v>
      </c>
      <c r="L33" s="83" t="s">
        <v>194</v>
      </c>
      <c r="M33" s="83" t="s">
        <v>124</v>
      </c>
      <c r="N33" s="94">
        <v>2</v>
      </c>
      <c r="O33" s="95">
        <v>6.9444444444444447E-4</v>
      </c>
    </row>
    <row r="34" spans="1:15" ht="54" customHeight="1" thickTop="1" thickBot="1" x14ac:dyDescent="0.25">
      <c r="A34" s="85"/>
      <c r="B34" s="93" t="s">
        <v>18</v>
      </c>
      <c r="C34" s="94" t="s">
        <v>646</v>
      </c>
      <c r="D34" s="94" t="s">
        <v>207</v>
      </c>
      <c r="E34" s="94" t="s">
        <v>13</v>
      </c>
      <c r="F34" s="94" t="s">
        <v>23</v>
      </c>
      <c r="G34" s="94" t="s">
        <v>731</v>
      </c>
      <c r="H34" s="99">
        <v>45316</v>
      </c>
      <c r="I34" s="83" t="s">
        <v>133</v>
      </c>
      <c r="J34" s="83" t="s">
        <v>134</v>
      </c>
      <c r="K34" s="83">
        <v>0</v>
      </c>
      <c r="L34" s="83" t="s">
        <v>209</v>
      </c>
      <c r="M34" s="83" t="s">
        <v>205</v>
      </c>
      <c r="N34" s="94">
        <v>1</v>
      </c>
      <c r="O34" s="95">
        <v>3.4722222222222224E-4</v>
      </c>
    </row>
    <row r="35" spans="1:15" ht="54" customHeight="1" thickTop="1" thickBot="1" x14ac:dyDescent="0.25">
      <c r="A35" s="85"/>
      <c r="B35" s="93" t="s">
        <v>18</v>
      </c>
      <c r="C35" s="94" t="s">
        <v>647</v>
      </c>
      <c r="D35" s="94" t="s">
        <v>207</v>
      </c>
      <c r="E35" s="94" t="s">
        <v>13</v>
      </c>
      <c r="F35" s="94" t="s">
        <v>23</v>
      </c>
      <c r="G35" s="94" t="s">
        <v>731</v>
      </c>
      <c r="H35" s="99">
        <v>45316</v>
      </c>
      <c r="I35" s="83" t="s">
        <v>133</v>
      </c>
      <c r="J35" s="83" t="s">
        <v>134</v>
      </c>
      <c r="K35" s="83">
        <v>0</v>
      </c>
      <c r="L35" s="83" t="s">
        <v>209</v>
      </c>
      <c r="M35" s="83" t="s">
        <v>205</v>
      </c>
      <c r="N35" s="94">
        <v>1</v>
      </c>
      <c r="O35" s="95">
        <v>3.4722222222222224E-4</v>
      </c>
    </row>
    <row r="36" spans="1:15" ht="54" customHeight="1" thickTop="1" thickBot="1" x14ac:dyDescent="0.25">
      <c r="A36" s="85"/>
      <c r="B36" s="93" t="s">
        <v>18</v>
      </c>
      <c r="C36" s="94" t="s">
        <v>648</v>
      </c>
      <c r="D36" s="94" t="s">
        <v>839</v>
      </c>
      <c r="E36" s="94" t="s">
        <v>13</v>
      </c>
      <c r="F36" s="94" t="s">
        <v>23</v>
      </c>
      <c r="G36" s="94" t="s">
        <v>212</v>
      </c>
      <c r="H36" s="99">
        <v>45314</v>
      </c>
      <c r="I36" s="83" t="s">
        <v>133</v>
      </c>
      <c r="J36" s="83" t="s">
        <v>134</v>
      </c>
      <c r="K36" s="83">
        <v>0</v>
      </c>
      <c r="L36" s="83" t="s">
        <v>213</v>
      </c>
      <c r="M36" s="83" t="s">
        <v>847</v>
      </c>
      <c r="N36" s="94">
        <v>1</v>
      </c>
      <c r="O36" s="95">
        <v>3.4722222222222224E-4</v>
      </c>
    </row>
    <row r="37" spans="1:15" ht="54" customHeight="1" thickTop="1" thickBot="1" x14ac:dyDescent="0.25">
      <c r="A37" s="85"/>
      <c r="B37" s="93" t="s">
        <v>18</v>
      </c>
      <c r="C37" s="94" t="s">
        <v>649</v>
      </c>
      <c r="D37" s="94" t="s">
        <v>215</v>
      </c>
      <c r="E37" s="94" t="s">
        <v>13</v>
      </c>
      <c r="F37" s="94" t="s">
        <v>23</v>
      </c>
      <c r="G37" s="94" t="s">
        <v>216</v>
      </c>
      <c r="H37" s="99">
        <v>45316</v>
      </c>
      <c r="I37" s="83" t="s">
        <v>133</v>
      </c>
      <c r="J37" s="83" t="s">
        <v>134</v>
      </c>
      <c r="K37" s="83">
        <v>0</v>
      </c>
      <c r="L37" s="83" t="s">
        <v>217</v>
      </c>
      <c r="M37" s="83" t="s">
        <v>205</v>
      </c>
      <c r="N37" s="94">
        <v>1</v>
      </c>
      <c r="O37" s="95">
        <v>5.7870370370370378E-4</v>
      </c>
    </row>
    <row r="38" spans="1:15" ht="54" customHeight="1" thickTop="1" thickBot="1" x14ac:dyDescent="0.25">
      <c r="A38" s="85"/>
      <c r="B38" s="93" t="s">
        <v>18</v>
      </c>
      <c r="C38" s="94" t="s">
        <v>650</v>
      </c>
      <c r="D38" s="94" t="s">
        <v>219</v>
      </c>
      <c r="E38" s="94" t="s">
        <v>13</v>
      </c>
      <c r="F38" s="94" t="s">
        <v>23</v>
      </c>
      <c r="G38" s="94" t="s">
        <v>220</v>
      </c>
      <c r="H38" s="99">
        <v>45929</v>
      </c>
      <c r="I38" s="83" t="s">
        <v>133</v>
      </c>
      <c r="J38" s="83" t="s">
        <v>134</v>
      </c>
      <c r="K38" s="83">
        <v>0</v>
      </c>
      <c r="L38" s="83" t="s">
        <v>221</v>
      </c>
      <c r="M38" s="83" t="s">
        <v>205</v>
      </c>
      <c r="N38" s="94">
        <v>2</v>
      </c>
      <c r="O38" s="95">
        <v>6.9444444444444447E-4</v>
      </c>
    </row>
    <row r="39" spans="1:15" ht="54" customHeight="1" thickTop="1" thickBot="1" x14ac:dyDescent="0.25">
      <c r="A39" s="85"/>
      <c r="B39" s="93" t="s">
        <v>18</v>
      </c>
      <c r="C39" s="94" t="s">
        <v>651</v>
      </c>
      <c r="D39" s="94" t="s">
        <v>223</v>
      </c>
      <c r="E39" s="94" t="s">
        <v>13</v>
      </c>
      <c r="F39" s="94" t="s">
        <v>23</v>
      </c>
      <c r="G39" s="94" t="s">
        <v>224</v>
      </c>
      <c r="H39" s="99">
        <v>45315</v>
      </c>
      <c r="I39" s="83" t="s">
        <v>133</v>
      </c>
      <c r="J39" s="83" t="s">
        <v>134</v>
      </c>
      <c r="K39" s="83">
        <v>0</v>
      </c>
      <c r="L39" s="83" t="s">
        <v>225</v>
      </c>
      <c r="M39" s="83" t="s">
        <v>205</v>
      </c>
      <c r="N39" s="94">
        <v>1</v>
      </c>
      <c r="O39" s="95">
        <v>3.4722222222222224E-4</v>
      </c>
    </row>
    <row r="40" spans="1:15" ht="54" customHeight="1" thickTop="1" thickBot="1" x14ac:dyDescent="0.25">
      <c r="A40" s="85"/>
      <c r="B40" s="93" t="s">
        <v>18</v>
      </c>
      <c r="C40" s="94" t="s">
        <v>652</v>
      </c>
      <c r="D40" s="94" t="s">
        <v>227</v>
      </c>
      <c r="E40" s="94" t="s">
        <v>13</v>
      </c>
      <c r="F40" s="94" t="s">
        <v>23</v>
      </c>
      <c r="G40" s="94" t="s">
        <v>216</v>
      </c>
      <c r="H40" s="99">
        <v>45316</v>
      </c>
      <c r="I40" s="83" t="s">
        <v>133</v>
      </c>
      <c r="J40" s="83" t="s">
        <v>63</v>
      </c>
      <c r="K40" s="83">
        <v>0</v>
      </c>
      <c r="L40" s="83" t="s">
        <v>217</v>
      </c>
      <c r="M40" s="83" t="s">
        <v>205</v>
      </c>
      <c r="N40" s="94">
        <v>1</v>
      </c>
      <c r="O40" s="95">
        <v>1.0416666666666667E-3</v>
      </c>
    </row>
    <row r="41" spans="1:15" ht="54" customHeight="1" thickTop="1" thickBot="1" x14ac:dyDescent="0.25">
      <c r="A41" s="85"/>
      <c r="B41" s="93" t="s">
        <v>18</v>
      </c>
      <c r="C41" s="94" t="s">
        <v>653</v>
      </c>
      <c r="D41" s="94" t="s">
        <v>229</v>
      </c>
      <c r="E41" s="94" t="s">
        <v>13</v>
      </c>
      <c r="F41" s="94" t="s">
        <v>23</v>
      </c>
      <c r="G41" s="94" t="s">
        <v>732</v>
      </c>
      <c r="H41" s="99">
        <v>45316</v>
      </c>
      <c r="I41" s="83" t="s">
        <v>62</v>
      </c>
      <c r="J41" s="83" t="s">
        <v>134</v>
      </c>
      <c r="K41" s="83">
        <v>0</v>
      </c>
      <c r="L41" s="83" t="s">
        <v>231</v>
      </c>
      <c r="M41" s="83" t="s">
        <v>205</v>
      </c>
      <c r="N41" s="94">
        <v>1</v>
      </c>
      <c r="O41" s="95">
        <v>1.1574074074074073E-4</v>
      </c>
    </row>
    <row r="42" spans="1:15" ht="54" customHeight="1" thickTop="1" thickBot="1" x14ac:dyDescent="0.25">
      <c r="A42" s="85"/>
      <c r="B42" s="93" t="s">
        <v>18</v>
      </c>
      <c r="C42" s="94" t="s">
        <v>654</v>
      </c>
      <c r="D42" s="94" t="s">
        <v>233</v>
      </c>
      <c r="E42" s="94" t="s">
        <v>13</v>
      </c>
      <c r="F42" s="94" t="s">
        <v>733</v>
      </c>
      <c r="G42" s="94" t="s">
        <v>236</v>
      </c>
      <c r="H42" s="99">
        <v>45927</v>
      </c>
      <c r="I42" s="83" t="s">
        <v>133</v>
      </c>
      <c r="J42" s="83" t="s">
        <v>134</v>
      </c>
      <c r="K42" s="83">
        <v>0</v>
      </c>
      <c r="L42" s="83" t="s">
        <v>237</v>
      </c>
      <c r="M42" s="83" t="s">
        <v>238</v>
      </c>
      <c r="N42" s="94">
        <v>2</v>
      </c>
      <c r="O42" s="95">
        <v>3.4722222222222224E-4</v>
      </c>
    </row>
    <row r="43" spans="1:15" ht="54" customHeight="1" thickTop="1" thickBot="1" x14ac:dyDescent="0.25">
      <c r="A43" s="85"/>
      <c r="B43" s="93" t="s">
        <v>18</v>
      </c>
      <c r="C43" s="94" t="s">
        <v>655</v>
      </c>
      <c r="D43" s="94" t="s">
        <v>244</v>
      </c>
      <c r="E43" s="94" t="s">
        <v>13</v>
      </c>
      <c r="F43" s="94" t="s">
        <v>23</v>
      </c>
      <c r="G43" s="94" t="s">
        <v>245</v>
      </c>
      <c r="H43" s="99">
        <v>45313</v>
      </c>
      <c r="I43" s="83" t="s">
        <v>133</v>
      </c>
      <c r="J43" s="83" t="s">
        <v>134</v>
      </c>
      <c r="K43" s="83">
        <v>0</v>
      </c>
      <c r="L43" s="83" t="s">
        <v>246</v>
      </c>
      <c r="M43" s="83" t="s">
        <v>205</v>
      </c>
      <c r="N43" s="94">
        <v>1</v>
      </c>
      <c r="O43" s="95">
        <v>6.9444444444444447E-4</v>
      </c>
    </row>
    <row r="44" spans="1:15" ht="54" customHeight="1" thickTop="1" thickBot="1" x14ac:dyDescent="0.25">
      <c r="A44" s="85"/>
      <c r="B44" s="93" t="s">
        <v>18</v>
      </c>
      <c r="C44" s="94" t="s">
        <v>657</v>
      </c>
      <c r="D44" s="94" t="s">
        <v>658</v>
      </c>
      <c r="E44" s="94" t="s">
        <v>13</v>
      </c>
      <c r="F44" s="94" t="s">
        <v>235</v>
      </c>
      <c r="G44" s="94" t="s">
        <v>249</v>
      </c>
      <c r="H44" s="99">
        <v>45930</v>
      </c>
      <c r="I44" s="83" t="s">
        <v>133</v>
      </c>
      <c r="J44" s="83" t="s">
        <v>134</v>
      </c>
      <c r="K44" s="83">
        <v>0</v>
      </c>
      <c r="L44" s="83" t="s">
        <v>734</v>
      </c>
      <c r="M44" s="83" t="s">
        <v>238</v>
      </c>
      <c r="N44" s="94">
        <v>1</v>
      </c>
      <c r="O44" s="95">
        <v>6.9444444444444447E-4</v>
      </c>
    </row>
    <row r="45" spans="1:15" ht="54" customHeight="1" thickTop="1" thickBot="1" x14ac:dyDescent="0.25">
      <c r="A45" s="85"/>
      <c r="B45" s="93" t="s">
        <v>18</v>
      </c>
      <c r="C45" s="94" t="s">
        <v>659</v>
      </c>
      <c r="D45" s="94" t="s">
        <v>338</v>
      </c>
      <c r="E45" s="69" t="s">
        <v>13</v>
      </c>
      <c r="F45" s="69" t="s">
        <v>23</v>
      </c>
      <c r="G45" s="69" t="s">
        <v>735</v>
      </c>
      <c r="H45" s="70">
        <v>45315</v>
      </c>
      <c r="I45" s="83" t="s">
        <v>133</v>
      </c>
      <c r="J45" s="83" t="s">
        <v>134</v>
      </c>
      <c r="K45" s="83">
        <v>0</v>
      </c>
      <c r="L45" s="83" t="s">
        <v>656</v>
      </c>
      <c r="M45" s="83" t="s">
        <v>205</v>
      </c>
      <c r="N45" s="94">
        <v>2</v>
      </c>
      <c r="O45" s="95">
        <v>3.4722222222222224E-4</v>
      </c>
    </row>
    <row r="46" spans="1:15" ht="54" customHeight="1" thickTop="1" thickBot="1" x14ac:dyDescent="0.25">
      <c r="A46" s="85"/>
      <c r="B46" s="93" t="s">
        <v>18</v>
      </c>
      <c r="C46" s="94" t="s">
        <v>661</v>
      </c>
      <c r="D46" s="94" t="s">
        <v>263</v>
      </c>
      <c r="E46" s="94" t="s">
        <v>13</v>
      </c>
      <c r="F46" s="94" t="s">
        <v>23</v>
      </c>
      <c r="G46" s="94" t="s">
        <v>264</v>
      </c>
      <c r="H46" s="99">
        <v>45314</v>
      </c>
      <c r="I46" s="83" t="s">
        <v>133</v>
      </c>
      <c r="J46" s="83" t="s">
        <v>134</v>
      </c>
      <c r="K46" s="83">
        <v>0</v>
      </c>
      <c r="L46" s="83" t="s">
        <v>265</v>
      </c>
      <c r="M46" s="83" t="s">
        <v>205</v>
      </c>
      <c r="N46" s="94">
        <v>1</v>
      </c>
      <c r="O46" s="95">
        <v>3.4722222222222224E-4</v>
      </c>
    </row>
    <row r="47" spans="1:15" ht="54" customHeight="1" thickTop="1" thickBot="1" x14ac:dyDescent="0.25">
      <c r="A47" s="85"/>
      <c r="B47" s="93" t="s">
        <v>18</v>
      </c>
      <c r="C47" s="94" t="s">
        <v>662</v>
      </c>
      <c r="D47" s="94" t="s">
        <v>267</v>
      </c>
      <c r="E47" s="94" t="s">
        <v>13</v>
      </c>
      <c r="F47" s="94" t="s">
        <v>23</v>
      </c>
      <c r="G47" s="94" t="s">
        <v>264</v>
      </c>
      <c r="H47" s="99">
        <v>45314</v>
      </c>
      <c r="I47" s="83" t="s">
        <v>62</v>
      </c>
      <c r="J47" s="83" t="s">
        <v>134</v>
      </c>
      <c r="K47" s="83">
        <v>0</v>
      </c>
      <c r="L47" s="83" t="s">
        <v>268</v>
      </c>
      <c r="M47" s="83" t="s">
        <v>205</v>
      </c>
      <c r="N47" s="94">
        <v>1</v>
      </c>
      <c r="O47" s="95">
        <v>3.4722222222222224E-4</v>
      </c>
    </row>
    <row r="48" spans="1:15" ht="54" customHeight="1" thickTop="1" thickBot="1" x14ac:dyDescent="0.25">
      <c r="A48" s="85"/>
      <c r="B48" s="93" t="s">
        <v>18</v>
      </c>
      <c r="C48" s="94" t="s">
        <v>663</v>
      </c>
      <c r="D48" s="94" t="s">
        <v>664</v>
      </c>
      <c r="E48" s="94" t="s">
        <v>13</v>
      </c>
      <c r="F48" s="94" t="s">
        <v>23</v>
      </c>
      <c r="G48" s="94" t="s">
        <v>736</v>
      </c>
      <c r="H48" s="99">
        <v>45314</v>
      </c>
      <c r="I48" s="83" t="s">
        <v>62</v>
      </c>
      <c r="J48" s="83" t="s">
        <v>134</v>
      </c>
      <c r="K48" s="83">
        <v>0</v>
      </c>
      <c r="L48" s="83" t="s">
        <v>272</v>
      </c>
      <c r="M48" s="83" t="s">
        <v>205</v>
      </c>
      <c r="N48" s="94">
        <v>1</v>
      </c>
      <c r="O48" s="95">
        <v>3.4722222222222224E-4</v>
      </c>
    </row>
    <row r="49" spans="1:15" ht="54" customHeight="1" thickTop="1" thickBot="1" x14ac:dyDescent="0.25">
      <c r="A49" s="85"/>
      <c r="B49" s="93" t="s">
        <v>18</v>
      </c>
      <c r="C49" s="94" t="s">
        <v>665</v>
      </c>
      <c r="D49" s="94" t="s">
        <v>526</v>
      </c>
      <c r="E49" s="94" t="s">
        <v>13</v>
      </c>
      <c r="F49" s="94" t="s">
        <v>23</v>
      </c>
      <c r="G49" s="69" t="s">
        <v>275</v>
      </c>
      <c r="H49" s="70">
        <v>45314</v>
      </c>
      <c r="I49" s="83" t="s">
        <v>90</v>
      </c>
      <c r="J49" s="83" t="s">
        <v>134</v>
      </c>
      <c r="K49" s="83">
        <v>0</v>
      </c>
      <c r="L49" s="83" t="s">
        <v>276</v>
      </c>
      <c r="M49" s="83" t="s">
        <v>847</v>
      </c>
      <c r="N49" s="94">
        <v>1</v>
      </c>
      <c r="O49" s="95">
        <v>3.4722222222222224E-4</v>
      </c>
    </row>
    <row r="50" spans="1:15" ht="54" customHeight="1" thickTop="1" thickBot="1" x14ac:dyDescent="0.25">
      <c r="A50" s="85"/>
      <c r="B50" s="93" t="s">
        <v>18</v>
      </c>
      <c r="C50" s="94" t="s">
        <v>666</v>
      </c>
      <c r="D50" s="94" t="s">
        <v>278</v>
      </c>
      <c r="E50" s="94" t="s">
        <v>13</v>
      </c>
      <c r="F50" s="94" t="s">
        <v>23</v>
      </c>
      <c r="G50" s="69" t="s">
        <v>279</v>
      </c>
      <c r="H50" s="70">
        <v>45314</v>
      </c>
      <c r="I50" s="83" t="s">
        <v>90</v>
      </c>
      <c r="J50" s="83" t="s">
        <v>134</v>
      </c>
      <c r="K50" s="83">
        <v>0</v>
      </c>
      <c r="L50" s="83" t="s">
        <v>280</v>
      </c>
      <c r="M50" s="83" t="s">
        <v>847</v>
      </c>
      <c r="N50" s="94">
        <v>1</v>
      </c>
      <c r="O50" s="95">
        <v>5.2083333333333333E-4</v>
      </c>
    </row>
    <row r="51" spans="1:15" ht="54" customHeight="1" thickTop="1" thickBot="1" x14ac:dyDescent="0.25">
      <c r="A51" s="85"/>
      <c r="B51" s="93" t="s">
        <v>18</v>
      </c>
      <c r="C51" s="94" t="s">
        <v>667</v>
      </c>
      <c r="D51" s="94" t="s">
        <v>668</v>
      </c>
      <c r="E51" s="94" t="s">
        <v>13</v>
      </c>
      <c r="F51" s="94" t="s">
        <v>23</v>
      </c>
      <c r="G51" s="69" t="s">
        <v>224</v>
      </c>
      <c r="H51" s="70">
        <v>45315</v>
      </c>
      <c r="I51" s="83" t="s">
        <v>90</v>
      </c>
      <c r="J51" s="83" t="s">
        <v>134</v>
      </c>
      <c r="K51" s="83">
        <v>0</v>
      </c>
      <c r="L51" s="83" t="s">
        <v>283</v>
      </c>
      <c r="M51" s="83" t="s">
        <v>847</v>
      </c>
      <c r="N51" s="94">
        <v>1</v>
      </c>
      <c r="O51" s="95">
        <v>6.9444444444444447E-4</v>
      </c>
    </row>
    <row r="52" spans="1:15" ht="54" customHeight="1" thickTop="1" thickBot="1" x14ac:dyDescent="0.25">
      <c r="A52" s="85"/>
      <c r="B52" s="93" t="s">
        <v>18</v>
      </c>
      <c r="C52" s="94" t="s">
        <v>669</v>
      </c>
      <c r="D52" s="94" t="s">
        <v>285</v>
      </c>
      <c r="E52" s="94" t="s">
        <v>13</v>
      </c>
      <c r="F52" s="94" t="s">
        <v>23</v>
      </c>
      <c r="G52" s="94" t="s">
        <v>286</v>
      </c>
      <c r="H52" s="99">
        <v>45314</v>
      </c>
      <c r="I52" s="83" t="s">
        <v>62</v>
      </c>
      <c r="J52" s="83" t="s">
        <v>134</v>
      </c>
      <c r="K52" s="83">
        <v>0</v>
      </c>
      <c r="L52" s="83" t="s">
        <v>287</v>
      </c>
      <c r="M52" s="83" t="s">
        <v>205</v>
      </c>
      <c r="N52" s="94">
        <v>1</v>
      </c>
      <c r="O52" s="95">
        <v>3.4722222222222224E-4</v>
      </c>
    </row>
    <row r="53" spans="1:15" ht="54" customHeight="1" thickTop="1" thickBot="1" x14ac:dyDescent="0.25">
      <c r="A53" s="85"/>
      <c r="B53" s="93" t="s">
        <v>18</v>
      </c>
      <c r="C53" s="94" t="s">
        <v>670</v>
      </c>
      <c r="D53" s="94" t="s">
        <v>289</v>
      </c>
      <c r="E53" s="94" t="s">
        <v>13</v>
      </c>
      <c r="F53" s="94" t="s">
        <v>23</v>
      </c>
      <c r="G53" s="94" t="s">
        <v>737</v>
      </c>
      <c r="H53" s="99">
        <v>45316</v>
      </c>
      <c r="I53" s="83" t="s">
        <v>133</v>
      </c>
      <c r="J53" s="83" t="s">
        <v>134</v>
      </c>
      <c r="K53" s="83">
        <v>0</v>
      </c>
      <c r="L53" s="83" t="s">
        <v>291</v>
      </c>
      <c r="M53" s="83" t="s">
        <v>205</v>
      </c>
      <c r="N53" s="94">
        <v>1</v>
      </c>
      <c r="O53" s="95">
        <v>6.9444444444444447E-4</v>
      </c>
    </row>
    <row r="54" spans="1:15" ht="54" customHeight="1" thickTop="1" thickBot="1" x14ac:dyDescent="0.25">
      <c r="A54" s="85"/>
      <c r="B54" s="93" t="s">
        <v>18</v>
      </c>
      <c r="C54" s="94" t="s">
        <v>672</v>
      </c>
      <c r="D54" s="94" t="s">
        <v>296</v>
      </c>
      <c r="E54" s="94" t="s">
        <v>13</v>
      </c>
      <c r="F54" s="94" t="s">
        <v>23</v>
      </c>
      <c r="G54" s="94" t="s">
        <v>738</v>
      </c>
      <c r="H54" s="99">
        <v>45315</v>
      </c>
      <c r="I54" s="83" t="s">
        <v>133</v>
      </c>
      <c r="J54" s="83" t="s">
        <v>134</v>
      </c>
      <c r="K54" s="83">
        <v>0</v>
      </c>
      <c r="L54" s="83" t="s">
        <v>298</v>
      </c>
      <c r="M54" s="83" t="s">
        <v>205</v>
      </c>
      <c r="N54" s="94">
        <v>1</v>
      </c>
      <c r="O54" s="95">
        <v>3.4722222222222224E-4</v>
      </c>
    </row>
    <row r="55" spans="1:15" ht="54" customHeight="1" thickTop="1" thickBot="1" x14ac:dyDescent="0.25">
      <c r="A55" s="85"/>
      <c r="B55" s="93" t="s">
        <v>18</v>
      </c>
      <c r="C55" s="94" t="s">
        <v>674</v>
      </c>
      <c r="D55" s="94" t="s">
        <v>300</v>
      </c>
      <c r="E55" s="94" t="s">
        <v>13</v>
      </c>
      <c r="F55" s="94" t="s">
        <v>23</v>
      </c>
      <c r="G55" s="94" t="s">
        <v>738</v>
      </c>
      <c r="H55" s="99">
        <v>45315</v>
      </c>
      <c r="I55" s="83" t="s">
        <v>133</v>
      </c>
      <c r="J55" s="83" t="s">
        <v>134</v>
      </c>
      <c r="K55" s="83">
        <v>0</v>
      </c>
      <c r="L55" s="83" t="s">
        <v>298</v>
      </c>
      <c r="M55" s="83" t="s">
        <v>205</v>
      </c>
      <c r="N55" s="94">
        <v>1</v>
      </c>
      <c r="O55" s="95">
        <v>3.4722222222222224E-4</v>
      </c>
    </row>
    <row r="56" spans="1:15" ht="54" customHeight="1" thickTop="1" thickBot="1" x14ac:dyDescent="0.25">
      <c r="A56" s="85"/>
      <c r="B56" s="93" t="s">
        <v>18</v>
      </c>
      <c r="C56" s="94" t="s">
        <v>648</v>
      </c>
      <c r="D56" s="94" t="s">
        <v>859</v>
      </c>
      <c r="E56" s="94" t="s">
        <v>13</v>
      </c>
      <c r="F56" s="94" t="s">
        <v>23</v>
      </c>
      <c r="G56" s="94" t="s">
        <v>212</v>
      </c>
      <c r="H56" s="99">
        <v>45314</v>
      </c>
      <c r="I56" s="83" t="s">
        <v>133</v>
      </c>
      <c r="J56" s="83" t="s">
        <v>134</v>
      </c>
      <c r="K56" s="83">
        <v>0</v>
      </c>
      <c r="L56" s="83" t="s">
        <v>213</v>
      </c>
      <c r="M56" s="83" t="s">
        <v>847</v>
      </c>
      <c r="N56" s="94">
        <v>1</v>
      </c>
      <c r="O56" s="95">
        <v>3.4722222222222224E-4</v>
      </c>
    </row>
    <row r="57" spans="1:15" ht="54" customHeight="1" thickTop="1" thickBot="1" x14ac:dyDescent="0.25">
      <c r="A57" s="85"/>
      <c r="B57" s="93" t="s">
        <v>18</v>
      </c>
      <c r="C57" s="94" t="s">
        <v>675</v>
      </c>
      <c r="D57" s="94" t="s">
        <v>676</v>
      </c>
      <c r="E57" s="94" t="s">
        <v>13</v>
      </c>
      <c r="F57" s="94" t="s">
        <v>23</v>
      </c>
      <c r="G57" s="94" t="s">
        <v>739</v>
      </c>
      <c r="H57" s="99">
        <v>45314</v>
      </c>
      <c r="I57" s="83" t="s">
        <v>62</v>
      </c>
      <c r="J57" s="83" t="s">
        <v>134</v>
      </c>
      <c r="K57" s="83">
        <v>0</v>
      </c>
      <c r="L57" s="83" t="s">
        <v>311</v>
      </c>
      <c r="M57" s="83" t="s">
        <v>205</v>
      </c>
      <c r="N57" s="94">
        <v>1</v>
      </c>
      <c r="O57" s="95">
        <v>8.6805555555555551E-4</v>
      </c>
    </row>
    <row r="58" spans="1:15" ht="54" customHeight="1" thickTop="1" thickBot="1" x14ac:dyDescent="0.25">
      <c r="A58" s="85"/>
      <c r="B58" s="93" t="s">
        <v>18</v>
      </c>
      <c r="C58" s="94" t="s">
        <v>678</v>
      </c>
      <c r="D58" s="94" t="s">
        <v>313</v>
      </c>
      <c r="E58" s="94" t="s">
        <v>13</v>
      </c>
      <c r="F58" s="94" t="s">
        <v>23</v>
      </c>
      <c r="G58" s="94" t="s">
        <v>740</v>
      </c>
      <c r="H58" s="99">
        <v>45315</v>
      </c>
      <c r="I58" s="83" t="s">
        <v>133</v>
      </c>
      <c r="J58" s="83" t="s">
        <v>134</v>
      </c>
      <c r="K58" s="83">
        <v>0</v>
      </c>
      <c r="L58" s="83" t="s">
        <v>315</v>
      </c>
      <c r="M58" s="83" t="s">
        <v>205</v>
      </c>
      <c r="N58" s="94">
        <v>1</v>
      </c>
      <c r="O58" s="95">
        <v>6.9444444444444447E-4</v>
      </c>
    </row>
    <row r="59" spans="1:15" ht="54" customHeight="1" thickTop="1" thickBot="1" x14ac:dyDescent="0.25">
      <c r="A59" s="85"/>
      <c r="B59" s="93" t="s">
        <v>18</v>
      </c>
      <c r="C59" s="94" t="s">
        <v>679</v>
      </c>
      <c r="D59" s="94" t="s">
        <v>321</v>
      </c>
      <c r="E59" s="94" t="s">
        <v>13</v>
      </c>
      <c r="F59" s="94" t="s">
        <v>23</v>
      </c>
      <c r="G59" s="94" t="s">
        <v>740</v>
      </c>
      <c r="H59" s="99">
        <v>45315</v>
      </c>
      <c r="I59" s="83" t="s">
        <v>133</v>
      </c>
      <c r="J59" s="83" t="s">
        <v>134</v>
      </c>
      <c r="K59" s="83">
        <v>0</v>
      </c>
      <c r="L59" s="83" t="s">
        <v>315</v>
      </c>
      <c r="M59" s="83" t="s">
        <v>205</v>
      </c>
      <c r="N59" s="94">
        <v>1</v>
      </c>
      <c r="O59" s="95">
        <v>6.9444444444444447E-4</v>
      </c>
    </row>
    <row r="60" spans="1:15" ht="54" customHeight="1" thickTop="1" thickBot="1" x14ac:dyDescent="0.25">
      <c r="A60" s="137"/>
      <c r="B60" s="114" t="s">
        <v>18</v>
      </c>
      <c r="C60" s="116" t="s">
        <v>681</v>
      </c>
      <c r="D60" s="115" t="s">
        <v>860</v>
      </c>
      <c r="E60" s="115" t="s">
        <v>23</v>
      </c>
      <c r="F60" s="115"/>
      <c r="G60" s="115"/>
      <c r="H60" s="128"/>
      <c r="I60" s="83" t="s">
        <v>133</v>
      </c>
      <c r="J60" s="83" t="s">
        <v>63</v>
      </c>
      <c r="K60" s="83">
        <v>0</v>
      </c>
      <c r="L60" s="83" t="s">
        <v>677</v>
      </c>
      <c r="M60" s="83" t="s">
        <v>846</v>
      </c>
      <c r="N60" s="115">
        <v>1</v>
      </c>
      <c r="O60" s="119">
        <v>6.9444444444444447E-4</v>
      </c>
    </row>
    <row r="61" spans="1:15" ht="54" customHeight="1" thickTop="1" thickBot="1" x14ac:dyDescent="0.25">
      <c r="A61" s="137"/>
      <c r="B61" s="114" t="s">
        <v>18</v>
      </c>
      <c r="C61" s="115" t="s">
        <v>683</v>
      </c>
      <c r="D61" s="115" t="s">
        <v>323</v>
      </c>
      <c r="E61" s="115" t="s">
        <v>13</v>
      </c>
      <c r="F61" s="115" t="s">
        <v>325</v>
      </c>
      <c r="G61" s="115" t="s">
        <v>710</v>
      </c>
      <c r="H61" s="128" t="s">
        <v>327</v>
      </c>
      <c r="I61" s="83" t="s">
        <v>133</v>
      </c>
      <c r="J61" s="83" t="s">
        <v>63</v>
      </c>
      <c r="K61" s="83">
        <v>0</v>
      </c>
      <c r="L61" s="83" t="s">
        <v>328</v>
      </c>
      <c r="M61" s="83" t="s">
        <v>124</v>
      </c>
      <c r="N61" s="115">
        <v>1</v>
      </c>
      <c r="O61" s="119">
        <v>1.7361111111111112E-4</v>
      </c>
    </row>
    <row r="62" spans="1:15" ht="54" customHeight="1" thickTop="1" thickBot="1" x14ac:dyDescent="0.25">
      <c r="A62" s="137"/>
      <c r="B62" s="114" t="s">
        <v>18</v>
      </c>
      <c r="C62" s="115" t="s">
        <v>684</v>
      </c>
      <c r="D62" s="115" t="s">
        <v>330</v>
      </c>
      <c r="E62" s="115" t="s">
        <v>23</v>
      </c>
      <c r="F62" s="115"/>
      <c r="G62" s="115"/>
      <c r="H62" s="128"/>
      <c r="I62" s="83" t="s">
        <v>133</v>
      </c>
      <c r="J62" s="83" t="s">
        <v>134</v>
      </c>
      <c r="K62" s="83">
        <v>0</v>
      </c>
      <c r="L62" s="83" t="s">
        <v>331</v>
      </c>
      <c r="M62" s="83" t="s">
        <v>238</v>
      </c>
      <c r="N62" s="115">
        <v>2</v>
      </c>
      <c r="O62" s="119">
        <v>5.2083333333333333E-4</v>
      </c>
    </row>
    <row r="63" spans="1:15" ht="54" customHeight="1" thickTop="1" thickBot="1" x14ac:dyDescent="0.25">
      <c r="A63" s="137"/>
      <c r="B63" s="114" t="s">
        <v>18</v>
      </c>
      <c r="C63" s="115" t="s">
        <v>685</v>
      </c>
      <c r="D63" s="115" t="s">
        <v>686</v>
      </c>
      <c r="E63" s="115" t="s">
        <v>13</v>
      </c>
      <c r="F63" s="115" t="s">
        <v>325</v>
      </c>
      <c r="G63" s="115" t="s">
        <v>334</v>
      </c>
      <c r="H63" s="128" t="s">
        <v>327</v>
      </c>
      <c r="I63" s="83" t="s">
        <v>62</v>
      </c>
      <c r="J63" s="83" t="s">
        <v>63</v>
      </c>
      <c r="K63" s="83">
        <v>0</v>
      </c>
      <c r="L63" s="83">
        <v>0</v>
      </c>
      <c r="M63" s="83" t="s">
        <v>124</v>
      </c>
      <c r="N63" s="115">
        <v>3</v>
      </c>
      <c r="O63" s="119">
        <v>5.2083333333333333E-4</v>
      </c>
    </row>
    <row r="64" spans="1:15" ht="54" customHeight="1" thickTop="1" thickBot="1" x14ac:dyDescent="0.25">
      <c r="A64" s="129"/>
      <c r="B64" s="122" t="s">
        <v>18</v>
      </c>
      <c r="C64" s="123" t="s">
        <v>687</v>
      </c>
      <c r="D64" s="123" t="s">
        <v>336</v>
      </c>
      <c r="E64" s="123" t="s">
        <v>13</v>
      </c>
      <c r="F64" s="123" t="s">
        <v>325</v>
      </c>
      <c r="G64" s="123" t="s">
        <v>334</v>
      </c>
      <c r="H64" s="139" t="s">
        <v>327</v>
      </c>
      <c r="I64" s="83" t="s">
        <v>62</v>
      </c>
      <c r="J64" s="83" t="s">
        <v>63</v>
      </c>
      <c r="K64" s="83">
        <v>0</v>
      </c>
      <c r="L64" s="83">
        <v>0</v>
      </c>
      <c r="M64" s="83" t="s">
        <v>124</v>
      </c>
      <c r="N64" s="123">
        <v>4</v>
      </c>
      <c r="O64" s="127">
        <v>5.2083333333333333E-4</v>
      </c>
    </row>
    <row r="65" spans="1:15" ht="54" customHeight="1" thickTop="1" thickBot="1" x14ac:dyDescent="0.25">
      <c r="A65" s="163"/>
      <c r="B65" s="157" t="s">
        <v>22</v>
      </c>
      <c r="C65" s="158" t="s">
        <v>741</v>
      </c>
      <c r="D65" s="158" t="s">
        <v>742</v>
      </c>
      <c r="E65" s="158" t="s">
        <v>23</v>
      </c>
      <c r="F65" s="158" t="s">
        <v>13</v>
      </c>
      <c r="G65" s="158" t="s">
        <v>743</v>
      </c>
      <c r="H65" s="160">
        <v>45930</v>
      </c>
      <c r="I65" s="83" t="s">
        <v>62</v>
      </c>
      <c r="J65" s="83" t="s">
        <v>134</v>
      </c>
      <c r="K65" s="83">
        <v>0</v>
      </c>
      <c r="L65" s="83" t="s">
        <v>688</v>
      </c>
      <c r="M65" s="83" t="s">
        <v>343</v>
      </c>
      <c r="N65" s="158">
        <v>4</v>
      </c>
      <c r="O65" s="164">
        <v>4.1666666666666666E-3</v>
      </c>
    </row>
    <row r="66" spans="1:15" ht="54" customHeight="1" thickTop="1" thickBot="1" x14ac:dyDescent="0.25">
      <c r="A66" s="85"/>
      <c r="B66" s="93" t="s">
        <v>22</v>
      </c>
      <c r="C66" s="94" t="s">
        <v>691</v>
      </c>
      <c r="D66" s="94" t="s">
        <v>692</v>
      </c>
      <c r="E66" s="94" t="s">
        <v>13</v>
      </c>
      <c r="F66" s="94" t="s">
        <v>23</v>
      </c>
      <c r="G66" s="94" t="s">
        <v>744</v>
      </c>
      <c r="H66" s="99">
        <v>45927</v>
      </c>
      <c r="I66" s="83" t="s">
        <v>62</v>
      </c>
      <c r="J66" s="83" t="s">
        <v>134</v>
      </c>
      <c r="K66" s="83">
        <v>0</v>
      </c>
      <c r="L66" s="83" t="s">
        <v>345</v>
      </c>
      <c r="M66" s="83" t="s">
        <v>343</v>
      </c>
      <c r="N66" s="94">
        <v>4</v>
      </c>
      <c r="O66" s="95">
        <v>1.3888888888888889E-3</v>
      </c>
    </row>
    <row r="67" spans="1:15" ht="54" customHeight="1" thickTop="1" thickBot="1" x14ac:dyDescent="0.25">
      <c r="A67" s="137"/>
      <c r="B67" s="114" t="s">
        <v>22</v>
      </c>
      <c r="C67" s="115" t="s">
        <v>694</v>
      </c>
      <c r="D67" s="115" t="s">
        <v>347</v>
      </c>
      <c r="E67" s="115" t="s">
        <v>13</v>
      </c>
      <c r="F67" s="115" t="s">
        <v>325</v>
      </c>
      <c r="G67" s="115" t="s">
        <v>745</v>
      </c>
      <c r="H67" s="128" t="s">
        <v>746</v>
      </c>
      <c r="I67" s="83" t="s">
        <v>133</v>
      </c>
      <c r="J67" s="83" t="s">
        <v>134</v>
      </c>
      <c r="K67" s="83">
        <v>0</v>
      </c>
      <c r="L67" s="83" t="s">
        <v>693</v>
      </c>
      <c r="M67" s="83" t="s">
        <v>350</v>
      </c>
      <c r="N67" s="115">
        <v>2</v>
      </c>
      <c r="O67" s="119">
        <v>2.0833333333333333E-3</v>
      </c>
    </row>
    <row r="68" spans="1:15" ht="54" customHeight="1" thickTop="1" thickBot="1" x14ac:dyDescent="0.25">
      <c r="A68" s="137"/>
      <c r="B68" s="114" t="s">
        <v>22</v>
      </c>
      <c r="C68" s="115" t="s">
        <v>695</v>
      </c>
      <c r="D68" s="115" t="s">
        <v>352</v>
      </c>
      <c r="E68" s="115" t="s">
        <v>13</v>
      </c>
      <c r="F68" s="115" t="s">
        <v>325</v>
      </c>
      <c r="G68" s="115" t="s">
        <v>745</v>
      </c>
      <c r="H68" s="128" t="s">
        <v>746</v>
      </c>
      <c r="I68" s="83" t="s">
        <v>133</v>
      </c>
      <c r="J68" s="83" t="s">
        <v>134</v>
      </c>
      <c r="K68" s="83">
        <v>0</v>
      </c>
      <c r="L68" s="83" t="s">
        <v>353</v>
      </c>
      <c r="M68" s="83" t="s">
        <v>350</v>
      </c>
      <c r="N68" s="115">
        <v>2</v>
      </c>
      <c r="O68" s="119">
        <v>2.0833333333333333E-3</v>
      </c>
    </row>
    <row r="69" spans="1:15" ht="54" customHeight="1" thickTop="1" thickBot="1" x14ac:dyDescent="0.25">
      <c r="A69" s="137"/>
      <c r="B69" s="114" t="s">
        <v>22</v>
      </c>
      <c r="C69" s="115" t="s">
        <v>696</v>
      </c>
      <c r="D69" s="115" t="s">
        <v>355</v>
      </c>
      <c r="E69" s="115" t="s">
        <v>13</v>
      </c>
      <c r="F69" s="115" t="s">
        <v>325</v>
      </c>
      <c r="G69" s="115" t="s">
        <v>710</v>
      </c>
      <c r="H69" s="128" t="s">
        <v>327</v>
      </c>
      <c r="I69" s="83" t="s">
        <v>133</v>
      </c>
      <c r="J69" s="83" t="s">
        <v>63</v>
      </c>
      <c r="K69" s="83">
        <v>0</v>
      </c>
      <c r="L69" s="83" t="s">
        <v>356</v>
      </c>
      <c r="M69" s="83" t="s">
        <v>124</v>
      </c>
      <c r="N69" s="115">
        <v>2</v>
      </c>
      <c r="O69" s="119">
        <v>6.9444444444444447E-4</v>
      </c>
    </row>
    <row r="70" spans="1:15" ht="54" customHeight="1" thickTop="1" thickBot="1" x14ac:dyDescent="0.25">
      <c r="A70" s="137"/>
      <c r="B70" s="114" t="s">
        <v>22</v>
      </c>
      <c r="C70" s="115" t="s">
        <v>697</v>
      </c>
      <c r="D70" s="115" t="s">
        <v>371</v>
      </c>
      <c r="E70" s="115" t="s">
        <v>23</v>
      </c>
      <c r="F70" s="115"/>
      <c r="G70" s="115"/>
      <c r="H70" s="128"/>
      <c r="I70" s="83" t="s">
        <v>133</v>
      </c>
      <c r="J70" s="83" t="s">
        <v>134</v>
      </c>
      <c r="K70" s="83">
        <v>0</v>
      </c>
      <c r="L70" s="83" t="s">
        <v>372</v>
      </c>
      <c r="M70" s="83" t="s">
        <v>205</v>
      </c>
      <c r="N70" s="115">
        <v>2</v>
      </c>
      <c r="O70" s="119">
        <v>1.736111111111111E-3</v>
      </c>
    </row>
    <row r="71" spans="1:15" ht="54" customHeight="1" thickTop="1" thickBot="1" x14ac:dyDescent="0.25">
      <c r="A71" s="137"/>
      <c r="B71" s="114" t="s">
        <v>22</v>
      </c>
      <c r="C71" s="115" t="s">
        <v>698</v>
      </c>
      <c r="D71" s="115" t="s">
        <v>699</v>
      </c>
      <c r="E71" s="115" t="s">
        <v>23</v>
      </c>
      <c r="F71" s="115"/>
      <c r="G71" s="115"/>
      <c r="H71" s="128"/>
      <c r="I71" s="83" t="s">
        <v>62</v>
      </c>
      <c r="J71" s="83" t="s">
        <v>134</v>
      </c>
      <c r="K71" s="83">
        <v>0</v>
      </c>
      <c r="L71" s="83" t="s">
        <v>378</v>
      </c>
      <c r="M71" s="83" t="s">
        <v>163</v>
      </c>
      <c r="N71" s="115">
        <v>1</v>
      </c>
      <c r="O71" s="119">
        <v>9.2592592592592585E-4</v>
      </c>
    </row>
    <row r="72" spans="1:15" ht="54" customHeight="1" thickTop="1" thickBot="1" x14ac:dyDescent="0.25">
      <c r="A72" s="137"/>
      <c r="B72" s="114" t="s">
        <v>22</v>
      </c>
      <c r="C72" s="115" t="s">
        <v>700</v>
      </c>
      <c r="D72" s="115" t="s">
        <v>701</v>
      </c>
      <c r="E72" s="115" t="s">
        <v>23</v>
      </c>
      <c r="F72" s="115"/>
      <c r="G72" s="115"/>
      <c r="H72" s="128"/>
      <c r="I72" s="83" t="s">
        <v>133</v>
      </c>
      <c r="J72" s="83" t="s">
        <v>134</v>
      </c>
      <c r="K72" s="83">
        <v>0</v>
      </c>
      <c r="L72" s="83" t="s">
        <v>375</v>
      </c>
      <c r="M72" s="83" t="s">
        <v>163</v>
      </c>
      <c r="N72" s="115">
        <v>2</v>
      </c>
      <c r="O72" s="119">
        <v>9.2592592592592585E-4</v>
      </c>
    </row>
    <row r="73" spans="1:15" ht="54" customHeight="1" thickTop="1" thickBot="1" x14ac:dyDescent="0.25">
      <c r="A73" s="137"/>
      <c r="B73" s="114" t="s">
        <v>22</v>
      </c>
      <c r="C73" s="115" t="s">
        <v>702</v>
      </c>
      <c r="D73" s="115" t="s">
        <v>380</v>
      </c>
      <c r="E73" s="115" t="s">
        <v>23</v>
      </c>
      <c r="F73" s="115"/>
      <c r="G73" s="115"/>
      <c r="H73" s="128"/>
      <c r="I73" s="83" t="s">
        <v>62</v>
      </c>
      <c r="J73" s="83" t="s">
        <v>63</v>
      </c>
      <c r="K73" s="83">
        <v>0</v>
      </c>
      <c r="L73" s="83" t="s">
        <v>381</v>
      </c>
      <c r="M73" s="83" t="s">
        <v>361</v>
      </c>
      <c r="N73" s="115">
        <v>1</v>
      </c>
      <c r="O73" s="119">
        <v>1.1574074074074073E-4</v>
      </c>
    </row>
    <row r="74" spans="1:15" ht="54" customHeight="1" thickTop="1" thickBot="1" x14ac:dyDescent="0.25">
      <c r="A74" s="137"/>
      <c r="B74" s="114" t="s">
        <v>22</v>
      </c>
      <c r="C74" s="115" t="s">
        <v>703</v>
      </c>
      <c r="D74" s="115" t="s">
        <v>383</v>
      </c>
      <c r="E74" s="115" t="s">
        <v>23</v>
      </c>
      <c r="F74" s="115"/>
      <c r="G74" s="115"/>
      <c r="H74" s="128"/>
      <c r="I74" s="83" t="s">
        <v>62</v>
      </c>
      <c r="J74" s="83" t="s">
        <v>63</v>
      </c>
      <c r="K74" s="83">
        <v>0</v>
      </c>
      <c r="L74" s="83" t="s">
        <v>384</v>
      </c>
      <c r="M74" s="83" t="s">
        <v>846</v>
      </c>
      <c r="N74" s="115">
        <v>1</v>
      </c>
      <c r="O74" s="119">
        <v>6.9444444444444447E-4</v>
      </c>
    </row>
    <row r="75" spans="1:15" ht="54" customHeight="1" thickTop="1" thickBot="1" x14ac:dyDescent="0.25">
      <c r="A75" s="137"/>
      <c r="B75" s="114" t="s">
        <v>22</v>
      </c>
      <c r="C75" s="115" t="s">
        <v>704</v>
      </c>
      <c r="D75" s="115" t="s">
        <v>858</v>
      </c>
      <c r="E75" s="115" t="s">
        <v>23</v>
      </c>
      <c r="F75" s="115"/>
      <c r="G75" s="115"/>
      <c r="H75" s="128"/>
      <c r="I75" s="83" t="s">
        <v>62</v>
      </c>
      <c r="J75" s="83" t="s">
        <v>63</v>
      </c>
      <c r="K75" s="83">
        <v>0</v>
      </c>
      <c r="L75" s="83" t="s">
        <v>403</v>
      </c>
      <c r="M75" s="83" t="s">
        <v>124</v>
      </c>
      <c r="N75" s="115">
        <v>2</v>
      </c>
      <c r="O75" s="119">
        <v>3.4722222222222224E-4</v>
      </c>
    </row>
    <row r="76" spans="1:15" ht="54" customHeight="1" thickTop="1" thickBot="1" x14ac:dyDescent="0.25">
      <c r="A76" s="137"/>
      <c r="B76" s="114" t="s">
        <v>22</v>
      </c>
      <c r="C76" s="115" t="s">
        <v>705</v>
      </c>
      <c r="D76" s="115" t="s">
        <v>706</v>
      </c>
      <c r="E76" s="115" t="s">
        <v>23</v>
      </c>
      <c r="F76" s="115"/>
      <c r="G76" s="115"/>
      <c r="H76" s="128"/>
      <c r="I76" s="83" t="s">
        <v>62</v>
      </c>
      <c r="J76" s="83" t="s">
        <v>63</v>
      </c>
      <c r="K76" s="83">
        <v>0</v>
      </c>
      <c r="L76" s="83" t="s">
        <v>406</v>
      </c>
      <c r="M76" s="83" t="s">
        <v>124</v>
      </c>
      <c r="N76" s="115">
        <v>2</v>
      </c>
      <c r="O76" s="119">
        <v>6.9444444444444447E-4</v>
      </c>
    </row>
    <row r="77" spans="1:15" ht="54" customHeight="1" thickTop="1" thickBot="1" x14ac:dyDescent="0.25">
      <c r="A77" s="137"/>
      <c r="B77" s="114" t="s">
        <v>22</v>
      </c>
      <c r="C77" s="115" t="s">
        <v>707</v>
      </c>
      <c r="D77" s="115" t="s">
        <v>421</v>
      </c>
      <c r="E77" s="115" t="s">
        <v>23</v>
      </c>
      <c r="F77" s="115"/>
      <c r="G77" s="115"/>
      <c r="H77" s="128"/>
      <c r="I77" s="83" t="s">
        <v>62</v>
      </c>
      <c r="J77" s="83" t="s">
        <v>134</v>
      </c>
      <c r="K77" s="83">
        <v>0</v>
      </c>
      <c r="L77" s="83" t="s">
        <v>711</v>
      </c>
      <c r="M77" s="83" t="s">
        <v>108</v>
      </c>
      <c r="N77" s="115">
        <v>2</v>
      </c>
      <c r="O77" s="119">
        <v>1.3888888888888889E-3</v>
      </c>
    </row>
    <row r="78" spans="1:15" ht="54" customHeight="1" thickTop="1" thickBot="1" x14ac:dyDescent="0.25">
      <c r="A78" s="137"/>
      <c r="B78" s="114" t="s">
        <v>22</v>
      </c>
      <c r="C78" s="115" t="s">
        <v>708</v>
      </c>
      <c r="D78" s="115" t="s">
        <v>709</v>
      </c>
      <c r="E78" s="115" t="s">
        <v>13</v>
      </c>
      <c r="F78" s="115" t="s">
        <v>325</v>
      </c>
      <c r="G78" s="115" t="s">
        <v>710</v>
      </c>
      <c r="H78" s="128" t="s">
        <v>327</v>
      </c>
      <c r="I78" s="83" t="s">
        <v>62</v>
      </c>
      <c r="J78" s="83" t="s">
        <v>63</v>
      </c>
      <c r="K78" s="83">
        <v>0</v>
      </c>
      <c r="L78" s="83" t="s">
        <v>401</v>
      </c>
      <c r="M78" s="83" t="s">
        <v>124</v>
      </c>
      <c r="N78" s="115">
        <v>1</v>
      </c>
      <c r="O78" s="119">
        <v>6.9444444444444447E-4</v>
      </c>
    </row>
    <row r="79" spans="1:15" ht="54" customHeight="1" thickTop="1" thickBot="1" x14ac:dyDescent="0.25">
      <c r="A79" s="137"/>
      <c r="B79" s="114" t="s">
        <v>22</v>
      </c>
      <c r="C79" s="115" t="s">
        <v>712</v>
      </c>
      <c r="D79" s="115" t="s">
        <v>412</v>
      </c>
      <c r="E79" s="115" t="s">
        <v>23</v>
      </c>
      <c r="F79" s="115"/>
      <c r="G79" s="115"/>
      <c r="H79" s="128"/>
      <c r="I79" s="83" t="s">
        <v>90</v>
      </c>
      <c r="J79" s="83" t="s">
        <v>63</v>
      </c>
      <c r="K79" s="83">
        <v>0</v>
      </c>
      <c r="L79" s="83" t="s">
        <v>413</v>
      </c>
      <c r="M79" s="83" t="s">
        <v>108</v>
      </c>
      <c r="N79" s="115">
        <v>4</v>
      </c>
      <c r="O79" s="119">
        <v>2.0833333333333333E-3</v>
      </c>
    </row>
    <row r="80" spans="1:15" ht="54" customHeight="1" thickTop="1" thickBot="1" x14ac:dyDescent="0.25">
      <c r="A80" s="137"/>
      <c r="B80" s="122" t="s">
        <v>22</v>
      </c>
      <c r="C80" s="123" t="s">
        <v>713</v>
      </c>
      <c r="D80" s="123" t="s">
        <v>424</v>
      </c>
      <c r="E80" s="123" t="s">
        <v>23</v>
      </c>
      <c r="F80" s="123"/>
      <c r="G80" s="123"/>
      <c r="H80" s="139"/>
      <c r="I80" s="83" t="s">
        <v>90</v>
      </c>
      <c r="J80" s="83" t="s">
        <v>63</v>
      </c>
      <c r="K80" s="83">
        <v>0</v>
      </c>
      <c r="L80" s="83" t="s">
        <v>425</v>
      </c>
      <c r="M80" s="83" t="s">
        <v>108</v>
      </c>
      <c r="N80" s="123">
        <v>2</v>
      </c>
      <c r="O80" s="127">
        <v>6.9444444444444447E-4</v>
      </c>
    </row>
    <row r="81" spans="1:16" ht="54" customHeight="1" thickTop="1" thickBot="1" x14ac:dyDescent="0.3">
      <c r="A81" s="162"/>
      <c r="B81" s="109" t="s">
        <v>26</v>
      </c>
      <c r="C81" s="110" t="s">
        <v>714</v>
      </c>
      <c r="D81" s="110" t="s">
        <v>442</v>
      </c>
      <c r="E81" s="110" t="s">
        <v>23</v>
      </c>
      <c r="F81" s="110"/>
      <c r="G81" s="110"/>
      <c r="H81" s="138"/>
      <c r="I81" s="83" t="s">
        <v>133</v>
      </c>
      <c r="J81" s="83" t="s">
        <v>63</v>
      </c>
      <c r="K81" s="83">
        <v>0</v>
      </c>
      <c r="L81" s="83" t="s">
        <v>443</v>
      </c>
      <c r="M81" s="83" t="s">
        <v>108</v>
      </c>
      <c r="N81" s="110">
        <v>1</v>
      </c>
      <c r="O81" s="113">
        <v>3.4722222222222224E-4</v>
      </c>
      <c r="P81" s="161"/>
    </row>
    <row r="82" spans="1:16" ht="54" customHeight="1" thickTop="1" thickBot="1" x14ac:dyDescent="0.3">
      <c r="A82" s="137"/>
      <c r="B82" s="114" t="s">
        <v>26</v>
      </c>
      <c r="C82" s="115" t="s">
        <v>715</v>
      </c>
      <c r="D82" s="115" t="s">
        <v>436</v>
      </c>
      <c r="E82" s="115" t="s">
        <v>23</v>
      </c>
      <c r="F82" s="115"/>
      <c r="G82" s="115"/>
      <c r="H82" s="128"/>
      <c r="I82" s="83" t="s">
        <v>133</v>
      </c>
      <c r="J82" s="83" t="s">
        <v>63</v>
      </c>
      <c r="K82" s="83">
        <v>0</v>
      </c>
      <c r="L82" s="83" t="s">
        <v>437</v>
      </c>
      <c r="M82" s="83" t="s">
        <v>108</v>
      </c>
      <c r="N82" s="115">
        <v>1</v>
      </c>
      <c r="O82" s="119">
        <v>6.9444444444444447E-4</v>
      </c>
      <c r="P82" s="161"/>
    </row>
    <row r="83" spans="1:16" ht="54" customHeight="1" thickTop="1" thickBot="1" x14ac:dyDescent="0.3">
      <c r="A83" s="137"/>
      <c r="B83" s="114" t="s">
        <v>26</v>
      </c>
      <c r="C83" s="115" t="s">
        <v>716</v>
      </c>
      <c r="D83" s="115" t="s">
        <v>433</v>
      </c>
      <c r="E83" s="115" t="s">
        <v>23</v>
      </c>
      <c r="F83" s="115"/>
      <c r="G83" s="115"/>
      <c r="H83" s="128"/>
      <c r="I83" s="83" t="s">
        <v>133</v>
      </c>
      <c r="J83" s="83" t="s">
        <v>63</v>
      </c>
      <c r="K83" s="83">
        <v>0</v>
      </c>
      <c r="L83" s="83" t="s">
        <v>434</v>
      </c>
      <c r="M83" s="83" t="s">
        <v>238</v>
      </c>
      <c r="N83" s="115">
        <v>1</v>
      </c>
      <c r="O83" s="119">
        <v>6.9444444444444447E-4</v>
      </c>
      <c r="P83" s="161"/>
    </row>
    <row r="84" spans="1:16" ht="54" customHeight="1" thickTop="1" thickBot="1" x14ac:dyDescent="0.3">
      <c r="A84" s="137"/>
      <c r="B84" s="114" t="s">
        <v>26</v>
      </c>
      <c r="C84" s="115" t="s">
        <v>717</v>
      </c>
      <c r="D84" s="115" t="s">
        <v>718</v>
      </c>
      <c r="E84" s="115" t="s">
        <v>23</v>
      </c>
      <c r="F84" s="115"/>
      <c r="G84" s="115"/>
      <c r="H84" s="128"/>
      <c r="I84" s="83" t="s">
        <v>133</v>
      </c>
      <c r="J84" s="83" t="s">
        <v>63</v>
      </c>
      <c r="K84" s="83">
        <v>0</v>
      </c>
      <c r="L84" s="83" t="s">
        <v>446</v>
      </c>
      <c r="M84" s="83" t="s">
        <v>238</v>
      </c>
      <c r="N84" s="115">
        <v>1</v>
      </c>
      <c r="O84" s="119">
        <v>0</v>
      </c>
      <c r="P84" s="161"/>
    </row>
    <row r="85" spans="1:16" ht="54" customHeight="1" thickTop="1" thickBot="1" x14ac:dyDescent="0.3">
      <c r="A85" s="137"/>
      <c r="B85" s="114" t="s">
        <v>26</v>
      </c>
      <c r="C85" s="115" t="s">
        <v>719</v>
      </c>
      <c r="D85" s="115" t="s">
        <v>448</v>
      </c>
      <c r="E85" s="115" t="s">
        <v>23</v>
      </c>
      <c r="F85" s="115"/>
      <c r="G85" s="115"/>
      <c r="H85" s="128"/>
      <c r="I85" s="83" t="s">
        <v>133</v>
      </c>
      <c r="J85" s="83" t="s">
        <v>63</v>
      </c>
      <c r="K85" s="83">
        <v>0</v>
      </c>
      <c r="L85" s="83" t="s">
        <v>449</v>
      </c>
      <c r="M85" s="83" t="s">
        <v>238</v>
      </c>
      <c r="N85" s="115">
        <v>2</v>
      </c>
      <c r="O85" s="119">
        <v>1.0416666666666667E-3</v>
      </c>
      <c r="P85" s="161"/>
    </row>
    <row r="86" spans="1:16" ht="54" customHeight="1" thickTop="1" thickBot="1" x14ac:dyDescent="0.3">
      <c r="A86" s="137"/>
      <c r="B86" s="114" t="s">
        <v>26</v>
      </c>
      <c r="C86" s="115" t="s">
        <v>720</v>
      </c>
      <c r="D86" s="115" t="s">
        <v>721</v>
      </c>
      <c r="E86" s="115" t="s">
        <v>23</v>
      </c>
      <c r="F86" s="115"/>
      <c r="G86" s="115"/>
      <c r="H86" s="128"/>
      <c r="I86" s="83" t="s">
        <v>62</v>
      </c>
      <c r="J86" s="83" t="s">
        <v>63</v>
      </c>
      <c r="K86" s="83">
        <v>0</v>
      </c>
      <c r="L86" s="83" t="s">
        <v>393</v>
      </c>
      <c r="M86" s="83" t="s">
        <v>851</v>
      </c>
      <c r="N86" s="115">
        <v>2</v>
      </c>
      <c r="O86" s="119">
        <v>5.2083333333333333E-4</v>
      </c>
      <c r="P86" s="161"/>
    </row>
    <row r="87" spans="1:16" ht="54" customHeight="1" thickTop="1" thickBot="1" x14ac:dyDescent="0.3">
      <c r="A87" s="129"/>
      <c r="B87" s="122" t="s">
        <v>26</v>
      </c>
      <c r="C87" s="123" t="s">
        <v>722</v>
      </c>
      <c r="D87" s="123" t="s">
        <v>457</v>
      </c>
      <c r="E87" s="123" t="s">
        <v>23</v>
      </c>
      <c r="F87" s="123"/>
      <c r="G87" s="123"/>
      <c r="H87" s="139"/>
      <c r="I87" s="83" t="s">
        <v>90</v>
      </c>
      <c r="J87" s="83" t="s">
        <v>63</v>
      </c>
      <c r="K87" s="83">
        <v>0</v>
      </c>
      <c r="L87" s="83" t="s">
        <v>458</v>
      </c>
      <c r="M87" s="83" t="s">
        <v>850</v>
      </c>
      <c r="N87" s="123">
        <v>2</v>
      </c>
      <c r="O87" s="127">
        <v>6.9444444444444447E-4</v>
      </c>
      <c r="P87" s="161"/>
    </row>
    <row r="88" spans="1:16" ht="66" customHeight="1" thickTop="1" thickBot="1" x14ac:dyDescent="0.3">
      <c r="A88" s="130"/>
      <c r="B88" s="131" t="s">
        <v>723</v>
      </c>
      <c r="C88" s="132" t="s">
        <v>724</v>
      </c>
      <c r="D88" s="132" t="s">
        <v>468</v>
      </c>
      <c r="E88" s="135" t="s">
        <v>23</v>
      </c>
      <c r="F88" s="135"/>
      <c r="G88" s="135"/>
      <c r="H88" s="152"/>
      <c r="I88" s="83" t="s">
        <v>62</v>
      </c>
      <c r="J88" s="83" t="s">
        <v>134</v>
      </c>
      <c r="K88" s="83">
        <v>0</v>
      </c>
      <c r="L88" s="83" t="s">
        <v>725</v>
      </c>
      <c r="M88" s="83" t="s">
        <v>852</v>
      </c>
      <c r="N88" s="135">
        <v>2</v>
      </c>
      <c r="O88" s="153">
        <v>2.0013888888888891</v>
      </c>
      <c r="P88" s="102"/>
    </row>
    <row r="128" ht="66" customHeight="1" x14ac:dyDescent="0.2"/>
  </sheetData>
  <autoFilter ref="A2:M88" xr:uid="{1F478E64-C5A9-4A43-89AA-045599EB1EC1}"/>
  <conditionalFormatting sqref="C3:H12 C15:D35 C61:D74 E15:H27 H28 E29:H44 E46:H48 E52:H88 C37:D55 C36 C57:D59 C56 C76:D87 C75">
    <cfRule type="expression" dxfId="73" priority="29">
      <formula>AND(OR($F3="No",$F3=""), $E3= "Yes",$G3&lt;&gt;"",$H3&lt;&gt;"")</formula>
    </cfRule>
  </conditionalFormatting>
  <conditionalFormatting sqref="N66:O88">
    <cfRule type="expression" dxfId="72" priority="28">
      <formula>AND(OR($E66="No",$E66=""), $D66= "Yes",$F66&lt;&gt;"",$G66&lt;&gt;"")</formula>
    </cfRule>
  </conditionalFormatting>
  <conditionalFormatting sqref="I3:M88">
    <cfRule type="expression" dxfId="71" priority="27">
      <formula>AND(OR($E4="No",$E4=""), $D3= "Yes",$F3&lt;&gt;"",$G3&lt;&gt;"")</formula>
    </cfRule>
  </conditionalFormatting>
  <conditionalFormatting sqref="N3:O12 N29:O64 N15:O27">
    <cfRule type="expression" dxfId="70" priority="12">
      <formula>AND(OR($E3="No",$E3=""), $D3= "Yes",$F3&lt;&gt;"",$G3&lt;&gt;"")</formula>
    </cfRule>
  </conditionalFormatting>
  <conditionalFormatting sqref="N65:O65">
    <cfRule type="expression" dxfId="69" priority="11">
      <formula>AND(OR($F65="No",$F65=""), $E65= "Yes",$G65&lt;&gt;"",$H65&lt;&gt;"")</formula>
    </cfRule>
  </conditionalFormatting>
  <conditionalFormatting sqref="N28:O28">
    <cfRule type="expression" dxfId="68" priority="10">
      <formula>AND(OR($F28="No",$F28=""), $E28= "Yes",$G28&lt;&gt;"",$H28&lt;&gt;"")</formula>
    </cfRule>
  </conditionalFormatting>
  <conditionalFormatting sqref="C13:H14">
    <cfRule type="expression" dxfId="67" priority="8">
      <formula>AND(OR($F13="No",$F13=""), $E13= "Yes",$G13&lt;&gt;"",$H13&lt;&gt;"")</formula>
    </cfRule>
  </conditionalFormatting>
  <conditionalFormatting sqref="N13:O14">
    <cfRule type="expression" dxfId="66" priority="7">
      <formula>AND(OR($E13="No",$E13=""), $D13= "Yes",$F13&lt;&gt;"",$G13&lt;&gt;"")</formula>
    </cfRule>
  </conditionalFormatting>
  <conditionalFormatting sqref="E45:H45">
    <cfRule type="expression" dxfId="65" priority="5">
      <formula>AND(OR($E45="No",$E45=""), $F45= "Yes",$G45&lt;&gt;"",$H45&lt;&gt;"")</formula>
    </cfRule>
    <cfRule type="expression" dxfId="64" priority="6">
      <formula>AND(OR($F45="No",$F45=""), $E45= "Yes",$G45&lt;&gt;"",$H45&lt;&gt;"")</formula>
    </cfRule>
  </conditionalFormatting>
  <conditionalFormatting sqref="G49:H51">
    <cfRule type="expression" dxfId="63" priority="3">
      <formula>AND(OR($E49="No",$E49=""), $F49= "Yes",$G49&lt;&gt;"",$H49&lt;&gt;"")</formula>
    </cfRule>
    <cfRule type="expression" dxfId="62" priority="4">
      <formula>AND(OR($F49="No",$F49=""), $E49= "Yes",$G49&lt;&gt;"",$H49&lt;&gt;"")</formula>
    </cfRule>
  </conditionalFormatting>
  <conditionalFormatting sqref="E49:F51">
    <cfRule type="expression" dxfId="61" priority="2">
      <formula>AND(OR($F49="No",$F49=""), $E49= "Yes",$G49&lt;&gt;"",$H49&lt;&gt;"")</formula>
    </cfRule>
  </conditionalFormatting>
  <conditionalFormatting sqref="D75">
    <cfRule type="expression" dxfId="60"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46:E88 E3:E27 E29:E44 E45:F45 K1:K2 K89:K1048576" xr:uid="{DC18D1DE-4330-45F8-AA50-116294833802}">
      <formula1>"Yes, No"</formula1>
    </dataValidation>
  </dataValidations>
  <pageMargins left="0.2" right="0.2" top="0.2" bottom="0.2" header="0.3" footer="0.3"/>
  <pageSetup paperSize="8" scale="79"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28"/>
  <sheetViews>
    <sheetView zoomScale="60" zoomScaleNormal="60" workbookViewId="0">
      <pane ySplit="2" topLeftCell="A11" activePane="bottomLeft" state="frozen"/>
      <selection pane="bottomLeft" activeCell="D22" sqref="D22"/>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5" width="8.88671875" style="2" customWidth="1"/>
    <col min="16" max="16384" width="8.88671875" style="2"/>
  </cols>
  <sheetData>
    <row r="1" spans="1:15" ht="21" customHeight="1" thickBot="1" x14ac:dyDescent="0.3">
      <c r="A1" s="21"/>
      <c r="B1" s="75" t="s">
        <v>49</v>
      </c>
      <c r="C1" s="56" t="s">
        <v>747</v>
      </c>
      <c r="D1" s="5"/>
      <c r="E1" s="19"/>
      <c r="F1" s="19"/>
      <c r="G1" s="19"/>
      <c r="H1" s="19"/>
      <c r="I1" s="19"/>
      <c r="J1" s="19"/>
      <c r="K1" s="5"/>
      <c r="L1" s="5"/>
    </row>
    <row r="2" spans="1:15" s="6" customFormat="1" ht="87.95" customHeight="1" thickBot="1" x14ac:dyDescent="0.25">
      <c r="A2" s="51" t="s">
        <v>43</v>
      </c>
      <c r="B2" s="62" t="s">
        <v>44</v>
      </c>
      <c r="C2" s="51" t="s">
        <v>45</v>
      </c>
      <c r="D2" s="52" t="s">
        <v>46</v>
      </c>
      <c r="E2" s="53" t="s">
        <v>25</v>
      </c>
      <c r="F2" s="53" t="s">
        <v>21</v>
      </c>
      <c r="G2" s="54" t="s">
        <v>47</v>
      </c>
      <c r="H2" s="54" t="s">
        <v>48</v>
      </c>
      <c r="I2" s="55" t="s">
        <v>51</v>
      </c>
      <c r="J2" s="55" t="s">
        <v>52</v>
      </c>
      <c r="K2" s="55" t="s">
        <v>53</v>
      </c>
      <c r="L2" s="55" t="s">
        <v>54</v>
      </c>
      <c r="M2" s="55" t="s">
        <v>55</v>
      </c>
      <c r="N2" s="67" t="s">
        <v>56</v>
      </c>
      <c r="O2" s="67" t="s">
        <v>57</v>
      </c>
    </row>
    <row r="3" spans="1:15" ht="54" customHeight="1" thickTop="1" thickBot="1" x14ac:dyDescent="0.25">
      <c r="A3" s="85"/>
      <c r="B3" s="90" t="s">
        <v>12</v>
      </c>
      <c r="C3" s="91" t="s">
        <v>748</v>
      </c>
      <c r="D3" s="91" t="s">
        <v>475</v>
      </c>
      <c r="E3" s="91" t="s">
        <v>13</v>
      </c>
      <c r="F3" s="91" t="s">
        <v>23</v>
      </c>
      <c r="G3" s="91" t="s">
        <v>60</v>
      </c>
      <c r="H3" s="100" t="s">
        <v>61</v>
      </c>
      <c r="I3" s="91" t="s">
        <v>62</v>
      </c>
      <c r="J3" s="91" t="s">
        <v>63</v>
      </c>
      <c r="K3" s="91">
        <v>0</v>
      </c>
      <c r="L3" s="91" t="s">
        <v>68</v>
      </c>
      <c r="M3" s="91" t="s">
        <v>69</v>
      </c>
      <c r="N3" s="91">
        <v>1</v>
      </c>
      <c r="O3" s="92">
        <v>1.3888888888888889E-3</v>
      </c>
    </row>
    <row r="4" spans="1:15" ht="54" customHeight="1" thickTop="1" thickBot="1" x14ac:dyDescent="0.25">
      <c r="A4" s="85"/>
      <c r="B4" s="93" t="s">
        <v>12</v>
      </c>
      <c r="C4" s="94" t="s">
        <v>749</v>
      </c>
      <c r="D4" s="94" t="s">
        <v>750</v>
      </c>
      <c r="E4" s="94" t="s">
        <v>13</v>
      </c>
      <c r="F4" s="94" t="s">
        <v>23</v>
      </c>
      <c r="G4" s="94" t="s">
        <v>60</v>
      </c>
      <c r="H4" s="99" t="s">
        <v>61</v>
      </c>
      <c r="I4" s="91" t="s">
        <v>62</v>
      </c>
      <c r="J4" s="91" t="s">
        <v>63</v>
      </c>
      <c r="K4" s="91">
        <v>0</v>
      </c>
      <c r="L4" s="91" t="s">
        <v>95</v>
      </c>
      <c r="M4" s="91" t="s">
        <v>65</v>
      </c>
      <c r="N4" s="94">
        <v>1</v>
      </c>
      <c r="O4" s="95">
        <v>2.0833333333333333E-3</v>
      </c>
    </row>
    <row r="5" spans="1:15" ht="54" customHeight="1" thickTop="1" thickBot="1" x14ac:dyDescent="0.25">
      <c r="A5" s="86"/>
      <c r="B5" s="96" t="s">
        <v>12</v>
      </c>
      <c r="C5" s="97" t="s">
        <v>751</v>
      </c>
      <c r="D5" s="97" t="s">
        <v>479</v>
      </c>
      <c r="E5" s="97" t="s">
        <v>13</v>
      </c>
      <c r="F5" s="97" t="s">
        <v>23</v>
      </c>
      <c r="G5" s="97" t="s">
        <v>60</v>
      </c>
      <c r="H5" s="101" t="s">
        <v>61</v>
      </c>
      <c r="I5" s="91" t="s">
        <v>62</v>
      </c>
      <c r="J5" s="91" t="s">
        <v>63</v>
      </c>
      <c r="K5" s="91">
        <v>0</v>
      </c>
      <c r="L5" s="91" t="s">
        <v>100</v>
      </c>
      <c r="M5" s="91" t="s">
        <v>65</v>
      </c>
      <c r="N5" s="97">
        <v>1</v>
      </c>
      <c r="O5" s="98">
        <v>1.0416666666666667E-3</v>
      </c>
    </row>
    <row r="6" spans="1:15" ht="54" customHeight="1" thickTop="1" thickBot="1" x14ac:dyDescent="0.25">
      <c r="A6" s="85"/>
      <c r="B6" s="90" t="s">
        <v>15</v>
      </c>
      <c r="C6" s="91" t="s">
        <v>752</v>
      </c>
      <c r="D6" s="91" t="s">
        <v>753</v>
      </c>
      <c r="E6" s="91" t="s">
        <v>13</v>
      </c>
      <c r="F6" s="91" t="s">
        <v>23</v>
      </c>
      <c r="G6" s="91" t="s">
        <v>132</v>
      </c>
      <c r="H6" s="100">
        <v>45313</v>
      </c>
      <c r="I6" s="91" t="s">
        <v>133</v>
      </c>
      <c r="J6" s="91" t="s">
        <v>134</v>
      </c>
      <c r="K6" s="91">
        <v>0</v>
      </c>
      <c r="L6" s="91" t="s">
        <v>135</v>
      </c>
      <c r="M6" s="91" t="s">
        <v>108</v>
      </c>
      <c r="N6" s="91">
        <v>4</v>
      </c>
      <c r="O6" s="92">
        <v>1.736111111111111E-3</v>
      </c>
    </row>
    <row r="7" spans="1:15" ht="54" customHeight="1" thickTop="1" thickBot="1" x14ac:dyDescent="0.25">
      <c r="A7" s="85"/>
      <c r="B7" s="93" t="s">
        <v>15</v>
      </c>
      <c r="C7" s="94" t="s">
        <v>754</v>
      </c>
      <c r="D7" s="94" t="s">
        <v>755</v>
      </c>
      <c r="E7" s="94" t="s">
        <v>13</v>
      </c>
      <c r="F7" s="94" t="s">
        <v>23</v>
      </c>
      <c r="G7" s="94" t="s">
        <v>138</v>
      </c>
      <c r="H7" s="99">
        <v>45317</v>
      </c>
      <c r="I7" s="91" t="s">
        <v>133</v>
      </c>
      <c r="J7" s="91" t="s">
        <v>134</v>
      </c>
      <c r="K7" s="91">
        <v>0</v>
      </c>
      <c r="L7" s="91" t="s">
        <v>135</v>
      </c>
      <c r="M7" s="91" t="s">
        <v>108</v>
      </c>
      <c r="N7" s="94">
        <v>4</v>
      </c>
      <c r="O7" s="95">
        <v>1.736111111111111E-3</v>
      </c>
    </row>
    <row r="8" spans="1:15" ht="54" customHeight="1" thickTop="1" thickBot="1" x14ac:dyDescent="0.25">
      <c r="A8" s="85"/>
      <c r="B8" s="93" t="s">
        <v>15</v>
      </c>
      <c r="C8" s="94" t="s">
        <v>756</v>
      </c>
      <c r="D8" s="94" t="s">
        <v>757</v>
      </c>
      <c r="E8" s="94" t="s">
        <v>13</v>
      </c>
      <c r="F8" s="94" t="s">
        <v>23</v>
      </c>
      <c r="G8" s="94" t="s">
        <v>132</v>
      </c>
      <c r="H8" s="99">
        <v>45313</v>
      </c>
      <c r="I8" s="91" t="s">
        <v>133</v>
      </c>
      <c r="J8" s="91" t="s">
        <v>134</v>
      </c>
      <c r="K8" s="91">
        <v>0</v>
      </c>
      <c r="L8" s="91" t="s">
        <v>135</v>
      </c>
      <c r="M8" s="91" t="s">
        <v>108</v>
      </c>
      <c r="N8" s="94">
        <v>4</v>
      </c>
      <c r="O8" s="95">
        <v>1.736111111111111E-3</v>
      </c>
    </row>
    <row r="9" spans="1:15" ht="54" customHeight="1" thickTop="1" thickBot="1" x14ac:dyDescent="0.25">
      <c r="A9" s="85"/>
      <c r="B9" s="93" t="s">
        <v>15</v>
      </c>
      <c r="C9" s="94" t="s">
        <v>758</v>
      </c>
      <c r="D9" s="94" t="s">
        <v>759</v>
      </c>
      <c r="E9" s="94" t="s">
        <v>13</v>
      </c>
      <c r="F9" s="94" t="s">
        <v>23</v>
      </c>
      <c r="G9" s="94" t="s">
        <v>143</v>
      </c>
      <c r="H9" s="99">
        <v>45320</v>
      </c>
      <c r="I9" s="91" t="s">
        <v>133</v>
      </c>
      <c r="J9" s="91" t="s">
        <v>134</v>
      </c>
      <c r="K9" s="91">
        <v>0</v>
      </c>
      <c r="L9" s="91" t="s">
        <v>135</v>
      </c>
      <c r="M9" s="91" t="s">
        <v>108</v>
      </c>
      <c r="N9" s="94">
        <v>4</v>
      </c>
      <c r="O9" s="95">
        <v>1.736111111111111E-3</v>
      </c>
    </row>
    <row r="10" spans="1:15" ht="54" customHeight="1" thickTop="1" thickBot="1" x14ac:dyDescent="0.25">
      <c r="A10" s="85"/>
      <c r="B10" s="93" t="s">
        <v>15</v>
      </c>
      <c r="C10" s="94" t="s">
        <v>760</v>
      </c>
      <c r="D10" s="94" t="s">
        <v>489</v>
      </c>
      <c r="E10" s="94" t="s">
        <v>13</v>
      </c>
      <c r="F10" s="94" t="s">
        <v>23</v>
      </c>
      <c r="G10" s="94" t="s">
        <v>728</v>
      </c>
      <c r="H10" s="99">
        <v>45313</v>
      </c>
      <c r="I10" s="91" t="s">
        <v>133</v>
      </c>
      <c r="J10" s="91" t="s">
        <v>63</v>
      </c>
      <c r="K10" s="91">
        <v>0</v>
      </c>
      <c r="L10" s="91" t="s">
        <v>490</v>
      </c>
      <c r="M10" s="91" t="s">
        <v>124</v>
      </c>
      <c r="N10" s="94">
        <v>1</v>
      </c>
      <c r="O10" s="95">
        <v>6.9444444444444447E-4</v>
      </c>
    </row>
    <row r="11" spans="1:15" ht="54" customHeight="1" thickTop="1" thickBot="1" x14ac:dyDescent="0.25">
      <c r="A11" s="85"/>
      <c r="B11" s="93" t="s">
        <v>15</v>
      </c>
      <c r="C11" s="94" t="s">
        <v>761</v>
      </c>
      <c r="D11" s="94" t="s">
        <v>492</v>
      </c>
      <c r="E11" s="94" t="s">
        <v>13</v>
      </c>
      <c r="F11" s="94" t="s">
        <v>23</v>
      </c>
      <c r="G11" s="94" t="s">
        <v>138</v>
      </c>
      <c r="H11" s="99">
        <v>45317</v>
      </c>
      <c r="I11" s="91" t="s">
        <v>62</v>
      </c>
      <c r="J11" s="91" t="s">
        <v>134</v>
      </c>
      <c r="K11" s="91">
        <v>0</v>
      </c>
      <c r="L11" s="91" t="s">
        <v>162</v>
      </c>
      <c r="M11" s="91" t="s">
        <v>163</v>
      </c>
      <c r="N11" s="94">
        <v>2</v>
      </c>
      <c r="O11" s="95">
        <v>4.6296296296296293E-4</v>
      </c>
    </row>
    <row r="12" spans="1:15" ht="54" customHeight="1" thickTop="1" thickBot="1" x14ac:dyDescent="0.25">
      <c r="A12" s="85"/>
      <c r="B12" s="93" t="s">
        <v>15</v>
      </c>
      <c r="C12" s="94" t="s">
        <v>762</v>
      </c>
      <c r="D12" s="94" t="s">
        <v>494</v>
      </c>
      <c r="E12" s="94" t="s">
        <v>13</v>
      </c>
      <c r="F12" s="94" t="s">
        <v>23</v>
      </c>
      <c r="G12" s="94" t="s">
        <v>143</v>
      </c>
      <c r="H12" s="99">
        <v>45320</v>
      </c>
      <c r="I12" s="91" t="s">
        <v>62</v>
      </c>
      <c r="J12" s="91" t="s">
        <v>134</v>
      </c>
      <c r="K12" s="91">
        <v>0</v>
      </c>
      <c r="L12" s="91" t="s">
        <v>162</v>
      </c>
      <c r="M12" s="91" t="s">
        <v>163</v>
      </c>
      <c r="N12" s="94">
        <v>2</v>
      </c>
      <c r="O12" s="95">
        <v>4.6296296296296293E-4</v>
      </c>
    </row>
    <row r="13" spans="1:15" ht="54" customHeight="1" thickTop="1" thickBot="1" x14ac:dyDescent="0.25">
      <c r="A13" s="86"/>
      <c r="B13" s="96" t="s">
        <v>15</v>
      </c>
      <c r="C13" s="97" t="s">
        <v>763</v>
      </c>
      <c r="D13" s="97" t="s">
        <v>496</v>
      </c>
      <c r="E13" s="71" t="s">
        <v>13</v>
      </c>
      <c r="F13" s="71" t="s">
        <v>23</v>
      </c>
      <c r="G13" s="71" t="s">
        <v>177</v>
      </c>
      <c r="H13" s="101">
        <v>45317</v>
      </c>
      <c r="I13" s="91" t="s">
        <v>90</v>
      </c>
      <c r="J13" s="91" t="s">
        <v>63</v>
      </c>
      <c r="K13" s="91">
        <v>0</v>
      </c>
      <c r="L13" s="91" t="s">
        <v>497</v>
      </c>
      <c r="M13" s="91" t="s">
        <v>108</v>
      </c>
      <c r="N13" s="97">
        <v>1</v>
      </c>
      <c r="O13" s="98">
        <v>6.9444444444444447E-4</v>
      </c>
    </row>
    <row r="14" spans="1:15" ht="54" customHeight="1" thickTop="1" thickBot="1" x14ac:dyDescent="0.25">
      <c r="A14" s="85"/>
      <c r="B14" s="90" t="s">
        <v>18</v>
      </c>
      <c r="C14" s="91" t="s">
        <v>764</v>
      </c>
      <c r="D14" s="91" t="s">
        <v>207</v>
      </c>
      <c r="E14" s="91" t="s">
        <v>13</v>
      </c>
      <c r="F14" s="91" t="s">
        <v>23</v>
      </c>
      <c r="G14" s="91" t="s">
        <v>765</v>
      </c>
      <c r="H14" s="100">
        <v>45316</v>
      </c>
      <c r="I14" s="91" t="s">
        <v>133</v>
      </c>
      <c r="J14" s="91" t="s">
        <v>134</v>
      </c>
      <c r="K14" s="91">
        <v>0</v>
      </c>
      <c r="L14" s="91" t="s">
        <v>209</v>
      </c>
      <c r="M14" s="91" t="s">
        <v>205</v>
      </c>
      <c r="N14" s="91">
        <v>1</v>
      </c>
      <c r="O14" s="92">
        <v>3.4722222222222224E-4</v>
      </c>
    </row>
    <row r="15" spans="1:15" ht="54" customHeight="1" thickTop="1" thickBot="1" x14ac:dyDescent="0.25">
      <c r="A15" s="85"/>
      <c r="B15" s="93" t="s">
        <v>18</v>
      </c>
      <c r="C15" s="94" t="s">
        <v>766</v>
      </c>
      <c r="D15" s="94" t="s">
        <v>207</v>
      </c>
      <c r="E15" s="94" t="s">
        <v>13</v>
      </c>
      <c r="F15" s="94" t="s">
        <v>23</v>
      </c>
      <c r="G15" s="94" t="s">
        <v>765</v>
      </c>
      <c r="H15" s="99">
        <v>45316</v>
      </c>
      <c r="I15" s="91" t="s">
        <v>133</v>
      </c>
      <c r="J15" s="91" t="s">
        <v>134</v>
      </c>
      <c r="K15" s="91">
        <v>0</v>
      </c>
      <c r="L15" s="91" t="s">
        <v>209</v>
      </c>
      <c r="M15" s="91" t="s">
        <v>205</v>
      </c>
      <c r="N15" s="94">
        <v>1</v>
      </c>
      <c r="O15" s="95">
        <v>3.4722222222222224E-4</v>
      </c>
    </row>
    <row r="16" spans="1:15" ht="54" customHeight="1" thickTop="1" thickBot="1" x14ac:dyDescent="0.25">
      <c r="A16" s="85"/>
      <c r="B16" s="93" t="s">
        <v>18</v>
      </c>
      <c r="C16" s="94" t="s">
        <v>767</v>
      </c>
      <c r="D16" s="94" t="s">
        <v>861</v>
      </c>
      <c r="E16" s="94" t="s">
        <v>13</v>
      </c>
      <c r="F16" s="94" t="s">
        <v>23</v>
      </c>
      <c r="G16" s="94" t="s">
        <v>212</v>
      </c>
      <c r="H16" s="99">
        <v>45314</v>
      </c>
      <c r="I16" s="91" t="s">
        <v>90</v>
      </c>
      <c r="J16" s="91" t="s">
        <v>134</v>
      </c>
      <c r="K16" s="91">
        <v>0</v>
      </c>
      <c r="L16" s="91" t="s">
        <v>213</v>
      </c>
      <c r="M16" s="91" t="s">
        <v>847</v>
      </c>
      <c r="N16" s="94">
        <v>1</v>
      </c>
      <c r="O16" s="95">
        <v>3.4722222222222224E-4</v>
      </c>
    </row>
    <row r="17" spans="1:15" ht="54" customHeight="1" thickTop="1" thickBot="1" x14ac:dyDescent="0.25">
      <c r="A17" s="85"/>
      <c r="B17" s="93" t="s">
        <v>18</v>
      </c>
      <c r="C17" s="94" t="s">
        <v>768</v>
      </c>
      <c r="D17" s="94" t="s">
        <v>215</v>
      </c>
      <c r="E17" s="94" t="s">
        <v>13</v>
      </c>
      <c r="F17" s="94" t="s">
        <v>23</v>
      </c>
      <c r="G17" s="94" t="s">
        <v>216</v>
      </c>
      <c r="H17" s="99">
        <v>45316</v>
      </c>
      <c r="I17" s="91" t="s">
        <v>133</v>
      </c>
      <c r="J17" s="91" t="s">
        <v>134</v>
      </c>
      <c r="K17" s="91">
        <v>0</v>
      </c>
      <c r="L17" s="91" t="s">
        <v>217</v>
      </c>
      <c r="M17" s="91" t="s">
        <v>847</v>
      </c>
      <c r="N17" s="94">
        <v>1</v>
      </c>
      <c r="O17" s="95">
        <v>5.7870370370370378E-4</v>
      </c>
    </row>
    <row r="18" spans="1:15" ht="54" customHeight="1" thickTop="1" thickBot="1" x14ac:dyDescent="0.25">
      <c r="A18" s="85"/>
      <c r="B18" s="93" t="s">
        <v>18</v>
      </c>
      <c r="C18" s="94" t="s">
        <v>769</v>
      </c>
      <c r="D18" s="94" t="s">
        <v>219</v>
      </c>
      <c r="E18" s="94" t="s">
        <v>13</v>
      </c>
      <c r="F18" s="94" t="s">
        <v>23</v>
      </c>
      <c r="G18" s="94" t="s">
        <v>220</v>
      </c>
      <c r="H18" s="99">
        <v>45929</v>
      </c>
      <c r="I18" s="91" t="s">
        <v>133</v>
      </c>
      <c r="J18" s="91" t="s">
        <v>134</v>
      </c>
      <c r="K18" s="91">
        <v>0</v>
      </c>
      <c r="L18" s="91" t="s">
        <v>221</v>
      </c>
      <c r="M18" s="91" t="s">
        <v>205</v>
      </c>
      <c r="N18" s="94">
        <v>2</v>
      </c>
      <c r="O18" s="95">
        <v>6.9444444444444447E-4</v>
      </c>
    </row>
    <row r="19" spans="1:15" ht="54" customHeight="1" thickTop="1" thickBot="1" x14ac:dyDescent="0.25">
      <c r="A19" s="85"/>
      <c r="B19" s="93" t="s">
        <v>18</v>
      </c>
      <c r="C19" s="94" t="s">
        <v>770</v>
      </c>
      <c r="D19" s="94" t="s">
        <v>223</v>
      </c>
      <c r="E19" s="94" t="s">
        <v>13</v>
      </c>
      <c r="F19" s="94" t="s">
        <v>23</v>
      </c>
      <c r="G19" s="94" t="s">
        <v>224</v>
      </c>
      <c r="H19" s="99">
        <v>45315</v>
      </c>
      <c r="I19" s="91" t="s">
        <v>62</v>
      </c>
      <c r="J19" s="91" t="s">
        <v>134</v>
      </c>
      <c r="K19" s="91">
        <v>0</v>
      </c>
      <c r="L19" s="91" t="s">
        <v>225</v>
      </c>
      <c r="M19" s="91" t="s">
        <v>205</v>
      </c>
      <c r="N19" s="94">
        <v>1</v>
      </c>
      <c r="O19" s="95">
        <v>3.4722222222222224E-4</v>
      </c>
    </row>
    <row r="20" spans="1:15" ht="54" customHeight="1" thickTop="1" thickBot="1" x14ac:dyDescent="0.25">
      <c r="A20" s="85"/>
      <c r="B20" s="93" t="s">
        <v>18</v>
      </c>
      <c r="C20" s="94" t="s">
        <v>771</v>
      </c>
      <c r="D20" s="94" t="s">
        <v>227</v>
      </c>
      <c r="E20" s="94" t="s">
        <v>13</v>
      </c>
      <c r="F20" s="94" t="s">
        <v>23</v>
      </c>
      <c r="G20" s="94" t="s">
        <v>216</v>
      </c>
      <c r="H20" s="99">
        <v>45316</v>
      </c>
      <c r="I20" s="91" t="s">
        <v>133</v>
      </c>
      <c r="J20" s="91" t="s">
        <v>63</v>
      </c>
      <c r="K20" s="91">
        <v>0</v>
      </c>
      <c r="L20" s="91" t="s">
        <v>217</v>
      </c>
      <c r="M20" s="91" t="s">
        <v>205</v>
      </c>
      <c r="N20" s="94">
        <v>1</v>
      </c>
      <c r="O20" s="95">
        <v>1.0416666666666667E-3</v>
      </c>
    </row>
    <row r="21" spans="1:15" ht="54" customHeight="1" thickTop="1" thickBot="1" x14ac:dyDescent="0.25">
      <c r="A21" s="85"/>
      <c r="B21" s="93" t="s">
        <v>18</v>
      </c>
      <c r="C21" s="94" t="s">
        <v>772</v>
      </c>
      <c r="D21" s="94" t="s">
        <v>229</v>
      </c>
      <c r="E21" s="94" t="s">
        <v>13</v>
      </c>
      <c r="F21" s="94" t="s">
        <v>23</v>
      </c>
      <c r="G21" s="94" t="s">
        <v>732</v>
      </c>
      <c r="H21" s="99">
        <v>45316</v>
      </c>
      <c r="I21" s="91" t="s">
        <v>133</v>
      </c>
      <c r="J21" s="91" t="s">
        <v>134</v>
      </c>
      <c r="K21" s="91">
        <v>0</v>
      </c>
      <c r="L21" s="91" t="s">
        <v>231</v>
      </c>
      <c r="M21" s="91" t="s">
        <v>205</v>
      </c>
      <c r="N21" s="94">
        <v>1</v>
      </c>
      <c r="O21" s="95">
        <v>1.1574074074074073E-4</v>
      </c>
    </row>
    <row r="22" spans="1:15" ht="54" customHeight="1" thickTop="1" thickBot="1" x14ac:dyDescent="0.25">
      <c r="A22" s="85"/>
      <c r="B22" s="93" t="s">
        <v>18</v>
      </c>
      <c r="C22" s="94" t="s">
        <v>773</v>
      </c>
      <c r="D22" s="94" t="s">
        <v>856</v>
      </c>
      <c r="E22" s="94" t="s">
        <v>13</v>
      </c>
      <c r="F22" s="94" t="s">
        <v>23</v>
      </c>
      <c r="G22" s="94" t="s">
        <v>508</v>
      </c>
      <c r="H22" s="99">
        <v>45314</v>
      </c>
      <c r="I22" s="91" t="s">
        <v>90</v>
      </c>
      <c r="J22" s="91" t="s">
        <v>134</v>
      </c>
      <c r="K22" s="91">
        <v>0</v>
      </c>
      <c r="L22" s="91" t="s">
        <v>509</v>
      </c>
      <c r="M22" s="91" t="s">
        <v>847</v>
      </c>
      <c r="N22" s="94">
        <v>1</v>
      </c>
      <c r="O22" s="95">
        <v>3.4722222222222224E-4</v>
      </c>
    </row>
    <row r="23" spans="1:15" ht="54" customHeight="1" thickTop="1" thickBot="1" x14ac:dyDescent="0.25">
      <c r="A23" s="85"/>
      <c r="B23" s="93" t="s">
        <v>18</v>
      </c>
      <c r="C23" s="94" t="s">
        <v>774</v>
      </c>
      <c r="D23" s="94" t="s">
        <v>244</v>
      </c>
      <c r="E23" s="94" t="s">
        <v>13</v>
      </c>
      <c r="F23" s="94" t="s">
        <v>23</v>
      </c>
      <c r="G23" s="94" t="s">
        <v>245</v>
      </c>
      <c r="H23" s="99">
        <v>45313</v>
      </c>
      <c r="I23" s="91" t="s">
        <v>133</v>
      </c>
      <c r="J23" s="91" t="s">
        <v>134</v>
      </c>
      <c r="K23" s="91">
        <v>0</v>
      </c>
      <c r="L23" s="91" t="s">
        <v>246</v>
      </c>
      <c r="M23" s="91" t="s">
        <v>205</v>
      </c>
      <c r="N23" s="94">
        <v>1</v>
      </c>
      <c r="O23" s="95">
        <v>6.9444444444444447E-4</v>
      </c>
    </row>
    <row r="24" spans="1:15" ht="54" customHeight="1" thickTop="1" thickBot="1" x14ac:dyDescent="0.25">
      <c r="A24" s="85"/>
      <c r="B24" s="93" t="s">
        <v>18</v>
      </c>
      <c r="C24" s="94" t="s">
        <v>775</v>
      </c>
      <c r="D24" s="94" t="s">
        <v>267</v>
      </c>
      <c r="E24" s="94" t="s">
        <v>13</v>
      </c>
      <c r="F24" s="94" t="s">
        <v>23</v>
      </c>
      <c r="G24" s="94" t="s">
        <v>264</v>
      </c>
      <c r="H24" s="99">
        <v>45314</v>
      </c>
      <c r="I24" s="91" t="s">
        <v>62</v>
      </c>
      <c r="J24" s="91" t="s">
        <v>134</v>
      </c>
      <c r="K24" s="91">
        <v>0</v>
      </c>
      <c r="L24" s="91" t="s">
        <v>268</v>
      </c>
      <c r="M24" s="91" t="s">
        <v>205</v>
      </c>
      <c r="N24" s="94">
        <v>1</v>
      </c>
      <c r="O24" s="95">
        <v>3.4722222222222224E-4</v>
      </c>
    </row>
    <row r="25" spans="1:15" ht="54" customHeight="1" thickTop="1" thickBot="1" x14ac:dyDescent="0.25">
      <c r="A25" s="85"/>
      <c r="B25" s="93" t="s">
        <v>18</v>
      </c>
      <c r="C25" s="94" t="s">
        <v>776</v>
      </c>
      <c r="D25" s="94" t="s">
        <v>526</v>
      </c>
      <c r="E25" s="94" t="s">
        <v>13</v>
      </c>
      <c r="F25" s="94" t="s">
        <v>23</v>
      </c>
      <c r="G25" s="89" t="s">
        <v>275</v>
      </c>
      <c r="H25" s="88">
        <v>45314</v>
      </c>
      <c r="I25" s="91" t="s">
        <v>90</v>
      </c>
      <c r="J25" s="91" t="s">
        <v>134</v>
      </c>
      <c r="K25" s="91">
        <v>0</v>
      </c>
      <c r="L25" s="91" t="s">
        <v>276</v>
      </c>
      <c r="M25" s="91" t="s">
        <v>847</v>
      </c>
      <c r="N25" s="94">
        <v>1</v>
      </c>
      <c r="O25" s="95">
        <v>3.4722222222222224E-4</v>
      </c>
    </row>
    <row r="26" spans="1:15" ht="54" customHeight="1" thickTop="1" thickBot="1" x14ac:dyDescent="0.25">
      <c r="A26" s="85"/>
      <c r="B26" s="93" t="s">
        <v>18</v>
      </c>
      <c r="C26" s="94" t="s">
        <v>777</v>
      </c>
      <c r="D26" s="94" t="s">
        <v>528</v>
      </c>
      <c r="E26" s="94" t="s">
        <v>13</v>
      </c>
      <c r="F26" s="94" t="s">
        <v>23</v>
      </c>
      <c r="G26" s="89" t="s">
        <v>224</v>
      </c>
      <c r="H26" s="88">
        <v>45314</v>
      </c>
      <c r="I26" s="91" t="s">
        <v>90</v>
      </c>
      <c r="J26" s="91" t="s">
        <v>134</v>
      </c>
      <c r="K26" s="91">
        <v>0</v>
      </c>
      <c r="L26" s="91" t="s">
        <v>283</v>
      </c>
      <c r="M26" s="91" t="s">
        <v>847</v>
      </c>
      <c r="N26" s="94">
        <v>1</v>
      </c>
      <c r="O26" s="95">
        <v>6.9444444444444447E-4</v>
      </c>
    </row>
    <row r="27" spans="1:15" ht="54" customHeight="1" thickTop="1" thickBot="1" x14ac:dyDescent="0.25">
      <c r="A27" s="85"/>
      <c r="B27" s="93" t="s">
        <v>18</v>
      </c>
      <c r="C27" s="94" t="s">
        <v>778</v>
      </c>
      <c r="D27" s="94" t="s">
        <v>285</v>
      </c>
      <c r="E27" s="94" t="s">
        <v>13</v>
      </c>
      <c r="F27" s="94" t="s">
        <v>23</v>
      </c>
      <c r="G27" s="94" t="s">
        <v>286</v>
      </c>
      <c r="H27" s="99">
        <v>45314</v>
      </c>
      <c r="I27" s="91" t="s">
        <v>62</v>
      </c>
      <c r="J27" s="91" t="s">
        <v>134</v>
      </c>
      <c r="K27" s="91">
        <v>0</v>
      </c>
      <c r="L27" s="91" t="s">
        <v>287</v>
      </c>
      <c r="M27" s="91" t="s">
        <v>205</v>
      </c>
      <c r="N27" s="94">
        <v>1</v>
      </c>
      <c r="O27" s="95">
        <v>3.4722222222222224E-4</v>
      </c>
    </row>
    <row r="28" spans="1:15" ht="54" customHeight="1" thickTop="1" thickBot="1" x14ac:dyDescent="0.25">
      <c r="A28" s="85"/>
      <c r="B28" s="93" t="s">
        <v>18</v>
      </c>
      <c r="C28" s="94" t="s">
        <v>779</v>
      </c>
      <c r="D28" s="94" t="s">
        <v>289</v>
      </c>
      <c r="E28" s="94" t="s">
        <v>13</v>
      </c>
      <c r="F28" s="94" t="s">
        <v>23</v>
      </c>
      <c r="G28" s="94" t="s">
        <v>737</v>
      </c>
      <c r="H28" s="99">
        <v>45316</v>
      </c>
      <c r="I28" s="91" t="s">
        <v>133</v>
      </c>
      <c r="J28" s="91" t="s">
        <v>134</v>
      </c>
      <c r="K28" s="91">
        <v>0</v>
      </c>
      <c r="L28" s="91" t="s">
        <v>291</v>
      </c>
      <c r="M28" s="91" t="s">
        <v>205</v>
      </c>
      <c r="N28" s="94">
        <v>1</v>
      </c>
      <c r="O28" s="95">
        <v>6.9444444444444447E-4</v>
      </c>
    </row>
    <row r="29" spans="1:15" ht="54" customHeight="1" thickTop="1" thickBot="1" x14ac:dyDescent="0.25">
      <c r="A29" s="85"/>
      <c r="B29" s="93" t="s">
        <v>18</v>
      </c>
      <c r="C29" s="94" t="s">
        <v>780</v>
      </c>
      <c r="D29" s="94" t="s">
        <v>781</v>
      </c>
      <c r="E29" s="94" t="s">
        <v>13</v>
      </c>
      <c r="F29" s="94" t="s">
        <v>23</v>
      </c>
      <c r="G29" s="94" t="s">
        <v>739</v>
      </c>
      <c r="H29" s="99">
        <v>45314</v>
      </c>
      <c r="I29" s="91" t="s">
        <v>62</v>
      </c>
      <c r="J29" s="91" t="s">
        <v>134</v>
      </c>
      <c r="K29" s="91">
        <v>0</v>
      </c>
      <c r="L29" s="91" t="s">
        <v>311</v>
      </c>
      <c r="M29" s="91" t="s">
        <v>205</v>
      </c>
      <c r="N29" s="94">
        <v>1</v>
      </c>
      <c r="O29" s="95">
        <v>8.6805555555555551E-4</v>
      </c>
    </row>
    <row r="30" spans="1:15" ht="54" customHeight="1" thickTop="1" thickBot="1" x14ac:dyDescent="0.25">
      <c r="A30" s="85"/>
      <c r="B30" s="93" t="s">
        <v>18</v>
      </c>
      <c r="C30" s="94" t="s">
        <v>782</v>
      </c>
      <c r="D30" s="94" t="s">
        <v>540</v>
      </c>
      <c r="E30" s="94" t="s">
        <v>13</v>
      </c>
      <c r="F30" s="94" t="s">
        <v>23</v>
      </c>
      <c r="G30" s="94" t="s">
        <v>740</v>
      </c>
      <c r="H30" s="99">
        <v>45315</v>
      </c>
      <c r="I30" s="91" t="s">
        <v>133</v>
      </c>
      <c r="J30" s="91" t="s">
        <v>134</v>
      </c>
      <c r="K30" s="91">
        <v>0</v>
      </c>
      <c r="L30" s="91" t="s">
        <v>315</v>
      </c>
      <c r="M30" s="91" t="s">
        <v>205</v>
      </c>
      <c r="N30" s="94">
        <v>1</v>
      </c>
      <c r="O30" s="95">
        <v>6.9444444444444447E-4</v>
      </c>
    </row>
    <row r="31" spans="1:15" ht="54" customHeight="1" thickTop="1" thickBot="1" x14ac:dyDescent="0.25">
      <c r="A31" s="86"/>
      <c r="B31" s="96" t="s">
        <v>18</v>
      </c>
      <c r="C31" s="97" t="s">
        <v>783</v>
      </c>
      <c r="D31" s="97" t="s">
        <v>542</v>
      </c>
      <c r="E31" s="97" t="s">
        <v>13</v>
      </c>
      <c r="F31" s="97" t="s">
        <v>23</v>
      </c>
      <c r="G31" s="97" t="s">
        <v>740</v>
      </c>
      <c r="H31" s="101">
        <v>45315</v>
      </c>
      <c r="I31" s="91" t="s">
        <v>133</v>
      </c>
      <c r="J31" s="91" t="s">
        <v>134</v>
      </c>
      <c r="K31" s="91">
        <v>0</v>
      </c>
      <c r="L31" s="91" t="s">
        <v>315</v>
      </c>
      <c r="M31" s="91" t="s">
        <v>205</v>
      </c>
      <c r="N31" s="97">
        <v>1</v>
      </c>
      <c r="O31" s="98">
        <v>6.9444444444444447E-4</v>
      </c>
    </row>
    <row r="32" spans="1:15" ht="54" customHeight="1" thickTop="1" thickBot="1" x14ac:dyDescent="0.25">
      <c r="A32" s="137"/>
      <c r="B32" s="109" t="s">
        <v>22</v>
      </c>
      <c r="C32" s="110" t="s">
        <v>784</v>
      </c>
      <c r="D32" s="110" t="s">
        <v>785</v>
      </c>
      <c r="E32" s="110" t="s">
        <v>13</v>
      </c>
      <c r="F32" s="110" t="s">
        <v>23</v>
      </c>
      <c r="G32" s="110" t="s">
        <v>745</v>
      </c>
      <c r="H32" s="138" t="s">
        <v>786</v>
      </c>
      <c r="I32" s="91" t="s">
        <v>133</v>
      </c>
      <c r="J32" s="91" t="s">
        <v>134</v>
      </c>
      <c r="K32" s="91">
        <v>0</v>
      </c>
      <c r="L32" s="91" t="s">
        <v>353</v>
      </c>
      <c r="M32" s="91" t="s">
        <v>350</v>
      </c>
      <c r="N32" s="110">
        <v>2</v>
      </c>
      <c r="O32" s="113">
        <v>2.0833333333333333E-3</v>
      </c>
    </row>
    <row r="33" spans="1:15" ht="54" customHeight="1" thickTop="1" thickBot="1" x14ac:dyDescent="0.25">
      <c r="A33" s="137"/>
      <c r="B33" s="114" t="s">
        <v>22</v>
      </c>
      <c r="C33" s="115" t="s">
        <v>787</v>
      </c>
      <c r="D33" s="115" t="s">
        <v>788</v>
      </c>
      <c r="E33" s="115" t="s">
        <v>13</v>
      </c>
      <c r="F33" s="115" t="s">
        <v>23</v>
      </c>
      <c r="G33" s="115" t="s">
        <v>745</v>
      </c>
      <c r="H33" s="128" t="s">
        <v>786</v>
      </c>
      <c r="I33" s="91" t="s">
        <v>133</v>
      </c>
      <c r="J33" s="91" t="s">
        <v>134</v>
      </c>
      <c r="K33" s="91">
        <v>0</v>
      </c>
      <c r="L33" s="91" t="s">
        <v>353</v>
      </c>
      <c r="M33" s="91" t="s">
        <v>350</v>
      </c>
      <c r="N33" s="115">
        <v>2</v>
      </c>
      <c r="O33" s="119">
        <v>2.0833333333333333E-3</v>
      </c>
    </row>
    <row r="34" spans="1:15" ht="54" customHeight="1" thickTop="1" thickBot="1" x14ac:dyDescent="0.25">
      <c r="A34" s="85"/>
      <c r="B34" s="93" t="s">
        <v>22</v>
      </c>
      <c r="C34" s="94" t="s">
        <v>789</v>
      </c>
      <c r="D34" s="94" t="s">
        <v>790</v>
      </c>
      <c r="E34" s="94" t="str">
        <f>'UNDM 4 Car'!E66</f>
        <v>Yes</v>
      </c>
      <c r="F34" s="94" t="str">
        <f>'UNDM 4 Car'!F66</f>
        <v>No</v>
      </c>
      <c r="G34" s="94" t="str">
        <f>'UNDM 4 Car'!G66</f>
        <v>Gold Team, PS,AL,CP</v>
      </c>
      <c r="H34" s="99">
        <f>'UNDM 4 Car'!H66</f>
        <v>45927</v>
      </c>
      <c r="I34" s="91" t="s">
        <v>133</v>
      </c>
      <c r="J34" s="91" t="s">
        <v>134</v>
      </c>
      <c r="K34" s="91">
        <v>0</v>
      </c>
      <c r="L34" s="91" t="s">
        <v>345</v>
      </c>
      <c r="M34" s="91" t="s">
        <v>343</v>
      </c>
      <c r="N34" s="94">
        <v>4</v>
      </c>
      <c r="O34" s="95">
        <v>5.208333333333333E-3</v>
      </c>
    </row>
    <row r="35" spans="1:15" ht="54" customHeight="1" thickTop="1" thickBot="1" x14ac:dyDescent="0.25">
      <c r="A35" s="137"/>
      <c r="B35" s="114" t="s">
        <v>22</v>
      </c>
      <c r="C35" s="115" t="s">
        <v>791</v>
      </c>
      <c r="D35" s="115" t="s">
        <v>551</v>
      </c>
      <c r="E35" s="115" t="str">
        <f>'Trailer 4 Car'!E44</f>
        <v>Yes</v>
      </c>
      <c r="F35" s="115" t="str">
        <f>'Trailer 4 Car'!F44</f>
        <v>No</v>
      </c>
      <c r="G35" s="115" t="str">
        <f>'Trailer 4 Car'!G44</f>
        <v>Gold Team, JD,OM,LVN</v>
      </c>
      <c r="H35" s="115">
        <f>'Trailer 4 Car'!H44</f>
        <v>45930</v>
      </c>
      <c r="I35" s="91" t="s">
        <v>133</v>
      </c>
      <c r="J35" s="91" t="s">
        <v>134</v>
      </c>
      <c r="K35" s="91">
        <v>0</v>
      </c>
      <c r="L35" s="91" t="s">
        <v>345</v>
      </c>
      <c r="M35" s="91" t="s">
        <v>343</v>
      </c>
      <c r="N35" s="115">
        <v>4</v>
      </c>
      <c r="O35" s="119">
        <v>5.208333333333333E-3</v>
      </c>
    </row>
    <row r="36" spans="1:15" ht="54" customHeight="1" thickTop="1" thickBot="1" x14ac:dyDescent="0.25">
      <c r="A36" s="137"/>
      <c r="B36" s="114" t="s">
        <v>22</v>
      </c>
      <c r="C36" s="115" t="s">
        <v>792</v>
      </c>
      <c r="D36" s="115" t="s">
        <v>371</v>
      </c>
      <c r="E36" s="115" t="s">
        <v>23</v>
      </c>
      <c r="F36" s="115"/>
      <c r="G36" s="115"/>
      <c r="H36" s="128"/>
      <c r="I36" s="91" t="s">
        <v>133</v>
      </c>
      <c r="J36" s="91" t="s">
        <v>134</v>
      </c>
      <c r="K36" s="91">
        <v>0</v>
      </c>
      <c r="L36" s="91" t="s">
        <v>372</v>
      </c>
      <c r="M36" s="91" t="s">
        <v>205</v>
      </c>
      <c r="N36" s="115">
        <v>2</v>
      </c>
      <c r="O36" s="119">
        <v>1.736111111111111E-3</v>
      </c>
    </row>
    <row r="37" spans="1:15" ht="54" customHeight="1" thickTop="1" thickBot="1" x14ac:dyDescent="0.25">
      <c r="A37" s="137"/>
      <c r="B37" s="114" t="s">
        <v>22</v>
      </c>
      <c r="C37" s="115" t="s">
        <v>793</v>
      </c>
      <c r="D37" s="115" t="s">
        <v>794</v>
      </c>
      <c r="E37" s="115" t="s">
        <v>23</v>
      </c>
      <c r="F37" s="115"/>
      <c r="G37" s="115"/>
      <c r="H37" s="128"/>
      <c r="I37" s="91" t="s">
        <v>62</v>
      </c>
      <c r="J37" s="91" t="s">
        <v>134</v>
      </c>
      <c r="K37" s="91">
        <v>0</v>
      </c>
      <c r="L37" s="91" t="s">
        <v>375</v>
      </c>
      <c r="M37" s="91" t="s">
        <v>163</v>
      </c>
      <c r="N37" s="115">
        <v>2</v>
      </c>
      <c r="O37" s="119">
        <v>4.6296296296296293E-4</v>
      </c>
    </row>
    <row r="38" spans="1:15" ht="54" customHeight="1" thickTop="1" thickBot="1" x14ac:dyDescent="0.25">
      <c r="A38" s="137"/>
      <c r="B38" s="114" t="s">
        <v>22</v>
      </c>
      <c r="C38" s="115" t="s">
        <v>795</v>
      </c>
      <c r="D38" s="115" t="s">
        <v>412</v>
      </c>
      <c r="E38" s="115" t="s">
        <v>23</v>
      </c>
      <c r="F38" s="115"/>
      <c r="G38" s="115"/>
      <c r="H38" s="128"/>
      <c r="I38" s="91" t="s">
        <v>90</v>
      </c>
      <c r="J38" s="91" t="s">
        <v>63</v>
      </c>
      <c r="K38" s="91">
        <v>0</v>
      </c>
      <c r="L38" s="91" t="s">
        <v>413</v>
      </c>
      <c r="M38" s="91" t="s">
        <v>108</v>
      </c>
      <c r="N38" s="115">
        <v>4</v>
      </c>
      <c r="O38" s="119">
        <v>2.0833333333333333E-3</v>
      </c>
    </row>
    <row r="39" spans="1:15" ht="54" customHeight="1" thickTop="1" thickBot="1" x14ac:dyDescent="0.25">
      <c r="A39" s="137"/>
      <c r="B39" s="122" t="s">
        <v>22</v>
      </c>
      <c r="C39" s="123" t="s">
        <v>796</v>
      </c>
      <c r="D39" s="123" t="s">
        <v>424</v>
      </c>
      <c r="E39" s="123" t="s">
        <v>23</v>
      </c>
      <c r="F39" s="123"/>
      <c r="G39" s="123"/>
      <c r="H39" s="139"/>
      <c r="I39" s="91" t="s">
        <v>62</v>
      </c>
      <c r="J39" s="91" t="s">
        <v>63</v>
      </c>
      <c r="K39" s="91">
        <v>0</v>
      </c>
      <c r="L39" s="91" t="s">
        <v>425</v>
      </c>
      <c r="M39" s="91" t="s">
        <v>108</v>
      </c>
      <c r="N39" s="123">
        <v>2</v>
      </c>
      <c r="O39" s="127">
        <v>6.9444444444444447E-4</v>
      </c>
    </row>
    <row r="40" spans="1:15" ht="54" customHeight="1" thickTop="1" thickBot="1" x14ac:dyDescent="0.25">
      <c r="A40" s="162"/>
      <c r="B40" s="109" t="s">
        <v>26</v>
      </c>
      <c r="C40" s="110" t="s">
        <v>797</v>
      </c>
      <c r="D40" s="110" t="s">
        <v>433</v>
      </c>
      <c r="E40" s="110" t="s">
        <v>23</v>
      </c>
      <c r="F40" s="110"/>
      <c r="G40" s="110"/>
      <c r="H40" s="138"/>
      <c r="I40" s="91" t="s">
        <v>133</v>
      </c>
      <c r="J40" s="91" t="s">
        <v>63</v>
      </c>
      <c r="K40" s="91">
        <v>0</v>
      </c>
      <c r="L40" s="91" t="s">
        <v>434</v>
      </c>
      <c r="M40" s="91" t="s">
        <v>238</v>
      </c>
      <c r="N40" s="110">
        <v>1</v>
      </c>
      <c r="O40" s="113">
        <v>6.9444444444444447E-4</v>
      </c>
    </row>
    <row r="41" spans="1:15" ht="54" customHeight="1" thickTop="1" thickBot="1" x14ac:dyDescent="0.25">
      <c r="A41" s="129"/>
      <c r="B41" s="114" t="s">
        <v>26</v>
      </c>
      <c r="C41" s="115" t="s">
        <v>798</v>
      </c>
      <c r="D41" s="115" t="s">
        <v>799</v>
      </c>
      <c r="E41" s="115" t="s">
        <v>23</v>
      </c>
      <c r="F41" s="115"/>
      <c r="G41" s="115"/>
      <c r="H41" s="128"/>
      <c r="I41" s="91" t="s">
        <v>133</v>
      </c>
      <c r="J41" s="91" t="s">
        <v>63</v>
      </c>
      <c r="K41" s="91">
        <v>0</v>
      </c>
      <c r="L41" s="91">
        <v>0</v>
      </c>
      <c r="M41" s="91" t="s">
        <v>849</v>
      </c>
      <c r="N41" s="115">
        <v>1</v>
      </c>
      <c r="O41" s="119">
        <v>3.4722222222222224E-4</v>
      </c>
    </row>
    <row r="42" spans="1:15" ht="33" thickTop="1" thickBot="1" x14ac:dyDescent="0.25">
      <c r="B42" s="183" t="s">
        <v>853</v>
      </c>
      <c r="C42" s="184" t="s">
        <v>854</v>
      </c>
      <c r="D42" s="184" t="s">
        <v>855</v>
      </c>
      <c r="E42" s="126" t="s">
        <v>13</v>
      </c>
      <c r="F42" s="126"/>
      <c r="G42" s="126"/>
      <c r="H42" s="126"/>
      <c r="I42" s="91" t="s">
        <v>62</v>
      </c>
      <c r="J42" s="91" t="s">
        <v>134</v>
      </c>
      <c r="K42" s="91">
        <v>0</v>
      </c>
      <c r="L42" s="91">
        <v>0</v>
      </c>
      <c r="M42" s="91" t="s">
        <v>108</v>
      </c>
      <c r="N42" s="145"/>
      <c r="O42" s="146"/>
    </row>
    <row r="43" spans="1:15" ht="15.75" thickTop="1" x14ac:dyDescent="0.2"/>
    <row r="88" ht="66" customHeight="1" x14ac:dyDescent="0.2"/>
    <row r="128" ht="66" customHeight="1" x14ac:dyDescent="0.2"/>
  </sheetData>
  <autoFilter ref="A2:J42" xr:uid="{A1F54CA9-D850-4C56-9250-200AD4095B93}"/>
  <conditionalFormatting sqref="C3:D9 C11:D15 E3:G12 E14:G16 H4:H16 E17:H24 C36:D41 D34:D35 E27:H41 H3:M3 I4:M42 C17:D21 C16 C23:D33 C22">
    <cfRule type="expression" dxfId="59" priority="23">
      <formula>AND(OR($F3="No",$F3=""), $E3= "Yes",$G3&lt;&gt;"",$H3&lt;&gt;"")</formula>
    </cfRule>
  </conditionalFormatting>
  <conditionalFormatting sqref="C10:D10">
    <cfRule type="expression" dxfId="58" priority="133">
      <formula>AND(OR($F10="No",$F10=""), $E10= "Yes",#REF!&lt;&gt;"",$H10&lt;&gt;"")</formula>
    </cfRule>
  </conditionalFormatting>
  <conditionalFormatting sqref="N3:O3 N5:O12 N35:O36 N38:O40 N14:O31">
    <cfRule type="expression" dxfId="57" priority="14">
      <formula>AND(OR($F3="No",$F3=""), $E3= "Yes",$G3&lt;&gt;"",$H3&lt;&gt;"")</formula>
    </cfRule>
  </conditionalFormatting>
  <conditionalFormatting sqref="N4:O4">
    <cfRule type="expression" dxfId="56" priority="13">
      <formula>AND(OR($F4="No",$F4=""), $E4= "Yes",$G4&lt;&gt;"",$H4&lt;&gt;"")</formula>
    </cfRule>
  </conditionalFormatting>
  <conditionalFormatting sqref="N32:O32">
    <cfRule type="expression" dxfId="55" priority="12">
      <formula>AND(OR($F32="No",$F32=""), $E32= "Yes",$G32&lt;&gt;"",$H32&lt;&gt;"")</formula>
    </cfRule>
  </conditionalFormatting>
  <conditionalFormatting sqref="N33:O33">
    <cfRule type="expression" dxfId="54" priority="11">
      <formula>AND(OR($F33="No",$F33=""), $E33= "Yes",$G33&lt;&gt;"",$H33&lt;&gt;"")</formula>
    </cfRule>
  </conditionalFormatting>
  <conditionalFormatting sqref="N34:O34">
    <cfRule type="expression" dxfId="53" priority="10">
      <formula>AND(OR($F34="No",$F34=""), $E34= "Yes",$G34&lt;&gt;"",$H34&lt;&gt;"")</formula>
    </cfRule>
  </conditionalFormatting>
  <conditionalFormatting sqref="N37:O37">
    <cfRule type="expression" dxfId="52" priority="9">
      <formula>AND(OR($F37="No",$F37=""), $E37= "Yes",$G37&lt;&gt;"",$H37&lt;&gt;"")</formula>
    </cfRule>
  </conditionalFormatting>
  <conditionalFormatting sqref="N41:O41">
    <cfRule type="expression" dxfId="51" priority="8">
      <formula>AND(OR($E41="No",$E41=""), $D41= "Yes",$F41&lt;&gt;"",$G41&lt;&gt;"")</formula>
    </cfRule>
  </conditionalFormatting>
  <conditionalFormatting sqref="N13:O13">
    <cfRule type="expression" dxfId="50" priority="7">
      <formula>AND(OR($F13="No",$F13=""), $E13= "Yes",$G13&lt;&gt;"",$H13&lt;&gt;"")</formula>
    </cfRule>
  </conditionalFormatting>
  <conditionalFormatting sqref="G25:H26">
    <cfRule type="expression" dxfId="49" priority="5">
      <formula>AND(OR($F25="No",$F25=""), $E25= "Yes",$G25&lt;&gt;"",$H25&lt;&gt;"")</formula>
    </cfRule>
    <cfRule type="expression" dxfId="48" priority="6">
      <formula>AND(OR($E25="No",$E25=""), $F25= "Yes",$G25&lt;&gt;"",$H25&lt;&gt;"")</formula>
    </cfRule>
  </conditionalFormatting>
  <conditionalFormatting sqref="E25:F26">
    <cfRule type="expression" dxfId="47" priority="4">
      <formula>AND(OR($F25="No",$F25=""), $E25= "Yes",$G25&lt;&gt;"",$H25&lt;&gt;"")</formula>
    </cfRule>
  </conditionalFormatting>
  <conditionalFormatting sqref="C34:C35">
    <cfRule type="expression" dxfId="46" priority="3">
      <formula>AND(OR($F34="No",$F34=""), $E34= "Yes",$G34&lt;&gt;"",$H34&lt;&gt;"")</formula>
    </cfRule>
  </conditionalFormatting>
  <conditionalFormatting sqref="D16">
    <cfRule type="expression" dxfId="45" priority="2">
      <formula>AND(OR($F16="No",$F16=""), $E16= "Yes",$G16&lt;&gt;"",$H16&lt;&gt;"")</formula>
    </cfRule>
  </conditionalFormatting>
  <conditionalFormatting sqref="D22">
    <cfRule type="expression" dxfId="44" priority="1">
      <formula>AND(OR($F22="No",$F22=""), $E22= "Yes",$G22&lt;&gt;"",$H22&lt;&gt;"")</formula>
    </cfRule>
  </conditionalFormatting>
  <dataValidations count="1">
    <dataValidation type="list" allowBlank="1" showInputMessage="1" showErrorMessage="1" sqref="E36:E41 E3:E12 E14:E33 K1:K2 K43:K1048576" xr:uid="{63B66D06-6651-4924-98D9-F3C7F6C19769}">
      <formula1>"Yes, No"</formula1>
    </dataValidation>
  </dataValidations>
  <pageMargins left="0.2" right="0.2" top="0.2" bottom="0.2" header="0.3" footer="0.3"/>
  <pageSetup paperSize="8" scale="7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28"/>
  <sheetViews>
    <sheetView tabSelected="1" zoomScale="60" zoomScaleNormal="60" workbookViewId="0">
      <pane ySplit="2" topLeftCell="A47" activePane="bottomLeft" state="frozen"/>
      <selection pane="bottomLeft" activeCell="C53" sqref="C53"/>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5" width="8.88671875" style="2" customWidth="1"/>
    <col min="16" max="16384" width="8.88671875" style="2"/>
  </cols>
  <sheetData>
    <row r="1" spans="1:15" ht="21" customHeight="1" thickBot="1" x14ac:dyDescent="0.3">
      <c r="A1" s="21"/>
      <c r="B1" s="75" t="s">
        <v>49</v>
      </c>
      <c r="C1" s="56" t="s">
        <v>800</v>
      </c>
      <c r="D1" s="5"/>
      <c r="E1" s="5"/>
      <c r="F1" s="5"/>
      <c r="G1" s="5"/>
      <c r="H1" s="5"/>
      <c r="I1" s="19"/>
      <c r="J1" s="19"/>
      <c r="K1" s="5"/>
      <c r="L1" s="5"/>
    </row>
    <row r="2" spans="1:15" s="6" customFormat="1" ht="87.95" customHeight="1" thickBot="1" x14ac:dyDescent="0.25">
      <c r="A2" s="51" t="s">
        <v>43</v>
      </c>
      <c r="B2" s="62" t="s">
        <v>44</v>
      </c>
      <c r="C2" s="51" t="s">
        <v>45</v>
      </c>
      <c r="D2" s="52" t="s">
        <v>46</v>
      </c>
      <c r="E2" s="53" t="s">
        <v>25</v>
      </c>
      <c r="F2" s="53" t="s">
        <v>21</v>
      </c>
      <c r="G2" s="54" t="s">
        <v>47</v>
      </c>
      <c r="H2" s="54" t="s">
        <v>48</v>
      </c>
      <c r="I2" s="55" t="s">
        <v>51</v>
      </c>
      <c r="J2" s="55" t="s">
        <v>52</v>
      </c>
      <c r="K2" s="55" t="s">
        <v>53</v>
      </c>
      <c r="L2" s="55" t="s">
        <v>54</v>
      </c>
      <c r="M2" s="55" t="s">
        <v>55</v>
      </c>
      <c r="N2" s="67" t="s">
        <v>56</v>
      </c>
      <c r="O2" s="67" t="s">
        <v>57</v>
      </c>
    </row>
    <row r="3" spans="1:15" ht="54" customHeight="1" thickTop="1" thickBot="1" x14ac:dyDescent="0.25">
      <c r="A3" s="87"/>
      <c r="B3" s="90" t="s">
        <v>12</v>
      </c>
      <c r="C3" s="91" t="s">
        <v>471</v>
      </c>
      <c r="D3" s="91" t="s">
        <v>472</v>
      </c>
      <c r="E3" s="91" t="s">
        <v>13</v>
      </c>
      <c r="F3" s="91" t="s">
        <v>23</v>
      </c>
      <c r="G3" s="91" t="s">
        <v>60</v>
      </c>
      <c r="H3" s="100" t="s">
        <v>61</v>
      </c>
      <c r="I3" s="91" t="s">
        <v>62</v>
      </c>
      <c r="J3" s="91" t="s">
        <v>63</v>
      </c>
      <c r="K3" s="91">
        <v>0</v>
      </c>
      <c r="L3" s="91" t="s">
        <v>473</v>
      </c>
      <c r="M3" s="91" t="s">
        <v>65</v>
      </c>
      <c r="N3" s="91">
        <v>2</v>
      </c>
      <c r="O3" s="92">
        <v>5.2083333333333333E-4</v>
      </c>
    </row>
    <row r="4" spans="1:15" ht="54" customHeight="1" thickTop="1" thickBot="1" x14ac:dyDescent="0.25">
      <c r="A4" s="85"/>
      <c r="B4" s="93" t="s">
        <v>12</v>
      </c>
      <c r="C4" s="94" t="s">
        <v>474</v>
      </c>
      <c r="D4" s="94" t="s">
        <v>475</v>
      </c>
      <c r="E4" s="94" t="s">
        <v>13</v>
      </c>
      <c r="F4" s="94" t="s">
        <v>23</v>
      </c>
      <c r="G4" s="94" t="s">
        <v>60</v>
      </c>
      <c r="H4" s="99" t="s">
        <v>61</v>
      </c>
      <c r="I4" s="91" t="s">
        <v>62</v>
      </c>
      <c r="J4" s="91" t="s">
        <v>63</v>
      </c>
      <c r="K4" s="91">
        <v>0</v>
      </c>
      <c r="L4" s="91" t="s">
        <v>68</v>
      </c>
      <c r="M4" s="91" t="s">
        <v>69</v>
      </c>
      <c r="N4" s="94">
        <v>1</v>
      </c>
      <c r="O4" s="95">
        <v>1.3888888888888889E-3</v>
      </c>
    </row>
    <row r="5" spans="1:15" ht="54" customHeight="1" thickTop="1" thickBot="1" x14ac:dyDescent="0.25">
      <c r="A5" s="85"/>
      <c r="B5" s="93" t="s">
        <v>12</v>
      </c>
      <c r="C5" s="94" t="s">
        <v>476</v>
      </c>
      <c r="D5" s="94" t="s">
        <v>477</v>
      </c>
      <c r="E5" s="94" t="s">
        <v>13</v>
      </c>
      <c r="F5" s="94" t="s">
        <v>23</v>
      </c>
      <c r="G5" s="94" t="s">
        <v>60</v>
      </c>
      <c r="H5" s="99" t="s">
        <v>61</v>
      </c>
      <c r="I5" s="91" t="s">
        <v>62</v>
      </c>
      <c r="J5" s="91" t="s">
        <v>63</v>
      </c>
      <c r="K5" s="91">
        <v>0</v>
      </c>
      <c r="L5" s="91" t="s">
        <v>95</v>
      </c>
      <c r="M5" s="91" t="s">
        <v>65</v>
      </c>
      <c r="N5" s="94">
        <v>1</v>
      </c>
      <c r="O5" s="95">
        <v>2.0833333333333333E-3</v>
      </c>
    </row>
    <row r="6" spans="1:15" ht="54" customHeight="1" thickTop="1" thickBot="1" x14ac:dyDescent="0.25">
      <c r="A6" s="86"/>
      <c r="B6" s="96" t="s">
        <v>12</v>
      </c>
      <c r="C6" s="97" t="s">
        <v>478</v>
      </c>
      <c r="D6" s="97" t="s">
        <v>479</v>
      </c>
      <c r="E6" s="97" t="s">
        <v>13</v>
      </c>
      <c r="F6" s="97" t="s">
        <v>23</v>
      </c>
      <c r="G6" s="97" t="s">
        <v>60</v>
      </c>
      <c r="H6" s="101" t="s">
        <v>61</v>
      </c>
      <c r="I6" s="91" t="s">
        <v>62</v>
      </c>
      <c r="J6" s="91" t="s">
        <v>63</v>
      </c>
      <c r="K6" s="91">
        <v>0</v>
      </c>
      <c r="L6" s="91" t="s">
        <v>100</v>
      </c>
      <c r="M6" s="91" t="s">
        <v>65</v>
      </c>
      <c r="N6" s="97">
        <v>1</v>
      </c>
      <c r="O6" s="98">
        <v>1.0416666666666667E-3</v>
      </c>
    </row>
    <row r="7" spans="1:15" ht="54" customHeight="1" thickTop="1" thickBot="1" x14ac:dyDescent="0.25">
      <c r="A7" s="85"/>
      <c r="B7" s="90" t="s">
        <v>15</v>
      </c>
      <c r="C7" s="91" t="s">
        <v>480</v>
      </c>
      <c r="D7" s="91" t="s">
        <v>481</v>
      </c>
      <c r="E7" s="91" t="s">
        <v>13</v>
      </c>
      <c r="F7" s="91" t="s">
        <v>23</v>
      </c>
      <c r="G7" s="91" t="s">
        <v>132</v>
      </c>
      <c r="H7" s="100">
        <v>45313</v>
      </c>
      <c r="I7" s="91" t="s">
        <v>133</v>
      </c>
      <c r="J7" s="91" t="s">
        <v>134</v>
      </c>
      <c r="K7" s="91">
        <v>0</v>
      </c>
      <c r="L7" s="91" t="s">
        <v>135</v>
      </c>
      <c r="M7" s="91" t="s">
        <v>108</v>
      </c>
      <c r="N7" s="91">
        <v>4</v>
      </c>
      <c r="O7" s="92">
        <v>1.736111111111111E-3</v>
      </c>
    </row>
    <row r="8" spans="1:15" ht="54" customHeight="1" thickTop="1" thickBot="1" x14ac:dyDescent="0.25">
      <c r="A8" s="85"/>
      <c r="B8" s="93" t="s">
        <v>15</v>
      </c>
      <c r="C8" s="94" t="s">
        <v>482</v>
      </c>
      <c r="D8" s="94" t="s">
        <v>483</v>
      </c>
      <c r="E8" s="94" t="s">
        <v>13</v>
      </c>
      <c r="F8" s="94" t="s">
        <v>23</v>
      </c>
      <c r="G8" s="94" t="s">
        <v>138</v>
      </c>
      <c r="H8" s="99">
        <v>45316</v>
      </c>
      <c r="I8" s="91" t="s">
        <v>133</v>
      </c>
      <c r="J8" s="91" t="s">
        <v>134</v>
      </c>
      <c r="K8" s="91">
        <v>0</v>
      </c>
      <c r="L8" s="91" t="s">
        <v>135</v>
      </c>
      <c r="M8" s="91" t="s">
        <v>108</v>
      </c>
      <c r="N8" s="94">
        <v>4</v>
      </c>
      <c r="O8" s="95">
        <v>1.736111111111111E-3</v>
      </c>
    </row>
    <row r="9" spans="1:15" ht="54" customHeight="1" thickTop="1" thickBot="1" x14ac:dyDescent="0.25">
      <c r="A9" s="85"/>
      <c r="B9" s="93" t="s">
        <v>15</v>
      </c>
      <c r="C9" s="94" t="s">
        <v>484</v>
      </c>
      <c r="D9" s="94" t="s">
        <v>485</v>
      </c>
      <c r="E9" s="94" t="s">
        <v>13</v>
      </c>
      <c r="F9" s="94" t="s">
        <v>23</v>
      </c>
      <c r="G9" s="94" t="s">
        <v>132</v>
      </c>
      <c r="H9" s="99">
        <v>45313</v>
      </c>
      <c r="I9" s="91" t="s">
        <v>133</v>
      </c>
      <c r="J9" s="91" t="s">
        <v>134</v>
      </c>
      <c r="K9" s="91">
        <v>0</v>
      </c>
      <c r="L9" s="91" t="s">
        <v>135</v>
      </c>
      <c r="M9" s="91" t="s">
        <v>108</v>
      </c>
      <c r="N9" s="94">
        <v>4</v>
      </c>
      <c r="O9" s="95">
        <v>1.736111111111111E-3</v>
      </c>
    </row>
    <row r="10" spans="1:15" ht="54" customHeight="1" thickTop="1" thickBot="1" x14ac:dyDescent="0.25">
      <c r="A10" s="85"/>
      <c r="B10" s="93" t="s">
        <v>15</v>
      </c>
      <c r="C10" s="94" t="s">
        <v>486</v>
      </c>
      <c r="D10" s="94" t="s">
        <v>487</v>
      </c>
      <c r="E10" s="94" t="s">
        <v>13</v>
      </c>
      <c r="F10" s="94" t="s">
        <v>23</v>
      </c>
      <c r="G10" s="94" t="s">
        <v>138</v>
      </c>
      <c r="H10" s="99">
        <v>45316</v>
      </c>
      <c r="I10" s="91" t="s">
        <v>133</v>
      </c>
      <c r="J10" s="91" t="s">
        <v>134</v>
      </c>
      <c r="K10" s="91">
        <v>0</v>
      </c>
      <c r="L10" s="91" t="s">
        <v>135</v>
      </c>
      <c r="M10" s="91" t="s">
        <v>108</v>
      </c>
      <c r="N10" s="94">
        <v>4</v>
      </c>
      <c r="O10" s="95">
        <v>1.736111111111111E-3</v>
      </c>
    </row>
    <row r="11" spans="1:15" ht="54" customHeight="1" thickTop="1" thickBot="1" x14ac:dyDescent="0.25">
      <c r="A11" s="85"/>
      <c r="B11" s="93" t="s">
        <v>15</v>
      </c>
      <c r="C11" s="94" t="s">
        <v>488</v>
      </c>
      <c r="D11" s="94" t="s">
        <v>489</v>
      </c>
      <c r="E11" s="94" t="s">
        <v>13</v>
      </c>
      <c r="F11" s="94" t="s">
        <v>23</v>
      </c>
      <c r="G11" s="94" t="s">
        <v>728</v>
      </c>
      <c r="H11" s="99">
        <v>45313</v>
      </c>
      <c r="I11" s="91" t="s">
        <v>133</v>
      </c>
      <c r="J11" s="91" t="s">
        <v>63</v>
      </c>
      <c r="K11" s="91">
        <v>0</v>
      </c>
      <c r="L11" s="91" t="s">
        <v>490</v>
      </c>
      <c r="M11" s="91" t="s">
        <v>124</v>
      </c>
      <c r="N11" s="94">
        <v>1</v>
      </c>
      <c r="O11" s="95">
        <v>6.9444444444444447E-4</v>
      </c>
    </row>
    <row r="12" spans="1:15" ht="54" customHeight="1" thickTop="1" thickBot="1" x14ac:dyDescent="0.25">
      <c r="A12" s="85"/>
      <c r="B12" s="93" t="s">
        <v>15</v>
      </c>
      <c r="C12" s="94" t="s">
        <v>491</v>
      </c>
      <c r="D12" s="94" t="s">
        <v>492</v>
      </c>
      <c r="E12" s="94" t="s">
        <v>13</v>
      </c>
      <c r="F12" s="94" t="s">
        <v>23</v>
      </c>
      <c r="G12" s="94" t="s">
        <v>138</v>
      </c>
      <c r="H12" s="99">
        <v>45316</v>
      </c>
      <c r="I12" s="91" t="s">
        <v>62</v>
      </c>
      <c r="J12" s="91" t="s">
        <v>134</v>
      </c>
      <c r="K12" s="91">
        <v>0</v>
      </c>
      <c r="L12" s="91" t="s">
        <v>162</v>
      </c>
      <c r="M12" s="91" t="s">
        <v>163</v>
      </c>
      <c r="N12" s="94">
        <v>2</v>
      </c>
      <c r="O12" s="95">
        <v>4.6296296296296293E-4</v>
      </c>
    </row>
    <row r="13" spans="1:15" ht="54" customHeight="1" thickTop="1" thickBot="1" x14ac:dyDescent="0.25">
      <c r="A13" s="85"/>
      <c r="B13" s="93" t="s">
        <v>15</v>
      </c>
      <c r="C13" s="94" t="s">
        <v>493</v>
      </c>
      <c r="D13" s="94" t="s">
        <v>494</v>
      </c>
      <c r="E13" s="94" t="s">
        <v>13</v>
      </c>
      <c r="F13" s="94" t="s">
        <v>23</v>
      </c>
      <c r="G13" s="94" t="s">
        <v>138</v>
      </c>
      <c r="H13" s="99">
        <v>45316</v>
      </c>
      <c r="I13" s="91" t="s">
        <v>62</v>
      </c>
      <c r="J13" s="91" t="s">
        <v>134</v>
      </c>
      <c r="K13" s="91">
        <v>0</v>
      </c>
      <c r="L13" s="91" t="s">
        <v>162</v>
      </c>
      <c r="M13" s="91" t="s">
        <v>163</v>
      </c>
      <c r="N13" s="94">
        <v>2</v>
      </c>
      <c r="O13" s="95">
        <v>4.6296296296296293E-4</v>
      </c>
    </row>
    <row r="14" spans="1:15" ht="54" customHeight="1" thickTop="1" thickBot="1" x14ac:dyDescent="0.25">
      <c r="A14" s="86"/>
      <c r="B14" s="96" t="s">
        <v>15</v>
      </c>
      <c r="C14" s="97" t="s">
        <v>495</v>
      </c>
      <c r="D14" s="97" t="s">
        <v>496</v>
      </c>
      <c r="E14" s="71" t="s">
        <v>13</v>
      </c>
      <c r="F14" s="71" t="s">
        <v>23</v>
      </c>
      <c r="G14" s="71" t="s">
        <v>177</v>
      </c>
      <c r="H14" s="101">
        <v>45316</v>
      </c>
      <c r="I14" s="91" t="s">
        <v>90</v>
      </c>
      <c r="J14" s="91" t="s">
        <v>63</v>
      </c>
      <c r="K14" s="91">
        <v>0</v>
      </c>
      <c r="L14" s="91" t="s">
        <v>497</v>
      </c>
      <c r="M14" s="91" t="s">
        <v>108</v>
      </c>
      <c r="N14" s="97">
        <v>1</v>
      </c>
      <c r="O14" s="98">
        <v>6.9444444444444447E-4</v>
      </c>
    </row>
    <row r="15" spans="1:15" ht="54" customHeight="1" thickTop="1" thickBot="1" x14ac:dyDescent="0.25">
      <c r="A15" s="85"/>
      <c r="B15" s="90" t="s">
        <v>18</v>
      </c>
      <c r="C15" s="91" t="s">
        <v>801</v>
      </c>
      <c r="D15" s="91" t="s">
        <v>207</v>
      </c>
      <c r="E15" s="91" t="s">
        <v>13</v>
      </c>
      <c r="F15" s="91" t="s">
        <v>23</v>
      </c>
      <c r="G15" s="91" t="s">
        <v>765</v>
      </c>
      <c r="H15" s="100">
        <v>45316</v>
      </c>
      <c r="I15" s="91" t="s">
        <v>133</v>
      </c>
      <c r="J15" s="91" t="s">
        <v>134</v>
      </c>
      <c r="K15" s="91">
        <v>0</v>
      </c>
      <c r="L15" s="91" t="s">
        <v>209</v>
      </c>
      <c r="M15" s="91" t="s">
        <v>205</v>
      </c>
      <c r="N15" s="91">
        <v>1</v>
      </c>
      <c r="O15" s="92">
        <v>3.4722222222222224E-4</v>
      </c>
    </row>
    <row r="16" spans="1:15" ht="54" customHeight="1" thickTop="1" thickBot="1" x14ac:dyDescent="0.25">
      <c r="A16" s="85"/>
      <c r="B16" s="93" t="s">
        <v>18</v>
      </c>
      <c r="C16" s="94" t="s">
        <v>499</v>
      </c>
      <c r="D16" s="94" t="s">
        <v>207</v>
      </c>
      <c r="E16" s="94" t="s">
        <v>13</v>
      </c>
      <c r="F16" s="94" t="s">
        <v>23</v>
      </c>
      <c r="G16" s="94" t="s">
        <v>765</v>
      </c>
      <c r="H16" s="99">
        <v>45316</v>
      </c>
      <c r="I16" s="91" t="s">
        <v>133</v>
      </c>
      <c r="J16" s="91" t="s">
        <v>134</v>
      </c>
      <c r="K16" s="91">
        <v>0</v>
      </c>
      <c r="L16" s="91" t="s">
        <v>209</v>
      </c>
      <c r="M16" s="91" t="s">
        <v>205</v>
      </c>
      <c r="N16" s="94">
        <v>1</v>
      </c>
      <c r="O16" s="95">
        <v>3.4722222222222224E-4</v>
      </c>
    </row>
    <row r="17" spans="1:15" ht="54" customHeight="1" thickTop="1" thickBot="1" x14ac:dyDescent="0.25">
      <c r="A17" s="85"/>
      <c r="B17" s="93" t="s">
        <v>18</v>
      </c>
      <c r="C17" s="94" t="s">
        <v>802</v>
      </c>
      <c r="D17" s="94" t="s">
        <v>839</v>
      </c>
      <c r="E17" s="94" t="s">
        <v>13</v>
      </c>
      <c r="F17" s="94" t="s">
        <v>23</v>
      </c>
      <c r="G17" s="94" t="s">
        <v>212</v>
      </c>
      <c r="H17" s="99">
        <v>45314</v>
      </c>
      <c r="I17" s="91" t="s">
        <v>90</v>
      </c>
      <c r="J17" s="91" t="s">
        <v>134</v>
      </c>
      <c r="K17" s="91">
        <v>0</v>
      </c>
      <c r="L17" s="91" t="s">
        <v>213</v>
      </c>
      <c r="M17" s="91" t="s">
        <v>847</v>
      </c>
      <c r="N17" s="94">
        <v>1</v>
      </c>
      <c r="O17" s="95">
        <v>3.4722222222222224E-4</v>
      </c>
    </row>
    <row r="18" spans="1:15" ht="54" customHeight="1" thickTop="1" thickBot="1" x14ac:dyDescent="0.25">
      <c r="A18" s="85"/>
      <c r="B18" s="93" t="s">
        <v>18</v>
      </c>
      <c r="C18" s="94" t="s">
        <v>502</v>
      </c>
      <c r="D18" s="94" t="s">
        <v>215</v>
      </c>
      <c r="E18" s="94" t="s">
        <v>13</v>
      </c>
      <c r="F18" s="94" t="s">
        <v>23</v>
      </c>
      <c r="G18" s="94" t="s">
        <v>803</v>
      </c>
      <c r="H18" s="99">
        <v>45316</v>
      </c>
      <c r="I18" s="91" t="s">
        <v>133</v>
      </c>
      <c r="J18" s="91" t="s">
        <v>134</v>
      </c>
      <c r="K18" s="91">
        <v>0</v>
      </c>
      <c r="L18" s="91" t="s">
        <v>217</v>
      </c>
      <c r="M18" s="91" t="s">
        <v>205</v>
      </c>
      <c r="N18" s="94">
        <v>1</v>
      </c>
      <c r="O18" s="95">
        <v>5.7870370370370378E-4</v>
      </c>
    </row>
    <row r="19" spans="1:15" ht="54" customHeight="1" thickTop="1" thickBot="1" x14ac:dyDescent="0.25">
      <c r="A19" s="85"/>
      <c r="B19" s="93" t="s">
        <v>18</v>
      </c>
      <c r="C19" s="94" t="s">
        <v>503</v>
      </c>
      <c r="D19" s="94" t="s">
        <v>219</v>
      </c>
      <c r="E19" s="94" t="s">
        <v>13</v>
      </c>
      <c r="F19" s="94" t="s">
        <v>23</v>
      </c>
      <c r="G19" s="94" t="s">
        <v>220</v>
      </c>
      <c r="H19" s="99">
        <v>45929</v>
      </c>
      <c r="I19" s="91" t="s">
        <v>133</v>
      </c>
      <c r="J19" s="91" t="s">
        <v>134</v>
      </c>
      <c r="K19" s="91">
        <v>0</v>
      </c>
      <c r="L19" s="91" t="s">
        <v>221</v>
      </c>
      <c r="M19" s="91" t="s">
        <v>205</v>
      </c>
      <c r="N19" s="94">
        <v>2</v>
      </c>
      <c r="O19" s="95">
        <v>6.9444444444444447E-4</v>
      </c>
    </row>
    <row r="20" spans="1:15" ht="54" customHeight="1" thickTop="1" thickBot="1" x14ac:dyDescent="0.25">
      <c r="A20" s="85"/>
      <c r="B20" s="93" t="s">
        <v>18</v>
      </c>
      <c r="C20" s="94" t="s">
        <v>504</v>
      </c>
      <c r="D20" s="94" t="s">
        <v>223</v>
      </c>
      <c r="E20" s="94" t="s">
        <v>13</v>
      </c>
      <c r="F20" s="94" t="s">
        <v>23</v>
      </c>
      <c r="G20" s="94" t="s">
        <v>224</v>
      </c>
      <c r="H20" s="99">
        <v>45315</v>
      </c>
      <c r="I20" s="91" t="s">
        <v>62</v>
      </c>
      <c r="J20" s="91" t="s">
        <v>134</v>
      </c>
      <c r="K20" s="91">
        <v>0</v>
      </c>
      <c r="L20" s="91" t="s">
        <v>225</v>
      </c>
      <c r="M20" s="91" t="s">
        <v>205</v>
      </c>
      <c r="N20" s="94">
        <v>1</v>
      </c>
      <c r="O20" s="95">
        <v>3.4722222222222224E-4</v>
      </c>
    </row>
    <row r="21" spans="1:15" ht="54" customHeight="1" thickTop="1" thickBot="1" x14ac:dyDescent="0.25">
      <c r="A21" s="85"/>
      <c r="B21" s="93" t="s">
        <v>18</v>
      </c>
      <c r="C21" s="94" t="s">
        <v>505</v>
      </c>
      <c r="D21" s="94" t="s">
        <v>227</v>
      </c>
      <c r="E21" s="94" t="s">
        <v>13</v>
      </c>
      <c r="F21" s="94" t="s">
        <v>23</v>
      </c>
      <c r="G21" s="94" t="s">
        <v>803</v>
      </c>
      <c r="H21" s="99">
        <v>45316</v>
      </c>
      <c r="I21" s="91" t="s">
        <v>133</v>
      </c>
      <c r="J21" s="91" t="s">
        <v>63</v>
      </c>
      <c r="K21" s="91">
        <v>0</v>
      </c>
      <c r="L21" s="91" t="s">
        <v>217</v>
      </c>
      <c r="M21" s="91" t="s">
        <v>205</v>
      </c>
      <c r="N21" s="94">
        <v>1</v>
      </c>
      <c r="O21" s="95">
        <v>1.0416666666666667E-3</v>
      </c>
    </row>
    <row r="22" spans="1:15" ht="54" customHeight="1" thickTop="1" thickBot="1" x14ac:dyDescent="0.25">
      <c r="A22" s="85"/>
      <c r="B22" s="93" t="s">
        <v>18</v>
      </c>
      <c r="C22" s="94" t="s">
        <v>506</v>
      </c>
      <c r="D22" s="94" t="s">
        <v>229</v>
      </c>
      <c r="E22" s="94" t="s">
        <v>13</v>
      </c>
      <c r="F22" s="94" t="s">
        <v>23</v>
      </c>
      <c r="G22" s="94" t="s">
        <v>732</v>
      </c>
      <c r="H22" s="99">
        <v>45316</v>
      </c>
      <c r="I22" s="91" t="s">
        <v>133</v>
      </c>
      <c r="J22" s="91" t="s">
        <v>134</v>
      </c>
      <c r="K22" s="91">
        <v>0</v>
      </c>
      <c r="L22" s="91" t="s">
        <v>231</v>
      </c>
      <c r="M22" s="91" t="s">
        <v>205</v>
      </c>
      <c r="N22" s="94">
        <v>1</v>
      </c>
      <c r="O22" s="95">
        <v>1.1574074074074073E-4</v>
      </c>
    </row>
    <row r="23" spans="1:15" ht="54" customHeight="1" thickTop="1" thickBot="1" x14ac:dyDescent="0.25">
      <c r="A23" s="85"/>
      <c r="B23" s="93" t="s">
        <v>18</v>
      </c>
      <c r="C23" s="94" t="s">
        <v>507</v>
      </c>
      <c r="D23" s="94" t="s">
        <v>856</v>
      </c>
      <c r="E23" s="94" t="s">
        <v>13</v>
      </c>
      <c r="F23" s="94" t="s">
        <v>23</v>
      </c>
      <c r="G23" s="94" t="s">
        <v>508</v>
      </c>
      <c r="H23" s="99">
        <v>45314</v>
      </c>
      <c r="I23" s="91" t="s">
        <v>90</v>
      </c>
      <c r="J23" s="91" t="s">
        <v>134</v>
      </c>
      <c r="K23" s="91">
        <v>0</v>
      </c>
      <c r="L23" s="91" t="s">
        <v>509</v>
      </c>
      <c r="M23" s="91" t="s">
        <v>847</v>
      </c>
      <c r="N23" s="94">
        <v>1</v>
      </c>
      <c r="O23" s="95">
        <v>3.4722222222222224E-4</v>
      </c>
    </row>
    <row r="24" spans="1:15" ht="54" customHeight="1" thickTop="1" thickBot="1" x14ac:dyDescent="0.25">
      <c r="A24" s="85"/>
      <c r="B24" s="93" t="s">
        <v>18</v>
      </c>
      <c r="C24" s="94" t="s">
        <v>510</v>
      </c>
      <c r="D24" s="94" t="s">
        <v>244</v>
      </c>
      <c r="E24" s="94" t="s">
        <v>13</v>
      </c>
      <c r="F24" s="94" t="s">
        <v>23</v>
      </c>
      <c r="G24" s="94" t="s">
        <v>245</v>
      </c>
      <c r="H24" s="99">
        <v>45313</v>
      </c>
      <c r="I24" s="91" t="s">
        <v>133</v>
      </c>
      <c r="J24" s="91" t="s">
        <v>134</v>
      </c>
      <c r="K24" s="91">
        <v>0</v>
      </c>
      <c r="L24" s="91" t="s">
        <v>246</v>
      </c>
      <c r="M24" s="91" t="s">
        <v>205</v>
      </c>
      <c r="N24" s="94">
        <v>1</v>
      </c>
      <c r="O24" s="95">
        <v>6.9444444444444447E-4</v>
      </c>
    </row>
    <row r="25" spans="1:15" ht="54" customHeight="1" thickTop="1" thickBot="1" x14ac:dyDescent="0.25">
      <c r="A25" s="85"/>
      <c r="B25" s="93" t="s">
        <v>18</v>
      </c>
      <c r="C25" s="94" t="s">
        <v>511</v>
      </c>
      <c r="D25" s="94" t="s">
        <v>267</v>
      </c>
      <c r="E25" s="94" t="s">
        <v>13</v>
      </c>
      <c r="F25" s="94" t="s">
        <v>23</v>
      </c>
      <c r="G25" s="94" t="s">
        <v>804</v>
      </c>
      <c r="H25" s="99">
        <v>45313</v>
      </c>
      <c r="I25" s="91" t="s">
        <v>62</v>
      </c>
      <c r="J25" s="91" t="s">
        <v>134</v>
      </c>
      <c r="K25" s="91">
        <v>0</v>
      </c>
      <c r="L25" s="91" t="s">
        <v>268</v>
      </c>
      <c r="M25" s="91" t="s">
        <v>205</v>
      </c>
      <c r="N25" s="94">
        <v>1</v>
      </c>
      <c r="O25" s="95">
        <v>3.4722222222222224E-4</v>
      </c>
    </row>
    <row r="26" spans="1:15" ht="54" customHeight="1" thickTop="1" thickBot="1" x14ac:dyDescent="0.25">
      <c r="A26" s="85"/>
      <c r="B26" s="93" t="s">
        <v>18</v>
      </c>
      <c r="C26" s="94" t="s">
        <v>512</v>
      </c>
      <c r="D26" s="94" t="s">
        <v>513</v>
      </c>
      <c r="E26" s="94" t="s">
        <v>13</v>
      </c>
      <c r="F26" s="94" t="s">
        <v>23</v>
      </c>
      <c r="G26" s="94" t="s">
        <v>184</v>
      </c>
      <c r="H26" s="99">
        <v>45314</v>
      </c>
      <c r="I26" s="91" t="s">
        <v>62</v>
      </c>
      <c r="J26" s="91" t="s">
        <v>134</v>
      </c>
      <c r="K26" s="91">
        <v>0</v>
      </c>
      <c r="L26" s="91" t="s">
        <v>515</v>
      </c>
      <c r="M26" s="91" t="s">
        <v>205</v>
      </c>
      <c r="N26" s="94">
        <v>2</v>
      </c>
      <c r="O26" s="95">
        <v>2.3148148148148146E-4</v>
      </c>
    </row>
    <row r="27" spans="1:15" ht="54" customHeight="1" thickTop="1" thickBot="1" x14ac:dyDescent="0.25">
      <c r="A27" s="85"/>
      <c r="B27" s="93" t="s">
        <v>18</v>
      </c>
      <c r="C27" s="94" t="s">
        <v>516</v>
      </c>
      <c r="D27" s="94" t="s">
        <v>857</v>
      </c>
      <c r="E27" s="94" t="s">
        <v>13</v>
      </c>
      <c r="F27" s="94" t="s">
        <v>23</v>
      </c>
      <c r="G27" s="94" t="s">
        <v>236</v>
      </c>
      <c r="H27" s="99">
        <v>45314</v>
      </c>
      <c r="I27" s="91" t="s">
        <v>90</v>
      </c>
      <c r="J27" s="91" t="s">
        <v>134</v>
      </c>
      <c r="K27" s="91">
        <v>0</v>
      </c>
      <c r="L27" s="91" t="s">
        <v>517</v>
      </c>
      <c r="M27" s="91" t="s">
        <v>847</v>
      </c>
      <c r="N27" s="94">
        <v>1</v>
      </c>
      <c r="O27" s="95">
        <v>3.4722222222222224E-4</v>
      </c>
    </row>
    <row r="28" spans="1:15" ht="54" customHeight="1" thickTop="1" thickBot="1" x14ac:dyDescent="0.25">
      <c r="A28" s="85"/>
      <c r="B28" s="93" t="s">
        <v>18</v>
      </c>
      <c r="C28" s="94" t="s">
        <v>518</v>
      </c>
      <c r="D28" s="94" t="s">
        <v>519</v>
      </c>
      <c r="E28" s="94" t="s">
        <v>13</v>
      </c>
      <c r="F28" s="94" t="s">
        <v>23</v>
      </c>
      <c r="G28" s="94" t="s">
        <v>184</v>
      </c>
      <c r="H28" s="99">
        <v>45314</v>
      </c>
      <c r="I28" s="91" t="s">
        <v>62</v>
      </c>
      <c r="J28" s="91" t="s">
        <v>134</v>
      </c>
      <c r="K28" s="91">
        <v>0</v>
      </c>
      <c r="L28" s="91" t="s">
        <v>520</v>
      </c>
      <c r="M28" s="91" t="s">
        <v>205</v>
      </c>
      <c r="N28" s="94">
        <v>1</v>
      </c>
      <c r="O28" s="95">
        <v>4.6296296296296293E-4</v>
      </c>
    </row>
    <row r="29" spans="1:15" ht="54" customHeight="1" thickTop="1" thickBot="1" x14ac:dyDescent="0.25">
      <c r="A29" s="85"/>
      <c r="B29" s="93" t="s">
        <v>18</v>
      </c>
      <c r="C29" s="94" t="s">
        <v>521</v>
      </c>
      <c r="D29" s="94" t="s">
        <v>522</v>
      </c>
      <c r="E29" s="94" t="s">
        <v>13</v>
      </c>
      <c r="F29" s="94" t="s">
        <v>235</v>
      </c>
      <c r="G29" s="94" t="s">
        <v>523</v>
      </c>
      <c r="H29" s="99">
        <v>45927</v>
      </c>
      <c r="I29" s="91" t="s">
        <v>62</v>
      </c>
      <c r="J29" s="91" t="s">
        <v>63</v>
      </c>
      <c r="K29" s="91">
        <v>0</v>
      </c>
      <c r="L29" s="91" t="s">
        <v>524</v>
      </c>
      <c r="M29" s="91" t="s">
        <v>205</v>
      </c>
      <c r="N29" s="94">
        <v>1</v>
      </c>
      <c r="O29" s="95">
        <v>6.9444444444444447E-4</v>
      </c>
    </row>
    <row r="30" spans="1:15" ht="54" customHeight="1" thickTop="1" thickBot="1" x14ac:dyDescent="0.25">
      <c r="A30" s="85"/>
      <c r="B30" s="93" t="s">
        <v>18</v>
      </c>
      <c r="C30" s="94" t="s">
        <v>525</v>
      </c>
      <c r="D30" s="94" t="s">
        <v>526</v>
      </c>
      <c r="E30" s="94" t="s">
        <v>13</v>
      </c>
      <c r="F30" s="94" t="s">
        <v>23</v>
      </c>
      <c r="G30" s="89" t="s">
        <v>275</v>
      </c>
      <c r="H30" s="88">
        <v>45314</v>
      </c>
      <c r="I30" s="91" t="s">
        <v>90</v>
      </c>
      <c r="J30" s="91" t="s">
        <v>134</v>
      </c>
      <c r="K30" s="91">
        <v>0</v>
      </c>
      <c r="L30" s="91" t="s">
        <v>276</v>
      </c>
      <c r="M30" s="91" t="s">
        <v>847</v>
      </c>
      <c r="N30" s="94">
        <v>1</v>
      </c>
      <c r="O30" s="95">
        <v>3.4722222222222224E-4</v>
      </c>
    </row>
    <row r="31" spans="1:15" ht="54" customHeight="1" thickTop="1" thickBot="1" x14ac:dyDescent="0.25">
      <c r="A31" s="85"/>
      <c r="B31" s="93" t="s">
        <v>18</v>
      </c>
      <c r="C31" s="94" t="s">
        <v>527</v>
      </c>
      <c r="D31" s="94" t="s">
        <v>528</v>
      </c>
      <c r="E31" s="94" t="s">
        <v>13</v>
      </c>
      <c r="F31" s="94" t="s">
        <v>23</v>
      </c>
      <c r="G31" s="89" t="s">
        <v>224</v>
      </c>
      <c r="H31" s="88">
        <v>45314</v>
      </c>
      <c r="I31" s="91" t="s">
        <v>90</v>
      </c>
      <c r="J31" s="91" t="s">
        <v>134</v>
      </c>
      <c r="K31" s="91">
        <v>0</v>
      </c>
      <c r="L31" s="91" t="s">
        <v>283</v>
      </c>
      <c r="M31" s="91" t="s">
        <v>847</v>
      </c>
      <c r="N31" s="94">
        <v>1</v>
      </c>
      <c r="O31" s="95">
        <v>6.9444444444444447E-4</v>
      </c>
    </row>
    <row r="32" spans="1:15" ht="54" customHeight="1" thickTop="1" thickBot="1" x14ac:dyDescent="0.25">
      <c r="A32" s="85"/>
      <c r="B32" s="93" t="s">
        <v>18</v>
      </c>
      <c r="C32" s="94" t="s">
        <v>529</v>
      </c>
      <c r="D32" s="94" t="s">
        <v>285</v>
      </c>
      <c r="E32" s="94" t="s">
        <v>13</v>
      </c>
      <c r="F32" s="94" t="s">
        <v>23</v>
      </c>
      <c r="G32" s="94" t="s">
        <v>286</v>
      </c>
      <c r="H32" s="99">
        <v>45314</v>
      </c>
      <c r="I32" s="91" t="s">
        <v>62</v>
      </c>
      <c r="J32" s="91" t="s">
        <v>134</v>
      </c>
      <c r="K32" s="91">
        <v>0</v>
      </c>
      <c r="L32" s="91" t="s">
        <v>287</v>
      </c>
      <c r="M32" s="91" t="s">
        <v>205</v>
      </c>
      <c r="N32" s="94">
        <v>1</v>
      </c>
      <c r="O32" s="95">
        <v>3.4722222222222224E-4</v>
      </c>
    </row>
    <row r="33" spans="1:15" ht="54" customHeight="1" thickTop="1" thickBot="1" x14ac:dyDescent="0.25">
      <c r="A33" s="137"/>
      <c r="B33" s="114" t="s">
        <v>18</v>
      </c>
      <c r="C33" s="115" t="s">
        <v>530</v>
      </c>
      <c r="D33" s="115" t="s">
        <v>531</v>
      </c>
      <c r="E33" s="115" t="s">
        <v>23</v>
      </c>
      <c r="F33" s="115"/>
      <c r="G33" s="115"/>
      <c r="H33" s="128"/>
      <c r="I33" s="91" t="s">
        <v>62</v>
      </c>
      <c r="J33" s="91" t="s">
        <v>134</v>
      </c>
      <c r="K33" s="91">
        <v>0</v>
      </c>
      <c r="L33" s="91" t="s">
        <v>532</v>
      </c>
      <c r="M33" s="91" t="s">
        <v>205</v>
      </c>
      <c r="N33" s="115">
        <v>1</v>
      </c>
      <c r="O33" s="119">
        <v>5.7870370370370378E-4</v>
      </c>
    </row>
    <row r="34" spans="1:15" ht="54" customHeight="1" thickTop="1" thickBot="1" x14ac:dyDescent="0.25">
      <c r="A34" s="85"/>
      <c r="B34" s="93" t="s">
        <v>18</v>
      </c>
      <c r="C34" s="94" t="s">
        <v>533</v>
      </c>
      <c r="D34" s="94" t="s">
        <v>534</v>
      </c>
      <c r="E34" s="94" t="s">
        <v>13</v>
      </c>
      <c r="F34" s="94" t="s">
        <v>23</v>
      </c>
      <c r="G34" s="94" t="s">
        <v>184</v>
      </c>
      <c r="H34" s="99">
        <v>45314</v>
      </c>
      <c r="I34" s="91" t="s">
        <v>62</v>
      </c>
      <c r="J34" s="91" t="s">
        <v>134</v>
      </c>
      <c r="K34" s="91">
        <v>0</v>
      </c>
      <c r="L34" s="91" t="s">
        <v>535</v>
      </c>
      <c r="M34" s="91" t="s">
        <v>205</v>
      </c>
      <c r="N34" s="94">
        <v>1</v>
      </c>
      <c r="O34" s="95">
        <v>2.3148148148148146E-4</v>
      </c>
    </row>
    <row r="35" spans="1:15" ht="54" customHeight="1" thickTop="1" thickBot="1" x14ac:dyDescent="0.25">
      <c r="A35" s="85"/>
      <c r="B35" s="93" t="s">
        <v>18</v>
      </c>
      <c r="C35" s="94" t="s">
        <v>536</v>
      </c>
      <c r="D35" s="94" t="s">
        <v>289</v>
      </c>
      <c r="E35" s="94" t="s">
        <v>13</v>
      </c>
      <c r="F35" s="94" t="s">
        <v>23</v>
      </c>
      <c r="G35" s="94" t="s">
        <v>737</v>
      </c>
      <c r="H35" s="99">
        <v>45316</v>
      </c>
      <c r="I35" s="91" t="s">
        <v>133</v>
      </c>
      <c r="J35" s="91" t="s">
        <v>134</v>
      </c>
      <c r="K35" s="91">
        <v>0</v>
      </c>
      <c r="L35" s="91" t="s">
        <v>291</v>
      </c>
      <c r="M35" s="91" t="s">
        <v>205</v>
      </c>
      <c r="N35" s="94">
        <v>1</v>
      </c>
      <c r="O35" s="95">
        <v>6.9444444444444447E-4</v>
      </c>
    </row>
    <row r="36" spans="1:15" ht="54" customHeight="1" thickTop="1" thickBot="1" x14ac:dyDescent="0.25">
      <c r="A36" s="85"/>
      <c r="B36" s="93" t="s">
        <v>18</v>
      </c>
      <c r="C36" s="94" t="s">
        <v>537</v>
      </c>
      <c r="D36" s="94" t="s">
        <v>538</v>
      </c>
      <c r="E36" s="94" t="s">
        <v>13</v>
      </c>
      <c r="F36" s="94" t="s">
        <v>23</v>
      </c>
      <c r="G36" s="94" t="s">
        <v>739</v>
      </c>
      <c r="H36" s="99">
        <v>45314</v>
      </c>
      <c r="I36" s="91" t="s">
        <v>133</v>
      </c>
      <c r="J36" s="91" t="s">
        <v>134</v>
      </c>
      <c r="K36" s="91">
        <v>0</v>
      </c>
      <c r="L36" s="91" t="s">
        <v>311</v>
      </c>
      <c r="M36" s="91" t="s">
        <v>205</v>
      </c>
      <c r="N36" s="94">
        <v>1</v>
      </c>
      <c r="O36" s="95">
        <v>8.6805555555555551E-4</v>
      </c>
    </row>
    <row r="37" spans="1:15" ht="54" customHeight="1" thickTop="1" thickBot="1" x14ac:dyDescent="0.25">
      <c r="A37" s="85"/>
      <c r="B37" s="93" t="s">
        <v>18</v>
      </c>
      <c r="C37" s="94" t="s">
        <v>802</v>
      </c>
      <c r="D37" s="94" t="s">
        <v>501</v>
      </c>
      <c r="E37" s="94" t="s">
        <v>13</v>
      </c>
      <c r="F37" s="94" t="s">
        <v>23</v>
      </c>
      <c r="G37" s="94" t="s">
        <v>212</v>
      </c>
      <c r="H37" s="99">
        <v>45314</v>
      </c>
      <c r="I37" s="91" t="s">
        <v>90</v>
      </c>
      <c r="J37" s="91" t="s">
        <v>134</v>
      </c>
      <c r="K37" s="91">
        <v>0</v>
      </c>
      <c r="L37" s="91" t="s">
        <v>213</v>
      </c>
      <c r="M37" s="91" t="s">
        <v>847</v>
      </c>
      <c r="N37" s="94">
        <v>1</v>
      </c>
      <c r="O37" s="95">
        <v>3.4722222222222224E-4</v>
      </c>
    </row>
    <row r="38" spans="1:15" ht="54" customHeight="1" thickTop="1" thickBot="1" x14ac:dyDescent="0.25">
      <c r="A38" s="85"/>
      <c r="B38" s="93" t="s">
        <v>18</v>
      </c>
      <c r="C38" s="94" t="s">
        <v>539</v>
      </c>
      <c r="D38" s="94" t="s">
        <v>540</v>
      </c>
      <c r="E38" s="94" t="s">
        <v>13</v>
      </c>
      <c r="F38" s="94" t="s">
        <v>23</v>
      </c>
      <c r="G38" s="94" t="s">
        <v>740</v>
      </c>
      <c r="H38" s="99">
        <v>45315</v>
      </c>
      <c r="I38" s="91" t="s">
        <v>133</v>
      </c>
      <c r="J38" s="91" t="s">
        <v>134</v>
      </c>
      <c r="K38" s="91">
        <v>0</v>
      </c>
      <c r="L38" s="91" t="s">
        <v>315</v>
      </c>
      <c r="M38" s="91" t="s">
        <v>205</v>
      </c>
      <c r="N38" s="94">
        <v>1</v>
      </c>
      <c r="O38" s="95">
        <v>6.9444444444444447E-4</v>
      </c>
    </row>
    <row r="39" spans="1:15" ht="54" customHeight="1" thickTop="1" thickBot="1" x14ac:dyDescent="0.25">
      <c r="A39" s="85"/>
      <c r="B39" s="96" t="s">
        <v>18</v>
      </c>
      <c r="C39" s="97" t="s">
        <v>541</v>
      </c>
      <c r="D39" s="97" t="s">
        <v>542</v>
      </c>
      <c r="E39" s="97" t="s">
        <v>13</v>
      </c>
      <c r="F39" s="97" t="s">
        <v>23</v>
      </c>
      <c r="G39" s="97" t="s">
        <v>740</v>
      </c>
      <c r="H39" s="101">
        <v>45315</v>
      </c>
      <c r="I39" s="91" t="s">
        <v>133</v>
      </c>
      <c r="J39" s="91" t="s">
        <v>134</v>
      </c>
      <c r="K39" s="91">
        <v>0</v>
      </c>
      <c r="L39" s="91" t="s">
        <v>315</v>
      </c>
      <c r="M39" s="91" t="s">
        <v>205</v>
      </c>
      <c r="N39" s="97">
        <v>1</v>
      </c>
      <c r="O39" s="98">
        <v>6.9444444444444447E-4</v>
      </c>
    </row>
    <row r="40" spans="1:15" ht="54" customHeight="1" thickTop="1" thickBot="1" x14ac:dyDescent="0.25">
      <c r="A40" s="86"/>
      <c r="B40" s="90" t="s">
        <v>18</v>
      </c>
      <c r="C40" s="91" t="s">
        <v>543</v>
      </c>
      <c r="D40" s="91" t="s">
        <v>544</v>
      </c>
      <c r="E40" s="91" t="s">
        <v>13</v>
      </c>
      <c r="F40" s="91" t="s">
        <v>235</v>
      </c>
      <c r="G40" s="91" t="s">
        <v>151</v>
      </c>
      <c r="H40" s="100">
        <v>45928</v>
      </c>
      <c r="I40" s="91" t="s">
        <v>62</v>
      </c>
      <c r="J40" s="91" t="s">
        <v>63</v>
      </c>
      <c r="K40" s="91">
        <v>0</v>
      </c>
      <c r="L40" s="91" t="s">
        <v>546</v>
      </c>
      <c r="M40" s="91" t="s">
        <v>124</v>
      </c>
      <c r="N40" s="91">
        <v>2</v>
      </c>
      <c r="O40" s="92">
        <v>4.6296296296296293E-4</v>
      </c>
    </row>
    <row r="41" spans="1:15" ht="54" customHeight="1" thickTop="1" thickBot="1" x14ac:dyDescent="0.25">
      <c r="A41" s="137"/>
      <c r="B41" s="114" t="s">
        <v>22</v>
      </c>
      <c r="C41" s="115" t="s">
        <v>547</v>
      </c>
      <c r="D41" s="115" t="s">
        <v>548</v>
      </c>
      <c r="E41" s="115" t="s">
        <v>13</v>
      </c>
      <c r="F41" s="115" t="s">
        <v>23</v>
      </c>
      <c r="G41" s="115" t="s">
        <v>745</v>
      </c>
      <c r="H41" s="128" t="s">
        <v>786</v>
      </c>
      <c r="I41" s="91" t="s">
        <v>133</v>
      </c>
      <c r="J41" s="91" t="s">
        <v>134</v>
      </c>
      <c r="K41" s="91">
        <v>0</v>
      </c>
      <c r="L41" s="91" t="s">
        <v>353</v>
      </c>
      <c r="M41" s="91" t="s">
        <v>350</v>
      </c>
      <c r="N41" s="115">
        <v>2</v>
      </c>
      <c r="O41" s="119">
        <v>2.0833333333333333E-3</v>
      </c>
    </row>
    <row r="42" spans="1:15" ht="54" customHeight="1" thickTop="1" thickBot="1" x14ac:dyDescent="0.25">
      <c r="A42" s="137"/>
      <c r="B42" s="114" t="s">
        <v>22</v>
      </c>
      <c r="C42" s="115" t="s">
        <v>805</v>
      </c>
      <c r="D42" s="115" t="s">
        <v>806</v>
      </c>
      <c r="E42" s="115" t="str">
        <f>'DM 4 Car'!E89</f>
        <v>Yes</v>
      </c>
      <c r="F42" s="115" t="str">
        <f>'DM 4 Car'!F89</f>
        <v xml:space="preserve">No </v>
      </c>
      <c r="G42" s="115" t="str">
        <f>'DM 4 Car'!G89</f>
        <v>AS,MD,MA,SA,AS,KA</v>
      </c>
      <c r="H42" s="115">
        <f>'DM 4 Car'!H89</f>
        <v>45930</v>
      </c>
      <c r="I42" s="91" t="s">
        <v>133</v>
      </c>
      <c r="J42" s="91" t="s">
        <v>134</v>
      </c>
      <c r="K42" s="91">
        <v>0</v>
      </c>
      <c r="L42" s="91" t="s">
        <v>345</v>
      </c>
      <c r="M42" s="91" t="s">
        <v>350</v>
      </c>
      <c r="N42" s="115">
        <v>4</v>
      </c>
      <c r="O42" s="119">
        <v>5.208333333333333E-3</v>
      </c>
    </row>
    <row r="43" spans="1:15" ht="54" customHeight="1" thickTop="1" thickBot="1" x14ac:dyDescent="0.25">
      <c r="A43" s="137"/>
      <c r="B43" s="114" t="s">
        <v>22</v>
      </c>
      <c r="C43" s="115" t="s">
        <v>553</v>
      </c>
      <c r="D43" s="115" t="s">
        <v>554</v>
      </c>
      <c r="E43" s="115" t="s">
        <v>13</v>
      </c>
      <c r="F43" s="115" t="s">
        <v>23</v>
      </c>
      <c r="G43" s="115" t="s">
        <v>745</v>
      </c>
      <c r="H43" s="128" t="s">
        <v>786</v>
      </c>
      <c r="I43" s="91" t="s">
        <v>133</v>
      </c>
      <c r="J43" s="91" t="s">
        <v>134</v>
      </c>
      <c r="K43" s="91">
        <v>0</v>
      </c>
      <c r="L43" s="91" t="s">
        <v>353</v>
      </c>
      <c r="M43" s="91" t="s">
        <v>350</v>
      </c>
      <c r="N43" s="115">
        <v>2</v>
      </c>
      <c r="O43" s="119">
        <v>2.0833333333333333E-3</v>
      </c>
    </row>
    <row r="44" spans="1:15" ht="54" customHeight="1" thickTop="1" thickBot="1" x14ac:dyDescent="0.25">
      <c r="A44" s="85"/>
      <c r="B44" s="93" t="s">
        <v>22</v>
      </c>
      <c r="C44" s="94" t="s">
        <v>807</v>
      </c>
      <c r="D44" s="94" t="s">
        <v>808</v>
      </c>
      <c r="E44" s="94" t="s">
        <v>13</v>
      </c>
      <c r="F44" s="94" t="s">
        <v>23</v>
      </c>
      <c r="G44" s="94" t="s">
        <v>743</v>
      </c>
      <c r="H44" s="99">
        <v>45930</v>
      </c>
      <c r="I44" s="91" t="s">
        <v>133</v>
      </c>
      <c r="J44" s="91" t="s">
        <v>134</v>
      </c>
      <c r="K44" s="91">
        <v>0</v>
      </c>
      <c r="L44" s="91" t="s">
        <v>345</v>
      </c>
      <c r="M44" s="91" t="s">
        <v>350</v>
      </c>
      <c r="N44" s="94">
        <v>4</v>
      </c>
      <c r="O44" s="95">
        <v>5.208333333333333E-3</v>
      </c>
    </row>
    <row r="45" spans="1:15" ht="54" customHeight="1" thickTop="1" thickBot="1" x14ac:dyDescent="0.25">
      <c r="A45" s="137"/>
      <c r="B45" s="114" t="s">
        <v>22</v>
      </c>
      <c r="C45" s="115" t="s">
        <v>558</v>
      </c>
      <c r="D45" s="115" t="s">
        <v>559</v>
      </c>
      <c r="E45" s="115" t="s">
        <v>23</v>
      </c>
      <c r="F45" s="115"/>
      <c r="G45" s="115"/>
      <c r="H45" s="128"/>
      <c r="I45" s="91" t="s">
        <v>133</v>
      </c>
      <c r="J45" s="91" t="s">
        <v>134</v>
      </c>
      <c r="K45" s="91">
        <v>0</v>
      </c>
      <c r="L45" s="91" t="s">
        <v>560</v>
      </c>
      <c r="M45" s="91" t="s">
        <v>205</v>
      </c>
      <c r="N45" s="115">
        <v>2</v>
      </c>
      <c r="O45" s="119">
        <v>2.0833333333333333E-3</v>
      </c>
    </row>
    <row r="46" spans="1:15" ht="54" customHeight="1" thickTop="1" thickBot="1" x14ac:dyDescent="0.25">
      <c r="A46" s="137"/>
      <c r="B46" s="114" t="s">
        <v>22</v>
      </c>
      <c r="C46" s="115" t="s">
        <v>561</v>
      </c>
      <c r="D46" s="115" t="s">
        <v>371</v>
      </c>
      <c r="E46" s="115" t="s">
        <v>23</v>
      </c>
      <c r="F46" s="115"/>
      <c r="G46" s="115"/>
      <c r="H46" s="128"/>
      <c r="I46" s="91" t="s">
        <v>133</v>
      </c>
      <c r="J46" s="91" t="s">
        <v>134</v>
      </c>
      <c r="K46" s="91">
        <v>0</v>
      </c>
      <c r="L46" s="91" t="s">
        <v>372</v>
      </c>
      <c r="M46" s="91" t="s">
        <v>205</v>
      </c>
      <c r="N46" s="115">
        <v>2</v>
      </c>
      <c r="O46" s="119">
        <v>3.4722222222222224E-4</v>
      </c>
    </row>
    <row r="47" spans="1:15" ht="54" customHeight="1" thickTop="1" thickBot="1" x14ac:dyDescent="0.25">
      <c r="A47" s="137"/>
      <c r="B47" s="114" t="s">
        <v>22</v>
      </c>
      <c r="C47" s="115" t="s">
        <v>562</v>
      </c>
      <c r="D47" s="115" t="s">
        <v>809</v>
      </c>
      <c r="E47" s="115" t="s">
        <v>23</v>
      </c>
      <c r="F47" s="115"/>
      <c r="G47" s="115"/>
      <c r="H47" s="128"/>
      <c r="I47" s="91" t="s">
        <v>62</v>
      </c>
      <c r="J47" s="91" t="s">
        <v>134</v>
      </c>
      <c r="K47" s="91">
        <v>0</v>
      </c>
      <c r="L47" s="91" t="s">
        <v>375</v>
      </c>
      <c r="M47" s="91" t="s">
        <v>163</v>
      </c>
      <c r="N47" s="115">
        <v>2</v>
      </c>
      <c r="O47" s="119">
        <v>4.6296296296296293E-4</v>
      </c>
    </row>
    <row r="48" spans="1:15" ht="54" customHeight="1" thickTop="1" thickBot="1" x14ac:dyDescent="0.25">
      <c r="A48" s="137"/>
      <c r="B48" s="114" t="s">
        <v>22</v>
      </c>
      <c r="C48" s="115" t="s">
        <v>564</v>
      </c>
      <c r="D48" s="115" t="s">
        <v>565</v>
      </c>
      <c r="E48" s="115" t="s">
        <v>23</v>
      </c>
      <c r="F48" s="115"/>
      <c r="G48" s="115"/>
      <c r="H48" s="128"/>
      <c r="I48" s="91" t="s">
        <v>133</v>
      </c>
      <c r="J48" s="91" t="s">
        <v>134</v>
      </c>
      <c r="K48" s="91">
        <v>0</v>
      </c>
      <c r="L48" s="91" t="s">
        <v>566</v>
      </c>
      <c r="M48" s="91" t="s">
        <v>205</v>
      </c>
      <c r="N48" s="115">
        <v>1</v>
      </c>
      <c r="O48" s="119">
        <v>6.9444444444444447E-4</v>
      </c>
    </row>
    <row r="49" spans="1:16" ht="54" customHeight="1" thickTop="1" thickBot="1" x14ac:dyDescent="0.25">
      <c r="A49" s="85"/>
      <c r="B49" s="93" t="s">
        <v>22</v>
      </c>
      <c r="C49" s="94" t="s">
        <v>567</v>
      </c>
      <c r="D49" s="94" t="s">
        <v>568</v>
      </c>
      <c r="E49" s="94" t="s">
        <v>13</v>
      </c>
      <c r="F49" s="94" t="s">
        <v>810</v>
      </c>
      <c r="G49" s="94" t="s">
        <v>236</v>
      </c>
      <c r="H49" s="99">
        <v>45927</v>
      </c>
      <c r="I49" s="91" t="s">
        <v>133</v>
      </c>
      <c r="J49" s="91" t="s">
        <v>134</v>
      </c>
      <c r="K49" s="91">
        <v>0</v>
      </c>
      <c r="L49" s="91" t="s">
        <v>569</v>
      </c>
      <c r="M49" s="91" t="s">
        <v>238</v>
      </c>
      <c r="N49" s="94">
        <v>1</v>
      </c>
      <c r="O49" s="95">
        <v>3.4722222222222224E-4</v>
      </c>
    </row>
    <row r="50" spans="1:16" ht="54" customHeight="1" thickTop="1" thickBot="1" x14ac:dyDescent="0.25">
      <c r="A50" s="85"/>
      <c r="B50" s="93" t="s">
        <v>22</v>
      </c>
      <c r="C50" s="94" t="s">
        <v>570</v>
      </c>
      <c r="D50" s="94" t="s">
        <v>571</v>
      </c>
      <c r="E50" s="94" t="s">
        <v>13</v>
      </c>
      <c r="F50" s="94" t="s">
        <v>23</v>
      </c>
      <c r="G50" s="94" t="s">
        <v>572</v>
      </c>
      <c r="H50" s="99">
        <v>45314</v>
      </c>
      <c r="I50" s="91" t="s">
        <v>90</v>
      </c>
      <c r="J50" s="91" t="s">
        <v>134</v>
      </c>
      <c r="K50" s="91">
        <v>0</v>
      </c>
      <c r="L50" s="91" t="s">
        <v>573</v>
      </c>
      <c r="M50" s="91" t="s">
        <v>847</v>
      </c>
      <c r="N50" s="94">
        <v>1</v>
      </c>
      <c r="O50" s="95">
        <v>6.9444444444444447E-4</v>
      </c>
    </row>
    <row r="51" spans="1:16" ht="54" customHeight="1" thickTop="1" thickBot="1" x14ac:dyDescent="0.25">
      <c r="A51" s="85"/>
      <c r="B51" s="93" t="s">
        <v>22</v>
      </c>
      <c r="C51" s="94" t="s">
        <v>811</v>
      </c>
      <c r="D51" s="94" t="s">
        <v>575</v>
      </c>
      <c r="E51" s="94" t="s">
        <v>13</v>
      </c>
      <c r="F51" s="94" t="s">
        <v>235</v>
      </c>
      <c r="G51" s="94" t="s">
        <v>151</v>
      </c>
      <c r="H51" s="99">
        <v>45928</v>
      </c>
      <c r="I51" s="91" t="s">
        <v>62</v>
      </c>
      <c r="J51" s="91" t="s">
        <v>63</v>
      </c>
      <c r="K51" s="91">
        <v>0</v>
      </c>
      <c r="L51" s="91" t="s">
        <v>576</v>
      </c>
      <c r="M51" s="91" t="s">
        <v>124</v>
      </c>
      <c r="N51" s="94">
        <v>2</v>
      </c>
      <c r="O51" s="95">
        <v>2.0833333333333333E-3</v>
      </c>
    </row>
    <row r="52" spans="1:16" ht="54" customHeight="1" thickTop="1" thickBot="1" x14ac:dyDescent="0.25">
      <c r="A52" s="85"/>
      <c r="B52" s="93" t="s">
        <v>22</v>
      </c>
      <c r="C52" s="94" t="s">
        <v>577</v>
      </c>
      <c r="D52" s="94" t="s">
        <v>578</v>
      </c>
      <c r="E52" s="94" t="s">
        <v>13</v>
      </c>
      <c r="F52" s="94" t="s">
        <v>235</v>
      </c>
      <c r="G52" s="94" t="s">
        <v>151</v>
      </c>
      <c r="H52" s="99">
        <v>45928</v>
      </c>
      <c r="I52" s="91" t="s">
        <v>62</v>
      </c>
      <c r="J52" s="91" t="s">
        <v>63</v>
      </c>
      <c r="K52" s="91">
        <v>0</v>
      </c>
      <c r="L52" s="91" t="s">
        <v>579</v>
      </c>
      <c r="M52" s="91" t="s">
        <v>124</v>
      </c>
      <c r="N52" s="94">
        <v>2</v>
      </c>
      <c r="O52" s="95">
        <v>6.9444444444444447E-4</v>
      </c>
    </row>
    <row r="53" spans="1:16" ht="54" customHeight="1" thickTop="1" thickBot="1" x14ac:dyDescent="0.25">
      <c r="A53" s="85"/>
      <c r="B53" s="93" t="s">
        <v>22</v>
      </c>
      <c r="C53" s="94" t="s">
        <v>812</v>
      </c>
      <c r="D53" s="94" t="s">
        <v>581</v>
      </c>
      <c r="E53" s="94" t="s">
        <v>13</v>
      </c>
      <c r="F53" s="94" t="s">
        <v>235</v>
      </c>
      <c r="G53" s="94" t="s">
        <v>151</v>
      </c>
      <c r="H53" s="99">
        <v>45928</v>
      </c>
      <c r="I53" s="91" t="s">
        <v>62</v>
      </c>
      <c r="J53" s="91" t="s">
        <v>63</v>
      </c>
      <c r="K53" s="91">
        <v>0</v>
      </c>
      <c r="L53" s="91" t="s">
        <v>583</v>
      </c>
      <c r="M53" s="91" t="s">
        <v>65</v>
      </c>
      <c r="N53" s="94">
        <v>2</v>
      </c>
      <c r="O53" s="95">
        <v>6.9444444444444447E-4</v>
      </c>
    </row>
    <row r="54" spans="1:16" ht="54" customHeight="1" thickTop="1" thickBot="1" x14ac:dyDescent="0.25">
      <c r="A54" s="85"/>
      <c r="B54" s="93" t="s">
        <v>22</v>
      </c>
      <c r="C54" s="94" t="s">
        <v>584</v>
      </c>
      <c r="D54" s="94" t="s">
        <v>585</v>
      </c>
      <c r="E54" s="94" t="s">
        <v>13</v>
      </c>
      <c r="F54" s="94" t="s">
        <v>235</v>
      </c>
      <c r="G54" s="94" t="s">
        <v>151</v>
      </c>
      <c r="H54" s="99">
        <v>45928</v>
      </c>
      <c r="I54" s="91" t="s">
        <v>62</v>
      </c>
      <c r="J54" s="91" t="s">
        <v>63</v>
      </c>
      <c r="K54" s="91">
        <v>0</v>
      </c>
      <c r="L54" s="91" t="s">
        <v>586</v>
      </c>
      <c r="M54" s="91" t="s">
        <v>124</v>
      </c>
      <c r="N54" s="94">
        <v>2</v>
      </c>
      <c r="O54" s="95">
        <v>6.9444444444444447E-4</v>
      </c>
    </row>
    <row r="55" spans="1:16" ht="54" customHeight="1" thickTop="1" thickBot="1" x14ac:dyDescent="0.25">
      <c r="A55" s="137"/>
      <c r="B55" s="114" t="s">
        <v>22</v>
      </c>
      <c r="C55" s="115" t="s">
        <v>813</v>
      </c>
      <c r="D55" s="115" t="s">
        <v>412</v>
      </c>
      <c r="E55" s="115" t="s">
        <v>23</v>
      </c>
      <c r="F55" s="115"/>
      <c r="G55" s="115"/>
      <c r="H55" s="128"/>
      <c r="I55" s="91" t="s">
        <v>90</v>
      </c>
      <c r="J55" s="91" t="s">
        <v>63</v>
      </c>
      <c r="K55" s="91">
        <v>0</v>
      </c>
      <c r="L55" s="91" t="s">
        <v>413</v>
      </c>
      <c r="M55" s="91" t="s">
        <v>108</v>
      </c>
      <c r="N55" s="115">
        <v>4</v>
      </c>
      <c r="O55" s="119">
        <v>2.0833333333333333E-3</v>
      </c>
    </row>
    <row r="56" spans="1:16" ht="54" customHeight="1" thickTop="1" thickBot="1" x14ac:dyDescent="0.25">
      <c r="A56" s="129"/>
      <c r="B56" s="122" t="s">
        <v>22</v>
      </c>
      <c r="C56" s="123" t="s">
        <v>814</v>
      </c>
      <c r="D56" s="123" t="s">
        <v>424</v>
      </c>
      <c r="E56" s="123" t="s">
        <v>23</v>
      </c>
      <c r="F56" s="123"/>
      <c r="G56" s="123"/>
      <c r="H56" s="139"/>
      <c r="I56" s="91" t="s">
        <v>62</v>
      </c>
      <c r="J56" s="91" t="s">
        <v>63</v>
      </c>
      <c r="K56" s="91">
        <v>0</v>
      </c>
      <c r="L56" s="91" t="s">
        <v>425</v>
      </c>
      <c r="M56" s="91" t="s">
        <v>108</v>
      </c>
      <c r="N56" s="123">
        <v>2</v>
      </c>
      <c r="O56" s="127">
        <v>6.9444444444444447E-4</v>
      </c>
    </row>
    <row r="57" spans="1:16" ht="54" customHeight="1" thickTop="1" thickBot="1" x14ac:dyDescent="0.3">
      <c r="A57" s="137"/>
      <c r="B57" s="109" t="s">
        <v>26</v>
      </c>
      <c r="C57" s="110" t="s">
        <v>589</v>
      </c>
      <c r="D57" s="110" t="s">
        <v>433</v>
      </c>
      <c r="E57" s="110" t="s">
        <v>23</v>
      </c>
      <c r="F57" s="110"/>
      <c r="G57" s="110"/>
      <c r="H57" s="138"/>
      <c r="I57" s="91" t="s">
        <v>133</v>
      </c>
      <c r="J57" s="91" t="s">
        <v>63</v>
      </c>
      <c r="K57" s="91">
        <v>0</v>
      </c>
      <c r="L57" s="91" t="s">
        <v>434</v>
      </c>
      <c r="M57" s="91" t="s">
        <v>238</v>
      </c>
      <c r="N57" s="110">
        <v>1</v>
      </c>
      <c r="O57" s="113">
        <v>6.9444444444444447E-4</v>
      </c>
      <c r="P57" s="161"/>
    </row>
    <row r="58" spans="1:16" ht="54" customHeight="1" thickTop="1" thickBot="1" x14ac:dyDescent="0.3">
      <c r="A58" s="137"/>
      <c r="B58" s="114" t="s">
        <v>26</v>
      </c>
      <c r="C58" s="115" t="s">
        <v>590</v>
      </c>
      <c r="D58" s="115" t="s">
        <v>815</v>
      </c>
      <c r="E58" s="115" t="s">
        <v>23</v>
      </c>
      <c r="F58" s="115"/>
      <c r="G58" s="115"/>
      <c r="H58" s="128"/>
      <c r="I58" s="91" t="s">
        <v>133</v>
      </c>
      <c r="J58" s="91" t="s">
        <v>63</v>
      </c>
      <c r="K58" s="91">
        <v>0</v>
      </c>
      <c r="L58" s="91" t="s">
        <v>422</v>
      </c>
      <c r="M58" s="91" t="s">
        <v>849</v>
      </c>
      <c r="N58" s="115">
        <v>1</v>
      </c>
      <c r="O58" s="119">
        <v>3.4722222222222224E-4</v>
      </c>
      <c r="P58" s="161"/>
    </row>
    <row r="59" spans="1:16" ht="54" customHeight="1" thickTop="1" thickBot="1" x14ac:dyDescent="0.3">
      <c r="A59" s="129"/>
      <c r="B59" s="114" t="s">
        <v>26</v>
      </c>
      <c r="C59" s="115" t="s">
        <v>592</v>
      </c>
      <c r="D59" s="115" t="s">
        <v>593</v>
      </c>
      <c r="E59" s="115" t="s">
        <v>23</v>
      </c>
      <c r="F59" s="115"/>
      <c r="G59" s="115"/>
      <c r="H59" s="128"/>
      <c r="I59" s="91" t="s">
        <v>62</v>
      </c>
      <c r="J59" s="91" t="s">
        <v>63</v>
      </c>
      <c r="K59" s="91">
        <v>0</v>
      </c>
      <c r="L59" s="91" t="s">
        <v>465</v>
      </c>
      <c r="M59" s="91" t="s">
        <v>108</v>
      </c>
      <c r="N59" s="115">
        <v>1</v>
      </c>
      <c r="O59" s="119">
        <v>1.0416666666666667E-3</v>
      </c>
      <c r="P59" s="161"/>
    </row>
    <row r="60" spans="1:16" ht="33" thickTop="1" thickBot="1" x14ac:dyDescent="0.25">
      <c r="B60" s="183" t="s">
        <v>853</v>
      </c>
      <c r="C60" s="184" t="s">
        <v>854</v>
      </c>
      <c r="D60" s="184" t="s">
        <v>855</v>
      </c>
      <c r="E60" s="145" t="s">
        <v>13</v>
      </c>
      <c r="F60" s="145"/>
      <c r="G60" s="145"/>
      <c r="H60" s="145"/>
      <c r="I60" s="91" t="s">
        <v>62</v>
      </c>
      <c r="J60" s="91" t="s">
        <v>134</v>
      </c>
      <c r="K60" s="91">
        <v>0</v>
      </c>
      <c r="L60" s="91">
        <v>0</v>
      </c>
      <c r="M60" s="91" t="s">
        <v>108</v>
      </c>
      <c r="N60" s="145"/>
      <c r="O60" s="146"/>
    </row>
    <row r="61" spans="1:16" ht="15.75" thickTop="1" x14ac:dyDescent="0.2"/>
    <row r="88" ht="66" customHeight="1" x14ac:dyDescent="0.2"/>
    <row r="128" ht="66" customHeight="1" x14ac:dyDescent="0.2"/>
  </sheetData>
  <autoFilter ref="A2:J60" xr:uid="{85B947FD-98C2-42CC-BC6A-AE5670D4F10B}"/>
  <phoneticPr fontId="7" type="noConversion"/>
  <conditionalFormatting sqref="B15:H16 B14:D14 H14 B30:D31 B32:H36 B42 D42:H42 B43:H59 B3:M3 B4:H13 I4:M60 B24:H26 B23:C23 E23:H23 B28:H29 B27:C27 E27:H27 B38:H41 B37:C37 E37:H37 B18:H22 B17:C17 E17:H17">
    <cfRule type="expression" dxfId="43" priority="12">
      <formula>AND(OR($F3="No",$F3=""), $E3= "Yes",$G3&lt;&gt;"",$H3&lt;&gt;"")</formula>
    </cfRule>
  </conditionalFormatting>
  <conditionalFormatting sqref="N3:O13 N59:O59 N15:O57">
    <cfRule type="expression" dxfId="42" priority="11">
      <formula>AND(OR($F3="No",$F3=""), $E3= "Yes",$G3&lt;&gt;"",$H3&lt;&gt;"")</formula>
    </cfRule>
  </conditionalFormatting>
  <conditionalFormatting sqref="N58:O58">
    <cfRule type="expression" dxfId="41" priority="10">
      <formula>AND(OR($E58="No",$E58=""), $D58= "Yes",$F58&lt;&gt;"",$G58&lt;&gt;"")</formula>
    </cfRule>
  </conditionalFormatting>
  <conditionalFormatting sqref="N14:O14">
    <cfRule type="expression" dxfId="40" priority="9">
      <formula>AND(OR($F14="No",$F14=""), $E14= "Yes",$G14&lt;&gt;"",$H14&lt;&gt;"")</formula>
    </cfRule>
  </conditionalFormatting>
  <conditionalFormatting sqref="G30:H31">
    <cfRule type="expression" dxfId="39" priority="7">
      <formula>AND(OR($F30="No",$F30=""), $E30= "Yes",$G30&lt;&gt;"",$H30&lt;&gt;"")</formula>
    </cfRule>
    <cfRule type="expression" dxfId="38" priority="8">
      <formula>AND(OR($E30="No",$E30=""), $F30= "Yes",$G30&lt;&gt;"",$H30&lt;&gt;"")</formula>
    </cfRule>
  </conditionalFormatting>
  <conditionalFormatting sqref="E30:F31">
    <cfRule type="expression" dxfId="37" priority="6">
      <formula>AND(OR($F30="No",$F30=""), $E30= "Yes",$G30&lt;&gt;"",$H30&lt;&gt;"")</formula>
    </cfRule>
  </conditionalFormatting>
  <conditionalFormatting sqref="C42">
    <cfRule type="expression" dxfId="36" priority="5">
      <formula>AND(OR($F42="No",$F42=""), $E42= "Yes",#REF!&lt;&gt;"",$H42&lt;&gt;"")</formula>
    </cfRule>
  </conditionalFormatting>
  <conditionalFormatting sqref="D23">
    <cfRule type="expression" dxfId="35" priority="4">
      <formula>AND(OR($F23="No",$F23=""), $E23= "Yes",$G23&lt;&gt;"",$H23&lt;&gt;"")</formula>
    </cfRule>
  </conditionalFormatting>
  <conditionalFormatting sqref="D27">
    <cfRule type="expression" dxfId="34" priority="3">
      <formula>AND(OR($F27="No",$F27=""), $E27= "Yes",$G27&lt;&gt;"",$H27&lt;&gt;"")</formula>
    </cfRule>
  </conditionalFormatting>
  <conditionalFormatting sqref="D37">
    <cfRule type="expression" dxfId="33" priority="2">
      <formula>AND(OR($F37="No",$F37=""), $E37= "Yes",$G37&lt;&gt;"",$H37&lt;&gt;"")</formula>
    </cfRule>
  </conditionalFormatting>
  <conditionalFormatting sqref="D17">
    <cfRule type="expression" dxfId="32" priority="1">
      <formula>AND(OR($F17="No",$F17=""), $E17= "Yes",$G17&lt;&gt;"",$H17&lt;&gt;"")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59 E3:E13 E15:E41 K1:K2 K61:K1048576" xr:uid="{683EDFB9-D5FF-4226-A0F9-B0D32E5CEB84}">
      <formula1>"Yes, No"</formula1>
    </dataValidation>
  </dataValidations>
  <pageMargins left="0.2" right="0.2" top="0.2" bottom="0.2" header="0.3" footer="0.3"/>
  <pageSetup paperSize="8" scale="81"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28"/>
  <sheetViews>
    <sheetView zoomScale="60" zoomScaleNormal="60" workbookViewId="0">
      <pane ySplit="2" topLeftCell="A52" activePane="bottomLeft" state="frozen"/>
      <selection pane="bottomLeft" activeCell="D52" sqref="D52"/>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3">
      <c r="A1" s="21"/>
      <c r="B1" s="75" t="s">
        <v>49</v>
      </c>
      <c r="C1" s="56" t="s">
        <v>816</v>
      </c>
      <c r="D1" s="5"/>
      <c r="E1" s="5"/>
      <c r="F1" s="5"/>
      <c r="G1" s="5"/>
      <c r="H1" s="5"/>
      <c r="I1" s="19"/>
      <c r="J1" s="19"/>
      <c r="K1" s="5"/>
      <c r="L1" s="5"/>
    </row>
    <row r="2" spans="1:15" s="6" customFormat="1" ht="87.95" customHeight="1" thickBot="1" x14ac:dyDescent="0.25">
      <c r="A2" s="51" t="s">
        <v>43</v>
      </c>
      <c r="B2" s="61" t="s">
        <v>44</v>
      </c>
      <c r="C2" s="51" t="s">
        <v>45</v>
      </c>
      <c r="D2" s="52" t="s">
        <v>46</v>
      </c>
      <c r="E2" s="53" t="s">
        <v>25</v>
      </c>
      <c r="F2" s="53" t="s">
        <v>21</v>
      </c>
      <c r="G2" s="54" t="s">
        <v>47</v>
      </c>
      <c r="H2" s="54" t="s">
        <v>48</v>
      </c>
      <c r="I2" s="55" t="s">
        <v>51</v>
      </c>
      <c r="J2" s="55" t="s">
        <v>52</v>
      </c>
      <c r="K2" s="55" t="s">
        <v>53</v>
      </c>
      <c r="L2" s="55" t="s">
        <v>54</v>
      </c>
      <c r="M2" s="55" t="s">
        <v>55</v>
      </c>
      <c r="N2" s="67" t="s">
        <v>56</v>
      </c>
      <c r="O2" s="67" t="s">
        <v>57</v>
      </c>
    </row>
    <row r="3" spans="1:15" ht="54" customHeight="1" thickTop="1" thickBot="1" x14ac:dyDescent="0.25">
      <c r="A3" s="85"/>
      <c r="B3" s="90" t="s">
        <v>12</v>
      </c>
      <c r="C3" s="91" t="s">
        <v>58</v>
      </c>
      <c r="D3" s="91" t="s">
        <v>59</v>
      </c>
      <c r="E3" s="91" t="s">
        <v>13</v>
      </c>
      <c r="F3" s="91" t="s">
        <v>23</v>
      </c>
      <c r="G3" s="91" t="s">
        <v>60</v>
      </c>
      <c r="H3" s="100" t="s">
        <v>61</v>
      </c>
      <c r="I3" s="83" t="str">
        <f>VLOOKUP($D3,'[1]DM 4 Car'!$D:$M,6,FALSE)</f>
        <v>REPLACE</v>
      </c>
      <c r="J3" s="83" t="str">
        <f>VLOOKUP($D3,'[1]DM 4 Car'!$D:$M,7,FALSE)</f>
        <v>ATM</v>
      </c>
      <c r="K3" s="83">
        <f>VLOOKUP($D3,'[1]DM 4 Car'!$D:$M,8,FALSE)</f>
        <v>0</v>
      </c>
      <c r="L3" s="83" t="str">
        <f>VLOOKUP($D3,'[1]DM 4 Car'!$D:$M,9,FALSE)</f>
        <v>JHOPL-WI-17-184
JHOPL-WI-17-135</v>
      </c>
      <c r="M3" s="83" t="str">
        <f>VLOOKUP($D3,'[1]DM 4 Car'!$D:$M,10,FALSE)</f>
        <v>MORS SMITT</v>
      </c>
      <c r="N3" s="91">
        <v>1</v>
      </c>
      <c r="O3" s="92">
        <v>5.2083333333333333E-4</v>
      </c>
    </row>
    <row r="4" spans="1:15" ht="54" customHeight="1" thickTop="1" thickBot="1" x14ac:dyDescent="0.25">
      <c r="A4" s="85"/>
      <c r="B4" s="93" t="s">
        <v>12</v>
      </c>
      <c r="C4" s="94" t="s">
        <v>66</v>
      </c>
      <c r="D4" s="94" t="s">
        <v>67</v>
      </c>
      <c r="E4" s="94" t="s">
        <v>13</v>
      </c>
      <c r="F4" s="94" t="s">
        <v>23</v>
      </c>
      <c r="G4" s="94" t="s">
        <v>60</v>
      </c>
      <c r="H4" s="99" t="s">
        <v>61</v>
      </c>
      <c r="I4" s="83" t="str">
        <f>VLOOKUP($D4,'[1]DM 4 Car'!$D:$M,6,FALSE)</f>
        <v>REPLACE</v>
      </c>
      <c r="J4" s="83" t="str">
        <f>VLOOKUP($D4,'[1]DM 4 Car'!$D:$M,7,FALSE)</f>
        <v>ATM</v>
      </c>
      <c r="K4" s="83">
        <f>VLOOKUP($D4,'[1]DM 4 Car'!$D:$M,8,FALSE)</f>
        <v>0</v>
      </c>
      <c r="L4" s="83" t="str">
        <f>VLOOKUP($D4,'[1]DM 4 Car'!$D:$M,9,FALSE)</f>
        <v>JHOPL-WI-17-057</v>
      </c>
      <c r="M4" s="83" t="str">
        <f>VLOOKUP($D4,'[1]DM 4 Car'!$D:$M,10,FALSE)</f>
        <v>LPA</v>
      </c>
      <c r="N4" s="94">
        <v>1</v>
      </c>
      <c r="O4" s="95">
        <v>3.4722222222222224E-4</v>
      </c>
    </row>
    <row r="5" spans="1:15" ht="54" customHeight="1" thickTop="1" thickBot="1" x14ac:dyDescent="0.25">
      <c r="A5" s="85"/>
      <c r="B5" s="93" t="s">
        <v>12</v>
      </c>
      <c r="C5" s="94" t="s">
        <v>70</v>
      </c>
      <c r="D5" s="94" t="s">
        <v>67</v>
      </c>
      <c r="E5" s="94" t="s">
        <v>13</v>
      </c>
      <c r="F5" s="94" t="s">
        <v>23</v>
      </c>
      <c r="G5" s="94" t="s">
        <v>60</v>
      </c>
      <c r="H5" s="99" t="s">
        <v>61</v>
      </c>
      <c r="I5" s="83" t="str">
        <f>VLOOKUP($D5,'[1]DM 4 Car'!$D:$M,6,FALSE)</f>
        <v>REPLACE</v>
      </c>
      <c r="J5" s="83" t="str">
        <f>VLOOKUP($D5,'[1]DM 4 Car'!$D:$M,7,FALSE)</f>
        <v>ATM</v>
      </c>
      <c r="K5" s="83">
        <f>VLOOKUP($D5,'[1]DM 4 Car'!$D:$M,8,FALSE)</f>
        <v>0</v>
      </c>
      <c r="L5" s="83" t="str">
        <f>VLOOKUP($D5,'[1]DM 4 Car'!$D:$M,9,FALSE)</f>
        <v>JHOPL-WI-17-057</v>
      </c>
      <c r="M5" s="83" t="str">
        <f>VLOOKUP($D5,'[1]DM 4 Car'!$D:$M,10,FALSE)</f>
        <v>LPA</v>
      </c>
      <c r="N5" s="94">
        <v>1</v>
      </c>
      <c r="O5" s="95">
        <v>3.4722222222222224E-4</v>
      </c>
    </row>
    <row r="6" spans="1:15" ht="54" customHeight="1" thickTop="1" thickBot="1" x14ac:dyDescent="0.25">
      <c r="A6" s="85"/>
      <c r="B6" s="93" t="s">
        <v>12</v>
      </c>
      <c r="C6" s="94" t="s">
        <v>71</v>
      </c>
      <c r="D6" s="94" t="s">
        <v>72</v>
      </c>
      <c r="E6" s="94" t="s">
        <v>13</v>
      </c>
      <c r="F6" s="94" t="s">
        <v>23</v>
      </c>
      <c r="G6" s="94" t="s">
        <v>60</v>
      </c>
      <c r="H6" s="99" t="s">
        <v>61</v>
      </c>
      <c r="I6" s="83" t="str">
        <f>VLOOKUP($D6,'[1]DM 4 Car'!$D:$M,6,FALSE)</f>
        <v>REPLACE</v>
      </c>
      <c r="J6" s="83" t="str">
        <f>VLOOKUP($D6,'[1]DM 4 Car'!$D:$M,7,FALSE)</f>
        <v>ATM</v>
      </c>
      <c r="K6" s="83">
        <f>VLOOKUP($D6,'[1]DM 4 Car'!$D:$M,8,FALSE)</f>
        <v>0</v>
      </c>
      <c r="L6" s="83" t="str">
        <f>VLOOKUP($D6,'[1]DM 4 Car'!$D:$M,9,FALSE)</f>
        <v>JHOPL-WI-17-057</v>
      </c>
      <c r="M6" s="83" t="str">
        <f>VLOOKUP($D6,'[1]DM 4 Car'!$D:$M,10,FALSE)</f>
        <v>LPA</v>
      </c>
      <c r="N6" s="94">
        <v>1</v>
      </c>
      <c r="O6" s="95">
        <v>1.3888888888888889E-3</v>
      </c>
    </row>
    <row r="7" spans="1:15" ht="54" customHeight="1" thickTop="1" thickBot="1" x14ac:dyDescent="0.25">
      <c r="A7" s="85"/>
      <c r="B7" s="93" t="s">
        <v>12</v>
      </c>
      <c r="C7" s="94" t="s">
        <v>73</v>
      </c>
      <c r="D7" s="94" t="s">
        <v>74</v>
      </c>
      <c r="E7" s="94" t="s">
        <v>13</v>
      </c>
      <c r="F7" s="94" t="s">
        <v>23</v>
      </c>
      <c r="G7" s="94" t="s">
        <v>60</v>
      </c>
      <c r="H7" s="99" t="s">
        <v>61</v>
      </c>
      <c r="I7" s="83" t="str">
        <f>VLOOKUP($D7,'[1]DM 4 Car'!$D:$M,6,FALSE)</f>
        <v>REPLACE</v>
      </c>
      <c r="J7" s="83" t="str">
        <f>VLOOKUP($D7,'[1]DM 4 Car'!$D:$M,7,FALSE)</f>
        <v>ATM</v>
      </c>
      <c r="K7" s="83">
        <f>VLOOKUP($D7,'[1]DM 4 Car'!$D:$M,8,FALSE)</f>
        <v>0</v>
      </c>
      <c r="L7" s="83" t="str">
        <f>VLOOKUP($D7,'[1]DM 4 Car'!$D:$M,9,FALSE)</f>
        <v>JHOPL-WI-17-185</v>
      </c>
      <c r="M7" s="83" t="str">
        <f>VLOOKUP($D7,'[1]DM 4 Car'!$D:$M,10,FALSE)</f>
        <v>SIEMENS</v>
      </c>
      <c r="N7" s="94">
        <v>1</v>
      </c>
      <c r="O7" s="95">
        <v>1.2152777777777778E-3</v>
      </c>
    </row>
    <row r="8" spans="1:15" ht="54" customHeight="1" thickTop="1" thickBot="1" x14ac:dyDescent="0.25">
      <c r="A8" s="85"/>
      <c r="B8" s="93" t="s">
        <v>12</v>
      </c>
      <c r="C8" s="94" t="s">
        <v>77</v>
      </c>
      <c r="D8" s="94" t="s">
        <v>78</v>
      </c>
      <c r="E8" s="94" t="s">
        <v>13</v>
      </c>
      <c r="F8" s="94" t="s">
        <v>23</v>
      </c>
      <c r="G8" s="94" t="s">
        <v>60</v>
      </c>
      <c r="H8" s="99" t="s">
        <v>61</v>
      </c>
      <c r="I8" s="83" t="str">
        <f>VLOOKUP($D8,'[1]DM 4 Car'!$D:$M,6,FALSE)</f>
        <v>REPLACE</v>
      </c>
      <c r="J8" s="83" t="str">
        <f>VLOOKUP($D8,'[1]DM 4 Car'!$D:$M,7,FALSE)</f>
        <v>ATM</v>
      </c>
      <c r="K8" s="83">
        <f>VLOOKUP($D8,'[1]DM 4 Car'!$D:$M,8,FALSE)</f>
        <v>0</v>
      </c>
      <c r="L8" s="83" t="str">
        <f>VLOOKUP($D8,'[1]DM 4 Car'!$D:$M,9,FALSE)</f>
        <v>JHOPL-WI-17-185</v>
      </c>
      <c r="M8" s="83" t="str">
        <f>VLOOKUP($D8,'[1]DM 4 Car'!$D:$M,10,FALSE)</f>
        <v>SIEMENS</v>
      </c>
      <c r="N8" s="94">
        <v>1</v>
      </c>
      <c r="O8" s="95">
        <v>3.4722222222222224E-4</v>
      </c>
    </row>
    <row r="9" spans="1:15" ht="54" customHeight="1" thickTop="1" thickBot="1" x14ac:dyDescent="0.25">
      <c r="A9" s="85"/>
      <c r="B9" s="93" t="s">
        <v>12</v>
      </c>
      <c r="C9" s="94" t="s">
        <v>79</v>
      </c>
      <c r="D9" s="94" t="s">
        <v>80</v>
      </c>
      <c r="E9" s="94" t="s">
        <v>13</v>
      </c>
      <c r="F9" s="94" t="s">
        <v>23</v>
      </c>
      <c r="G9" s="94" t="s">
        <v>60</v>
      </c>
      <c r="H9" s="99" t="s">
        <v>61</v>
      </c>
      <c r="I9" s="83" t="str">
        <f>VLOOKUP($D9,'[1]DM 4 Car'!$D:$M,6,FALSE)</f>
        <v>REPLACE</v>
      </c>
      <c r="J9" s="83" t="str">
        <f>VLOOKUP($D9,'[1]DM 4 Car'!$D:$M,7,FALSE)</f>
        <v>ATM</v>
      </c>
      <c r="K9" s="83">
        <f>VLOOKUP($D9,'[1]DM 4 Car'!$D:$M,8,FALSE)</f>
        <v>0</v>
      </c>
      <c r="L9" s="83" t="str">
        <f>VLOOKUP($D9,'[1]DM 4 Car'!$D:$M,9,FALSE)</f>
        <v>JHOPL-WI-17-059</v>
      </c>
      <c r="M9" s="83" t="str">
        <f>VLOOKUP($D9,'[1]DM 4 Car'!$D:$M,10,FALSE)</f>
        <v>MORS SMITT</v>
      </c>
      <c r="N9" s="94">
        <v>2</v>
      </c>
      <c r="O9" s="95">
        <v>3.4722222222222224E-4</v>
      </c>
    </row>
    <row r="10" spans="1:15" ht="54" customHeight="1" thickTop="1" thickBot="1" x14ac:dyDescent="0.25">
      <c r="A10" s="85"/>
      <c r="B10" s="93" t="s">
        <v>12</v>
      </c>
      <c r="C10" s="94" t="s">
        <v>82</v>
      </c>
      <c r="D10" s="94" t="s">
        <v>83</v>
      </c>
      <c r="E10" s="94" t="s">
        <v>13</v>
      </c>
      <c r="F10" s="94" t="s">
        <v>23</v>
      </c>
      <c r="G10" s="94" t="s">
        <v>60</v>
      </c>
      <c r="H10" s="99" t="s">
        <v>61</v>
      </c>
      <c r="I10" s="83" t="str">
        <f>VLOOKUP($D10,'[1]DM 4 Car'!$D:$M,6,FALSE)</f>
        <v>REPLACE</v>
      </c>
      <c r="J10" s="83" t="str">
        <f>VLOOKUP($D10,'[1]DM 4 Car'!$D:$M,7,FALSE)</f>
        <v>ATM</v>
      </c>
      <c r="K10" s="83">
        <f>VLOOKUP($D10,'[1]DM 4 Car'!$D:$M,8,FALSE)</f>
        <v>0</v>
      </c>
      <c r="L10" s="83" t="str">
        <f>VLOOKUP($D10,'[1]DM 4 Car'!$D:$M,9,FALSE)</f>
        <v>JHOPL-WI-17-156</v>
      </c>
      <c r="M10" s="83" t="str">
        <f>VLOOKUP($D10,'[1]DM 4 Car'!$D:$M,10,FALSE)</f>
        <v>MORS SMITT</v>
      </c>
      <c r="N10" s="94">
        <v>1</v>
      </c>
      <c r="O10" s="95">
        <v>1.3888888888888889E-3</v>
      </c>
    </row>
    <row r="11" spans="1:15" ht="54" customHeight="1" thickTop="1" thickBot="1" x14ac:dyDescent="0.25">
      <c r="A11" s="85"/>
      <c r="B11" s="93" t="s">
        <v>12</v>
      </c>
      <c r="C11" s="94" t="s">
        <v>85</v>
      </c>
      <c r="D11" s="94" t="s">
        <v>86</v>
      </c>
      <c r="E11" s="94" t="s">
        <v>13</v>
      </c>
      <c r="F11" s="94" t="s">
        <v>23</v>
      </c>
      <c r="G11" s="94" t="s">
        <v>60</v>
      </c>
      <c r="H11" s="99" t="s">
        <v>61</v>
      </c>
      <c r="I11" s="83" t="str">
        <f>VLOOKUP($D11,'[1]DM 4 Car'!$D:$M,6,FALSE)</f>
        <v>REPLACE</v>
      </c>
      <c r="J11" s="83" t="str">
        <f>VLOOKUP($D11,'[1]DM 4 Car'!$D:$M,7,FALSE)</f>
        <v>ATM</v>
      </c>
      <c r="K11" s="83">
        <f>VLOOKUP($D11,'[1]DM 4 Car'!$D:$M,8,FALSE)</f>
        <v>0</v>
      </c>
      <c r="L11" s="83" t="str">
        <f>VLOOKUP($D11,'[1]DM 4 Car'!$D:$M,9,FALSE)</f>
        <v>JHOPL-WI-17-066</v>
      </c>
      <c r="M11" s="83" t="str">
        <f>VLOOKUP($D11,'[1]DM 4 Car'!$D:$M,10,FALSE)</f>
        <v>MORS SMITT</v>
      </c>
      <c r="N11" s="94">
        <v>1</v>
      </c>
      <c r="O11" s="95">
        <v>3.4722222222222224E-4</v>
      </c>
    </row>
    <row r="12" spans="1:15" ht="54" customHeight="1" thickTop="1" thickBot="1" x14ac:dyDescent="0.25">
      <c r="A12" s="85"/>
      <c r="B12" s="93" t="s">
        <v>12</v>
      </c>
      <c r="C12" s="94" t="s">
        <v>88</v>
      </c>
      <c r="D12" s="94" t="s">
        <v>89</v>
      </c>
      <c r="E12" s="94" t="s">
        <v>13</v>
      </c>
      <c r="F12" s="94" t="s">
        <v>23</v>
      </c>
      <c r="G12" s="94" t="s">
        <v>60</v>
      </c>
      <c r="H12" s="99" t="s">
        <v>61</v>
      </c>
      <c r="I12" s="83" t="str">
        <f>VLOOKUP($D12,'[1]DM 4 Car'!$D:$M,6,FALSE)</f>
        <v>IROC</v>
      </c>
      <c r="J12" s="83" t="str">
        <f>VLOOKUP($D12,'[1]DM 4 Car'!$D:$M,7,FALSE)</f>
        <v>ATM</v>
      </c>
      <c r="K12" s="83">
        <f>VLOOKUP($D12,'[1]DM 4 Car'!$D:$M,8,FALSE)</f>
        <v>0</v>
      </c>
      <c r="L12" s="83" t="str">
        <f>VLOOKUP($D12,'[1]DM 4 Car'!$D:$M,9,FALSE)</f>
        <v>JHOPL-WI-17-070</v>
      </c>
      <c r="M12" s="83" t="str">
        <f>VLOOKUP($D12,'[1]DM 4 Car'!$D:$M,10,FALSE)</f>
        <v>JHOPL - MORS SMITT</v>
      </c>
      <c r="N12" s="94">
        <v>1</v>
      </c>
      <c r="O12" s="95">
        <v>3.4722222222222224E-4</v>
      </c>
    </row>
    <row r="13" spans="1:15" ht="54" customHeight="1" thickTop="1" thickBot="1" x14ac:dyDescent="0.25">
      <c r="A13" s="85"/>
      <c r="B13" s="93" t="s">
        <v>12</v>
      </c>
      <c r="C13" s="94" t="s">
        <v>93</v>
      </c>
      <c r="D13" s="94" t="s">
        <v>94</v>
      </c>
      <c r="E13" s="94" t="s">
        <v>13</v>
      </c>
      <c r="F13" s="94" t="s">
        <v>23</v>
      </c>
      <c r="G13" s="94" t="s">
        <v>60</v>
      </c>
      <c r="H13" s="99" t="s">
        <v>61</v>
      </c>
      <c r="I13" s="83" t="str">
        <f>VLOOKUP($D13,'[1]DM 4 Car'!$D:$M,6,FALSE)</f>
        <v>REPLACE</v>
      </c>
      <c r="J13" s="83" t="str">
        <f>VLOOKUP($D13,'[1]DM 4 Car'!$D:$M,7,FALSE)</f>
        <v>ATM</v>
      </c>
      <c r="K13" s="83">
        <f>VLOOKUP($D13,'[1]DM 4 Car'!$D:$M,8,FALSE)</f>
        <v>0</v>
      </c>
      <c r="L13" s="83" t="str">
        <f>VLOOKUP($D13,'[1]DM 4 Car'!$D:$M,9,FALSE)</f>
        <v>JHOPL-WI-17-074</v>
      </c>
      <c r="M13" s="83" t="str">
        <f>VLOOKUP($D13,'[1]DM 4 Car'!$D:$M,10,FALSE)</f>
        <v>MORS SMITT</v>
      </c>
      <c r="N13" s="94">
        <v>1</v>
      </c>
      <c r="O13" s="95">
        <v>1.3888888888888889E-3</v>
      </c>
    </row>
    <row r="14" spans="1:15" ht="54" customHeight="1" thickTop="1" thickBot="1" x14ac:dyDescent="0.25">
      <c r="A14" s="85"/>
      <c r="B14" s="93" t="s">
        <v>12</v>
      </c>
      <c r="C14" s="94" t="s">
        <v>96</v>
      </c>
      <c r="D14" s="94" t="s">
        <v>97</v>
      </c>
      <c r="E14" s="94" t="s">
        <v>13</v>
      </c>
      <c r="F14" s="94" t="s">
        <v>23</v>
      </c>
      <c r="G14" s="94" t="s">
        <v>60</v>
      </c>
      <c r="H14" s="99" t="s">
        <v>61</v>
      </c>
      <c r="I14" s="83" t="str">
        <f>VLOOKUP($D14,'[1]DM 4 Car'!$D:$M,6,FALSE)</f>
        <v>REPLACE</v>
      </c>
      <c r="J14" s="83" t="str">
        <f>VLOOKUP($D14,'[1]DM 4 Car'!$D:$M,7,FALSE)</f>
        <v>ATM</v>
      </c>
      <c r="K14" s="83">
        <f>VLOOKUP($D14,'[1]DM 4 Car'!$D:$M,8,FALSE)</f>
        <v>0</v>
      </c>
      <c r="L14" s="83" t="str">
        <f>VLOOKUP($D14,'[1]DM 4 Car'!$D:$M,9,FALSE)</f>
        <v>JHOPL-WI-17-074</v>
      </c>
      <c r="M14" s="83" t="str">
        <f>VLOOKUP($D14,'[1]DM 4 Car'!$D:$M,10,FALSE)</f>
        <v>MORS SMITT</v>
      </c>
      <c r="N14" s="94">
        <v>1</v>
      </c>
      <c r="O14" s="95">
        <v>1.3888888888888889E-3</v>
      </c>
    </row>
    <row r="15" spans="1:15" ht="54" customHeight="1" thickTop="1" thickBot="1" x14ac:dyDescent="0.25">
      <c r="A15" s="85"/>
      <c r="B15" s="93" t="s">
        <v>12</v>
      </c>
      <c r="C15" s="94" t="s">
        <v>98</v>
      </c>
      <c r="D15" s="94" t="s">
        <v>99</v>
      </c>
      <c r="E15" s="94" t="s">
        <v>13</v>
      </c>
      <c r="F15" s="94" t="s">
        <v>23</v>
      </c>
      <c r="G15" s="94" t="s">
        <v>60</v>
      </c>
      <c r="H15" s="99" t="s">
        <v>61</v>
      </c>
      <c r="I15" s="83" t="str">
        <f>VLOOKUP($D15,'[1]DM 4 Car'!$D:$M,6,FALSE)</f>
        <v>REPLACE</v>
      </c>
      <c r="J15" s="83" t="str">
        <f>VLOOKUP($D15,'[1]DM 4 Car'!$D:$M,7,FALSE)</f>
        <v>ATM</v>
      </c>
      <c r="K15" s="83">
        <f>VLOOKUP($D15,'[1]DM 4 Car'!$D:$M,8,FALSE)</f>
        <v>0</v>
      </c>
      <c r="L15" s="83" t="str">
        <f>VLOOKUP($D15,'[1]DM 4 Car'!$D:$M,9,FALSE)</f>
        <v>JHOPL-WI-17-135</v>
      </c>
      <c r="M15" s="83" t="str">
        <f>VLOOKUP($D15,'[1]DM 4 Car'!$D:$M,10,FALSE)</f>
        <v>MORS SMITT</v>
      </c>
      <c r="N15" s="94">
        <v>1</v>
      </c>
      <c r="O15" s="95">
        <v>5.2083333333333333E-4</v>
      </c>
    </row>
    <row r="16" spans="1:15" ht="54" customHeight="1" thickTop="1" thickBot="1" x14ac:dyDescent="0.25">
      <c r="A16" s="85"/>
      <c r="B16" s="93" t="s">
        <v>12</v>
      </c>
      <c r="C16" s="94" t="s">
        <v>101</v>
      </c>
      <c r="D16" s="94" t="s">
        <v>102</v>
      </c>
      <c r="E16" s="94" t="s">
        <v>13</v>
      </c>
      <c r="F16" s="94" t="s">
        <v>23</v>
      </c>
      <c r="G16" s="94" t="s">
        <v>60</v>
      </c>
      <c r="H16" s="99" t="s">
        <v>61</v>
      </c>
      <c r="I16" s="83" t="str">
        <f>VLOOKUP($D16,'[1]DM 4 Car'!$D:$M,6,FALSE)</f>
        <v>REPLACE</v>
      </c>
      <c r="J16" s="83" t="str">
        <f>VLOOKUP($D16,'[1]DM 4 Car'!$D:$M,7,FALSE)</f>
        <v>ATM</v>
      </c>
      <c r="K16" s="83">
        <f>VLOOKUP($D16,'[1]DM 4 Car'!$D:$M,8,FALSE)</f>
        <v>0</v>
      </c>
      <c r="L16" s="83" t="str">
        <f>VLOOKUP($D16,'[1]DM 4 Car'!$D:$M,9,FALSE)</f>
        <v>JHOPL-WI-17-135</v>
      </c>
      <c r="M16" s="83" t="str">
        <f>VLOOKUP($D16,'[1]DM 4 Car'!$D:$M,10,FALSE)</f>
        <v>MORS SMITT</v>
      </c>
      <c r="N16" s="94">
        <v>1</v>
      </c>
      <c r="O16" s="95">
        <v>5.2083333333333333E-4</v>
      </c>
    </row>
    <row r="17" spans="1:15" ht="54" customHeight="1" thickTop="1" thickBot="1" x14ac:dyDescent="0.25">
      <c r="A17" s="85"/>
      <c r="B17" s="93" t="s">
        <v>12</v>
      </c>
      <c r="C17" s="94" t="s">
        <v>103</v>
      </c>
      <c r="D17" s="94" t="s">
        <v>104</v>
      </c>
      <c r="E17" s="94" t="s">
        <v>13</v>
      </c>
      <c r="F17" s="94" t="s">
        <v>23</v>
      </c>
      <c r="G17" s="94" t="s">
        <v>60</v>
      </c>
      <c r="H17" s="99" t="s">
        <v>61</v>
      </c>
      <c r="I17" s="83" t="str">
        <f>VLOOKUP($D17,'[1]DM 4 Car'!$D:$M,6,FALSE)</f>
        <v>REPLACE</v>
      </c>
      <c r="J17" s="83" t="str">
        <f>VLOOKUP($D17,'[1]DM 4 Car'!$D:$M,7,FALSE)</f>
        <v>ATM</v>
      </c>
      <c r="K17" s="83">
        <f>VLOOKUP($D17,'[1]DM 4 Car'!$D:$M,8,FALSE)</f>
        <v>0</v>
      </c>
      <c r="L17" s="83" t="str">
        <f>VLOOKUP($D17,'[1]DM 4 Car'!$D:$M,9,FALSE)</f>
        <v>JHOPL-WI-17-135</v>
      </c>
      <c r="M17" s="83" t="str">
        <f>VLOOKUP($D17,'[1]DM 4 Car'!$D:$M,10,FALSE)</f>
        <v>MORS SMITT</v>
      </c>
      <c r="N17" s="94">
        <v>1</v>
      </c>
      <c r="O17" s="95">
        <v>3.4722222222222224E-4</v>
      </c>
    </row>
    <row r="18" spans="1:15" ht="54" customHeight="1" thickTop="1" thickBot="1" x14ac:dyDescent="0.25">
      <c r="A18" s="85"/>
      <c r="B18" s="93" t="s">
        <v>12</v>
      </c>
      <c r="C18" s="94" t="s">
        <v>105</v>
      </c>
      <c r="D18" s="94" t="s">
        <v>106</v>
      </c>
      <c r="E18" s="94" t="s">
        <v>13</v>
      </c>
      <c r="F18" s="94" t="s">
        <v>23</v>
      </c>
      <c r="G18" s="94" t="s">
        <v>60</v>
      </c>
      <c r="H18" s="99" t="s">
        <v>61</v>
      </c>
      <c r="I18" s="83" t="str">
        <f>VLOOKUP($D18,'[1]DM 4 Car'!$D:$M,6,FALSE)</f>
        <v>IROC</v>
      </c>
      <c r="J18" s="83" t="str">
        <f>VLOOKUP($D18,'[1]DM 4 Car'!$D:$M,7,FALSE)</f>
        <v>ATM</v>
      </c>
      <c r="K18" s="83">
        <f>VLOOKUP($D18,'[1]DM 4 Car'!$D:$M,8,FALSE)</f>
        <v>0</v>
      </c>
      <c r="L18" s="83" t="str">
        <f>VLOOKUP($D18,'[1]DM 4 Car'!$D:$M,9,FALSE)</f>
        <v>JHOPL-WI-11-018</v>
      </c>
      <c r="M18" s="83" t="str">
        <f>VLOOKUP($D18,'[1]DM 4 Car'!$D:$M,10,FALSE)</f>
        <v>JHOPL</v>
      </c>
      <c r="N18" s="94">
        <v>1</v>
      </c>
      <c r="O18" s="95">
        <v>6.9444444444444447E-4</v>
      </c>
    </row>
    <row r="19" spans="1:15" ht="54" customHeight="1" thickTop="1" thickBot="1" x14ac:dyDescent="0.25">
      <c r="A19" s="85"/>
      <c r="B19" s="93" t="s">
        <v>12</v>
      </c>
      <c r="C19" s="94" t="s">
        <v>109</v>
      </c>
      <c r="D19" s="94" t="s">
        <v>110</v>
      </c>
      <c r="E19" s="94" t="s">
        <v>13</v>
      </c>
      <c r="F19" s="94" t="s">
        <v>23</v>
      </c>
      <c r="G19" s="94" t="s">
        <v>60</v>
      </c>
      <c r="H19" s="99" t="s">
        <v>61</v>
      </c>
      <c r="I19" s="83" t="str">
        <f>VLOOKUP($D19,'[1]DM 4 Car'!$D:$M,6,FALSE)</f>
        <v>IROC</v>
      </c>
      <c r="J19" s="83" t="str">
        <f>VLOOKUP($D19,'[1]DM 4 Car'!$D:$M,7,FALSE)</f>
        <v>ATM</v>
      </c>
      <c r="K19" s="83">
        <f>VLOOKUP($D19,'[1]DM 4 Car'!$D:$M,8,FALSE)</f>
        <v>0</v>
      </c>
      <c r="L19" s="83" t="str">
        <f>VLOOKUP($D19,'[1]DM 4 Car'!$D:$M,9,FALSE)</f>
        <v>JHOPL-WI-11-141</v>
      </c>
      <c r="M19" s="83" t="str">
        <f>VLOOKUP($D19,'[1]DM 4 Car'!$D:$M,10,FALSE)</f>
        <v>JHOPL</v>
      </c>
      <c r="N19" s="94">
        <v>1</v>
      </c>
      <c r="O19" s="95">
        <v>6.9444444444444447E-4</v>
      </c>
    </row>
    <row r="20" spans="1:15" ht="54" customHeight="1" thickTop="1" thickBot="1" x14ac:dyDescent="0.25">
      <c r="A20" s="85"/>
      <c r="B20" s="93" t="s">
        <v>12</v>
      </c>
      <c r="C20" s="94" t="s">
        <v>112</v>
      </c>
      <c r="D20" s="94" t="s">
        <v>113</v>
      </c>
      <c r="E20" s="94" t="s">
        <v>13</v>
      </c>
      <c r="F20" s="94" t="s">
        <v>23</v>
      </c>
      <c r="G20" s="94" t="s">
        <v>60</v>
      </c>
      <c r="H20" s="99" t="s">
        <v>61</v>
      </c>
      <c r="I20" s="83" t="str">
        <f>VLOOKUP($D20,'[1]DM 4 Car'!$D:$M,6,FALSE)</f>
        <v>REPLACE</v>
      </c>
      <c r="J20" s="83" t="str">
        <f>VLOOKUP($D20,'[1]DM 4 Car'!$D:$M,7,FALSE)</f>
        <v>ATM</v>
      </c>
      <c r="K20" s="83">
        <f>VLOOKUP($D20,'[1]DM 4 Car'!$D:$M,8,FALSE)</f>
        <v>0</v>
      </c>
      <c r="L20" s="83">
        <f>VLOOKUP($D20,'[1]DM 4 Car'!$D:$M,9,FALSE)</f>
        <v>0</v>
      </c>
      <c r="M20" s="83" t="str">
        <f>VLOOKUP($D20,'[1]DM 4 Car'!$D:$M,10,FALSE)</f>
        <v>MORS SMITT</v>
      </c>
      <c r="N20" s="94">
        <v>2</v>
      </c>
      <c r="O20" s="95">
        <v>5.2083333333333333E-4</v>
      </c>
    </row>
    <row r="21" spans="1:15" ht="54" customHeight="1" thickTop="1" thickBot="1" x14ac:dyDescent="0.25">
      <c r="A21" s="85"/>
      <c r="B21" s="93" t="s">
        <v>12</v>
      </c>
      <c r="C21" s="94" t="s">
        <v>114</v>
      </c>
      <c r="D21" s="94" t="s">
        <v>115</v>
      </c>
      <c r="E21" s="94" t="s">
        <v>13</v>
      </c>
      <c r="F21" s="94" t="s">
        <v>23</v>
      </c>
      <c r="G21" s="94" t="s">
        <v>60</v>
      </c>
      <c r="H21" s="99" t="s">
        <v>61</v>
      </c>
      <c r="I21" s="83" t="str">
        <f>VLOOKUP($D21,'[1]DM 4 Car'!$D:$M,6,FALSE)</f>
        <v>IROC</v>
      </c>
      <c r="J21" s="83" t="str">
        <f>VLOOKUP($D21,'[1]DM 4 Car'!$D:$M,7,FALSE)</f>
        <v>ATM</v>
      </c>
      <c r="K21" s="83">
        <f>VLOOKUP($D21,'[1]DM 4 Car'!$D:$M,8,FALSE)</f>
        <v>0</v>
      </c>
      <c r="L21" s="83" t="str">
        <f>VLOOKUP($D21,'[1]DM 4 Car'!$D:$M,9,FALSE)</f>
        <v>JHOPL-WI-17-068</v>
      </c>
      <c r="M21" s="83" t="str">
        <f>VLOOKUP($D21,'[1]DM 4 Car'!$D:$M,10,FALSE)</f>
        <v>JHOPL</v>
      </c>
      <c r="N21" s="94">
        <v>2</v>
      </c>
      <c r="O21" s="95">
        <v>45.000520833333333</v>
      </c>
    </row>
    <row r="22" spans="1:15" ht="54" customHeight="1" thickTop="1" thickBot="1" x14ac:dyDescent="0.25">
      <c r="A22" s="86"/>
      <c r="B22" s="93" t="s">
        <v>12</v>
      </c>
      <c r="C22" s="94" t="s">
        <v>117</v>
      </c>
      <c r="D22" s="94" t="s">
        <v>118</v>
      </c>
      <c r="E22" s="94" t="s">
        <v>13</v>
      </c>
      <c r="F22" s="94" t="s">
        <v>23</v>
      </c>
      <c r="G22" s="94" t="s">
        <v>60</v>
      </c>
      <c r="H22" s="99" t="s">
        <v>61</v>
      </c>
      <c r="I22" s="83" t="str">
        <f>VLOOKUP($D22,'[1]DM 4 Car'!$D:$M,6,FALSE)</f>
        <v>IROC</v>
      </c>
      <c r="J22" s="83" t="str">
        <f>VLOOKUP($D22,'[1]DM 4 Car'!$D:$M,7,FALSE)</f>
        <v>ATM</v>
      </c>
      <c r="K22" s="83">
        <f>VLOOKUP($D22,'[1]DM 4 Car'!$D:$M,8,FALSE)</f>
        <v>0</v>
      </c>
      <c r="L22" s="83" t="str">
        <f>VLOOKUP($D22,'[1]DM 4 Car'!$D:$M,9,FALSE)</f>
        <v>JHOPL-WI-17-069</v>
      </c>
      <c r="M22" s="83" t="str">
        <f>VLOOKUP($D22,'[1]DM 4 Car'!$D:$M,10,FALSE)</f>
        <v>JHOPL</v>
      </c>
      <c r="N22" s="94">
        <v>2</v>
      </c>
      <c r="O22" s="95">
        <v>45.042187499999997</v>
      </c>
    </row>
    <row r="23" spans="1:15" ht="54" customHeight="1" thickTop="1" thickBot="1" x14ac:dyDescent="0.25">
      <c r="A23" s="68"/>
      <c r="B23" s="93" t="s">
        <v>12</v>
      </c>
      <c r="C23" s="94" t="s">
        <v>120</v>
      </c>
      <c r="D23" s="94" t="s">
        <v>121</v>
      </c>
      <c r="E23" s="69" t="s">
        <v>13</v>
      </c>
      <c r="F23" s="69" t="s">
        <v>23</v>
      </c>
      <c r="G23" s="69" t="s">
        <v>122</v>
      </c>
      <c r="H23" s="70" t="s">
        <v>61</v>
      </c>
      <c r="I23" s="83" t="str">
        <f>VLOOKUP($D23,'[1]DM 4 Car'!$D:$M,6,FALSE)</f>
        <v>IROC</v>
      </c>
      <c r="J23" s="83" t="str">
        <f>VLOOKUP($D23,'[1]DM 4 Car'!$D:$M,7,FALSE)</f>
        <v>ATM</v>
      </c>
      <c r="K23" s="83">
        <f>VLOOKUP($D23,'[1]DM 4 Car'!$D:$M,8,FALSE)</f>
        <v>0</v>
      </c>
      <c r="L23" s="83" t="str">
        <f>VLOOKUP($D23,'[1]DM 4 Car'!$D:$M,9,FALSE)</f>
        <v>JHOPL-WI-11-024</v>
      </c>
      <c r="M23" s="83" t="str">
        <f>VLOOKUP($D23,'[1]DM 4 Car'!$D:$M,10,FALSE)</f>
        <v>JHOPL - ALSTOM</v>
      </c>
      <c r="N23" s="94">
        <v>1</v>
      </c>
      <c r="O23" s="95">
        <v>5.2083333333333333E-4</v>
      </c>
    </row>
    <row r="24" spans="1:15" ht="54" customHeight="1" thickTop="1" thickBot="1" x14ac:dyDescent="0.25">
      <c r="A24" s="68"/>
      <c r="B24" s="93" t="s">
        <v>12</v>
      </c>
      <c r="C24" s="94" t="s">
        <v>125</v>
      </c>
      <c r="D24" s="94" t="s">
        <v>126</v>
      </c>
      <c r="E24" s="69" t="s">
        <v>13</v>
      </c>
      <c r="F24" s="69" t="s">
        <v>23</v>
      </c>
      <c r="G24" s="69" t="s">
        <v>122</v>
      </c>
      <c r="H24" s="70" t="s">
        <v>61</v>
      </c>
      <c r="I24" s="83" t="str">
        <f>VLOOKUP($D24,'[1]DM 4 Car'!$D:$M,6,FALSE)</f>
        <v>IROC</v>
      </c>
      <c r="J24" s="83" t="str">
        <f>VLOOKUP($D24,'[1]DM 4 Car'!$D:$M,7,FALSE)</f>
        <v>ATM</v>
      </c>
      <c r="K24" s="83">
        <f>VLOOKUP($D24,'[1]DM 4 Car'!$D:$M,8,FALSE)</f>
        <v>0</v>
      </c>
      <c r="L24" s="83" t="str">
        <f>VLOOKUP($D24,'[1]DM 4 Car'!$D:$M,9,FALSE)</f>
        <v>JHOPL-WI-17-071</v>
      </c>
      <c r="M24" s="83" t="str">
        <f>VLOOKUP($D24,'[1]DM 4 Car'!$D:$M,10,FALSE)</f>
        <v>JHOPL - ALSTOM</v>
      </c>
      <c r="N24" s="94">
        <v>2</v>
      </c>
      <c r="O24" s="95">
        <v>6.9444444444444447E-4</v>
      </c>
    </row>
    <row r="25" spans="1:15" ht="54" customHeight="1" thickTop="1" thickBot="1" x14ac:dyDescent="0.25">
      <c r="A25" s="68"/>
      <c r="B25" s="96" t="s">
        <v>12</v>
      </c>
      <c r="C25" s="97" t="s">
        <v>128</v>
      </c>
      <c r="D25" s="97" t="s">
        <v>129</v>
      </c>
      <c r="E25" s="71" t="s">
        <v>13</v>
      </c>
      <c r="F25" s="71" t="s">
        <v>23</v>
      </c>
      <c r="G25" s="71" t="s">
        <v>60</v>
      </c>
      <c r="H25" s="72" t="s">
        <v>61</v>
      </c>
      <c r="I25" s="83" t="str">
        <f>VLOOKUP($D25,'[1]DM 4 Car'!$D:$M,6,FALSE)</f>
        <v>IROC</v>
      </c>
      <c r="J25" s="83" t="str">
        <f>VLOOKUP($D25,'[1]DM 4 Car'!$D:$M,7,FALSE)</f>
        <v>ATM</v>
      </c>
      <c r="K25" s="83">
        <f>VLOOKUP($D25,'[1]DM 4 Car'!$D:$M,8,FALSE)</f>
        <v>0</v>
      </c>
      <c r="L25" s="83">
        <f>VLOOKUP($D25,'[1]DM 4 Car'!$D:$M,9,FALSE)</f>
        <v>0</v>
      </c>
      <c r="M25" s="83" t="str">
        <f>VLOOKUP($D25,'[1]DM 4 Car'!$D:$M,10,FALSE)</f>
        <v>JHOPL</v>
      </c>
      <c r="N25" s="97"/>
      <c r="O25" s="98"/>
    </row>
    <row r="26" spans="1:15" ht="54" customHeight="1" thickTop="1" thickBot="1" x14ac:dyDescent="0.25">
      <c r="A26" s="85"/>
      <c r="B26" s="90" t="s">
        <v>15</v>
      </c>
      <c r="C26" s="91" t="s">
        <v>130</v>
      </c>
      <c r="D26" s="91" t="s">
        <v>131</v>
      </c>
      <c r="E26" s="91" t="s">
        <v>13</v>
      </c>
      <c r="F26" s="91" t="s">
        <v>23</v>
      </c>
      <c r="G26" s="91" t="s">
        <v>132</v>
      </c>
      <c r="H26" s="100">
        <v>45313</v>
      </c>
      <c r="I26" s="83" t="str">
        <f>VLOOKUP($D26,'[1]DM 4 Car'!$D:$M,6,FALSE)</f>
        <v>OH</v>
      </c>
      <c r="J26" s="83" t="str">
        <f>VLOOKUP($D26,'[1]DM 4 Car'!$D:$M,7,FALSE)</f>
        <v>TM</v>
      </c>
      <c r="K26" s="83">
        <f>VLOOKUP($D26,'[1]DM 4 Car'!$D:$M,8,FALSE)</f>
        <v>0</v>
      </c>
      <c r="L26" s="83" t="str">
        <f>VLOOKUP($D26,'[1]DM 4 Car'!$D:$M,9,FALSE)</f>
        <v>JHOPL-WI-14-188</v>
      </c>
      <c r="M26" s="83" t="str">
        <f>VLOOKUP($D26,'[1]DM 4 Car'!$D:$M,10,FALSE)</f>
        <v>JHOPL</v>
      </c>
      <c r="N26" s="91">
        <v>4</v>
      </c>
      <c r="O26" s="92">
        <v>1.736111111111111E-3</v>
      </c>
    </row>
    <row r="27" spans="1:15" ht="54" customHeight="1" thickTop="1" thickBot="1" x14ac:dyDescent="0.25">
      <c r="A27" s="85"/>
      <c r="B27" s="93" t="s">
        <v>15</v>
      </c>
      <c r="C27" s="94" t="s">
        <v>136</v>
      </c>
      <c r="D27" s="94" t="s">
        <v>137</v>
      </c>
      <c r="E27" s="94" t="s">
        <v>13</v>
      </c>
      <c r="F27" s="94" t="s">
        <v>23</v>
      </c>
      <c r="G27" s="94" t="s">
        <v>138</v>
      </c>
      <c r="H27" s="99">
        <v>45317</v>
      </c>
      <c r="I27" s="83" t="str">
        <f>VLOOKUP($D27,'[1]DM 4 Car'!$D:$M,6,FALSE)</f>
        <v>OH</v>
      </c>
      <c r="J27" s="83" t="str">
        <f>VLOOKUP($D27,'[1]DM 4 Car'!$D:$M,7,FALSE)</f>
        <v>TM</v>
      </c>
      <c r="K27" s="83">
        <f>VLOOKUP($D27,'[1]DM 4 Car'!$D:$M,8,FALSE)</f>
        <v>0</v>
      </c>
      <c r="L27" s="83" t="str">
        <f>VLOOKUP($D27,'[1]DM 4 Car'!$D:$M,9,FALSE)</f>
        <v>JHOPL-WI-14-188</v>
      </c>
      <c r="M27" s="83" t="str">
        <f>VLOOKUP($D27,'[1]DM 4 Car'!$D:$M,10,FALSE)</f>
        <v>JHOPL</v>
      </c>
      <c r="N27" s="94">
        <v>4</v>
      </c>
      <c r="O27" s="95">
        <v>1.736111111111111E-3</v>
      </c>
    </row>
    <row r="28" spans="1:15" ht="54" customHeight="1" thickTop="1" thickBot="1" x14ac:dyDescent="0.25">
      <c r="A28" s="85"/>
      <c r="B28" s="93" t="s">
        <v>15</v>
      </c>
      <c r="C28" s="94" t="s">
        <v>139</v>
      </c>
      <c r="D28" s="94" t="s">
        <v>140</v>
      </c>
      <c r="E28" s="94" t="s">
        <v>13</v>
      </c>
      <c r="F28" s="94" t="s">
        <v>23</v>
      </c>
      <c r="G28" s="94" t="s">
        <v>132</v>
      </c>
      <c r="H28" s="99">
        <v>45313</v>
      </c>
      <c r="I28" s="83" t="str">
        <f>VLOOKUP($D28,'[1]DM 4 Car'!$D:$M,6,FALSE)</f>
        <v>OH</v>
      </c>
      <c r="J28" s="83" t="str">
        <f>VLOOKUP($D28,'[1]DM 4 Car'!$D:$M,7,FALSE)</f>
        <v>TM</v>
      </c>
      <c r="K28" s="83">
        <f>VLOOKUP($D28,'[1]DM 4 Car'!$D:$M,8,FALSE)</f>
        <v>0</v>
      </c>
      <c r="L28" s="83" t="str">
        <f>VLOOKUP($D28,'[1]DM 4 Car'!$D:$M,9,FALSE)</f>
        <v>JHOPL-WI-14-188</v>
      </c>
      <c r="M28" s="83" t="str">
        <f>VLOOKUP($D28,'[1]DM 4 Car'!$D:$M,10,FALSE)</f>
        <v>JHOPL</v>
      </c>
      <c r="N28" s="94">
        <v>4</v>
      </c>
      <c r="O28" s="95">
        <v>1.736111111111111E-3</v>
      </c>
    </row>
    <row r="29" spans="1:15" ht="54" customHeight="1" thickTop="1" thickBot="1" x14ac:dyDescent="0.25">
      <c r="A29" s="85"/>
      <c r="B29" s="93" t="s">
        <v>15</v>
      </c>
      <c r="C29" s="94" t="s">
        <v>141</v>
      </c>
      <c r="D29" s="94" t="s">
        <v>142</v>
      </c>
      <c r="E29" s="94" t="s">
        <v>13</v>
      </c>
      <c r="F29" s="94" t="s">
        <v>23</v>
      </c>
      <c r="G29" s="94" t="s">
        <v>132</v>
      </c>
      <c r="H29" s="99">
        <v>45321</v>
      </c>
      <c r="I29" s="83" t="str">
        <f>VLOOKUP($D29,'[1]DM 4 Car'!$D:$M,6,FALSE)</f>
        <v>OH</v>
      </c>
      <c r="J29" s="83" t="str">
        <f>VLOOKUP($D29,'[1]DM 4 Car'!$D:$M,7,FALSE)</f>
        <v>TM</v>
      </c>
      <c r="K29" s="83">
        <f>VLOOKUP($D29,'[1]DM 4 Car'!$D:$M,8,FALSE)</f>
        <v>0</v>
      </c>
      <c r="L29" s="83" t="str">
        <f>VLOOKUP($D29,'[1]DM 4 Car'!$D:$M,9,FALSE)</f>
        <v>JHOPL-WI-14-188</v>
      </c>
      <c r="M29" s="83" t="str">
        <f>VLOOKUP($D29,'[1]DM 4 Car'!$D:$M,10,FALSE)</f>
        <v>JHOPL</v>
      </c>
      <c r="N29" s="94">
        <v>4</v>
      </c>
      <c r="O29" s="95">
        <v>1.736111111111111E-3</v>
      </c>
    </row>
    <row r="30" spans="1:15" ht="54" customHeight="1" thickTop="1" thickBot="1" x14ac:dyDescent="0.25">
      <c r="A30" s="85"/>
      <c r="B30" s="93" t="s">
        <v>15</v>
      </c>
      <c r="C30" s="94" t="s">
        <v>144</v>
      </c>
      <c r="D30" s="94" t="s">
        <v>145</v>
      </c>
      <c r="E30" s="94" t="s">
        <v>13</v>
      </c>
      <c r="F30" s="94" t="s">
        <v>23</v>
      </c>
      <c r="G30" s="94" t="s">
        <v>146</v>
      </c>
      <c r="H30" s="99">
        <v>45315</v>
      </c>
      <c r="I30" s="83" t="str">
        <f>VLOOKUP($D30,'[1]DM 4 Car'!$D:$M,6,FALSE)</f>
        <v>OH</v>
      </c>
      <c r="J30" s="83" t="str">
        <f>VLOOKUP($D30,'[1]DM 4 Car'!$D:$M,7,FALSE)</f>
        <v>ATM</v>
      </c>
      <c r="K30" s="83">
        <f>VLOOKUP($D30,'[1]DM 4 Car'!$D:$M,8,FALSE)</f>
        <v>0</v>
      </c>
      <c r="L30" s="83" t="str">
        <f>VLOOKUP($D30,'[1]DM 4 Car'!$D:$M,9,FALSE)</f>
        <v>JHOPL-WI-11-129</v>
      </c>
      <c r="M30" s="83" t="str">
        <f>VLOOKUP($D30,'[1]DM 4 Car'!$D:$M,10,FALSE)</f>
        <v>ALSTOM</v>
      </c>
      <c r="N30" s="94">
        <v>2</v>
      </c>
      <c r="O30" s="95">
        <v>5.2083333333333333E-4</v>
      </c>
    </row>
    <row r="31" spans="1:15" ht="54" customHeight="1" thickTop="1" thickBot="1" x14ac:dyDescent="0.25">
      <c r="A31" s="85"/>
      <c r="B31" s="93" t="s">
        <v>15</v>
      </c>
      <c r="C31" s="94" t="s">
        <v>148</v>
      </c>
      <c r="D31" s="94" t="s">
        <v>145</v>
      </c>
      <c r="E31" s="94" t="s">
        <v>13</v>
      </c>
      <c r="F31" s="94" t="s">
        <v>23</v>
      </c>
      <c r="G31" s="94" t="s">
        <v>146</v>
      </c>
      <c r="H31" s="99">
        <v>45315</v>
      </c>
      <c r="I31" s="83" t="str">
        <f>VLOOKUP($D31,'[1]DM 4 Car'!$D:$M,6,FALSE)</f>
        <v>OH</v>
      </c>
      <c r="J31" s="83" t="str">
        <f>VLOOKUP($D31,'[1]DM 4 Car'!$D:$M,7,FALSE)</f>
        <v>ATM</v>
      </c>
      <c r="K31" s="83">
        <f>VLOOKUP($D31,'[1]DM 4 Car'!$D:$M,8,FALSE)</f>
        <v>0</v>
      </c>
      <c r="L31" s="83" t="str">
        <f>VLOOKUP($D31,'[1]DM 4 Car'!$D:$M,9,FALSE)</f>
        <v>JHOPL-WI-11-129</v>
      </c>
      <c r="M31" s="83" t="str">
        <f>VLOOKUP($D31,'[1]DM 4 Car'!$D:$M,10,FALSE)</f>
        <v>ALSTOM</v>
      </c>
      <c r="N31" s="94">
        <v>2</v>
      </c>
      <c r="O31" s="95">
        <v>5.2083333333333333E-4</v>
      </c>
    </row>
    <row r="32" spans="1:15" ht="54" customHeight="1" thickTop="1" thickBot="1" x14ac:dyDescent="0.25">
      <c r="A32" s="85"/>
      <c r="B32" s="93" t="s">
        <v>15</v>
      </c>
      <c r="C32" s="94" t="s">
        <v>149</v>
      </c>
      <c r="D32" s="94" t="s">
        <v>150</v>
      </c>
      <c r="E32" s="94" t="s">
        <v>13</v>
      </c>
      <c r="F32" s="94" t="s">
        <v>23</v>
      </c>
      <c r="G32" s="94" t="s">
        <v>727</v>
      </c>
      <c r="H32" s="99">
        <v>45313</v>
      </c>
      <c r="I32" s="83" t="str">
        <f>VLOOKUP($D32,'[1]DM 4 Car'!$D:$M,6,FALSE)</f>
        <v>OH</v>
      </c>
      <c r="J32" s="83" t="str">
        <f>VLOOKUP($D32,'[1]DM 4 Car'!$D:$M,7,FALSE)</f>
        <v>ATM</v>
      </c>
      <c r="K32" s="83">
        <f>VLOOKUP($D32,'[1]DM 4 Car'!$D:$M,8,FALSE)</f>
        <v>0</v>
      </c>
      <c r="L32" s="83" t="str">
        <f>VLOOKUP($D32,'[1]DM 4 Car'!$D:$M,9,FALSE)</f>
        <v>JHOPL-WI-11-006</v>
      </c>
      <c r="M32" s="83" t="str">
        <f>VLOOKUP($D32,'[1]DM 4 Car'!$D:$M,10,FALSE)</f>
        <v>ALSTOM</v>
      </c>
      <c r="N32" s="94">
        <v>1</v>
      </c>
      <c r="O32" s="95">
        <v>2.3148148148148146E-4</v>
      </c>
    </row>
    <row r="33" spans="1:15" ht="54" customHeight="1" thickTop="1" thickBot="1" x14ac:dyDescent="0.25">
      <c r="A33" s="85"/>
      <c r="B33" s="93" t="s">
        <v>15</v>
      </c>
      <c r="C33" s="94" t="s">
        <v>153</v>
      </c>
      <c r="D33" s="94" t="s">
        <v>154</v>
      </c>
      <c r="E33" s="94" t="s">
        <v>13</v>
      </c>
      <c r="F33" s="94" t="s">
        <v>23</v>
      </c>
      <c r="G33" s="94" t="s">
        <v>728</v>
      </c>
      <c r="H33" s="99">
        <v>45313</v>
      </c>
      <c r="I33" s="83" t="str">
        <f>VLOOKUP($D33,'[1]DM 4 Car'!$D:$M,6,FALSE)</f>
        <v>OH</v>
      </c>
      <c r="J33" s="83" t="str">
        <f>VLOOKUP($D33,'[1]DM 4 Car'!$D:$M,7,FALSE)</f>
        <v>ATM</v>
      </c>
      <c r="K33" s="83">
        <f>VLOOKUP($D33,'[1]DM 4 Car'!$D:$M,8,FALSE)</f>
        <v>0</v>
      </c>
      <c r="L33" s="83" t="str">
        <f>VLOOKUP($D33,'[1]DM 4 Car'!$D:$M,9,FALSE)</f>
        <v>JHOPL-WI-11-008</v>
      </c>
      <c r="M33" s="83" t="str">
        <f>VLOOKUP($D33,'[1]DM 4 Car'!$D:$M,10,FALSE)</f>
        <v>ALSTOM</v>
      </c>
      <c r="N33" s="94">
        <v>2</v>
      </c>
      <c r="O33" s="95">
        <v>2.3148148148148146E-4</v>
      </c>
    </row>
    <row r="34" spans="1:15" ht="54" customHeight="1" thickTop="1" thickBot="1" x14ac:dyDescent="0.25">
      <c r="A34" s="85"/>
      <c r="B34" s="93" t="s">
        <v>15</v>
      </c>
      <c r="C34" s="94" t="s">
        <v>157</v>
      </c>
      <c r="D34" s="94" t="s">
        <v>158</v>
      </c>
      <c r="E34" s="94" t="s">
        <v>13</v>
      </c>
      <c r="F34" s="94" t="s">
        <v>23</v>
      </c>
      <c r="G34" s="94" t="s">
        <v>728</v>
      </c>
      <c r="H34" s="99">
        <v>45313</v>
      </c>
      <c r="I34" s="83" t="str">
        <f>VLOOKUP($D34,'[1]DM 4 Car'!$D:$M,6,FALSE)</f>
        <v>OH</v>
      </c>
      <c r="J34" s="83" t="str">
        <f>VLOOKUP($D34,'[1]DM 4 Car'!$D:$M,7,FALSE)</f>
        <v>ATM</v>
      </c>
      <c r="K34" s="83">
        <f>VLOOKUP($D34,'[1]DM 4 Car'!$D:$M,8,FALSE)</f>
        <v>0</v>
      </c>
      <c r="L34" s="83" t="str">
        <f>VLOOKUP($D34,'[1]DM 4 Car'!$D:$M,9,FALSE)</f>
        <v>JHOPL-WI-17-150</v>
      </c>
      <c r="M34" s="83" t="str">
        <f>VLOOKUP($D34,'[1]DM 4 Car'!$D:$M,10,FALSE)</f>
        <v>ALSTOM</v>
      </c>
      <c r="N34" s="94">
        <v>2</v>
      </c>
      <c r="O34" s="95">
        <v>3.4722222222222224E-4</v>
      </c>
    </row>
    <row r="35" spans="1:15" ht="54" customHeight="1" thickTop="1" thickBot="1" x14ac:dyDescent="0.25">
      <c r="A35" s="85"/>
      <c r="B35" s="93" t="s">
        <v>15</v>
      </c>
      <c r="C35" s="94" t="s">
        <v>160</v>
      </c>
      <c r="D35" s="94" t="s">
        <v>161</v>
      </c>
      <c r="E35" s="94" t="s">
        <v>13</v>
      </c>
      <c r="F35" s="94" t="s">
        <v>23</v>
      </c>
      <c r="G35" s="94" t="s">
        <v>132</v>
      </c>
      <c r="H35" s="99">
        <v>45321</v>
      </c>
      <c r="I35" s="83" t="str">
        <f>VLOOKUP($D35,'[1]DM 4 Car'!$D:$M,6,FALSE)</f>
        <v>REPLACE</v>
      </c>
      <c r="J35" s="83" t="str">
        <f>VLOOKUP($D35,'[1]DM 4 Car'!$D:$M,7,FALSE)</f>
        <v>TM</v>
      </c>
      <c r="K35" s="83">
        <f>VLOOKUP($D35,'[1]DM 4 Car'!$D:$M,8,FALSE)</f>
        <v>0</v>
      </c>
      <c r="L35" s="83" t="str">
        <f>VLOOKUP($D35,'[1]DM 4 Car'!$D:$M,9,FALSE)</f>
        <v>JHOPL-WI-19-162</v>
      </c>
      <c r="M35" s="83" t="str">
        <f>VLOOKUP($D35,'[1]DM 4 Car'!$D:$M,10,FALSE)</f>
        <v>TIDYCO</v>
      </c>
      <c r="N35" s="94">
        <v>2</v>
      </c>
      <c r="O35" s="95">
        <v>4.6296296296296293E-4</v>
      </c>
    </row>
    <row r="36" spans="1:15" ht="54" customHeight="1" thickTop="1" thickBot="1" x14ac:dyDescent="0.25">
      <c r="A36" s="85"/>
      <c r="B36" s="93" t="s">
        <v>15</v>
      </c>
      <c r="C36" s="94" t="s">
        <v>164</v>
      </c>
      <c r="D36" s="94" t="s">
        <v>165</v>
      </c>
      <c r="E36" s="94" t="s">
        <v>13</v>
      </c>
      <c r="F36" s="94" t="s">
        <v>23</v>
      </c>
      <c r="G36" s="94" t="s">
        <v>132</v>
      </c>
      <c r="H36" s="99">
        <v>45321</v>
      </c>
      <c r="I36" s="83" t="str">
        <f>VLOOKUP($D36,'[1]DM 4 Car'!$D:$M,6,FALSE)</f>
        <v>REPLACE</v>
      </c>
      <c r="J36" s="83" t="str">
        <f>VLOOKUP($D36,'[1]DM 4 Car'!$D:$M,7,FALSE)</f>
        <v>TM</v>
      </c>
      <c r="K36" s="83">
        <f>VLOOKUP($D36,'[1]DM 4 Car'!$D:$M,8,FALSE)</f>
        <v>0</v>
      </c>
      <c r="L36" s="83" t="str">
        <f>VLOOKUP($D36,'[1]DM 4 Car'!$D:$M,9,FALSE)</f>
        <v>JHOPL-WI-19-162</v>
      </c>
      <c r="M36" s="83" t="str">
        <f>VLOOKUP($D36,'[1]DM 4 Car'!$D:$M,10,FALSE)</f>
        <v>TIDYCO</v>
      </c>
      <c r="N36" s="94">
        <v>2</v>
      </c>
      <c r="O36" s="95">
        <v>4.6296296296296293E-4</v>
      </c>
    </row>
    <row r="37" spans="1:15" ht="54" customHeight="1" thickTop="1" thickBot="1" x14ac:dyDescent="0.25">
      <c r="A37" s="85"/>
      <c r="B37" s="93" t="s">
        <v>15</v>
      </c>
      <c r="C37" s="94" t="s">
        <v>166</v>
      </c>
      <c r="D37" s="94" t="s">
        <v>167</v>
      </c>
      <c r="E37" s="94" t="s">
        <v>13</v>
      </c>
      <c r="F37" s="94" t="s">
        <v>23</v>
      </c>
      <c r="G37" s="94" t="s">
        <v>138</v>
      </c>
      <c r="H37" s="99">
        <v>45317</v>
      </c>
      <c r="I37" s="83" t="str">
        <f>VLOOKUP($D37,'[1]DM 4 Car'!$D:$M,6,FALSE)</f>
        <v>REPLACE</v>
      </c>
      <c r="J37" s="83" t="str">
        <f>VLOOKUP($D37,'[1]DM 4 Car'!$D:$M,7,FALSE)</f>
        <v>TM</v>
      </c>
      <c r="K37" s="83">
        <f>VLOOKUP($D37,'[1]DM 4 Car'!$D:$M,8,FALSE)</f>
        <v>0</v>
      </c>
      <c r="L37" s="83" t="str">
        <f>VLOOKUP($D37,'[1]DM 4 Car'!$D:$M,9,FALSE)</f>
        <v>JHOPL-WI-19-160</v>
      </c>
      <c r="M37" s="83" t="str">
        <f>VLOOKUP($D37,'[1]DM 4 Car'!$D:$M,10,FALSE)</f>
        <v>TIDYCO</v>
      </c>
      <c r="N37" s="94">
        <v>1</v>
      </c>
      <c r="O37" s="95">
        <v>4.6296296296296293E-4</v>
      </c>
    </row>
    <row r="38" spans="1:15" ht="54" customHeight="1" thickTop="1" thickBot="1" x14ac:dyDescent="0.25">
      <c r="A38" s="85"/>
      <c r="B38" s="93" t="s">
        <v>15</v>
      </c>
      <c r="C38" s="94" t="s">
        <v>169</v>
      </c>
      <c r="D38" s="94" t="s">
        <v>170</v>
      </c>
      <c r="E38" s="94" t="s">
        <v>13</v>
      </c>
      <c r="F38" s="94" t="s">
        <v>23</v>
      </c>
      <c r="G38" s="94" t="s">
        <v>138</v>
      </c>
      <c r="H38" s="99">
        <v>45317</v>
      </c>
      <c r="I38" s="83" t="str">
        <f>VLOOKUP($D38,'[1]DM 4 Car'!$D:$M,6,FALSE)</f>
        <v>REPLACE</v>
      </c>
      <c r="J38" s="83" t="str">
        <f>VLOOKUP($D38,'[1]DM 4 Car'!$D:$M,7,FALSE)</f>
        <v>TM</v>
      </c>
      <c r="K38" s="83">
        <f>VLOOKUP($D38,'[1]DM 4 Car'!$D:$M,8,FALSE)</f>
        <v>0</v>
      </c>
      <c r="L38" s="83" t="str">
        <f>VLOOKUP($D38,'[1]DM 4 Car'!$D:$M,9,FALSE)</f>
        <v>JHOPL-WI-19-160</v>
      </c>
      <c r="M38" s="83" t="str">
        <f>VLOOKUP($D38,'[1]DM 4 Car'!$D:$M,10,FALSE)</f>
        <v>TIDYCO</v>
      </c>
      <c r="N38" s="94">
        <v>1</v>
      </c>
      <c r="O38" s="95">
        <v>4.6296296296296293E-4</v>
      </c>
    </row>
    <row r="39" spans="1:15" ht="54" customHeight="1" thickTop="1" thickBot="1" x14ac:dyDescent="0.25">
      <c r="A39" s="85"/>
      <c r="B39" s="93" t="s">
        <v>15</v>
      </c>
      <c r="C39" s="94" t="s">
        <v>171</v>
      </c>
      <c r="D39" s="94" t="s">
        <v>172</v>
      </c>
      <c r="E39" s="94" t="s">
        <v>13</v>
      </c>
      <c r="F39" s="94" t="s">
        <v>23</v>
      </c>
      <c r="G39" s="94" t="s">
        <v>138</v>
      </c>
      <c r="H39" s="99">
        <v>45317</v>
      </c>
      <c r="I39" s="83" t="str">
        <f>VLOOKUP($D39,'[1]DM 4 Car'!$D:$M,6,FALSE)</f>
        <v>REPLACE</v>
      </c>
      <c r="J39" s="83" t="str">
        <f>VLOOKUP($D39,'[1]DM 4 Car'!$D:$M,7,FALSE)</f>
        <v>TM</v>
      </c>
      <c r="K39" s="83">
        <f>VLOOKUP($D39,'[1]DM 4 Car'!$D:$M,8,FALSE)</f>
        <v>0</v>
      </c>
      <c r="L39" s="83" t="str">
        <f>VLOOKUP($D39,'[1]DM 4 Car'!$D:$M,9,FALSE)</f>
        <v>JHOPL-WI-19-160</v>
      </c>
      <c r="M39" s="83" t="str">
        <f>VLOOKUP($D39,'[1]DM 4 Car'!$D:$M,10,FALSE)</f>
        <v>TIDYCO</v>
      </c>
      <c r="N39" s="94">
        <v>1</v>
      </c>
      <c r="O39" s="95">
        <v>4.6296296296296293E-4</v>
      </c>
    </row>
    <row r="40" spans="1:15" ht="54" customHeight="1" thickTop="1" thickBot="1" x14ac:dyDescent="0.25">
      <c r="A40" s="85"/>
      <c r="B40" s="93" t="s">
        <v>15</v>
      </c>
      <c r="C40" s="94" t="s">
        <v>173</v>
      </c>
      <c r="D40" s="94" t="s">
        <v>161</v>
      </c>
      <c r="E40" s="94" t="s">
        <v>13</v>
      </c>
      <c r="F40" s="94" t="s">
        <v>23</v>
      </c>
      <c r="G40" s="94" t="s">
        <v>132</v>
      </c>
      <c r="H40" s="99">
        <v>45321</v>
      </c>
      <c r="I40" s="83" t="str">
        <f>VLOOKUP($D40,'[1]DM 4 Car'!$D:$M,6,FALSE)</f>
        <v>REPLACE</v>
      </c>
      <c r="J40" s="83" t="str">
        <f>VLOOKUP($D40,'[1]DM 4 Car'!$D:$M,7,FALSE)</f>
        <v>TM</v>
      </c>
      <c r="K40" s="83">
        <f>VLOOKUP($D40,'[1]DM 4 Car'!$D:$M,8,FALSE)</f>
        <v>0</v>
      </c>
      <c r="L40" s="83" t="str">
        <f>VLOOKUP($D40,'[1]DM 4 Car'!$D:$M,9,FALSE)</f>
        <v>JHOPL-WI-19-162</v>
      </c>
      <c r="M40" s="83" t="str">
        <f>VLOOKUP($D40,'[1]DM 4 Car'!$D:$M,10,FALSE)</f>
        <v>TIDYCO</v>
      </c>
      <c r="N40" s="94">
        <v>2</v>
      </c>
      <c r="O40" s="95">
        <v>4.6296296296296293E-4</v>
      </c>
    </row>
    <row r="41" spans="1:15" ht="54" customHeight="1" thickTop="1" thickBot="1" x14ac:dyDescent="0.25">
      <c r="A41" s="85"/>
      <c r="B41" s="93" t="s">
        <v>15</v>
      </c>
      <c r="C41" s="94" t="s">
        <v>174</v>
      </c>
      <c r="D41" s="94" t="s">
        <v>165</v>
      </c>
      <c r="E41" s="94" t="s">
        <v>13</v>
      </c>
      <c r="F41" s="94" t="s">
        <v>23</v>
      </c>
      <c r="G41" s="94" t="s">
        <v>132</v>
      </c>
      <c r="H41" s="99">
        <v>45321</v>
      </c>
      <c r="I41" s="83" t="str">
        <f>VLOOKUP($D41,'[1]DM 4 Car'!$D:$M,6,FALSE)</f>
        <v>REPLACE</v>
      </c>
      <c r="J41" s="83" t="str">
        <f>VLOOKUP($D41,'[1]DM 4 Car'!$D:$M,7,FALSE)</f>
        <v>TM</v>
      </c>
      <c r="K41" s="83">
        <f>VLOOKUP($D41,'[1]DM 4 Car'!$D:$M,8,FALSE)</f>
        <v>0</v>
      </c>
      <c r="L41" s="83" t="str">
        <f>VLOOKUP($D41,'[1]DM 4 Car'!$D:$M,9,FALSE)</f>
        <v>JHOPL-WI-19-162</v>
      </c>
      <c r="M41" s="83" t="str">
        <f>VLOOKUP($D41,'[1]DM 4 Car'!$D:$M,10,FALSE)</f>
        <v>TIDYCO</v>
      </c>
      <c r="N41" s="94">
        <v>2</v>
      </c>
      <c r="O41" s="95">
        <v>4.6296296296296293E-4</v>
      </c>
    </row>
    <row r="42" spans="1:15" ht="54" customHeight="1" thickTop="1" thickBot="1" x14ac:dyDescent="0.25">
      <c r="A42" s="85"/>
      <c r="B42" s="93" t="s">
        <v>15</v>
      </c>
      <c r="C42" s="94" t="s">
        <v>175</v>
      </c>
      <c r="D42" s="94" t="s">
        <v>176</v>
      </c>
      <c r="E42" s="78" t="s">
        <v>13</v>
      </c>
      <c r="F42" s="78" t="s">
        <v>23</v>
      </c>
      <c r="G42" s="78" t="s">
        <v>177</v>
      </c>
      <c r="H42" s="99">
        <v>45317</v>
      </c>
      <c r="I42" s="83" t="str">
        <f>VLOOKUP($D42,'[1]DM 4 Car'!$D:$M,6,FALSE)</f>
        <v>IROC</v>
      </c>
      <c r="J42" s="83" t="str">
        <f>VLOOKUP($D42,'[1]DM 4 Car'!$D:$M,7,FALSE)</f>
        <v>ATM</v>
      </c>
      <c r="K42" s="83">
        <f>VLOOKUP($D42,'[1]DM 4 Car'!$D:$M,8,FALSE)</f>
        <v>0</v>
      </c>
      <c r="L42" s="83" t="str">
        <f>VLOOKUP($D42,'[1]DM 4 Car'!$D:$M,9,FALSE)</f>
        <v>JHOPL-WI-11-002</v>
      </c>
      <c r="M42" s="83" t="str">
        <f>VLOOKUP($D42,'[1]DM 4 Car'!$D:$M,10,FALSE)</f>
        <v>JHOPL</v>
      </c>
      <c r="N42" s="94">
        <v>1</v>
      </c>
      <c r="O42" s="95">
        <v>6.9444444444444447E-4</v>
      </c>
    </row>
    <row r="43" spans="1:15" ht="54" customHeight="1" thickTop="1" thickBot="1" x14ac:dyDescent="0.25">
      <c r="A43" s="137"/>
      <c r="B43" s="122" t="s">
        <v>15</v>
      </c>
      <c r="C43" s="123" t="s">
        <v>179</v>
      </c>
      <c r="D43" s="123" t="s">
        <v>180</v>
      </c>
      <c r="E43" s="123" t="s">
        <v>23</v>
      </c>
      <c r="F43" s="123"/>
      <c r="G43" s="123"/>
      <c r="H43" s="139"/>
      <c r="I43" s="83" t="str">
        <f>VLOOKUP($D43,'[1]DM 4 Car'!$D:$M,6,FALSE)</f>
        <v>REPLACE</v>
      </c>
      <c r="J43" s="83" t="str">
        <f>VLOOKUP($D43,'[1]DM 4 Car'!$D:$M,7,FALSE)</f>
        <v>ATM</v>
      </c>
      <c r="K43" s="83">
        <f>VLOOKUP($D43,'[1]DM 4 Car'!$D:$M,8,FALSE)</f>
        <v>0</v>
      </c>
      <c r="L43" s="83" t="str">
        <f>VLOOKUP($D43,'[1]DM 4 Car'!$D:$M,9,FALSE)</f>
        <v>JHOPL-WI-11-191</v>
      </c>
      <c r="M43" s="83" t="str">
        <f>VLOOKUP($D43,'[1]DM 4 Car'!$D:$M,10,FALSE)</f>
        <v>ALSTOM</v>
      </c>
      <c r="N43" s="123">
        <v>2</v>
      </c>
      <c r="O43" s="127">
        <v>6.9444444444444447E-4</v>
      </c>
    </row>
    <row r="44" spans="1:15" ht="54" customHeight="1" thickTop="1" thickBot="1" x14ac:dyDescent="0.25">
      <c r="A44" s="87"/>
      <c r="B44" s="90" t="s">
        <v>18</v>
      </c>
      <c r="C44" s="91" t="s">
        <v>182</v>
      </c>
      <c r="D44" s="91" t="s">
        <v>183</v>
      </c>
      <c r="E44" s="91" t="s">
        <v>13</v>
      </c>
      <c r="F44" s="91" t="s">
        <v>23</v>
      </c>
      <c r="G44" s="91" t="s">
        <v>817</v>
      </c>
      <c r="H44" s="100">
        <v>45315</v>
      </c>
      <c r="I44" s="83" t="str">
        <f>VLOOKUP($D44,'[1]DM 4 Car'!$D:$M,6,FALSE)</f>
        <v>OH</v>
      </c>
      <c r="J44" s="83" t="str">
        <f>VLOOKUP($D44,'[1]DM 4 Car'!$D:$M,7,FALSE)</f>
        <v>ATM</v>
      </c>
      <c r="K44" s="83">
        <f>VLOOKUP($D44,'[1]DM 4 Car'!$D:$M,8,FALSE)</f>
        <v>0</v>
      </c>
      <c r="L44" s="83" t="str">
        <f>VLOOKUP($D44,'[1]DM 4 Car'!$D:$M,9,FALSE)</f>
        <v>JHOPL-WI-15-147</v>
      </c>
      <c r="M44" s="83" t="str">
        <f>VLOOKUP($D44,'[1]DM 4 Car'!$D:$M,10,FALSE)</f>
        <v>WABTEC</v>
      </c>
      <c r="N44" s="91">
        <v>2</v>
      </c>
      <c r="O44" s="92">
        <v>1.0416666666666667E-3</v>
      </c>
    </row>
    <row r="45" spans="1:15" ht="54" customHeight="1" thickTop="1" thickBot="1" x14ac:dyDescent="0.25">
      <c r="A45" s="85"/>
      <c r="B45" s="93" t="s">
        <v>18</v>
      </c>
      <c r="C45" s="94" t="s">
        <v>187</v>
      </c>
      <c r="D45" s="94" t="s">
        <v>188</v>
      </c>
      <c r="E45" s="94" t="s">
        <v>13</v>
      </c>
      <c r="F45" s="94" t="s">
        <v>23</v>
      </c>
      <c r="G45" s="94" t="s">
        <v>818</v>
      </c>
      <c r="H45" s="99">
        <v>45318</v>
      </c>
      <c r="I45" s="83" t="str">
        <f>VLOOKUP($D45,'[1]DM 4 Car'!$D:$M,6,FALSE)</f>
        <v>OH</v>
      </c>
      <c r="J45" s="83" t="str">
        <f>VLOOKUP($D45,'[1]DM 4 Car'!$D:$M,7,FALSE)</f>
        <v>ATM</v>
      </c>
      <c r="K45" s="83">
        <f>VLOOKUP($D45,'[1]DM 4 Car'!$D:$M,8,FALSE)</f>
        <v>0</v>
      </c>
      <c r="L45" s="83" t="str">
        <f>VLOOKUP($D45,'[1]DM 4 Car'!$D:$M,9,FALSE)</f>
        <v>JHOPL-WI-11-132</v>
      </c>
      <c r="M45" s="83" t="str">
        <f>VLOOKUP($D45,'[1]DM 4 Car'!$D:$M,10,FALSE)</f>
        <v>ALSTOM</v>
      </c>
      <c r="N45" s="94">
        <v>2</v>
      </c>
      <c r="O45" s="95">
        <v>1.5624999999999999E-3</v>
      </c>
    </row>
    <row r="46" spans="1:15" ht="54" customHeight="1" thickTop="1" thickBot="1" x14ac:dyDescent="0.25">
      <c r="A46" s="85"/>
      <c r="B46" s="93" t="s">
        <v>18</v>
      </c>
      <c r="C46" s="94" t="s">
        <v>191</v>
      </c>
      <c r="D46" s="94" t="s">
        <v>192</v>
      </c>
      <c r="E46" s="94" t="s">
        <v>13</v>
      </c>
      <c r="F46" s="94" t="s">
        <v>23</v>
      </c>
      <c r="G46" s="94" t="s">
        <v>730</v>
      </c>
      <c r="H46" s="99">
        <v>45313</v>
      </c>
      <c r="I46" s="83" t="str">
        <f>VLOOKUP($D46,'[1]DM 4 Car'!$D:$M,6,FALSE)</f>
        <v>OH</v>
      </c>
      <c r="J46" s="83" t="str">
        <f>VLOOKUP($D46,'[1]DM 4 Car'!$D:$M,7,FALSE)</f>
        <v>ATM</v>
      </c>
      <c r="K46" s="83">
        <f>VLOOKUP($D46,'[1]DM 4 Car'!$D:$M,8,FALSE)</f>
        <v>0</v>
      </c>
      <c r="L46" s="83" t="str">
        <f>VLOOKUP($D46,'[1]DM 4 Car'!$D:$M,9,FALSE)</f>
        <v>JHOPL-WI-11-010</v>
      </c>
      <c r="M46" s="83" t="str">
        <f>VLOOKUP($D46,'[1]DM 4 Car'!$D:$M,10,FALSE)</f>
        <v>ALSTOM</v>
      </c>
      <c r="N46" s="94">
        <v>2</v>
      </c>
      <c r="O46" s="95">
        <v>6.9444444444444447E-4</v>
      </c>
    </row>
    <row r="47" spans="1:15" ht="54" customHeight="1" thickTop="1" thickBot="1" x14ac:dyDescent="0.25">
      <c r="A47" s="85"/>
      <c r="B47" s="93" t="s">
        <v>18</v>
      </c>
      <c r="C47" s="94" t="s">
        <v>195</v>
      </c>
      <c r="D47" s="94" t="s">
        <v>196</v>
      </c>
      <c r="E47" s="94" t="s">
        <v>13</v>
      </c>
      <c r="F47" s="94" t="s">
        <v>23</v>
      </c>
      <c r="G47" s="94" t="s">
        <v>730</v>
      </c>
      <c r="H47" s="99">
        <v>45313</v>
      </c>
      <c r="I47" s="83" t="str">
        <f>VLOOKUP($D47,'[1]DM 4 Car'!$D:$M,6,FALSE)</f>
        <v>OH</v>
      </c>
      <c r="J47" s="83" t="str">
        <f>VLOOKUP($D47,'[1]DM 4 Car'!$D:$M,7,FALSE)</f>
        <v>ATM</v>
      </c>
      <c r="K47" s="83">
        <f>VLOOKUP($D47,'[1]DM 4 Car'!$D:$M,8,FALSE)</f>
        <v>0</v>
      </c>
      <c r="L47" s="83" t="str">
        <f>VLOOKUP($D47,'[1]DM 4 Car'!$D:$M,9,FALSE)</f>
        <v>JHOPL-WI-11-011</v>
      </c>
      <c r="M47" s="83" t="str">
        <f>VLOOKUP($D47,'[1]DM 4 Car'!$D:$M,10,FALSE)</f>
        <v>ALSTOM</v>
      </c>
      <c r="N47" s="94">
        <v>2</v>
      </c>
      <c r="O47" s="95">
        <v>6.9444444444444447E-4</v>
      </c>
    </row>
    <row r="48" spans="1:15" ht="54" customHeight="1" thickTop="1" thickBot="1" x14ac:dyDescent="0.25">
      <c r="A48" s="85"/>
      <c r="B48" s="93" t="s">
        <v>18</v>
      </c>
      <c r="C48" s="94" t="s">
        <v>198</v>
      </c>
      <c r="D48" s="94" t="s">
        <v>199</v>
      </c>
      <c r="E48" s="94" t="s">
        <v>13</v>
      </c>
      <c r="F48" s="94" t="s">
        <v>23</v>
      </c>
      <c r="G48" s="94" t="s">
        <v>819</v>
      </c>
      <c r="H48" s="99">
        <v>45313</v>
      </c>
      <c r="I48" s="83" t="str">
        <f>VLOOKUP($D48,'[1]DM 4 Car'!$D:$M,6,FALSE)</f>
        <v>OH</v>
      </c>
      <c r="J48" s="83" t="str">
        <f>VLOOKUP($D48,'[1]DM 4 Car'!$D:$M,7,FALSE)</f>
        <v>TM</v>
      </c>
      <c r="K48" s="83">
        <f>VLOOKUP($D48,'[1]DM 4 Car'!$D:$M,8,FALSE)</f>
        <v>0</v>
      </c>
      <c r="L48" s="83" t="str">
        <f>VLOOKUP($D48,'[1]DM 4 Car'!$D:$M,9,FALSE)</f>
        <v>JHOPL-WI-17-149</v>
      </c>
      <c r="M48" s="83" t="str">
        <f>VLOOKUP($D48,'[1]DM 4 Car'!$D:$M,10,FALSE)</f>
        <v>ALSTOM</v>
      </c>
      <c r="N48" s="94">
        <v>2</v>
      </c>
      <c r="O48" s="95">
        <v>5.2083333333333333E-4</v>
      </c>
    </row>
    <row r="49" spans="1:15" ht="54" customHeight="1" thickTop="1" thickBot="1" x14ac:dyDescent="0.25">
      <c r="A49" s="85"/>
      <c r="B49" s="93" t="s">
        <v>18</v>
      </c>
      <c r="C49" s="94" t="s">
        <v>201</v>
      </c>
      <c r="D49" s="94" t="s">
        <v>202</v>
      </c>
      <c r="E49" s="94" t="s">
        <v>13</v>
      </c>
      <c r="F49" s="94" t="s">
        <v>23</v>
      </c>
      <c r="G49" s="94" t="s">
        <v>820</v>
      </c>
      <c r="H49" s="99">
        <v>45313</v>
      </c>
      <c r="I49" s="83" t="str">
        <f>VLOOKUP($D49,'[1]DM 4 Car'!$D:$M,6,FALSE)</f>
        <v>OH</v>
      </c>
      <c r="J49" s="83" t="str">
        <f>VLOOKUP($D49,'[1]DM 4 Car'!$D:$M,7,FALSE)</f>
        <v>ATM</v>
      </c>
      <c r="K49" s="83">
        <f>VLOOKUP($D49,'[1]DM 4 Car'!$D:$M,8,FALSE)</f>
        <v>0</v>
      </c>
      <c r="L49" s="83" t="str">
        <f>VLOOKUP($D49,'[1]DM 4 Car'!$D:$M,9,FALSE)</f>
        <v>JHOPL-WI-11-136</v>
      </c>
      <c r="M49" s="83" t="str">
        <f>VLOOKUP($D49,'[1]DM 4 Car'!$D:$M,10,FALSE)</f>
        <v>KBRS</v>
      </c>
      <c r="N49" s="94">
        <v>2</v>
      </c>
      <c r="O49" s="95">
        <v>6.9444444444444447E-4</v>
      </c>
    </row>
    <row r="50" spans="1:15" ht="54" customHeight="1" thickTop="1" thickBot="1" x14ac:dyDescent="0.25">
      <c r="A50" s="85"/>
      <c r="B50" s="93" t="s">
        <v>18</v>
      </c>
      <c r="C50" s="94" t="s">
        <v>206</v>
      </c>
      <c r="D50" s="94" t="s">
        <v>207</v>
      </c>
      <c r="E50" s="94" t="s">
        <v>13</v>
      </c>
      <c r="F50" s="94" t="s">
        <v>23</v>
      </c>
      <c r="G50" s="94" t="s">
        <v>765</v>
      </c>
      <c r="H50" s="99">
        <v>45316</v>
      </c>
      <c r="I50" s="83" t="str">
        <f>VLOOKUP($D50,'[1]DM 4 Car'!$D:$M,6,FALSE)</f>
        <v>OH</v>
      </c>
      <c r="J50" s="83" t="str">
        <f>VLOOKUP($D50,'[1]DM 4 Car'!$D:$M,7,FALSE)</f>
        <v>TM</v>
      </c>
      <c r="K50" s="83">
        <f>VLOOKUP($D50,'[1]DM 4 Car'!$D:$M,8,FALSE)</f>
        <v>0</v>
      </c>
      <c r="L50" s="83" t="str">
        <f>VLOOKUP($D50,'[1]DM 4 Car'!$D:$M,9,FALSE)</f>
        <v>JHOPL-WI-10-122</v>
      </c>
      <c r="M50" s="83" t="str">
        <f>VLOOKUP($D50,'[1]DM 4 Car'!$D:$M,10,FALSE)</f>
        <v>KBRS</v>
      </c>
      <c r="N50" s="94">
        <v>1</v>
      </c>
      <c r="O50" s="95">
        <v>3.4722222222222224E-4</v>
      </c>
    </row>
    <row r="51" spans="1:15" ht="54" customHeight="1" thickTop="1" thickBot="1" x14ac:dyDescent="0.25">
      <c r="A51" s="85"/>
      <c r="B51" s="93" t="s">
        <v>18</v>
      </c>
      <c r="C51" s="94" t="s">
        <v>210</v>
      </c>
      <c r="D51" s="94" t="s">
        <v>207</v>
      </c>
      <c r="E51" s="94" t="s">
        <v>13</v>
      </c>
      <c r="F51" s="94" t="s">
        <v>23</v>
      </c>
      <c r="G51" s="94" t="s">
        <v>765</v>
      </c>
      <c r="H51" s="99">
        <v>45316</v>
      </c>
      <c r="I51" s="83" t="str">
        <f>VLOOKUP($D51,'[1]DM 4 Car'!$D:$M,6,FALSE)</f>
        <v>OH</v>
      </c>
      <c r="J51" s="83" t="str">
        <f>VLOOKUP($D51,'[1]DM 4 Car'!$D:$M,7,FALSE)</f>
        <v>TM</v>
      </c>
      <c r="K51" s="83">
        <f>VLOOKUP($D51,'[1]DM 4 Car'!$D:$M,8,FALSE)</f>
        <v>0</v>
      </c>
      <c r="L51" s="83" t="str">
        <f>VLOOKUP($D51,'[1]DM 4 Car'!$D:$M,9,FALSE)</f>
        <v>JHOPL-WI-10-122</v>
      </c>
      <c r="M51" s="83" t="str">
        <f>VLOOKUP($D51,'[1]DM 4 Car'!$D:$M,10,FALSE)</f>
        <v>KBRS</v>
      </c>
      <c r="N51" s="94">
        <v>1</v>
      </c>
      <c r="O51" s="95">
        <v>3.4722222222222224E-4</v>
      </c>
    </row>
    <row r="52" spans="1:15" ht="54" customHeight="1" thickTop="1" thickBot="1" x14ac:dyDescent="0.25">
      <c r="A52" s="85"/>
      <c r="B52" s="93" t="s">
        <v>18</v>
      </c>
      <c r="C52" s="94" t="s">
        <v>211</v>
      </c>
      <c r="D52" s="94" t="s">
        <v>839</v>
      </c>
      <c r="E52" s="94" t="s">
        <v>13</v>
      </c>
      <c r="F52" s="94" t="s">
        <v>23</v>
      </c>
      <c r="G52" s="94" t="s">
        <v>212</v>
      </c>
      <c r="H52" s="99">
        <v>45314</v>
      </c>
      <c r="I52" s="83" t="str">
        <f>VLOOKUP($D52,'[1]DM 4 Car'!$D:$M,6,FALSE)</f>
        <v>IROC</v>
      </c>
      <c r="J52" s="83" t="str">
        <f>VLOOKUP($D52,'[1]DM 4 Car'!$D:$M,7,FALSE)</f>
        <v>TM</v>
      </c>
      <c r="K52" s="83">
        <f>VLOOKUP($D52,'[1]DM 4 Car'!$D:$M,8,FALSE)</f>
        <v>0</v>
      </c>
      <c r="L52" s="83" t="str">
        <f>VLOOKUP($D52,'[1]DM 4 Car'!$D:$M,9,FALSE)</f>
        <v>JHOPL-WI-19-080
JHOPL-WI-19-102
JHOPL-WI-19-105</v>
      </c>
      <c r="M52" s="83" t="str">
        <f>VLOOKUP($D52,'[1]DM 4 Car'!$D:$M,10,FALSE)</f>
        <v>JHOPL - KBRS</v>
      </c>
      <c r="N52" s="94">
        <v>1</v>
      </c>
      <c r="O52" s="95">
        <v>3.4722222222222224E-4</v>
      </c>
    </row>
    <row r="53" spans="1:15" ht="54" customHeight="1" thickTop="1" thickBot="1" x14ac:dyDescent="0.25">
      <c r="A53" s="85"/>
      <c r="B53" s="93" t="s">
        <v>18</v>
      </c>
      <c r="C53" s="94" t="s">
        <v>214</v>
      </c>
      <c r="D53" s="94" t="s">
        <v>215</v>
      </c>
      <c r="E53" s="94" t="s">
        <v>13</v>
      </c>
      <c r="F53" s="94" t="s">
        <v>23</v>
      </c>
      <c r="G53" s="94" t="s">
        <v>821</v>
      </c>
      <c r="H53" s="99">
        <v>45316</v>
      </c>
      <c r="I53" s="83" t="str">
        <f>VLOOKUP($D53,'[1]DM 4 Car'!$D:$M,6,FALSE)</f>
        <v>OH</v>
      </c>
      <c r="J53" s="83" t="str">
        <f>VLOOKUP($D53,'[1]DM 4 Car'!$D:$M,7,FALSE)</f>
        <v>TM</v>
      </c>
      <c r="K53" s="83">
        <f>VLOOKUP($D53,'[1]DM 4 Car'!$D:$M,8,FALSE)</f>
        <v>0</v>
      </c>
      <c r="L53" s="83" t="str">
        <f>VLOOKUP($D53,'[1]DM 4 Car'!$D:$M,9,FALSE)</f>
        <v>JHOPL-WI-10-126</v>
      </c>
      <c r="M53" s="83" t="str">
        <f>VLOOKUP($D53,'[1]DM 4 Car'!$D:$M,10,FALSE)</f>
        <v>KBRS</v>
      </c>
      <c r="N53" s="94">
        <v>1</v>
      </c>
      <c r="O53" s="95">
        <v>5.7870370370370378E-4</v>
      </c>
    </row>
    <row r="54" spans="1:15" ht="54" customHeight="1" thickTop="1" thickBot="1" x14ac:dyDescent="0.25">
      <c r="A54" s="85"/>
      <c r="B54" s="93" t="s">
        <v>18</v>
      </c>
      <c r="C54" s="94" t="s">
        <v>218</v>
      </c>
      <c r="D54" s="94" t="s">
        <v>219</v>
      </c>
      <c r="E54" s="94" t="s">
        <v>13</v>
      </c>
      <c r="F54" s="94" t="s">
        <v>23</v>
      </c>
      <c r="G54" s="94" t="s">
        <v>220</v>
      </c>
      <c r="H54" s="99">
        <v>45929</v>
      </c>
      <c r="I54" s="83" t="str">
        <f>VLOOKUP($D54,'[1]DM 4 Car'!$D:$M,6,FALSE)</f>
        <v>OH</v>
      </c>
      <c r="J54" s="83" t="str">
        <f>VLOOKUP($D54,'[1]DM 4 Car'!$D:$M,7,FALSE)</f>
        <v>TM</v>
      </c>
      <c r="K54" s="83">
        <f>VLOOKUP($D54,'[1]DM 4 Car'!$D:$M,8,FALSE)</f>
        <v>0</v>
      </c>
      <c r="L54" s="83" t="str">
        <f>VLOOKUP($D54,'[1]DM 4 Car'!$D:$M,9,FALSE)</f>
        <v>JHOPL-WI-10-124</v>
      </c>
      <c r="M54" s="83" t="str">
        <f>VLOOKUP($D54,'[1]DM 4 Car'!$D:$M,10,FALSE)</f>
        <v>KBRS</v>
      </c>
      <c r="N54" s="94">
        <v>2</v>
      </c>
      <c r="O54" s="95">
        <v>6.9444444444444447E-4</v>
      </c>
    </row>
    <row r="55" spans="1:15" ht="54" customHeight="1" thickTop="1" thickBot="1" x14ac:dyDescent="0.25">
      <c r="A55" s="85"/>
      <c r="B55" s="93" t="s">
        <v>18</v>
      </c>
      <c r="C55" s="94" t="s">
        <v>222</v>
      </c>
      <c r="D55" s="94" t="s">
        <v>223</v>
      </c>
      <c r="E55" s="94" t="s">
        <v>13</v>
      </c>
      <c r="F55" s="94" t="s">
        <v>23</v>
      </c>
      <c r="G55" s="94" t="s">
        <v>224</v>
      </c>
      <c r="H55" s="99">
        <v>45315</v>
      </c>
      <c r="I55" s="83" t="str">
        <f>VLOOKUP($D55,'[1]DM 4 Car'!$D:$M,6,FALSE)</f>
        <v>REPLACE</v>
      </c>
      <c r="J55" s="83" t="str">
        <f>VLOOKUP($D55,'[1]DM 4 Car'!$D:$M,7,FALSE)</f>
        <v>TM</v>
      </c>
      <c r="K55" s="83">
        <f>VLOOKUP($D55,'[1]DM 4 Car'!$D:$M,8,FALSE)</f>
        <v>0</v>
      </c>
      <c r="L55" s="83" t="str">
        <f>VLOOKUP($D55,'[1]DM 4 Car'!$D:$M,9,FALSE)</f>
        <v>JHOPL-WI-10-001</v>
      </c>
      <c r="M55" s="83" t="str">
        <f>VLOOKUP($D55,'[1]DM 4 Car'!$D:$M,10,FALSE)</f>
        <v>KBRS</v>
      </c>
      <c r="N55" s="94">
        <v>1</v>
      </c>
      <c r="O55" s="95">
        <v>3.4722222222222224E-4</v>
      </c>
    </row>
    <row r="56" spans="1:15" ht="54" customHeight="1" thickTop="1" thickBot="1" x14ac:dyDescent="0.25">
      <c r="A56" s="85"/>
      <c r="B56" s="93" t="s">
        <v>18</v>
      </c>
      <c r="C56" s="94" t="s">
        <v>226</v>
      </c>
      <c r="D56" s="94" t="s">
        <v>227</v>
      </c>
      <c r="E56" s="94" t="s">
        <v>13</v>
      </c>
      <c r="F56" s="94" t="s">
        <v>23</v>
      </c>
      <c r="G56" s="94" t="s">
        <v>821</v>
      </c>
      <c r="H56" s="99">
        <v>45316</v>
      </c>
      <c r="I56" s="83" t="str">
        <f>VLOOKUP($D56,'[1]DM 4 Car'!$D:$M,6,FALSE)</f>
        <v>OH</v>
      </c>
      <c r="J56" s="83" t="str">
        <f>VLOOKUP($D56,'[1]DM 4 Car'!$D:$M,7,FALSE)</f>
        <v>ATM</v>
      </c>
      <c r="K56" s="83">
        <f>VLOOKUP($D56,'[1]DM 4 Car'!$D:$M,8,FALSE)</f>
        <v>0</v>
      </c>
      <c r="L56" s="83" t="str">
        <f>VLOOKUP($D56,'[1]DM 4 Car'!$D:$M,9,FALSE)</f>
        <v>JHOPL-WI-10-126</v>
      </c>
      <c r="M56" s="83" t="str">
        <f>VLOOKUP($D56,'[1]DM 4 Car'!$D:$M,10,FALSE)</f>
        <v>KBRS</v>
      </c>
      <c r="N56" s="94">
        <v>1</v>
      </c>
      <c r="O56" s="95">
        <v>1.0416666666666667E-3</v>
      </c>
    </row>
    <row r="57" spans="1:15" ht="54" customHeight="1" thickTop="1" thickBot="1" x14ac:dyDescent="0.25">
      <c r="A57" s="85"/>
      <c r="B57" s="93" t="s">
        <v>18</v>
      </c>
      <c r="C57" s="94" t="s">
        <v>228</v>
      </c>
      <c r="D57" s="94" t="s">
        <v>229</v>
      </c>
      <c r="E57" s="94" t="s">
        <v>13</v>
      </c>
      <c r="F57" s="94" t="s">
        <v>23</v>
      </c>
      <c r="G57" s="94" t="s">
        <v>732</v>
      </c>
      <c r="H57" s="99">
        <v>45316</v>
      </c>
      <c r="I57" s="83" t="str">
        <f>VLOOKUP($D57,'[1]DM 4 Car'!$D:$M,6,FALSE)</f>
        <v>OH</v>
      </c>
      <c r="J57" s="83" t="str">
        <f>VLOOKUP($D57,'[1]DM 4 Car'!$D:$M,7,FALSE)</f>
        <v>TM</v>
      </c>
      <c r="K57" s="83">
        <f>VLOOKUP($D57,'[1]DM 4 Car'!$D:$M,8,FALSE)</f>
        <v>0</v>
      </c>
      <c r="L57" s="83" t="str">
        <f>VLOOKUP($D57,'[1]DM 4 Car'!$D:$M,9,FALSE)</f>
        <v>JHOPL-WI-10-125</v>
      </c>
      <c r="M57" s="83" t="str">
        <f>VLOOKUP($D57,'[1]DM 4 Car'!$D:$M,10,FALSE)</f>
        <v>KBRS</v>
      </c>
      <c r="N57" s="94">
        <v>1</v>
      </c>
      <c r="O57" s="95">
        <v>1.1574074074074073E-4</v>
      </c>
    </row>
    <row r="58" spans="1:15" ht="54" customHeight="1" thickTop="1" thickBot="1" x14ac:dyDescent="0.25">
      <c r="A58" s="85"/>
      <c r="B58" s="93" t="s">
        <v>18</v>
      </c>
      <c r="C58" s="94" t="s">
        <v>232</v>
      </c>
      <c r="D58" s="94" t="s">
        <v>233</v>
      </c>
      <c r="E58" s="94" t="s">
        <v>13</v>
      </c>
      <c r="F58" s="94" t="s">
        <v>364</v>
      </c>
      <c r="G58" s="94" t="s">
        <v>236</v>
      </c>
      <c r="H58" s="99">
        <v>45927</v>
      </c>
      <c r="I58" s="83" t="str">
        <f>VLOOKUP($D58,'[1]DM 4 Car'!$D:$M,6,FALSE)</f>
        <v>OH</v>
      </c>
      <c r="J58" s="83" t="str">
        <f>VLOOKUP($D58,'[1]DM 4 Car'!$D:$M,7,FALSE)</f>
        <v>TM</v>
      </c>
      <c r="K58" s="83">
        <f>VLOOKUP($D58,'[1]DM 4 Car'!$D:$M,8,FALSE)</f>
        <v>0</v>
      </c>
      <c r="L58" s="83" t="str">
        <f>VLOOKUP($D58,'[1]DM 4 Car'!$D:$M,9,FALSE)</f>
        <v>JHOPL-WI-19-082</v>
      </c>
      <c r="M58" s="83" t="str">
        <f>VLOOKUP($D58,'[1]DM 4 Car'!$D:$M,10,FALSE)</f>
        <v>REW</v>
      </c>
      <c r="N58" s="94">
        <v>2</v>
      </c>
      <c r="O58" s="95">
        <v>3.4722222222222224E-4</v>
      </c>
    </row>
    <row r="59" spans="1:15" ht="54" customHeight="1" thickTop="1" thickBot="1" x14ac:dyDescent="0.25">
      <c r="A59" s="85"/>
      <c r="B59" s="93" t="s">
        <v>18</v>
      </c>
      <c r="C59" s="94" t="s">
        <v>239</v>
      </c>
      <c r="D59" s="94" t="s">
        <v>240</v>
      </c>
      <c r="E59" s="94" t="s">
        <v>13</v>
      </c>
      <c r="F59" s="94" t="s">
        <v>23</v>
      </c>
      <c r="G59" s="94" t="s">
        <v>241</v>
      </c>
      <c r="H59" s="99">
        <v>45315</v>
      </c>
      <c r="I59" s="83" t="str">
        <f>VLOOKUP($D59,'[1]DM 4 Car'!$D:$M,6,FALSE)</f>
        <v>OH</v>
      </c>
      <c r="J59" s="83" t="str">
        <f>VLOOKUP($D59,'[1]DM 4 Car'!$D:$M,7,FALSE)</f>
        <v>TM</v>
      </c>
      <c r="K59" s="83">
        <f>VLOOKUP($D59,'[1]DM 4 Car'!$D:$M,8,FALSE)</f>
        <v>0</v>
      </c>
      <c r="L59" s="83" t="str">
        <f>VLOOKUP($D59,'[1]DM 4 Car'!$D:$M,9,FALSE)</f>
        <v>JHOPL-WI-10-128</v>
      </c>
      <c r="M59" s="83" t="str">
        <f>VLOOKUP($D59,'[1]DM 4 Car'!$D:$M,10,FALSE)</f>
        <v>KBRS</v>
      </c>
      <c r="N59" s="94">
        <v>2</v>
      </c>
      <c r="O59" s="95">
        <v>6.9444444444444447E-4</v>
      </c>
    </row>
    <row r="60" spans="1:15" ht="54" customHeight="1" thickTop="1" thickBot="1" x14ac:dyDescent="0.25">
      <c r="A60" s="85"/>
      <c r="B60" s="93" t="s">
        <v>18</v>
      </c>
      <c r="C60" s="94" t="s">
        <v>243</v>
      </c>
      <c r="D60" s="94" t="s">
        <v>244</v>
      </c>
      <c r="E60" s="94" t="s">
        <v>13</v>
      </c>
      <c r="F60" s="94" t="s">
        <v>23</v>
      </c>
      <c r="G60" s="94" t="s">
        <v>245</v>
      </c>
      <c r="H60" s="99">
        <v>45313</v>
      </c>
      <c r="I60" s="83" t="str">
        <f>VLOOKUP($D60,'[1]DM 4 Car'!$D:$M,6,FALSE)</f>
        <v>OH</v>
      </c>
      <c r="J60" s="83" t="str">
        <f>VLOOKUP($D60,'[1]DM 4 Car'!$D:$M,7,FALSE)</f>
        <v>TM</v>
      </c>
      <c r="K60" s="83">
        <f>VLOOKUP($D60,'[1]DM 4 Car'!$D:$M,8,FALSE)</f>
        <v>0</v>
      </c>
      <c r="L60" s="83" t="str">
        <f>VLOOKUP($D60,'[1]DM 4 Car'!$D:$M,9,FALSE)</f>
        <v>JHOPL-WI-19-163</v>
      </c>
      <c r="M60" s="83" t="str">
        <f>VLOOKUP($D60,'[1]DM 4 Car'!$D:$M,10,FALSE)</f>
        <v>KBRS</v>
      </c>
      <c r="N60" s="94">
        <v>1</v>
      </c>
      <c r="O60" s="95">
        <v>6.9444444444444447E-4</v>
      </c>
    </row>
    <row r="61" spans="1:15" ht="54" customHeight="1" thickTop="1" thickBot="1" x14ac:dyDescent="0.25">
      <c r="A61" s="85"/>
      <c r="B61" s="93" t="s">
        <v>18</v>
      </c>
      <c r="C61" s="94" t="s">
        <v>247</v>
      </c>
      <c r="D61" s="94" t="s">
        <v>248</v>
      </c>
      <c r="E61" s="94" t="s">
        <v>13</v>
      </c>
      <c r="F61" s="94" t="s">
        <v>810</v>
      </c>
      <c r="G61" s="94" t="s">
        <v>249</v>
      </c>
      <c r="H61" s="99">
        <v>45930</v>
      </c>
      <c r="I61" s="83" t="str">
        <f>VLOOKUP($D61,'[1]DM 4 Car'!$D:$M,6,FALSE)</f>
        <v>OH</v>
      </c>
      <c r="J61" s="83" t="str">
        <f>VLOOKUP($D61,'[1]DM 4 Car'!$D:$M,7,FALSE)</f>
        <v>TM</v>
      </c>
      <c r="K61" s="83">
        <f>VLOOKUP($D61,'[1]DM 4 Car'!$D:$M,8,FALSE)</f>
        <v>0</v>
      </c>
      <c r="L61" s="83" t="str">
        <f>VLOOKUP($D61,'[1]DM 4 Car'!$D:$M,9,FALSE)</f>
        <v>JHOPL-WI-19-118</v>
      </c>
      <c r="M61" s="83" t="str">
        <f>VLOOKUP($D61,'[1]DM 4 Car'!$D:$M,10,FALSE)</f>
        <v>REW</v>
      </c>
      <c r="N61" s="94">
        <v>1</v>
      </c>
      <c r="O61" s="95">
        <v>6.9444444444444447E-4</v>
      </c>
    </row>
    <row r="62" spans="1:15" ht="54" customHeight="1" thickTop="1" thickBot="1" x14ac:dyDescent="0.25">
      <c r="A62" s="85"/>
      <c r="B62" s="93" t="s">
        <v>18</v>
      </c>
      <c r="C62" s="94" t="s">
        <v>251</v>
      </c>
      <c r="D62" s="94" t="s">
        <v>252</v>
      </c>
      <c r="E62" s="94" t="s">
        <v>13</v>
      </c>
      <c r="F62" s="94" t="s">
        <v>23</v>
      </c>
      <c r="G62" s="94" t="s">
        <v>822</v>
      </c>
      <c r="H62" s="99">
        <v>45314</v>
      </c>
      <c r="I62" s="83" t="str">
        <f>VLOOKUP($D62,'[1]DM 4 Car'!$D:$M,6,FALSE)</f>
        <v>REPLACE</v>
      </c>
      <c r="J62" s="83" t="str">
        <f>VLOOKUP($D62,'[1]DM 4 Car'!$D:$M,7,FALSE)</f>
        <v>TM</v>
      </c>
      <c r="K62" s="83">
        <f>VLOOKUP($D62,'[1]DM 4 Car'!$D:$M,8,FALSE)</f>
        <v>0</v>
      </c>
      <c r="L62" s="83" t="str">
        <f>VLOOKUP($D62,'[1]DM 4 Car'!$D:$M,9,FALSE)</f>
        <v>JHOPL-WI-19-083</v>
      </c>
      <c r="M62" s="83" t="str">
        <f>VLOOKUP($D62,'[1]DM 4 Car'!$D:$M,10,FALSE)</f>
        <v>KBRS</v>
      </c>
      <c r="N62" s="94">
        <v>1</v>
      </c>
      <c r="O62" s="95">
        <v>3.4722222222222224E-4</v>
      </c>
    </row>
    <row r="63" spans="1:15" ht="54" customHeight="1" thickTop="1" thickBot="1" x14ac:dyDescent="0.25">
      <c r="A63" s="85"/>
      <c r="B63" s="93" t="s">
        <v>18</v>
      </c>
      <c r="C63" s="78" t="s">
        <v>255</v>
      </c>
      <c r="D63" s="78" t="s">
        <v>256</v>
      </c>
      <c r="E63" s="94" t="s">
        <v>13</v>
      </c>
      <c r="F63" s="94" t="s">
        <v>23</v>
      </c>
      <c r="G63" s="94" t="s">
        <v>822</v>
      </c>
      <c r="H63" s="99">
        <v>45314</v>
      </c>
      <c r="I63" s="83" t="str">
        <f>VLOOKUP($D63,'[1]DM 4 Car'!$D:$M,6,FALSE)</f>
        <v>REPLACE</v>
      </c>
      <c r="J63" s="83" t="str">
        <f>VLOOKUP($D63,'[1]DM 4 Car'!$D:$M,7,FALSE)</f>
        <v>TM</v>
      </c>
      <c r="K63" s="83">
        <f>VLOOKUP($D63,'[1]DM 4 Car'!$D:$M,8,FALSE)</f>
        <v>0</v>
      </c>
      <c r="L63" s="83" t="str">
        <f>VLOOKUP($D63,'[1]DM 4 Car'!$D:$M,9,FALSE)</f>
        <v>JHOPL-WI-19-084</v>
      </c>
      <c r="M63" s="83" t="str">
        <f>VLOOKUP($D63,'[1]DM 4 Car'!$D:$M,10,FALSE)</f>
        <v>KBRS</v>
      </c>
      <c r="N63" s="94">
        <v>2</v>
      </c>
      <c r="O63" s="95">
        <v>3.4722222222222224E-4</v>
      </c>
    </row>
    <row r="64" spans="1:15" ht="54" customHeight="1" thickTop="1" thickBot="1" x14ac:dyDescent="0.25">
      <c r="A64" s="85"/>
      <c r="B64" s="93" t="s">
        <v>18</v>
      </c>
      <c r="C64" s="94" t="s">
        <v>258</v>
      </c>
      <c r="D64" s="94" t="s">
        <v>259</v>
      </c>
      <c r="E64" s="94" t="s">
        <v>13</v>
      </c>
      <c r="F64" s="94" t="s">
        <v>23</v>
      </c>
      <c r="G64" s="94" t="s">
        <v>260</v>
      </c>
      <c r="H64" s="99">
        <v>45314</v>
      </c>
      <c r="I64" s="83" t="str">
        <f>VLOOKUP($D64,'[1]DM 4 Car'!$D:$M,6,FALSE)</f>
        <v>REPLACE</v>
      </c>
      <c r="J64" s="83" t="str">
        <f>VLOOKUP($D64,'[1]DM 4 Car'!$D:$M,7,FALSE)</f>
        <v>TM</v>
      </c>
      <c r="K64" s="83">
        <f>VLOOKUP($D64,'[1]DM 4 Car'!$D:$M,8,FALSE)</f>
        <v>0</v>
      </c>
      <c r="L64" s="83" t="str">
        <f>VLOOKUP($D64,'[1]DM 4 Car'!$D:$M,9,FALSE)</f>
        <v>JHOPL-WI-19-164</v>
      </c>
      <c r="M64" s="83" t="str">
        <f>VLOOKUP($D64,'[1]DM 4 Car'!$D:$M,10,FALSE)</f>
        <v>KBRS</v>
      </c>
      <c r="N64" s="94">
        <v>1</v>
      </c>
      <c r="O64" s="95">
        <v>3.4722222222222224E-4</v>
      </c>
    </row>
    <row r="65" spans="1:15" ht="54" customHeight="1" thickTop="1" thickBot="1" x14ac:dyDescent="0.25">
      <c r="A65" s="85"/>
      <c r="B65" s="93" t="s">
        <v>18</v>
      </c>
      <c r="C65" s="94" t="s">
        <v>262</v>
      </c>
      <c r="D65" s="94" t="s">
        <v>263</v>
      </c>
      <c r="E65" s="94" t="s">
        <v>13</v>
      </c>
      <c r="F65" s="94" t="s">
        <v>23</v>
      </c>
      <c r="G65" s="94" t="s">
        <v>264</v>
      </c>
      <c r="H65" s="99">
        <v>45314</v>
      </c>
      <c r="I65" s="83" t="str">
        <f>VLOOKUP($D65,'[1]DM 4 Car'!$D:$M,6,FALSE)</f>
        <v>REPLACE</v>
      </c>
      <c r="J65" s="83" t="str">
        <f>VLOOKUP($D65,'[1]DM 4 Car'!$D:$M,7,FALSE)</f>
        <v>TM</v>
      </c>
      <c r="K65" s="83">
        <f>VLOOKUP($D65,'[1]DM 4 Car'!$D:$M,8,FALSE)</f>
        <v>0</v>
      </c>
      <c r="L65" s="83" t="str">
        <f>VLOOKUP($D65,'[1]DM 4 Car'!$D:$M,9,FALSE)</f>
        <v>JHOPL-WI-19-167</v>
      </c>
      <c r="M65" s="83" t="str">
        <f>VLOOKUP($D65,'[1]DM 4 Car'!$D:$M,10,FALSE)</f>
        <v>KBRS</v>
      </c>
      <c r="N65" s="94">
        <v>1</v>
      </c>
      <c r="O65" s="95">
        <v>3.4722222222222224E-4</v>
      </c>
    </row>
    <row r="66" spans="1:15" ht="54" customHeight="1" thickTop="1" thickBot="1" x14ac:dyDescent="0.25">
      <c r="A66" s="85"/>
      <c r="B66" s="93" t="s">
        <v>18</v>
      </c>
      <c r="C66" s="94" t="s">
        <v>266</v>
      </c>
      <c r="D66" s="94" t="s">
        <v>267</v>
      </c>
      <c r="E66" s="94" t="s">
        <v>13</v>
      </c>
      <c r="F66" s="94" t="s">
        <v>23</v>
      </c>
      <c r="G66" s="94" t="s">
        <v>264</v>
      </c>
      <c r="H66" s="99">
        <v>45314</v>
      </c>
      <c r="I66" s="83" t="str">
        <f>VLOOKUP($D66,'[1]DM 4 Car'!$D:$M,6,FALSE)</f>
        <v>REPLACE</v>
      </c>
      <c r="J66" s="83" t="str">
        <f>VLOOKUP($D66,'[1]DM 4 Car'!$D:$M,7,FALSE)</f>
        <v>TM</v>
      </c>
      <c r="K66" s="83">
        <f>VLOOKUP($D66,'[1]DM 4 Car'!$D:$M,8,FALSE)</f>
        <v>0</v>
      </c>
      <c r="L66" s="83" t="str">
        <f>VLOOKUP($D66,'[1]DM 4 Car'!$D:$M,9,FALSE)</f>
        <v>JHOPL-WI-19-116</v>
      </c>
      <c r="M66" s="83" t="str">
        <f>VLOOKUP($D66,'[1]DM 4 Car'!$D:$M,10,FALSE)</f>
        <v>KBRS</v>
      </c>
      <c r="N66" s="94">
        <v>1</v>
      </c>
      <c r="O66" s="95">
        <v>3.4722222222222224E-4</v>
      </c>
    </row>
    <row r="67" spans="1:15" ht="54" customHeight="1" thickTop="1" thickBot="1" x14ac:dyDescent="0.25">
      <c r="A67" s="85"/>
      <c r="B67" s="93" t="s">
        <v>18</v>
      </c>
      <c r="C67" s="94" t="s">
        <v>269</v>
      </c>
      <c r="D67" s="94" t="s">
        <v>270</v>
      </c>
      <c r="E67" s="94" t="s">
        <v>13</v>
      </c>
      <c r="F67" s="94" t="s">
        <v>23</v>
      </c>
      <c r="G67" s="94" t="s">
        <v>736</v>
      </c>
      <c r="H67" s="99">
        <v>45314</v>
      </c>
      <c r="I67" s="83" t="str">
        <f>VLOOKUP($D67,'[1]DM 4 Car'!$D:$M,6,FALSE)</f>
        <v>REPLACE</v>
      </c>
      <c r="J67" s="83" t="str">
        <f>VLOOKUP($D67,'[1]DM 4 Car'!$D:$M,7,FALSE)</f>
        <v>TM</v>
      </c>
      <c r="K67" s="83">
        <f>VLOOKUP($D67,'[1]DM 4 Car'!$D:$M,8,FALSE)</f>
        <v>0</v>
      </c>
      <c r="L67" s="83" t="str">
        <f>VLOOKUP($D67,'[1]DM 4 Car'!$D:$M,9,FALSE)</f>
        <v>JHOPL-WI-19-172</v>
      </c>
      <c r="M67" s="83" t="str">
        <f>VLOOKUP($D67,'[1]DM 4 Car'!$D:$M,10,FALSE)</f>
        <v>KBRS</v>
      </c>
      <c r="N67" s="94">
        <v>1</v>
      </c>
      <c r="O67" s="95">
        <v>3.4722222222222224E-4</v>
      </c>
    </row>
    <row r="68" spans="1:15" ht="54" customHeight="1" thickTop="1" thickBot="1" x14ac:dyDescent="0.25">
      <c r="A68" s="85"/>
      <c r="B68" s="93" t="s">
        <v>18</v>
      </c>
      <c r="C68" s="94" t="s">
        <v>273</v>
      </c>
      <c r="D68" s="94" t="s">
        <v>274</v>
      </c>
      <c r="E68" s="94" t="s">
        <v>13</v>
      </c>
      <c r="F68" s="94" t="s">
        <v>23</v>
      </c>
      <c r="G68" s="89" t="s">
        <v>275</v>
      </c>
      <c r="H68" s="88">
        <v>45314</v>
      </c>
      <c r="I68" s="83" t="str">
        <f>VLOOKUP($D68,'[1]DM 4 Car'!$D:$M,6,FALSE)</f>
        <v>IROC</v>
      </c>
      <c r="J68" s="83" t="str">
        <f>VLOOKUP($D68,'[1]DM 4 Car'!$D:$M,7,FALSE)</f>
        <v>TM</v>
      </c>
      <c r="K68" s="83">
        <f>VLOOKUP($D68,'[1]DM 4 Car'!$D:$M,8,FALSE)</f>
        <v>0</v>
      </c>
      <c r="L68" s="83" t="str">
        <f>VLOOKUP($D68,'[1]DM 4 Car'!$D:$M,9,FALSE)</f>
        <v>JHOPL-WI-19-094</v>
      </c>
      <c r="M68" s="83" t="str">
        <f>VLOOKUP($D68,'[1]DM 4 Car'!$D:$M,10,FALSE)</f>
        <v>JHOPL - KBRS</v>
      </c>
      <c r="N68" s="94">
        <v>1</v>
      </c>
      <c r="O68" s="95">
        <v>3.4722222222222224E-4</v>
      </c>
    </row>
    <row r="69" spans="1:15" ht="54" customHeight="1" thickTop="1" thickBot="1" x14ac:dyDescent="0.25">
      <c r="A69" s="85"/>
      <c r="B69" s="93" t="s">
        <v>18</v>
      </c>
      <c r="C69" s="94" t="s">
        <v>277</v>
      </c>
      <c r="D69" s="94" t="s">
        <v>278</v>
      </c>
      <c r="E69" s="94" t="s">
        <v>13</v>
      </c>
      <c r="F69" s="94" t="s">
        <v>23</v>
      </c>
      <c r="G69" s="89" t="s">
        <v>279</v>
      </c>
      <c r="H69" s="88">
        <v>45314</v>
      </c>
      <c r="I69" s="83" t="str">
        <f>VLOOKUP($D69,'[1]DM 4 Car'!$D:$M,6,FALSE)</f>
        <v>IROC</v>
      </c>
      <c r="J69" s="83" t="str">
        <f>VLOOKUP($D69,'[1]DM 4 Car'!$D:$M,7,FALSE)</f>
        <v>TM</v>
      </c>
      <c r="K69" s="83">
        <f>VLOOKUP($D69,'[1]DM 4 Car'!$D:$M,8,FALSE)</f>
        <v>0</v>
      </c>
      <c r="L69" s="83" t="str">
        <f>VLOOKUP($D69,'[1]DM 4 Car'!$D:$M,9,FALSE)</f>
        <v>JHOPL-WI-19-095</v>
      </c>
      <c r="M69" s="83" t="str">
        <f>VLOOKUP($D69,'[1]DM 4 Car'!$D:$M,10,FALSE)</f>
        <v>JHOPL - KBRS</v>
      </c>
      <c r="N69" s="94">
        <v>1</v>
      </c>
      <c r="O69" s="95">
        <v>5.2083333333333333E-4</v>
      </c>
    </row>
    <row r="70" spans="1:15" ht="54" customHeight="1" thickTop="1" thickBot="1" x14ac:dyDescent="0.25">
      <c r="A70" s="85"/>
      <c r="B70" s="93" t="s">
        <v>18</v>
      </c>
      <c r="C70" s="94" t="s">
        <v>281</v>
      </c>
      <c r="D70" s="94" t="s">
        <v>282</v>
      </c>
      <c r="E70" s="94" t="s">
        <v>13</v>
      </c>
      <c r="F70" s="94" t="s">
        <v>23</v>
      </c>
      <c r="G70" s="89" t="s">
        <v>224</v>
      </c>
      <c r="H70" s="88">
        <v>45314</v>
      </c>
      <c r="I70" s="83" t="str">
        <f>VLOOKUP($D70,'[1]DM 4 Car'!$D:$M,6,FALSE)</f>
        <v>IROC</v>
      </c>
      <c r="J70" s="83" t="str">
        <f>VLOOKUP($D70,'[1]DM 4 Car'!$D:$M,7,FALSE)</f>
        <v>TM</v>
      </c>
      <c r="K70" s="83">
        <f>VLOOKUP($D70,'[1]DM 4 Car'!$D:$M,8,FALSE)</f>
        <v>0</v>
      </c>
      <c r="L70" s="83" t="str">
        <f>VLOOKUP($D70,'[1]DM 4 Car'!$D:$M,9,FALSE)</f>
        <v>JHOPL-WI-19-120
JHOPL-WI-19-121</v>
      </c>
      <c r="M70" s="83" t="str">
        <f>VLOOKUP($D70,'[1]DM 4 Car'!$D:$M,10,FALSE)</f>
        <v>JHOPL - KBRS</v>
      </c>
      <c r="N70" s="94">
        <v>1</v>
      </c>
      <c r="O70" s="95">
        <v>6.9444444444444447E-4</v>
      </c>
    </row>
    <row r="71" spans="1:15" ht="54" customHeight="1" thickTop="1" thickBot="1" x14ac:dyDescent="0.25">
      <c r="A71" s="85"/>
      <c r="B71" s="93" t="s">
        <v>18</v>
      </c>
      <c r="C71" s="94" t="s">
        <v>284</v>
      </c>
      <c r="D71" s="94" t="s">
        <v>285</v>
      </c>
      <c r="E71" s="94" t="s">
        <v>13</v>
      </c>
      <c r="F71" s="94" t="s">
        <v>23</v>
      </c>
      <c r="G71" s="94" t="s">
        <v>286</v>
      </c>
      <c r="H71" s="99">
        <v>45314</v>
      </c>
      <c r="I71" s="83" t="str">
        <f>VLOOKUP($D71,'[1]DM 4 Car'!$D:$M,6,FALSE)</f>
        <v>REPLACE</v>
      </c>
      <c r="J71" s="83" t="str">
        <f>VLOOKUP($D71,'[1]DM 4 Car'!$D:$M,7,FALSE)</f>
        <v>TM</v>
      </c>
      <c r="K71" s="83">
        <f>VLOOKUP($D71,'[1]DM 4 Car'!$D:$M,8,FALSE)</f>
        <v>0</v>
      </c>
      <c r="L71" s="83" t="str">
        <f>VLOOKUP($D71,'[1]DM 4 Car'!$D:$M,9,FALSE)</f>
        <v>JHOPL-WI-19-117</v>
      </c>
      <c r="M71" s="83" t="str">
        <f>VLOOKUP($D71,'[1]DM 4 Car'!$D:$M,10,FALSE)</f>
        <v>KBRS</v>
      </c>
      <c r="N71" s="94">
        <v>1</v>
      </c>
      <c r="O71" s="95">
        <v>3.4722222222222224E-4</v>
      </c>
    </row>
    <row r="72" spans="1:15" ht="54" customHeight="1" thickTop="1" thickBot="1" x14ac:dyDescent="0.25">
      <c r="A72" s="85"/>
      <c r="B72" s="93" t="s">
        <v>18</v>
      </c>
      <c r="C72" s="94" t="s">
        <v>288</v>
      </c>
      <c r="D72" s="94" t="s">
        <v>289</v>
      </c>
      <c r="E72" s="94" t="s">
        <v>13</v>
      </c>
      <c r="F72" s="94" t="s">
        <v>23</v>
      </c>
      <c r="G72" s="94" t="s">
        <v>737</v>
      </c>
      <c r="H72" s="99">
        <v>45316</v>
      </c>
      <c r="I72" s="83" t="str">
        <f>VLOOKUP($D72,'[1]DM 4 Car'!$D:$M,6,FALSE)</f>
        <v>OH</v>
      </c>
      <c r="J72" s="83" t="str">
        <f>VLOOKUP($D72,'[1]DM 4 Car'!$D:$M,7,FALSE)</f>
        <v>TM</v>
      </c>
      <c r="K72" s="83">
        <f>VLOOKUP($D72,'[1]DM 4 Car'!$D:$M,8,FALSE)</f>
        <v>0</v>
      </c>
      <c r="L72" s="83" t="str">
        <f>VLOOKUP($D72,'[1]DM 4 Car'!$D:$M,9,FALSE)</f>
        <v>JHOPL-WI-19-097</v>
      </c>
      <c r="M72" s="83" t="str">
        <f>VLOOKUP($D72,'[1]DM 4 Car'!$D:$M,10,FALSE)</f>
        <v>KBRS</v>
      </c>
      <c r="N72" s="94">
        <v>1</v>
      </c>
      <c r="O72" s="95">
        <v>6.9444444444444447E-4</v>
      </c>
    </row>
    <row r="73" spans="1:15" ht="54" customHeight="1" thickTop="1" thickBot="1" x14ac:dyDescent="0.25">
      <c r="A73" s="85"/>
      <c r="B73" s="93" t="s">
        <v>18</v>
      </c>
      <c r="C73" s="94" t="s">
        <v>292</v>
      </c>
      <c r="D73" s="94" t="s">
        <v>293</v>
      </c>
      <c r="E73" s="94" t="s">
        <v>13</v>
      </c>
      <c r="F73" s="94" t="s">
        <v>23</v>
      </c>
      <c r="G73" s="94" t="s">
        <v>736</v>
      </c>
      <c r="H73" s="99">
        <v>45314</v>
      </c>
      <c r="I73" s="83" t="str">
        <f>VLOOKUP($D73,'[1]DM 4 Car'!$D:$M,6,FALSE)</f>
        <v>REPLACE</v>
      </c>
      <c r="J73" s="83" t="str">
        <f>VLOOKUP($D73,'[1]DM 4 Car'!$D:$M,7,FALSE)</f>
        <v>TM</v>
      </c>
      <c r="K73" s="83">
        <f>VLOOKUP($D73,'[1]DM 4 Car'!$D:$M,8,FALSE)</f>
        <v>0</v>
      </c>
      <c r="L73" s="83" t="str">
        <f>VLOOKUP($D73,'[1]DM 4 Car'!$D:$M,9,FALSE)</f>
        <v>JHOPL-WI-19-098</v>
      </c>
      <c r="M73" s="83" t="str">
        <f>VLOOKUP($D73,'[1]DM 4 Car'!$D:$M,10,FALSE)</f>
        <v>KBRS</v>
      </c>
      <c r="N73" s="94">
        <v>1</v>
      </c>
      <c r="O73" s="95">
        <v>1.3888888888888889E-3</v>
      </c>
    </row>
    <row r="74" spans="1:15" ht="54" customHeight="1" thickTop="1" thickBot="1" x14ac:dyDescent="0.25">
      <c r="A74" s="85"/>
      <c r="B74" s="93" t="s">
        <v>18</v>
      </c>
      <c r="C74" s="94" t="s">
        <v>295</v>
      </c>
      <c r="D74" s="94" t="s">
        <v>296</v>
      </c>
      <c r="E74" s="94" t="s">
        <v>13</v>
      </c>
      <c r="F74" s="94" t="s">
        <v>23</v>
      </c>
      <c r="G74" s="94" t="s">
        <v>738</v>
      </c>
      <c r="H74" s="99">
        <v>45315</v>
      </c>
      <c r="I74" s="83" t="str">
        <f>VLOOKUP($D74,'[1]DM 4 Car'!$D:$M,6,FALSE)</f>
        <v>OH</v>
      </c>
      <c r="J74" s="83" t="str">
        <f>VLOOKUP($D74,'[1]DM 4 Car'!$D:$M,7,FALSE)</f>
        <v>TM</v>
      </c>
      <c r="K74" s="83">
        <f>VLOOKUP($D74,'[1]DM 4 Car'!$D:$M,8,FALSE)</f>
        <v>0</v>
      </c>
      <c r="L74" s="83" t="str">
        <f>VLOOKUP($D74,'[1]DM 4 Car'!$D:$M,9,FALSE)</f>
        <v>JHOPL-WI-19-099</v>
      </c>
      <c r="M74" s="83" t="str">
        <f>VLOOKUP($D74,'[1]DM 4 Car'!$D:$M,10,FALSE)</f>
        <v>KBRS</v>
      </c>
      <c r="N74" s="94">
        <v>1</v>
      </c>
      <c r="O74" s="95">
        <v>3.4722222222222224E-4</v>
      </c>
    </row>
    <row r="75" spans="1:15" ht="54" customHeight="1" thickTop="1" thickBot="1" x14ac:dyDescent="0.25">
      <c r="A75" s="85"/>
      <c r="B75" s="93" t="s">
        <v>18</v>
      </c>
      <c r="C75" s="94" t="s">
        <v>299</v>
      </c>
      <c r="D75" s="94" t="s">
        <v>300</v>
      </c>
      <c r="E75" s="94" t="s">
        <v>13</v>
      </c>
      <c r="F75" s="94" t="s">
        <v>23</v>
      </c>
      <c r="G75" s="94" t="s">
        <v>738</v>
      </c>
      <c r="H75" s="99">
        <v>45315</v>
      </c>
      <c r="I75" s="83" t="str">
        <f>VLOOKUP($D75,'[1]DM 4 Car'!$D:$M,6,FALSE)</f>
        <v>OH</v>
      </c>
      <c r="J75" s="83" t="str">
        <f>VLOOKUP($D75,'[1]DM 4 Car'!$D:$M,7,FALSE)</f>
        <v>TM</v>
      </c>
      <c r="K75" s="83">
        <f>VLOOKUP($D75,'[1]DM 4 Car'!$D:$M,8,FALSE)</f>
        <v>0</v>
      </c>
      <c r="L75" s="83" t="str">
        <f>VLOOKUP($D75,'[1]DM 4 Car'!$D:$M,9,FALSE)</f>
        <v>JHOPL-WI-19-099</v>
      </c>
      <c r="M75" s="83" t="str">
        <f>VLOOKUP($D75,'[1]DM 4 Car'!$D:$M,10,FALSE)</f>
        <v>KBRS</v>
      </c>
      <c r="N75" s="94">
        <v>1</v>
      </c>
      <c r="O75" s="95">
        <v>3.4722222222222224E-4</v>
      </c>
    </row>
    <row r="76" spans="1:15" ht="54" customHeight="1" thickTop="1" thickBot="1" x14ac:dyDescent="0.25">
      <c r="A76" s="85"/>
      <c r="B76" s="93" t="s">
        <v>18</v>
      </c>
      <c r="C76" s="94" t="s">
        <v>302</v>
      </c>
      <c r="D76" s="94" t="s">
        <v>303</v>
      </c>
      <c r="E76" s="94" t="s">
        <v>13</v>
      </c>
      <c r="F76" s="94" t="s">
        <v>23</v>
      </c>
      <c r="G76" s="94" t="s">
        <v>738</v>
      </c>
      <c r="H76" s="99">
        <v>45313</v>
      </c>
      <c r="I76" s="83" t="str">
        <f>VLOOKUP($D76,'[1]DM 4 Car'!$D:$M,6,FALSE)</f>
        <v>OH</v>
      </c>
      <c r="J76" s="83" t="str">
        <f>VLOOKUP($D76,'[1]DM 4 Car'!$D:$M,7,FALSE)</f>
        <v>TM</v>
      </c>
      <c r="K76" s="83">
        <f>VLOOKUP($D76,'[1]DM 4 Car'!$D:$M,8,FALSE)</f>
        <v>0</v>
      </c>
      <c r="L76" s="83" t="str">
        <f>VLOOKUP($D76,'[1]DM 4 Car'!$D:$M,9,FALSE)</f>
        <v>JHOPL-WI-19-099</v>
      </c>
      <c r="M76" s="83" t="str">
        <f>VLOOKUP($D76,'[1]DM 4 Car'!$D:$M,10,FALSE)</f>
        <v>KBRS</v>
      </c>
      <c r="N76" s="94">
        <v>1</v>
      </c>
      <c r="O76" s="95">
        <v>3.4722222222222224E-4</v>
      </c>
    </row>
    <row r="77" spans="1:15" ht="54" customHeight="1" thickTop="1" thickBot="1" x14ac:dyDescent="0.25">
      <c r="A77" s="85"/>
      <c r="B77" s="93" t="s">
        <v>18</v>
      </c>
      <c r="C77" s="94" t="s">
        <v>304</v>
      </c>
      <c r="D77" s="94" t="s">
        <v>305</v>
      </c>
      <c r="E77" s="94" t="s">
        <v>13</v>
      </c>
      <c r="F77" s="94" t="s">
        <v>23</v>
      </c>
      <c r="G77" s="94" t="s">
        <v>822</v>
      </c>
      <c r="H77" s="99">
        <v>45314</v>
      </c>
      <c r="I77" s="83" t="str">
        <f>VLOOKUP($D77,'[1]DM 4 Car'!$D:$M,6,FALSE)</f>
        <v>REPLACE</v>
      </c>
      <c r="J77" s="83" t="str">
        <f>VLOOKUP($D77,'[1]DM 4 Car'!$D:$M,7,FALSE)</f>
        <v>TM</v>
      </c>
      <c r="K77" s="83">
        <f>VLOOKUP($D77,'[1]DM 4 Car'!$D:$M,8,FALSE)</f>
        <v>0</v>
      </c>
      <c r="L77" s="83" t="str">
        <f>VLOOKUP($D77,'[1]DM 4 Car'!$D:$M,9,FALSE)</f>
        <v>JHOPL-WI-19-100</v>
      </c>
      <c r="M77" s="83" t="str">
        <f>VLOOKUP($D77,'[1]DM 4 Car'!$D:$M,10,FALSE)</f>
        <v>KBRS</v>
      </c>
      <c r="N77" s="94">
        <v>1</v>
      </c>
      <c r="O77" s="95">
        <v>6.9444444444444447E-4</v>
      </c>
    </row>
    <row r="78" spans="1:15" ht="54" customHeight="1" thickTop="1" thickBot="1" x14ac:dyDescent="0.25">
      <c r="A78" s="85"/>
      <c r="B78" s="93" t="s">
        <v>18</v>
      </c>
      <c r="C78" s="94" t="s">
        <v>307</v>
      </c>
      <c r="D78" s="94" t="s">
        <v>841</v>
      </c>
      <c r="E78" s="94" t="s">
        <v>13</v>
      </c>
      <c r="F78" s="94" t="s">
        <v>23</v>
      </c>
      <c r="G78" s="94" t="s">
        <v>212</v>
      </c>
      <c r="H78" s="99">
        <v>45314</v>
      </c>
      <c r="I78" s="83" t="str">
        <f>VLOOKUP($D78,'[1]DM 4 Car'!$D:$M,6,FALSE)</f>
        <v>IROC</v>
      </c>
      <c r="J78" s="83" t="str">
        <f>VLOOKUP($D78,'[1]DM 4 Car'!$D:$M,7,FALSE)</f>
        <v>TM</v>
      </c>
      <c r="K78" s="83">
        <f>VLOOKUP($D78,'[1]DM 4 Car'!$D:$M,8,FALSE)</f>
        <v>0</v>
      </c>
      <c r="L78" s="83" t="str">
        <f>VLOOKUP($D78,'[1]DM 4 Car'!$D:$M,9,FALSE)</f>
        <v>JHOPL-WI-19-080
JHOPL-WI-19-102
JHOPL-WI-19-105</v>
      </c>
      <c r="M78" s="83" t="str">
        <f>VLOOKUP($D78,'[1]DM 4 Car'!$D:$M,10,FALSE)</f>
        <v>JHOPL - KBRS</v>
      </c>
      <c r="N78" s="94">
        <v>1</v>
      </c>
      <c r="O78" s="95">
        <v>3.4722222222222224E-4</v>
      </c>
    </row>
    <row r="79" spans="1:15" ht="54" customHeight="1" thickTop="1" thickBot="1" x14ac:dyDescent="0.25">
      <c r="A79" s="85"/>
      <c r="B79" s="93" t="s">
        <v>18</v>
      </c>
      <c r="C79" s="94" t="s">
        <v>308</v>
      </c>
      <c r="D79" s="94" t="s">
        <v>309</v>
      </c>
      <c r="E79" s="94" t="s">
        <v>13</v>
      </c>
      <c r="F79" s="94" t="s">
        <v>23</v>
      </c>
      <c r="G79" s="94" t="s">
        <v>739</v>
      </c>
      <c r="H79" s="99">
        <v>45314</v>
      </c>
      <c r="I79" s="83" t="str">
        <f>VLOOKUP($D79,'[1]DM 4 Car'!$D:$M,6,FALSE)</f>
        <v>REPLACE</v>
      </c>
      <c r="J79" s="83" t="str">
        <f>VLOOKUP($D79,'[1]DM 4 Car'!$D:$M,7,FALSE)</f>
        <v>TM</v>
      </c>
      <c r="K79" s="83">
        <f>VLOOKUP($D79,'[1]DM 4 Car'!$D:$M,8,FALSE)</f>
        <v>0</v>
      </c>
      <c r="L79" s="83" t="str">
        <f>VLOOKUP($D79,'[1]DM 4 Car'!$D:$M,9,FALSE)</f>
        <v>JHOPL-WI-19-103</v>
      </c>
      <c r="M79" s="83" t="str">
        <f>VLOOKUP($D79,'[1]DM 4 Car'!$D:$M,10,FALSE)</f>
        <v>KBRS</v>
      </c>
      <c r="N79" s="94">
        <v>1</v>
      </c>
      <c r="O79" s="95">
        <v>8.6805555555555551E-4</v>
      </c>
    </row>
    <row r="80" spans="1:15" ht="54" customHeight="1" thickTop="1" thickBot="1" x14ac:dyDescent="0.25">
      <c r="A80" s="85"/>
      <c r="B80" s="93" t="s">
        <v>18</v>
      </c>
      <c r="C80" s="94" t="s">
        <v>312</v>
      </c>
      <c r="D80" s="94" t="s">
        <v>313</v>
      </c>
      <c r="E80" s="94" t="s">
        <v>13</v>
      </c>
      <c r="F80" s="94" t="s">
        <v>23</v>
      </c>
      <c r="G80" s="94" t="s">
        <v>740</v>
      </c>
      <c r="H80" s="99">
        <v>45315</v>
      </c>
      <c r="I80" s="83" t="str">
        <f>VLOOKUP($D80,'[1]DM 4 Car'!$D:$M,6,FALSE)</f>
        <v>OH</v>
      </c>
      <c r="J80" s="83" t="str">
        <f>VLOOKUP($D80,'[1]DM 4 Car'!$D:$M,7,FALSE)</f>
        <v>TM</v>
      </c>
      <c r="K80" s="83">
        <f>VLOOKUP($D80,'[1]DM 4 Car'!$D:$M,8,FALSE)</f>
        <v>0</v>
      </c>
      <c r="L80" s="83" t="str">
        <f>VLOOKUP($D80,'[1]DM 4 Car'!$D:$M,9,FALSE)</f>
        <v>JHOPL-WI-19-106</v>
      </c>
      <c r="M80" s="83" t="str">
        <f>VLOOKUP($D80,'[1]DM 4 Car'!$D:$M,10,FALSE)</f>
        <v>KBRS</v>
      </c>
      <c r="N80" s="94">
        <v>1</v>
      </c>
      <c r="O80" s="95">
        <v>6.9444444444444447E-4</v>
      </c>
    </row>
    <row r="81" spans="1:15" ht="54" customHeight="1" thickTop="1" thickBot="1" x14ac:dyDescent="0.25">
      <c r="A81" s="85"/>
      <c r="B81" s="93" t="s">
        <v>18</v>
      </c>
      <c r="C81" s="94" t="s">
        <v>316</v>
      </c>
      <c r="D81" s="94" t="s">
        <v>317</v>
      </c>
      <c r="E81" s="94" t="s">
        <v>13</v>
      </c>
      <c r="F81" s="94" t="s">
        <v>23</v>
      </c>
      <c r="G81" s="94" t="s">
        <v>260</v>
      </c>
      <c r="H81" s="99">
        <v>45314</v>
      </c>
      <c r="I81" s="83" t="str">
        <f>VLOOKUP($D81,'[1]DM 4 Car'!$D:$M,6,FALSE)</f>
        <v>REPLACE</v>
      </c>
      <c r="J81" s="83" t="str">
        <f>VLOOKUP($D81,'[1]DM 4 Car'!$D:$M,7,FALSE)</f>
        <v>TM</v>
      </c>
      <c r="K81" s="83">
        <f>VLOOKUP($D81,'[1]DM 4 Car'!$D:$M,8,FALSE)</f>
        <v>0</v>
      </c>
      <c r="L81" s="83" t="str">
        <f>VLOOKUP($D81,'[1]DM 4 Car'!$D:$M,9,FALSE)</f>
        <v>JHOPL-WI-19-107</v>
      </c>
      <c r="M81" s="83" t="str">
        <f>VLOOKUP($D81,'[1]DM 4 Car'!$D:$M,10,FALSE)</f>
        <v>KBRS</v>
      </c>
      <c r="N81" s="94">
        <v>1</v>
      </c>
      <c r="O81" s="95">
        <v>6.9444444444444447E-4</v>
      </c>
    </row>
    <row r="82" spans="1:15" ht="54" customHeight="1" thickTop="1" thickBot="1" x14ac:dyDescent="0.25">
      <c r="A82" s="85"/>
      <c r="B82" s="93" t="s">
        <v>18</v>
      </c>
      <c r="C82" s="94" t="s">
        <v>320</v>
      </c>
      <c r="D82" s="94" t="s">
        <v>321</v>
      </c>
      <c r="E82" s="94" t="s">
        <v>13</v>
      </c>
      <c r="F82" s="94" t="s">
        <v>23</v>
      </c>
      <c r="G82" s="94" t="s">
        <v>740</v>
      </c>
      <c r="H82" s="99">
        <v>45315</v>
      </c>
      <c r="I82" s="83" t="str">
        <f>VLOOKUP($D82,'[1]DM 4 Car'!$D:$M,6,FALSE)</f>
        <v>OH</v>
      </c>
      <c r="J82" s="83" t="str">
        <f>VLOOKUP($D82,'[1]DM 4 Car'!$D:$M,7,FALSE)</f>
        <v>TM</v>
      </c>
      <c r="K82" s="83">
        <f>VLOOKUP($D82,'[1]DM 4 Car'!$D:$M,8,FALSE)</f>
        <v>0</v>
      </c>
      <c r="L82" s="83" t="str">
        <f>VLOOKUP($D82,'[1]DM 4 Car'!$D:$M,9,FALSE)</f>
        <v>JHOPL-WI-19-106</v>
      </c>
      <c r="M82" s="83" t="str">
        <f>VLOOKUP($D82,'[1]DM 4 Car'!$D:$M,10,FALSE)</f>
        <v>KBRS</v>
      </c>
      <c r="N82" s="94">
        <v>1</v>
      </c>
      <c r="O82" s="95">
        <v>6.9444444444444447E-4</v>
      </c>
    </row>
    <row r="83" spans="1:15" ht="54" customHeight="1" thickTop="1" thickBot="1" x14ac:dyDescent="0.25">
      <c r="A83" s="137"/>
      <c r="B83" s="114" t="s">
        <v>18</v>
      </c>
      <c r="C83" s="115" t="s">
        <v>322</v>
      </c>
      <c r="D83" s="115" t="s">
        <v>323</v>
      </c>
      <c r="E83" s="115" t="s">
        <v>13</v>
      </c>
      <c r="F83" s="115" t="s">
        <v>325</v>
      </c>
      <c r="G83" s="115" t="s">
        <v>326</v>
      </c>
      <c r="H83" s="128" t="s">
        <v>327</v>
      </c>
      <c r="I83" s="83" t="str">
        <f>VLOOKUP($D83,'[1]DM 4 Car'!$D:$M,6,FALSE)</f>
        <v>REPLACE</v>
      </c>
      <c r="J83" s="83" t="str">
        <f>VLOOKUP($D83,'[1]DM 4 Car'!$D:$M,7,FALSE)</f>
        <v>ATM</v>
      </c>
      <c r="K83" s="83">
        <f>VLOOKUP($D83,'[1]DM 4 Car'!$D:$M,8,FALSE)</f>
        <v>0</v>
      </c>
      <c r="L83" s="83" t="str">
        <f>VLOOKUP($D83,'[1]DM 4 Car'!$D:$M,9,FALSE)</f>
        <v>JHOPL-WI-11-131</v>
      </c>
      <c r="M83" s="83" t="str">
        <f>VLOOKUP($D83,'[1]DM 4 Car'!$D:$M,10,FALSE)</f>
        <v>ALSTOM</v>
      </c>
      <c r="N83" s="115">
        <v>1</v>
      </c>
      <c r="O83" s="119">
        <v>1.7361111111111112E-4</v>
      </c>
    </row>
    <row r="84" spans="1:15" ht="54" customHeight="1" thickTop="1" thickBot="1" x14ac:dyDescent="0.25">
      <c r="A84" s="137"/>
      <c r="B84" s="114" t="s">
        <v>18</v>
      </c>
      <c r="C84" s="115" t="s">
        <v>329</v>
      </c>
      <c r="D84" s="115" t="s">
        <v>330</v>
      </c>
      <c r="E84" s="115" t="s">
        <v>23</v>
      </c>
      <c r="F84" s="115"/>
      <c r="G84" s="115"/>
      <c r="H84" s="128"/>
      <c r="I84" s="83" t="str">
        <f>VLOOKUP($D84,'[1]DM 4 Car'!$D:$M,6,FALSE)</f>
        <v>REPLACE</v>
      </c>
      <c r="J84" s="83" t="str">
        <f>VLOOKUP($D84,'[1]DM 4 Car'!$D:$M,7,FALSE)</f>
        <v>TM</v>
      </c>
      <c r="K84" s="83">
        <f>VLOOKUP($D84,'[1]DM 4 Car'!$D:$M,8,FALSE)</f>
        <v>0</v>
      </c>
      <c r="L84" s="83" t="str">
        <f>VLOOKUP($D84,'[1]DM 4 Car'!$D:$M,9,FALSE)</f>
        <v>JHOPL-WI-11-140</v>
      </c>
      <c r="M84" s="83" t="str">
        <f>VLOOKUP($D84,'[1]DM 4 Car'!$D:$M,10,FALSE)</f>
        <v>REW</v>
      </c>
      <c r="N84" s="115">
        <v>2</v>
      </c>
      <c r="O84" s="119">
        <v>5.2083333333333333E-4</v>
      </c>
    </row>
    <row r="85" spans="1:15" ht="54" customHeight="1" thickTop="1" thickBot="1" x14ac:dyDescent="0.25">
      <c r="A85" s="137"/>
      <c r="B85" s="114" t="s">
        <v>18</v>
      </c>
      <c r="C85" s="115" t="s">
        <v>332</v>
      </c>
      <c r="D85" s="115" t="s">
        <v>333</v>
      </c>
      <c r="E85" s="115" t="s">
        <v>13</v>
      </c>
      <c r="F85" s="115" t="s">
        <v>325</v>
      </c>
      <c r="G85" s="115" t="s">
        <v>326</v>
      </c>
      <c r="H85" s="128" t="s">
        <v>327</v>
      </c>
      <c r="I85" s="83" t="str">
        <f>VLOOKUP($D85,'[1]DM 4 Car'!$D:$M,6,FALSE)</f>
        <v>REPLACE</v>
      </c>
      <c r="J85" s="83" t="str">
        <f>VLOOKUP($D85,'[1]DM 4 Car'!$D:$M,7,FALSE)</f>
        <v>ATM</v>
      </c>
      <c r="K85" s="83">
        <f>VLOOKUP($D85,'[1]DM 4 Car'!$D:$M,8,FALSE)</f>
        <v>0</v>
      </c>
      <c r="L85" s="83">
        <f>VLOOKUP($D85,'[1]DM 4 Car'!$D:$M,9,FALSE)</f>
        <v>0</v>
      </c>
      <c r="M85" s="83" t="str">
        <f>VLOOKUP($D85,'[1]DM 4 Car'!$D:$M,10,FALSE)</f>
        <v>ALSTOM</v>
      </c>
      <c r="N85" s="115">
        <v>3</v>
      </c>
      <c r="O85" s="119">
        <v>5.2083333333333333E-4</v>
      </c>
    </row>
    <row r="86" spans="1:15" ht="54" customHeight="1" thickTop="1" thickBot="1" x14ac:dyDescent="0.25">
      <c r="A86" s="137"/>
      <c r="B86" s="114" t="s">
        <v>18</v>
      </c>
      <c r="C86" s="115" t="s">
        <v>335</v>
      </c>
      <c r="D86" s="115" t="s">
        <v>336</v>
      </c>
      <c r="E86" s="115" t="s">
        <v>13</v>
      </c>
      <c r="F86" s="115" t="s">
        <v>325</v>
      </c>
      <c r="G86" s="115" t="s">
        <v>823</v>
      </c>
      <c r="H86" s="128" t="s">
        <v>327</v>
      </c>
      <c r="I86" s="83" t="str">
        <f>VLOOKUP($D86,'[1]DM 4 Car'!$D:$M,6,FALSE)</f>
        <v>REPLACE</v>
      </c>
      <c r="J86" s="83" t="str">
        <f>VLOOKUP($D86,'[1]DM 4 Car'!$D:$M,7,FALSE)</f>
        <v>ATM</v>
      </c>
      <c r="K86" s="83">
        <f>VLOOKUP($D86,'[1]DM 4 Car'!$D:$M,8,FALSE)</f>
        <v>0</v>
      </c>
      <c r="L86" s="83">
        <f>VLOOKUP($D86,'[1]DM 4 Car'!$D:$M,9,FALSE)</f>
        <v>0</v>
      </c>
      <c r="M86" s="83" t="str">
        <f>VLOOKUP($D86,'[1]DM 4 Car'!$D:$M,10,FALSE)</f>
        <v>ALSTOM</v>
      </c>
      <c r="N86" s="115">
        <v>4</v>
      </c>
      <c r="O86" s="119">
        <v>5.2083333333333333E-4</v>
      </c>
    </row>
    <row r="87" spans="1:15" ht="54" customHeight="1" thickTop="1" thickBot="1" x14ac:dyDescent="0.25">
      <c r="A87" s="86"/>
      <c r="B87" s="96" t="s">
        <v>18</v>
      </c>
      <c r="C87" s="97" t="s">
        <v>337</v>
      </c>
      <c r="D87" s="97" t="s">
        <v>338</v>
      </c>
      <c r="E87" s="97" t="s">
        <v>13</v>
      </c>
      <c r="F87" s="97" t="s">
        <v>23</v>
      </c>
      <c r="G87" s="97" t="s">
        <v>822</v>
      </c>
      <c r="H87" s="101">
        <v>45314</v>
      </c>
      <c r="I87" s="83" t="str">
        <f>VLOOKUP($D87,'[1]DM 4 Car'!$D:$M,6,FALSE)</f>
        <v>REPLACE</v>
      </c>
      <c r="J87" s="83" t="str">
        <f>VLOOKUP($D87,'[1]DM 4 Car'!$D:$M,7,FALSE)</f>
        <v>TM</v>
      </c>
      <c r="K87" s="83">
        <f>VLOOKUP($D87,'[1]DM 4 Car'!$D:$M,8,FALSE)</f>
        <v>0</v>
      </c>
      <c r="L87" s="83" t="str">
        <f>VLOOKUP($D87,'[1]DM 4 Car'!$D:$M,9,FALSE)</f>
        <v>JHOPL-WI-19-084</v>
      </c>
      <c r="M87" s="83" t="str">
        <f>VLOOKUP($D87,'[1]DM 4 Car'!$D:$M,10,FALSE)</f>
        <v>KBRS</v>
      </c>
      <c r="N87" s="97">
        <v>2</v>
      </c>
      <c r="O87" s="98">
        <v>3.4722222222222224E-4</v>
      </c>
    </row>
    <row r="88" spans="1:15" ht="66" customHeight="1" thickTop="1" thickBot="1" x14ac:dyDescent="0.25">
      <c r="A88" s="85"/>
      <c r="B88" s="90" t="s">
        <v>22</v>
      </c>
      <c r="C88" s="91" t="s">
        <v>339</v>
      </c>
      <c r="D88" s="91" t="s">
        <v>340</v>
      </c>
      <c r="E88" s="91" t="s">
        <v>13</v>
      </c>
      <c r="F88" s="91" t="s">
        <v>235</v>
      </c>
      <c r="G88" s="91" t="s">
        <v>824</v>
      </c>
      <c r="H88" s="100">
        <v>45930</v>
      </c>
      <c r="I88" s="83" t="str">
        <f>VLOOKUP($D88,'[1]DM 4 Car'!$D:$M,6,FALSE)</f>
        <v>OH</v>
      </c>
      <c r="J88" s="83" t="str">
        <f>VLOOKUP($D88,'[1]DM 4 Car'!$D:$M,7,FALSE)</f>
        <v>TM</v>
      </c>
      <c r="K88" s="83">
        <f>VLOOKUP($D88,'[1]DM 4 Car'!$D:$M,8,FALSE)</f>
        <v>0</v>
      </c>
      <c r="L88" s="83" t="str">
        <f>VLOOKUP($D88,'[1]DM 4 Car'!$D:$M,9,FALSE)</f>
        <v>JHOPL-WI-15-037
JHOPL-WI-16-046</v>
      </c>
      <c r="M88" s="83" t="str">
        <f>VLOOKUP($D88,'[1]DM 4 Car'!$D:$M,10,FALSE)</f>
        <v>WILLIAM COOK</v>
      </c>
      <c r="N88" s="91">
        <v>4</v>
      </c>
      <c r="O88" s="92" t="s">
        <v>344</v>
      </c>
    </row>
    <row r="89" spans="1:15" ht="54" customHeight="1" thickTop="1" thickBot="1" x14ac:dyDescent="0.25">
      <c r="A89" s="85"/>
      <c r="B89" s="93" t="s">
        <v>22</v>
      </c>
      <c r="C89" s="94" t="s">
        <v>842</v>
      </c>
      <c r="D89" s="94" t="s">
        <v>843</v>
      </c>
      <c r="E89" s="94" t="s">
        <v>13</v>
      </c>
      <c r="F89" s="94" t="s">
        <v>235</v>
      </c>
      <c r="G89" s="94" t="s">
        <v>825</v>
      </c>
      <c r="H89" s="99">
        <v>45930</v>
      </c>
      <c r="I89" s="83" t="str">
        <f>VLOOKUP($D89,'[1]DM 4 Car'!$D:$M,6,FALSE)</f>
        <v>OH</v>
      </c>
      <c r="J89" s="83" t="str">
        <f>VLOOKUP($D89,'[1]DM 4 Car'!$D:$M,7,FALSE)</f>
        <v>TM</v>
      </c>
      <c r="K89" s="83">
        <f>VLOOKUP($D89,'[1]DM 4 Car'!$D:$M,8,FALSE)</f>
        <v>0</v>
      </c>
      <c r="L89" s="83" t="str">
        <f>VLOOKUP($D89,'[1]DM 4 Car'!$D:$M,9,FALSE)</f>
        <v>JHOPL-WI-15-039</v>
      </c>
      <c r="M89" s="83" t="str">
        <f>VLOOKUP($D89,'[1]DM 4 Car'!$D:$M,10,FALSE)</f>
        <v>WILLIAM COOK</v>
      </c>
      <c r="N89" s="94">
        <v>4</v>
      </c>
      <c r="O89" s="95">
        <v>1.3888888888888889E-3</v>
      </c>
    </row>
    <row r="90" spans="1:15" ht="54" customHeight="1" thickTop="1" thickBot="1" x14ac:dyDescent="0.25">
      <c r="A90" s="137"/>
      <c r="B90" s="114" t="s">
        <v>22</v>
      </c>
      <c r="C90" s="115" t="s">
        <v>346</v>
      </c>
      <c r="D90" s="115" t="s">
        <v>347</v>
      </c>
      <c r="E90" s="115" t="s">
        <v>13</v>
      </c>
      <c r="F90" s="115" t="s">
        <v>235</v>
      </c>
      <c r="G90" s="115" t="s">
        <v>826</v>
      </c>
      <c r="H90" s="128" t="s">
        <v>827</v>
      </c>
      <c r="I90" s="83" t="str">
        <f>VLOOKUP($D90,'[1]DM 4 Car'!$D:$M,6,FALSE)</f>
        <v>OH</v>
      </c>
      <c r="J90" s="83" t="str">
        <f>VLOOKUP($D90,'[1]DM 4 Car'!$D:$M,7,FALSE)</f>
        <v>TM</v>
      </c>
      <c r="K90" s="83">
        <f>VLOOKUP($D90,'[1]DM 4 Car'!$D:$M,8,FALSE)</f>
        <v>0</v>
      </c>
      <c r="L90" s="83" t="str">
        <f>VLOOKUP($D90,'[1]DM 4 Car'!$D:$M,9,FALSE)</f>
        <v>JHOPL-WI-16-043</v>
      </c>
      <c r="M90" s="83" t="str">
        <f>VLOOKUP($D90,'[1]DM 4 Car'!$D:$M,10,FALSE)</f>
        <v>VOITH</v>
      </c>
      <c r="N90" s="115">
        <v>2</v>
      </c>
      <c r="O90" s="119">
        <v>2.0833333333333333E-3</v>
      </c>
    </row>
    <row r="91" spans="1:15" ht="54" customHeight="1" thickTop="1" thickBot="1" x14ac:dyDescent="0.25">
      <c r="A91" s="137"/>
      <c r="B91" s="114" t="s">
        <v>22</v>
      </c>
      <c r="C91" s="115" t="s">
        <v>351</v>
      </c>
      <c r="D91" s="115" t="s">
        <v>352</v>
      </c>
      <c r="E91" s="115" t="s">
        <v>13</v>
      </c>
      <c r="F91" s="115" t="s">
        <v>235</v>
      </c>
      <c r="G91" s="115" t="s">
        <v>745</v>
      </c>
      <c r="H91" s="128" t="s">
        <v>786</v>
      </c>
      <c r="I91" s="83" t="str">
        <f>VLOOKUP($D91,'[1]DM 4 Car'!$D:$M,6,FALSE)</f>
        <v>OH</v>
      </c>
      <c r="J91" s="83" t="str">
        <f>VLOOKUP($D91,'[1]DM 4 Car'!$D:$M,7,FALSE)</f>
        <v>TM</v>
      </c>
      <c r="K91" s="83">
        <f>VLOOKUP($D91,'[1]DM 4 Car'!$D:$M,8,FALSE)</f>
        <v>0</v>
      </c>
      <c r="L91" s="83" t="str">
        <f>VLOOKUP($D91,'[1]DM 4 Car'!$D:$M,9,FALSE)</f>
        <v>JHOPL-WI-16-044</v>
      </c>
      <c r="M91" s="83" t="str">
        <f>VLOOKUP($D91,'[1]DM 4 Car'!$D:$M,10,FALSE)</f>
        <v>VOITH</v>
      </c>
      <c r="N91" s="115">
        <v>2</v>
      </c>
      <c r="O91" s="119">
        <v>2.0833333333333333E-3</v>
      </c>
    </row>
    <row r="92" spans="1:15" ht="54" customHeight="1" thickTop="1" thickBot="1" x14ac:dyDescent="0.25">
      <c r="A92" s="137"/>
      <c r="B92" s="114" t="s">
        <v>22</v>
      </c>
      <c r="C92" s="115" t="s">
        <v>354</v>
      </c>
      <c r="D92" s="115" t="s">
        <v>355</v>
      </c>
      <c r="E92" s="115" t="s">
        <v>13</v>
      </c>
      <c r="F92" s="115" t="s">
        <v>325</v>
      </c>
      <c r="G92" s="115" t="s">
        <v>326</v>
      </c>
      <c r="H92" s="128" t="s">
        <v>327</v>
      </c>
      <c r="I92" s="83" t="str">
        <f>VLOOKUP($D92,'[1]DM 4 Car'!$D:$M,6,FALSE)</f>
        <v>REPLACE</v>
      </c>
      <c r="J92" s="83" t="str">
        <f>VLOOKUP($D92,'[1]DM 4 Car'!$D:$M,7,FALSE)</f>
        <v>ATM</v>
      </c>
      <c r="K92" s="83">
        <f>VLOOKUP($D92,'[1]DM 4 Car'!$D:$M,8,FALSE)</f>
        <v>0</v>
      </c>
      <c r="L92" s="83" t="str">
        <f>VLOOKUP($D92,'[1]DM 4 Car'!$D:$M,9,FALSE)</f>
        <v>JHOPL-WI-11-133</v>
      </c>
      <c r="M92" s="83" t="str">
        <f>VLOOKUP($D92,'[1]DM 4 Car'!$D:$M,10,FALSE)</f>
        <v>ALSTOM</v>
      </c>
      <c r="N92" s="115">
        <v>2</v>
      </c>
      <c r="O92" s="119">
        <v>6.9444444444444447E-4</v>
      </c>
    </row>
    <row r="93" spans="1:15" ht="54" customHeight="1" thickTop="1" thickBot="1" x14ac:dyDescent="0.25">
      <c r="A93" s="85"/>
      <c r="B93" s="93" t="s">
        <v>22</v>
      </c>
      <c r="C93" s="94" t="s">
        <v>357</v>
      </c>
      <c r="D93" s="94" t="s">
        <v>358</v>
      </c>
      <c r="E93" s="94" t="s">
        <v>13</v>
      </c>
      <c r="F93" s="78" t="s">
        <v>364</v>
      </c>
      <c r="G93" s="78" t="s">
        <v>828</v>
      </c>
      <c r="H93" s="79">
        <v>45931</v>
      </c>
      <c r="I93" s="83" t="str">
        <f>VLOOKUP($D93,'[1]DM 4 Car'!$D:$M,6,FALSE)</f>
        <v>OH</v>
      </c>
      <c r="J93" s="83" t="str">
        <f>VLOOKUP($D93,'[1]DM 4 Car'!$D:$M,7,FALSE)</f>
        <v>TM</v>
      </c>
      <c r="K93" s="83">
        <f>VLOOKUP($D93,'[1]DM 4 Car'!$D:$M,8,FALSE)</f>
        <v>0</v>
      </c>
      <c r="L93" s="83" t="str">
        <f>VLOOKUP($D93,'[1]DM 4 Car'!$D:$M,9,FALSE)</f>
        <v>JHOPL-WI-18-159</v>
      </c>
      <c r="M93" s="83" t="str">
        <f>VLOOKUP($D93,'[1]DM 4 Car'!$D:$M,10,FALSE)</f>
        <v>LH GROUP</v>
      </c>
      <c r="N93" s="94">
        <v>1</v>
      </c>
      <c r="O93" s="95">
        <v>1.2152777777777778E-3</v>
      </c>
    </row>
    <row r="94" spans="1:15" ht="54" customHeight="1" thickTop="1" thickBot="1" x14ac:dyDescent="0.25">
      <c r="A94" s="85"/>
      <c r="B94" s="93" t="s">
        <v>22</v>
      </c>
      <c r="C94" s="94" t="s">
        <v>362</v>
      </c>
      <c r="D94" s="94" t="s">
        <v>363</v>
      </c>
      <c r="E94" s="94" t="s">
        <v>13</v>
      </c>
      <c r="F94" s="94" t="s">
        <v>364</v>
      </c>
      <c r="G94" s="94" t="s">
        <v>829</v>
      </c>
      <c r="H94" s="99">
        <v>45927</v>
      </c>
      <c r="I94" s="83" t="str">
        <f>VLOOKUP($D94,'[1]DM 4 Car'!$D:$M,6,FALSE)</f>
        <v>OH</v>
      </c>
      <c r="J94" s="83" t="str">
        <f>VLOOKUP($D94,'[1]DM 4 Car'!$D:$M,7,FALSE)</f>
        <v>TM</v>
      </c>
      <c r="K94" s="83">
        <f>VLOOKUP($D94,'[1]DM 4 Car'!$D:$M,8,FALSE)</f>
        <v>0</v>
      </c>
      <c r="L94" s="83" t="str">
        <f>VLOOKUP($D94,'[1]DM 4 Car'!$D:$M,9,FALSE)</f>
        <v>JHOPL-WI-18-077</v>
      </c>
      <c r="M94" s="83" t="str">
        <f>VLOOKUP($D94,'[1]DM 4 Car'!$D:$M,10,FALSE)</f>
        <v>LH GROUP</v>
      </c>
      <c r="N94" s="94">
        <v>2</v>
      </c>
      <c r="O94" s="95">
        <v>2.7777777777777779E-3</v>
      </c>
    </row>
    <row r="95" spans="1:15" ht="54" customHeight="1" thickTop="1" thickBot="1" x14ac:dyDescent="0.25">
      <c r="A95" s="85"/>
      <c r="B95" s="93" t="s">
        <v>22</v>
      </c>
      <c r="C95" s="94" t="s">
        <v>367</v>
      </c>
      <c r="D95" s="94" t="s">
        <v>368</v>
      </c>
      <c r="E95" s="94" t="s">
        <v>13</v>
      </c>
      <c r="F95" s="78" t="s">
        <v>364</v>
      </c>
      <c r="G95" s="78" t="s">
        <v>828</v>
      </c>
      <c r="H95" s="79">
        <v>45931</v>
      </c>
      <c r="I95" s="83" t="str">
        <f>VLOOKUP($D95,'[1]DM 4 Car'!$D:$M,6,FALSE)</f>
        <v>OH</v>
      </c>
      <c r="J95" s="83" t="str">
        <f>VLOOKUP($D95,'[1]DM 4 Car'!$D:$M,7,FALSE)</f>
        <v>TM</v>
      </c>
      <c r="K95" s="83">
        <f>VLOOKUP($D95,'[1]DM 4 Car'!$D:$M,8,FALSE)</f>
        <v>0</v>
      </c>
      <c r="L95" s="83" t="str">
        <f>VLOOKUP($D95,'[1]DM 4 Car'!$D:$M,9,FALSE)</f>
        <v>JHOPL-WI-18-115</v>
      </c>
      <c r="M95" s="83" t="str">
        <f>VLOOKUP($D95,'[1]DM 4 Car'!$D:$M,10,FALSE)</f>
        <v>LH GROUP</v>
      </c>
      <c r="N95" s="94">
        <v>2</v>
      </c>
      <c r="O95" s="95">
        <v>6.9444444444444447E-4</v>
      </c>
    </row>
    <row r="96" spans="1:15" ht="54" customHeight="1" thickTop="1" thickBot="1" x14ac:dyDescent="0.25">
      <c r="A96" s="137"/>
      <c r="B96" s="114" t="s">
        <v>22</v>
      </c>
      <c r="C96" s="115" t="s">
        <v>370</v>
      </c>
      <c r="D96" s="115" t="s">
        <v>371</v>
      </c>
      <c r="E96" s="115" t="s">
        <v>23</v>
      </c>
      <c r="F96" s="115"/>
      <c r="G96" s="115"/>
      <c r="H96" s="128"/>
      <c r="I96" s="83" t="str">
        <f>VLOOKUP($D96,'[1]DM 4 Car'!$D:$M,6,FALSE)</f>
        <v>OH</v>
      </c>
      <c r="J96" s="83" t="str">
        <f>VLOOKUP($D96,'[1]DM 4 Car'!$D:$M,7,FALSE)</f>
        <v>TM</v>
      </c>
      <c r="K96" s="83">
        <f>VLOOKUP($D96,'[1]DM 4 Car'!$D:$M,8,FALSE)</f>
        <v>0</v>
      </c>
      <c r="L96" s="83" t="str">
        <f>VLOOKUP($D96,'[1]DM 4 Car'!$D:$M,9,FALSE)</f>
        <v>JHOPL-WI-19-088</v>
      </c>
      <c r="M96" s="83" t="str">
        <f>VLOOKUP($D96,'[1]DM 4 Car'!$D:$M,10,FALSE)</f>
        <v>KBRS</v>
      </c>
      <c r="N96" s="115">
        <v>2</v>
      </c>
      <c r="O96" s="119">
        <v>3.4722222222222224E-4</v>
      </c>
    </row>
    <row r="97" spans="1:15" ht="54" customHeight="1" thickTop="1" thickBot="1" x14ac:dyDescent="0.25">
      <c r="A97" s="137"/>
      <c r="B97" s="114" t="s">
        <v>22</v>
      </c>
      <c r="C97" s="115" t="s">
        <v>373</v>
      </c>
      <c r="D97" s="115" t="s">
        <v>374</v>
      </c>
      <c r="E97" s="115" t="s">
        <v>23</v>
      </c>
      <c r="F97" s="115"/>
      <c r="G97" s="115"/>
      <c r="H97" s="128"/>
      <c r="I97" s="83" t="str">
        <f>VLOOKUP($D97,'[1]DM 4 Car'!$D:$M,6,FALSE)</f>
        <v>OH</v>
      </c>
      <c r="J97" s="83" t="str">
        <f>VLOOKUP($D97,'[1]DM 4 Car'!$D:$M,7,FALSE)</f>
        <v>TM</v>
      </c>
      <c r="K97" s="83">
        <f>VLOOKUP($D97,'[1]DM 4 Car'!$D:$M,8,FALSE)</f>
        <v>0</v>
      </c>
      <c r="L97" s="83" t="str">
        <f>VLOOKUP($D97,'[1]DM 4 Car'!$D:$M,9,FALSE)</f>
        <v>JHOPL-WI-19-168</v>
      </c>
      <c r="M97" s="83" t="str">
        <f>VLOOKUP($D97,'[1]DM 4 Car'!$D:$M,10,FALSE)</f>
        <v>TIDYCO</v>
      </c>
      <c r="N97" s="115">
        <v>2</v>
      </c>
      <c r="O97" s="119">
        <v>5.2083333333333333E-4</v>
      </c>
    </row>
    <row r="98" spans="1:15" ht="54" customHeight="1" thickTop="1" thickBot="1" x14ac:dyDescent="0.25">
      <c r="A98" s="137"/>
      <c r="B98" s="114" t="s">
        <v>22</v>
      </c>
      <c r="C98" s="115" t="s">
        <v>376</v>
      </c>
      <c r="D98" s="115" t="s">
        <v>377</v>
      </c>
      <c r="E98" s="115" t="s">
        <v>23</v>
      </c>
      <c r="F98" s="115"/>
      <c r="G98" s="115"/>
      <c r="H98" s="128"/>
      <c r="I98" s="83" t="str">
        <f>VLOOKUP($D98,'[1]DM 4 Car'!$D:$M,6,FALSE)</f>
        <v>REPLACE</v>
      </c>
      <c r="J98" s="83" t="str">
        <f>VLOOKUP($D98,'[1]DM 4 Car'!$D:$M,7,FALSE)</f>
        <v>TM</v>
      </c>
      <c r="K98" s="83">
        <f>VLOOKUP($D98,'[1]DM 4 Car'!$D:$M,8,FALSE)</f>
        <v>0</v>
      </c>
      <c r="L98" s="83" t="str">
        <f>VLOOKUP($D98,'[1]DM 4 Car'!$D:$M,9,FALSE)</f>
        <v>JHOPL-WI-19-165</v>
      </c>
      <c r="M98" s="83" t="str">
        <f>VLOOKUP($D98,'[1]DM 4 Car'!$D:$M,10,FALSE)</f>
        <v>TIDYCO</v>
      </c>
      <c r="N98" s="115">
        <v>1</v>
      </c>
      <c r="O98" s="119">
        <v>9.2592592592592585E-4</v>
      </c>
    </row>
    <row r="99" spans="1:15" ht="54" customHeight="1" thickTop="1" thickBot="1" x14ac:dyDescent="0.25">
      <c r="A99" s="137"/>
      <c r="B99" s="114" t="s">
        <v>22</v>
      </c>
      <c r="C99" s="115" t="s">
        <v>379</v>
      </c>
      <c r="D99" s="115" t="s">
        <v>380</v>
      </c>
      <c r="E99" s="115" t="s">
        <v>23</v>
      </c>
      <c r="F99" s="115"/>
      <c r="G99" s="115"/>
      <c r="H99" s="128"/>
      <c r="I99" s="83" t="str">
        <f>VLOOKUP($D99,'[1]DM 4 Car'!$D:$M,6,FALSE)</f>
        <v>REPLACE</v>
      </c>
      <c r="J99" s="83" t="str">
        <f>VLOOKUP($D99,'[1]DM 4 Car'!$D:$M,7,FALSE)</f>
        <v>ATM</v>
      </c>
      <c r="K99" s="83">
        <f>VLOOKUP($D99,'[1]DM 4 Car'!$D:$M,8,FALSE)</f>
        <v>0</v>
      </c>
      <c r="L99" s="83" t="str">
        <f>VLOOKUP($D99,'[1]DM 4 Car'!$D:$M,9,FALSE)</f>
        <v>JHOPL-WI-11-004</v>
      </c>
      <c r="M99" s="83" t="str">
        <f>VLOOKUP($D99,'[1]DM 4 Car'!$D:$M,10,FALSE)</f>
        <v>LH GROUP</v>
      </c>
      <c r="N99" s="115">
        <v>1</v>
      </c>
      <c r="O99" s="119">
        <v>1.1574074074074073E-4</v>
      </c>
    </row>
    <row r="100" spans="1:15" ht="54" customHeight="1" thickTop="1" thickBot="1" x14ac:dyDescent="0.25">
      <c r="A100" s="137"/>
      <c r="B100" s="114" t="s">
        <v>22</v>
      </c>
      <c r="C100" s="115" t="s">
        <v>382</v>
      </c>
      <c r="D100" s="115" t="s">
        <v>383</v>
      </c>
      <c r="E100" s="115" t="s">
        <v>23</v>
      </c>
      <c r="F100" s="115"/>
      <c r="G100" s="115"/>
      <c r="H100" s="128"/>
      <c r="I100" s="83" t="str">
        <f>VLOOKUP($D100,'[1]DM 4 Car'!$D:$M,6,FALSE)</f>
        <v>IROC</v>
      </c>
      <c r="J100" s="83" t="str">
        <f>VLOOKUP($D100,'[1]DM 4 Car'!$D:$M,7,FALSE)</f>
        <v>ATM</v>
      </c>
      <c r="K100" s="83">
        <f>VLOOKUP($D100,'[1]DM 4 Car'!$D:$M,8,FALSE)</f>
        <v>0</v>
      </c>
      <c r="L100" s="83" t="str">
        <f>VLOOKUP($D100,'[1]DM 4 Car'!$D:$M,9,FALSE)</f>
        <v>JHOPL-WI-11-020</v>
      </c>
      <c r="M100" s="83" t="str">
        <f>VLOOKUP($D100,'[1]DM 4 Car'!$D:$M,10,FALSE)</f>
        <v>JHOPL - ALSTOM</v>
      </c>
      <c r="N100" s="115">
        <v>1</v>
      </c>
      <c r="O100" s="119">
        <v>6.9444444444444447E-4</v>
      </c>
    </row>
    <row r="101" spans="1:15" ht="54" customHeight="1" thickTop="1" thickBot="1" x14ac:dyDescent="0.25">
      <c r="A101" s="137"/>
      <c r="B101" s="114" t="s">
        <v>22</v>
      </c>
      <c r="C101" s="115" t="s">
        <v>385</v>
      </c>
      <c r="D101" s="115" t="s">
        <v>386</v>
      </c>
      <c r="E101" s="115" t="s">
        <v>23</v>
      </c>
      <c r="F101" s="115"/>
      <c r="G101" s="115"/>
      <c r="H101" s="128"/>
      <c r="I101" s="83" t="str">
        <f>VLOOKUP($D101,'[1]DM 4 Car'!$D:$M,6,FALSE)</f>
        <v>REPLACE</v>
      </c>
      <c r="J101" s="83" t="str">
        <f>VLOOKUP($D101,'[1]DM 4 Car'!$D:$M,7,FALSE)</f>
        <v>TM</v>
      </c>
      <c r="K101" s="83">
        <f>VLOOKUP($D101,'[1]DM 4 Car'!$D:$M,8,FALSE)</f>
        <v>0</v>
      </c>
      <c r="L101" s="83" t="str">
        <f>VLOOKUP($D101,'[1]DM 4 Car'!$D:$M,9,FALSE)</f>
        <v>JHOPL-WI-17-152</v>
      </c>
      <c r="M101" s="83" t="str">
        <f>VLOOKUP($D101,'[1]DM 4 Car'!$D:$M,10,FALSE)</f>
        <v>JHOPL</v>
      </c>
      <c r="N101" s="115">
        <v>1</v>
      </c>
      <c r="O101" s="119">
        <v>6.9444444444444447E-4</v>
      </c>
    </row>
    <row r="102" spans="1:15" ht="54" customHeight="1" thickTop="1" thickBot="1" x14ac:dyDescent="0.25">
      <c r="A102" s="137"/>
      <c r="B102" s="114" t="s">
        <v>22</v>
      </c>
      <c r="C102" s="115" t="s">
        <v>388</v>
      </c>
      <c r="D102" s="115" t="s">
        <v>389</v>
      </c>
      <c r="E102" s="115" t="s">
        <v>23</v>
      </c>
      <c r="F102" s="115"/>
      <c r="G102" s="115"/>
      <c r="H102" s="128"/>
      <c r="I102" s="83" t="str">
        <f>VLOOKUP($D102,'[1]DM 4 Car'!$D:$M,6,FALSE)</f>
        <v>REPLACE</v>
      </c>
      <c r="J102" s="83" t="str">
        <f>VLOOKUP($D102,'[1]DM 4 Car'!$D:$M,7,FALSE)</f>
        <v>TM</v>
      </c>
      <c r="K102" s="83">
        <f>VLOOKUP($D102,'[1]DM 4 Car'!$D:$M,8,FALSE)</f>
        <v>0</v>
      </c>
      <c r="L102" s="83" t="str">
        <f>VLOOKUP($D102,'[1]DM 4 Car'!$D:$M,9,FALSE)</f>
        <v>Missing JHOPL-WI-17-052</v>
      </c>
      <c r="M102" s="83" t="str">
        <f>VLOOKUP($D102,'[1]DM 4 Car'!$D:$M,10,FALSE)</f>
        <v>JHOPL</v>
      </c>
      <c r="N102" s="115">
        <v>1</v>
      </c>
      <c r="O102" s="119">
        <v>4.0509259259259258E-4</v>
      </c>
    </row>
    <row r="103" spans="1:15" ht="54" customHeight="1" thickTop="1" thickBot="1" x14ac:dyDescent="0.25">
      <c r="A103" s="137"/>
      <c r="B103" s="114" t="s">
        <v>22</v>
      </c>
      <c r="C103" s="115" t="s">
        <v>391</v>
      </c>
      <c r="D103" s="115" t="s">
        <v>392</v>
      </c>
      <c r="E103" s="115" t="s">
        <v>23</v>
      </c>
      <c r="F103" s="115"/>
      <c r="G103" s="115"/>
      <c r="H103" s="128"/>
      <c r="I103" s="83" t="str">
        <f>VLOOKUP($D103,'[1]DM 4 Car'!$D:$M,6,FALSE)</f>
        <v>OH</v>
      </c>
      <c r="J103" s="83" t="str">
        <f>VLOOKUP($D103,'[1]DM 4 Car'!$D:$M,7,FALSE)</f>
        <v>ATM</v>
      </c>
      <c r="K103" s="83">
        <f>VLOOKUP($D103,'[1]DM 4 Car'!$D:$M,8,FALSE)</f>
        <v>0</v>
      </c>
      <c r="L103" s="83" t="str">
        <f>VLOOKUP($D103,'[1]DM 4 Car'!$D:$M,9,FALSE)</f>
        <v>JHOPL-WI-17-155</v>
      </c>
      <c r="M103" s="83" t="str">
        <f>VLOOKUP($D103,'[1]DM 4 Car'!$D:$M,10,FALSE)</f>
        <v>ALSTOM</v>
      </c>
      <c r="N103" s="115">
        <v>2</v>
      </c>
      <c r="O103" s="119">
        <v>1.3888888888888889E-3</v>
      </c>
    </row>
    <row r="104" spans="1:15" ht="54" customHeight="1" thickTop="1" thickBot="1" x14ac:dyDescent="0.25">
      <c r="A104" s="85"/>
      <c r="B104" s="93" t="s">
        <v>22</v>
      </c>
      <c r="C104" s="94" t="s">
        <v>394</v>
      </c>
      <c r="D104" s="94" t="s">
        <v>395</v>
      </c>
      <c r="E104" s="94" t="s">
        <v>13</v>
      </c>
      <c r="F104" s="94" t="s">
        <v>325</v>
      </c>
      <c r="G104" s="94" t="s">
        <v>830</v>
      </c>
      <c r="H104" s="99">
        <v>45930</v>
      </c>
      <c r="I104" s="83" t="str">
        <f>VLOOKUP($D104,'[1]DM 4 Car'!$D:$M,6,FALSE)</f>
        <v>OH</v>
      </c>
      <c r="J104" s="83" t="str">
        <f>VLOOKUP($D104,'[1]DM 4 Car'!$D:$M,7,FALSE)</f>
        <v>ATM</v>
      </c>
      <c r="K104" s="83">
        <f>VLOOKUP($D104,'[1]DM 4 Car'!$D:$M,8,FALSE)</f>
        <v>0</v>
      </c>
      <c r="L104" s="83" t="str">
        <f>VLOOKUP($D104,'[1]DM 4 Car'!$D:$M,9,FALSE)</f>
        <v>JHOPL-WI-17-158</v>
      </c>
      <c r="M104" s="83" t="str">
        <f>VLOOKUP($D104,'[1]DM 4 Car'!$D:$M,10,FALSE)</f>
        <v>R. BAKER</v>
      </c>
      <c r="N104" s="94">
        <v>2</v>
      </c>
      <c r="O104" s="95">
        <v>1.736111111111111E-3</v>
      </c>
    </row>
    <row r="105" spans="1:15" ht="54" customHeight="1" thickTop="1" thickBot="1" x14ac:dyDescent="0.25">
      <c r="A105" s="137"/>
      <c r="B105" s="114" t="s">
        <v>22</v>
      </c>
      <c r="C105" s="115" t="s">
        <v>398</v>
      </c>
      <c r="D105" s="115" t="s">
        <v>399</v>
      </c>
      <c r="E105" s="115" t="s">
        <v>13</v>
      </c>
      <c r="F105" s="115" t="s">
        <v>325</v>
      </c>
      <c r="G105" s="115" t="s">
        <v>831</v>
      </c>
      <c r="H105" s="128" t="s">
        <v>327</v>
      </c>
      <c r="I105" s="83" t="str">
        <f>VLOOKUP($D105,'[1]DM 4 Car'!$D:$M,6,FALSE)</f>
        <v>REPLACE</v>
      </c>
      <c r="J105" s="83" t="str">
        <f>VLOOKUP($D105,'[1]DM 4 Car'!$D:$M,7,FALSE)</f>
        <v>ATM</v>
      </c>
      <c r="K105" s="83">
        <f>VLOOKUP($D105,'[1]DM 4 Car'!$D:$M,8,FALSE)</f>
        <v>0</v>
      </c>
      <c r="L105" s="83" t="str">
        <f>VLOOKUP($D105,'[1]DM 4 Car'!$D:$M,9,FALSE)</f>
        <v>JHOPL-WI-11-016</v>
      </c>
      <c r="M105" s="83" t="str">
        <f>VLOOKUP($D105,'[1]DM 4 Car'!$D:$M,10,FALSE)</f>
        <v>ALSTOM</v>
      </c>
      <c r="N105" s="115">
        <v>1</v>
      </c>
      <c r="O105" s="119">
        <v>6.9444444444444447E-4</v>
      </c>
    </row>
    <row r="106" spans="1:15" ht="54" customHeight="1" thickTop="1" thickBot="1" x14ac:dyDescent="0.25">
      <c r="A106" s="137"/>
      <c r="B106" s="114" t="s">
        <v>22</v>
      </c>
      <c r="C106" s="115" t="s">
        <v>402</v>
      </c>
      <c r="D106" s="115" t="s">
        <v>844</v>
      </c>
      <c r="E106" s="115" t="s">
        <v>23</v>
      </c>
      <c r="F106" s="115"/>
      <c r="G106" s="115"/>
      <c r="H106" s="128"/>
      <c r="I106" s="83" t="str">
        <f>VLOOKUP($D106,'[1]DM 4 Car'!$D:$M,6,FALSE)</f>
        <v>REPLACE</v>
      </c>
      <c r="J106" s="83" t="str">
        <f>VLOOKUP($D106,'[1]DM 4 Car'!$D:$M,7,FALSE)</f>
        <v>ATM</v>
      </c>
      <c r="K106" s="83">
        <f>VLOOKUP($D106,'[1]DM 4 Car'!$D:$M,8,FALSE)</f>
        <v>0</v>
      </c>
      <c r="L106" s="83" t="str">
        <f>VLOOKUP($D106,'[1]DM 4 Car'!$D:$M,9,FALSE)</f>
        <v>JHOPL-WI-11-021</v>
      </c>
      <c r="M106" s="83" t="str">
        <f>VLOOKUP($D106,'[1]DM 4 Car'!$D:$M,10,FALSE)</f>
        <v>ALSTOM</v>
      </c>
      <c r="N106" s="115">
        <v>2</v>
      </c>
      <c r="O106" s="119">
        <v>3.4722222222222224E-4</v>
      </c>
    </row>
    <row r="107" spans="1:15" ht="54" customHeight="1" thickTop="1" thickBot="1" x14ac:dyDescent="0.25">
      <c r="A107" s="137"/>
      <c r="B107" s="114" t="s">
        <v>22</v>
      </c>
      <c r="C107" s="115" t="s">
        <v>404</v>
      </c>
      <c r="D107" s="115" t="s">
        <v>405</v>
      </c>
      <c r="E107" s="115" t="s">
        <v>23</v>
      </c>
      <c r="F107" s="115"/>
      <c r="G107" s="115"/>
      <c r="H107" s="128"/>
      <c r="I107" s="83" t="str">
        <f>VLOOKUP($D107,'[1]DM 4 Car'!$D:$M,6,FALSE)</f>
        <v>IROC</v>
      </c>
      <c r="J107" s="83" t="str">
        <f>VLOOKUP($D107,'[1]DM 4 Car'!$D:$M,7,FALSE)</f>
        <v>ATM</v>
      </c>
      <c r="K107" s="83">
        <f>VLOOKUP($D107,'[1]DM 4 Car'!$D:$M,8,FALSE)</f>
        <v>0</v>
      </c>
      <c r="L107" s="83" t="str">
        <f>VLOOKUP($D107,'[1]DM 4 Car'!$D:$M,9,FALSE)</f>
        <v>JHOPL-WI-11-026</v>
      </c>
      <c r="M107" s="83" t="str">
        <f>VLOOKUP($D107,'[1]DM 4 Car'!$D:$M,10,FALSE)</f>
        <v>JHOPL - ALSTOM</v>
      </c>
      <c r="N107" s="115">
        <v>2</v>
      </c>
      <c r="O107" s="119">
        <v>6.9444444444444447E-4</v>
      </c>
    </row>
    <row r="108" spans="1:15" ht="54" customHeight="1" thickTop="1" thickBot="1" x14ac:dyDescent="0.25">
      <c r="A108" s="137"/>
      <c r="B108" s="114" t="s">
        <v>22</v>
      </c>
      <c r="C108" s="115" t="s">
        <v>407</v>
      </c>
      <c r="D108" s="115" t="s">
        <v>408</v>
      </c>
      <c r="E108" s="115" t="s">
        <v>13</v>
      </c>
      <c r="F108" s="115" t="s">
        <v>325</v>
      </c>
      <c r="G108" s="115" t="s">
        <v>710</v>
      </c>
      <c r="H108" s="128" t="s">
        <v>327</v>
      </c>
      <c r="I108" s="83" t="str">
        <f>VLOOKUP($D108,'[1]DM 4 Car'!$D:$M,6,FALSE)</f>
        <v>REPLACE</v>
      </c>
      <c r="J108" s="83" t="str">
        <f>VLOOKUP($D108,'[1]DM 4 Car'!$D:$M,7,FALSE)</f>
        <v>ATM</v>
      </c>
      <c r="K108" s="83">
        <f>VLOOKUP($D108,'[1]DM 4 Car'!$D:$M,8,FALSE)</f>
        <v>0</v>
      </c>
      <c r="L108" s="83" t="str">
        <f>VLOOKUP($D108,'[1]DM 4 Car'!$D:$M,9,FALSE)</f>
        <v>JHOPL-WI-17-048</v>
      </c>
      <c r="M108" s="83" t="str">
        <f>VLOOKUP($D108,'[1]DM 4 Car'!$D:$M,10,FALSE)</f>
        <v>ALSTOM</v>
      </c>
      <c r="N108" s="115">
        <v>2</v>
      </c>
      <c r="O108" s="119">
        <v>6.9444444444444447E-4</v>
      </c>
    </row>
    <row r="109" spans="1:15" ht="54" customHeight="1" thickTop="1" thickBot="1" x14ac:dyDescent="0.25">
      <c r="A109" s="137"/>
      <c r="B109" s="114" t="s">
        <v>22</v>
      </c>
      <c r="C109" s="115" t="s">
        <v>411</v>
      </c>
      <c r="D109" s="115" t="s">
        <v>412</v>
      </c>
      <c r="E109" s="115" t="s">
        <v>23</v>
      </c>
      <c r="F109" s="115"/>
      <c r="G109" s="115"/>
      <c r="H109" s="128"/>
      <c r="I109" s="83" t="str">
        <f>VLOOKUP($D109,'[1]DM 4 Car'!$D:$M,6,FALSE)</f>
        <v>IROC</v>
      </c>
      <c r="J109" s="83" t="str">
        <f>VLOOKUP($D109,'[1]DM 4 Car'!$D:$M,7,FALSE)</f>
        <v>ATM</v>
      </c>
      <c r="K109" s="83">
        <f>VLOOKUP($D109,'[1]DM 4 Car'!$D:$M,8,FALSE)</f>
        <v>0</v>
      </c>
      <c r="L109" s="83" t="str">
        <f>VLOOKUP($D109,'[1]DM 4 Car'!$D:$M,9,FALSE)</f>
        <v>JHOPL-WI-13-029
JHOPL-WI-13-030
JHOPL-WI-13-031
JHOPL-WI-13-033
JHOPL-WI-13-034
JHOPL-WI-13-035</v>
      </c>
      <c r="M109" s="83" t="str">
        <f>VLOOKUP($D109,'[1]DM 4 Car'!$D:$M,10,FALSE)</f>
        <v>JHOPL</v>
      </c>
      <c r="N109" s="115">
        <v>4</v>
      </c>
      <c r="O109" s="119">
        <v>2.0833333333333333E-3</v>
      </c>
    </row>
    <row r="110" spans="1:15" ht="54" customHeight="1" thickTop="1" thickBot="1" x14ac:dyDescent="0.25">
      <c r="A110" s="137"/>
      <c r="B110" s="114" t="s">
        <v>22</v>
      </c>
      <c r="C110" s="115" t="s">
        <v>414</v>
      </c>
      <c r="D110" s="115" t="s">
        <v>415</v>
      </c>
      <c r="E110" s="115" t="s">
        <v>23</v>
      </c>
      <c r="F110" s="115"/>
      <c r="G110" s="115"/>
      <c r="H110" s="128"/>
      <c r="I110" s="83" t="str">
        <f>VLOOKUP($D110,'[1]DM 4 Car'!$D:$M,6,FALSE)</f>
        <v>REPLACE</v>
      </c>
      <c r="J110" s="83" t="str">
        <f>VLOOKUP($D110,'[1]DM 4 Car'!$D:$M,7,FALSE)</f>
        <v>ATM</v>
      </c>
      <c r="K110" s="83">
        <f>VLOOKUP($D110,'[1]DM 4 Car'!$D:$M,8,FALSE)</f>
        <v>0</v>
      </c>
      <c r="L110" s="83" t="str">
        <f>VLOOKUP($D110,'[1]DM 4 Car'!$D:$M,9,FALSE)</f>
        <v>JHOPL-WI-13-027</v>
      </c>
      <c r="M110" s="83" t="str">
        <f>VLOOKUP($D110,'[1]DM 4 Car'!$D:$M,10,FALSE)</f>
        <v>JHOPL</v>
      </c>
      <c r="N110" s="115">
        <v>2</v>
      </c>
      <c r="O110" s="119">
        <v>6.9444444444444447E-4</v>
      </c>
    </row>
    <row r="111" spans="1:15" ht="54" customHeight="1" thickTop="1" thickBot="1" x14ac:dyDescent="0.25">
      <c r="A111" s="137"/>
      <c r="B111" s="114" t="s">
        <v>22</v>
      </c>
      <c r="C111" s="115" t="s">
        <v>417</v>
      </c>
      <c r="D111" s="115" t="s">
        <v>418</v>
      </c>
      <c r="E111" s="115" t="s">
        <v>13</v>
      </c>
      <c r="F111" s="115" t="s">
        <v>325</v>
      </c>
      <c r="G111" s="115" t="s">
        <v>710</v>
      </c>
      <c r="H111" s="128" t="s">
        <v>327</v>
      </c>
      <c r="I111" s="83" t="str">
        <f>VLOOKUP($D111,'[1]DM 4 Car'!$D:$M,6,FALSE)</f>
        <v>REPLACE</v>
      </c>
      <c r="J111" s="83" t="str">
        <f>VLOOKUP($D111,'[1]DM 4 Car'!$D:$M,7,FALSE)</f>
        <v>ATM</v>
      </c>
      <c r="K111" s="83">
        <f>VLOOKUP($D111,'[1]DM 4 Car'!$D:$M,8,FALSE)</f>
        <v>0</v>
      </c>
      <c r="L111" s="83" t="str">
        <f>VLOOKUP($D111,'[1]DM 4 Car'!$D:$M,9,FALSE)</f>
        <v>JHOPL-WI-17-067</v>
      </c>
      <c r="M111" s="83" t="str">
        <f>VLOOKUP($D111,'[1]DM 4 Car'!$D:$M,10,FALSE)</f>
        <v>ALSTOM</v>
      </c>
      <c r="N111" s="115">
        <v>2</v>
      </c>
      <c r="O111" s="119">
        <v>6.9444444444444447E-4</v>
      </c>
    </row>
    <row r="112" spans="1:15" ht="54" customHeight="1" thickTop="1" thickBot="1" x14ac:dyDescent="0.25">
      <c r="A112" s="137"/>
      <c r="B112" s="114" t="s">
        <v>22</v>
      </c>
      <c r="C112" s="115" t="s">
        <v>420</v>
      </c>
      <c r="D112" s="115" t="s">
        <v>421</v>
      </c>
      <c r="E112" s="115" t="s">
        <v>23</v>
      </c>
      <c r="F112" s="115"/>
      <c r="G112" s="115"/>
      <c r="H112" s="128"/>
      <c r="I112" s="83" t="str">
        <f>VLOOKUP($D112,'[1]DM 4 Car'!$D:$M,6,FALSE)</f>
        <v>IROC</v>
      </c>
      <c r="J112" s="83" t="str">
        <f>VLOOKUP($D112,'[1]DM 4 Car'!$D:$M,7,FALSE)</f>
        <v>TM</v>
      </c>
      <c r="K112" s="83">
        <f>VLOOKUP($D112,'[1]DM 4 Car'!$D:$M,8,FALSE)</f>
        <v>0</v>
      </c>
      <c r="L112" s="83" t="str">
        <f>VLOOKUP($D112,'[1]DM 4 Car'!$D:$M,9,FALSE)</f>
        <v>Missing WI</v>
      </c>
      <c r="M112" s="83" t="str">
        <f>VLOOKUP($D112,'[1]DM 4 Car'!$D:$M,10,FALSE)</f>
        <v>JHOPL</v>
      </c>
      <c r="N112" s="115">
        <v>2</v>
      </c>
      <c r="O112" s="119">
        <v>1.3888888888888889E-3</v>
      </c>
    </row>
    <row r="113" spans="1:15" ht="54" customHeight="1" thickTop="1" thickBot="1" x14ac:dyDescent="0.25">
      <c r="A113" s="137"/>
      <c r="B113" s="122" t="s">
        <v>22</v>
      </c>
      <c r="C113" s="123" t="s">
        <v>423</v>
      </c>
      <c r="D113" s="123" t="s">
        <v>424</v>
      </c>
      <c r="E113" s="123" t="s">
        <v>23</v>
      </c>
      <c r="F113" s="123"/>
      <c r="G113" s="123"/>
      <c r="H113" s="139"/>
      <c r="I113" s="83" t="str">
        <f>VLOOKUP($D113,'[1]DM 4 Car'!$D:$M,6,FALSE)</f>
        <v>IROC</v>
      </c>
      <c r="J113" s="83" t="str">
        <f>VLOOKUP($D113,'[1]DM 4 Car'!$D:$M,7,FALSE)</f>
        <v>ATM</v>
      </c>
      <c r="K113" s="83">
        <f>VLOOKUP($D113,'[1]DM 4 Car'!$D:$M,8,FALSE)</f>
        <v>0</v>
      </c>
      <c r="L113" s="83" t="str">
        <f>VLOOKUP($D113,'[1]DM 4 Car'!$D:$M,9,FALSE)</f>
        <v>JHOPL-WI-13-028
JHOPL-WI-13-032</v>
      </c>
      <c r="M113" s="83" t="str">
        <f>VLOOKUP($D113,'[1]DM 4 Car'!$D:$M,10,FALSE)</f>
        <v>JHOPL</v>
      </c>
      <c r="N113" s="123">
        <v>2</v>
      </c>
      <c r="O113" s="127">
        <v>6.9444444444444447E-4</v>
      </c>
    </row>
    <row r="114" spans="1:15" ht="54" customHeight="1" thickTop="1" thickBot="1" x14ac:dyDescent="0.25">
      <c r="A114" s="150"/>
      <c r="B114" s="109" t="s">
        <v>26</v>
      </c>
      <c r="C114" s="110" t="s">
        <v>426</v>
      </c>
      <c r="D114" s="110" t="s">
        <v>427</v>
      </c>
      <c r="E114" s="110" t="s">
        <v>23</v>
      </c>
      <c r="F114" s="110"/>
      <c r="G114" s="110"/>
      <c r="H114" s="138"/>
      <c r="I114" s="83" t="str">
        <f>VLOOKUP($D114,'[1]DM 4 Car'!$D:$M,6,FALSE)</f>
        <v>OH</v>
      </c>
      <c r="J114" s="83" t="str">
        <f>VLOOKUP($D114,'[1]DM 4 Car'!$D:$M,7,FALSE)</f>
        <v>ATM</v>
      </c>
      <c r="K114" s="83">
        <f>VLOOKUP($D114,'[1]DM 4 Car'!$D:$M,8,FALSE)</f>
        <v>0</v>
      </c>
      <c r="L114" s="83" t="str">
        <f>VLOOKUP($D114,'[1]DM 4 Car'!$D:$M,9,FALSE)</f>
        <v>JHOPL-WI-23-174</v>
      </c>
      <c r="M114" s="83" t="str">
        <f>VLOOKUP($D114,'[1]DM 4 Car'!$D:$M,10,FALSE)</f>
        <v>JHOPL</v>
      </c>
      <c r="N114" s="110">
        <v>1</v>
      </c>
      <c r="O114" s="113">
        <v>6.9444444444444447E-4</v>
      </c>
    </row>
    <row r="115" spans="1:15" ht="54" customHeight="1" thickTop="1" thickBot="1" x14ac:dyDescent="0.25">
      <c r="A115" s="137"/>
      <c r="B115" s="114" t="s">
        <v>26</v>
      </c>
      <c r="C115" s="115" t="s">
        <v>429</v>
      </c>
      <c r="D115" s="115" t="s">
        <v>430</v>
      </c>
      <c r="E115" s="115" t="s">
        <v>23</v>
      </c>
      <c r="F115" s="115"/>
      <c r="G115" s="115"/>
      <c r="H115" s="128"/>
      <c r="I115" s="83" t="str">
        <f>VLOOKUP($D115,'[1]DM 4 Car'!$D:$M,6,FALSE)</f>
        <v>OH</v>
      </c>
      <c r="J115" s="83" t="str">
        <f>VLOOKUP($D115,'[1]DM 4 Car'!$D:$M,7,FALSE)</f>
        <v>ATM</v>
      </c>
      <c r="K115" s="83">
        <f>VLOOKUP($D115,'[1]DM 4 Car'!$D:$M,8,FALSE)</f>
        <v>0</v>
      </c>
      <c r="L115" s="83" t="str">
        <f>VLOOKUP($D115,'[1]DM 4 Car'!$D:$M,9,FALSE)</f>
        <v>JHOPL-WI-25-181</v>
      </c>
      <c r="M115" s="83" t="str">
        <f>VLOOKUP($D115,'[1]DM 4 Car'!$D:$M,10,FALSE)</f>
        <v>REW</v>
      </c>
      <c r="N115" s="115">
        <v>1</v>
      </c>
      <c r="O115" s="119">
        <v>4.6296296296296293E-4</v>
      </c>
    </row>
    <row r="116" spans="1:15" ht="54" customHeight="1" thickTop="1" thickBot="1" x14ac:dyDescent="0.25">
      <c r="A116" s="137"/>
      <c r="B116" s="114" t="s">
        <v>26</v>
      </c>
      <c r="C116" s="115" t="s">
        <v>432</v>
      </c>
      <c r="D116" s="115" t="s">
        <v>433</v>
      </c>
      <c r="E116" s="115" t="s">
        <v>23</v>
      </c>
      <c r="F116" s="115"/>
      <c r="G116" s="115"/>
      <c r="H116" s="128"/>
      <c r="I116" s="83" t="str">
        <f>VLOOKUP($D116,'[1]DM 4 Car'!$D:$M,6,FALSE)</f>
        <v>OH</v>
      </c>
      <c r="J116" s="83" t="str">
        <f>VLOOKUP($D116,'[1]DM 4 Car'!$D:$M,7,FALSE)</f>
        <v>ATM</v>
      </c>
      <c r="K116" s="83">
        <f>VLOOKUP($D116,'[1]DM 4 Car'!$D:$M,8,FALSE)</f>
        <v>0</v>
      </c>
      <c r="L116" s="83" t="str">
        <f>VLOOKUP($D116,'[1]DM 4 Car'!$D:$M,9,FALSE)</f>
        <v>JHOPL-WI-25-182</v>
      </c>
      <c r="M116" s="83" t="str">
        <f>VLOOKUP($D116,'[1]DM 4 Car'!$D:$M,10,FALSE)</f>
        <v>REW</v>
      </c>
      <c r="N116" s="115">
        <v>1</v>
      </c>
      <c r="O116" s="119">
        <v>6.9444444444444447E-4</v>
      </c>
    </row>
    <row r="117" spans="1:15" ht="54" customHeight="1" thickTop="1" thickBot="1" x14ac:dyDescent="0.25">
      <c r="A117" s="137"/>
      <c r="B117" s="114" t="s">
        <v>26</v>
      </c>
      <c r="C117" s="115" t="s">
        <v>435</v>
      </c>
      <c r="D117" s="115" t="s">
        <v>436</v>
      </c>
      <c r="E117" s="115" t="s">
        <v>23</v>
      </c>
      <c r="F117" s="115"/>
      <c r="G117" s="115"/>
      <c r="H117" s="128"/>
      <c r="I117" s="83" t="str">
        <f>VLOOKUP($D117,'[1]DM 4 Car'!$D:$M,6,FALSE)</f>
        <v>OH</v>
      </c>
      <c r="J117" s="83" t="str">
        <f>VLOOKUP($D117,'[1]DM 4 Car'!$D:$M,7,FALSE)</f>
        <v>ATM</v>
      </c>
      <c r="K117" s="83">
        <f>VLOOKUP($D117,'[1]DM 4 Car'!$D:$M,8,FALSE)</f>
        <v>0</v>
      </c>
      <c r="L117" s="83" t="str">
        <f>VLOOKUP($D117,'[1]DM 4 Car'!$D:$M,9,FALSE)</f>
        <v>JHOPL-WI-23-175</v>
      </c>
      <c r="M117" s="83" t="str">
        <f>VLOOKUP($D117,'[1]DM 4 Car'!$D:$M,10,FALSE)</f>
        <v>JHOPL - TBC</v>
      </c>
      <c r="N117" s="115">
        <v>1</v>
      </c>
      <c r="O117" s="119">
        <v>6.9444444444444447E-4</v>
      </c>
    </row>
    <row r="118" spans="1:15" ht="54" customHeight="1" thickTop="1" thickBot="1" x14ac:dyDescent="0.25">
      <c r="A118" s="137"/>
      <c r="B118" s="114" t="s">
        <v>26</v>
      </c>
      <c r="C118" s="115" t="s">
        <v>438</v>
      </c>
      <c r="D118" s="115" t="s">
        <v>439</v>
      </c>
      <c r="E118" s="115" t="s">
        <v>23</v>
      </c>
      <c r="F118" s="115"/>
      <c r="G118" s="115"/>
      <c r="H118" s="128"/>
      <c r="I118" s="83" t="str">
        <f>VLOOKUP($D118,'[1]DM 4 Car'!$D:$M,6,FALSE)</f>
        <v>OH</v>
      </c>
      <c r="J118" s="83" t="str">
        <f>VLOOKUP($D118,'[1]DM 4 Car'!$D:$M,7,FALSE)</f>
        <v>ATM</v>
      </c>
      <c r="K118" s="83">
        <f>VLOOKUP($D118,'[1]DM 4 Car'!$D:$M,8,FALSE)</f>
        <v>0</v>
      </c>
      <c r="L118" s="83" t="str">
        <f>VLOOKUP($D118,'[1]DM 4 Car'!$D:$M,9,FALSE)</f>
        <v>JHOPL-WI-23-177</v>
      </c>
      <c r="M118" s="83" t="str">
        <f>VLOOKUP($D118,'[1]DM 4 Car'!$D:$M,10,FALSE)</f>
        <v>JHOPL - TBC</v>
      </c>
      <c r="N118" s="115">
        <v>1</v>
      </c>
      <c r="O118" s="119">
        <v>6.9444444444444447E-4</v>
      </c>
    </row>
    <row r="119" spans="1:15" ht="54" customHeight="1" thickTop="1" thickBot="1" x14ac:dyDescent="0.25">
      <c r="A119" s="137"/>
      <c r="B119" s="114" t="s">
        <v>26</v>
      </c>
      <c r="C119" s="115" t="s">
        <v>441</v>
      </c>
      <c r="D119" s="115" t="s">
        <v>442</v>
      </c>
      <c r="E119" s="115" t="s">
        <v>23</v>
      </c>
      <c r="F119" s="115"/>
      <c r="G119" s="115"/>
      <c r="H119" s="128"/>
      <c r="I119" s="83" t="str">
        <f>VLOOKUP($D119,'[1]DM 4 Car'!$D:$M,6,FALSE)</f>
        <v>OH</v>
      </c>
      <c r="J119" s="83" t="str">
        <f>VLOOKUP($D119,'[1]DM 4 Car'!$D:$M,7,FALSE)</f>
        <v>ATM</v>
      </c>
      <c r="K119" s="83">
        <f>VLOOKUP($D119,'[1]DM 4 Car'!$D:$M,8,FALSE)</f>
        <v>0</v>
      </c>
      <c r="L119" s="83" t="str">
        <f>VLOOKUP($D119,'[1]DM 4 Car'!$D:$M,9,FALSE)</f>
        <v>JHOPL-WI-23-176</v>
      </c>
      <c r="M119" s="83" t="str">
        <f>VLOOKUP($D119,'[1]DM 4 Car'!$D:$M,10,FALSE)</f>
        <v>JHOPL - TBC</v>
      </c>
      <c r="N119" s="115">
        <v>1</v>
      </c>
      <c r="O119" s="119">
        <v>3.4722222222222224E-4</v>
      </c>
    </row>
    <row r="120" spans="1:15" ht="54" customHeight="1" thickTop="1" thickBot="1" x14ac:dyDescent="0.25">
      <c r="A120" s="137"/>
      <c r="B120" s="114" t="s">
        <v>26</v>
      </c>
      <c r="C120" s="115" t="s">
        <v>444</v>
      </c>
      <c r="D120" s="115" t="s">
        <v>445</v>
      </c>
      <c r="E120" s="115" t="s">
        <v>23</v>
      </c>
      <c r="F120" s="115"/>
      <c r="G120" s="115"/>
      <c r="H120" s="128"/>
      <c r="I120" s="83" t="str">
        <f>VLOOKUP($D120,'[1]DM 4 Car'!$D:$M,6,FALSE)</f>
        <v>OH</v>
      </c>
      <c r="J120" s="83" t="str">
        <f>VLOOKUP($D120,'[1]DM 4 Car'!$D:$M,7,FALSE)</f>
        <v>ATM</v>
      </c>
      <c r="K120" s="83">
        <f>VLOOKUP($D120,'[1]DM 4 Car'!$D:$M,8,FALSE)</f>
        <v>0</v>
      </c>
      <c r="L120" s="83" t="str">
        <f>VLOOKUP($D120,'[1]DM 4 Car'!$D:$M,9,FALSE)</f>
        <v>JHOPL-WI-11-014</v>
      </c>
      <c r="M120" s="83" t="str">
        <f>VLOOKUP($D120,'[1]DM 4 Car'!$D:$M,10,FALSE)</f>
        <v>REW</v>
      </c>
      <c r="N120" s="115">
        <v>1</v>
      </c>
      <c r="O120" s="119">
        <v>6.9444444444444447E-4</v>
      </c>
    </row>
    <row r="121" spans="1:15" ht="54" customHeight="1" thickTop="1" thickBot="1" x14ac:dyDescent="0.25">
      <c r="A121" s="137"/>
      <c r="B121" s="114" t="s">
        <v>26</v>
      </c>
      <c r="C121" s="115" t="s">
        <v>447</v>
      </c>
      <c r="D121" s="115" t="s">
        <v>448</v>
      </c>
      <c r="E121" s="115" t="s">
        <v>23</v>
      </c>
      <c r="F121" s="115"/>
      <c r="G121" s="115"/>
      <c r="H121" s="128"/>
      <c r="I121" s="83" t="str">
        <f>VLOOKUP($D121,'[1]DM 4 Car'!$D:$M,6,FALSE)</f>
        <v>OH</v>
      </c>
      <c r="J121" s="83" t="str">
        <f>VLOOKUP($D121,'[1]DM 4 Car'!$D:$M,7,FALSE)</f>
        <v>ATM</v>
      </c>
      <c r="K121" s="83">
        <f>VLOOKUP($D121,'[1]DM 4 Car'!$D:$M,8,FALSE)</f>
        <v>0</v>
      </c>
      <c r="L121" s="83" t="str">
        <f>VLOOKUP($D121,'[1]DM 4 Car'!$D:$M,9,FALSE)</f>
        <v>JHOPL-WI-11-025</v>
      </c>
      <c r="M121" s="83" t="str">
        <f>VLOOKUP($D121,'[1]DM 4 Car'!$D:$M,10,FALSE)</f>
        <v>REW</v>
      </c>
      <c r="N121" s="115">
        <v>2</v>
      </c>
      <c r="O121" s="119">
        <v>1.0416666666666667E-3</v>
      </c>
    </row>
    <row r="122" spans="1:15" ht="54" customHeight="1" thickTop="1" thickBot="1" x14ac:dyDescent="0.25">
      <c r="A122" s="137"/>
      <c r="B122" s="114" t="s">
        <v>26</v>
      </c>
      <c r="C122" s="115" t="s">
        <v>450</v>
      </c>
      <c r="D122" s="115" t="s">
        <v>451</v>
      </c>
      <c r="E122" s="115" t="s">
        <v>23</v>
      </c>
      <c r="F122" s="115"/>
      <c r="G122" s="115"/>
      <c r="H122" s="128"/>
      <c r="I122" s="83" t="str">
        <f>VLOOKUP($D122,'[1]DM 4 Car'!$D:$M,6,FALSE)</f>
        <v>OH</v>
      </c>
      <c r="J122" s="83" t="str">
        <f>VLOOKUP($D122,'[1]DM 4 Car'!$D:$M,7,FALSE)</f>
        <v>ATM</v>
      </c>
      <c r="K122" s="83">
        <f>VLOOKUP($D122,'[1]DM 4 Car'!$D:$M,8,FALSE)</f>
        <v>0</v>
      </c>
      <c r="L122" s="83" t="str">
        <f>VLOOKUP($D122,'[1]DM 4 Car'!$D:$M,9,FALSE)</f>
        <v>Missing WI JHOPL-WI-24-180</v>
      </c>
      <c r="M122" s="83" t="str">
        <f>VLOOKUP($D122,'[1]DM 4 Car'!$D:$M,10,FALSE)</f>
        <v>REW</v>
      </c>
      <c r="N122" s="115">
        <v>1</v>
      </c>
      <c r="O122" s="119">
        <v>1.0416666666666667E-3</v>
      </c>
    </row>
    <row r="123" spans="1:15" ht="54" customHeight="1" thickTop="1" thickBot="1" x14ac:dyDescent="0.25">
      <c r="A123" s="137"/>
      <c r="B123" s="114" t="s">
        <v>26</v>
      </c>
      <c r="C123" s="115" t="s">
        <v>453</v>
      </c>
      <c r="D123" s="115" t="s">
        <v>454</v>
      </c>
      <c r="E123" s="115" t="s">
        <v>23</v>
      </c>
      <c r="F123" s="115"/>
      <c r="G123" s="115"/>
      <c r="H123" s="128"/>
      <c r="I123" s="83" t="str">
        <f>VLOOKUP($D123,'[1]DM 4 Car'!$D:$M,6,FALSE)</f>
        <v>OH</v>
      </c>
      <c r="J123" s="83" t="str">
        <f>VLOOKUP($D123,'[1]DM 4 Car'!$D:$M,7,FALSE)</f>
        <v>ATM</v>
      </c>
      <c r="K123" s="83">
        <f>VLOOKUP($D123,'[1]DM 4 Car'!$D:$M,8,FALSE)</f>
        <v>0</v>
      </c>
      <c r="L123" s="83" t="str">
        <f>VLOOKUP($D123,'[1]DM 4 Car'!$D:$M,9,FALSE)</f>
        <v>Missing - JHOPL-WI-17-065</v>
      </c>
      <c r="M123" s="83" t="str">
        <f>VLOOKUP($D123,'[1]DM 4 Car'!$D:$M,10,FALSE)</f>
        <v>ALSTOM</v>
      </c>
      <c r="N123" s="115">
        <v>1</v>
      </c>
      <c r="O123" s="119">
        <v>1.0416666666666667E-3</v>
      </c>
    </row>
    <row r="124" spans="1:15" ht="54" customHeight="1" thickTop="1" thickBot="1" x14ac:dyDescent="0.25">
      <c r="A124" s="137"/>
      <c r="B124" s="114" t="s">
        <v>26</v>
      </c>
      <c r="C124" s="115" t="s">
        <v>456</v>
      </c>
      <c r="D124" s="115" t="s">
        <v>457</v>
      </c>
      <c r="E124" s="115" t="s">
        <v>23</v>
      </c>
      <c r="F124" s="115"/>
      <c r="G124" s="115"/>
      <c r="H124" s="128"/>
      <c r="I124" s="83" t="str">
        <f>VLOOKUP($D124,'[1]DM 4 Car'!$D:$M,6,FALSE)</f>
        <v>IROC</v>
      </c>
      <c r="J124" s="83" t="str">
        <f>VLOOKUP($D124,'[1]DM 4 Car'!$D:$M,7,FALSE)</f>
        <v>ATM</v>
      </c>
      <c r="K124" s="83">
        <f>VLOOKUP($D124,'[1]DM 4 Car'!$D:$M,8,FALSE)</f>
        <v>0</v>
      </c>
      <c r="L124" s="83" t="str">
        <f>VLOOKUP($D124,'[1]DM 4 Car'!$D:$M,9,FALSE)</f>
        <v>JHOPL-WI-11-022</v>
      </c>
      <c r="M124" s="83" t="str">
        <f>VLOOKUP($D124,'[1]DM 4 Car'!$D:$M,10,FALSE)</f>
        <v>JHOPL - REW</v>
      </c>
      <c r="N124" s="115">
        <v>2</v>
      </c>
      <c r="O124" s="119">
        <v>6.9444444444444447E-4</v>
      </c>
    </row>
    <row r="125" spans="1:15" ht="54" customHeight="1" thickTop="1" thickBot="1" x14ac:dyDescent="0.25">
      <c r="A125" s="137"/>
      <c r="B125" s="114" t="s">
        <v>26</v>
      </c>
      <c r="C125" s="115" t="s">
        <v>459</v>
      </c>
      <c r="D125" s="115" t="s">
        <v>460</v>
      </c>
      <c r="E125" s="115" t="s">
        <v>23</v>
      </c>
      <c r="F125" s="115"/>
      <c r="G125" s="115"/>
      <c r="H125" s="128"/>
      <c r="I125" s="83" t="str">
        <f>VLOOKUP($D125,'[1]DM 4 Car'!$D:$M,6,FALSE)</f>
        <v>IROC</v>
      </c>
      <c r="J125" s="83" t="str">
        <f>VLOOKUP($D125,'[1]DM 4 Car'!$D:$M,7,FALSE)</f>
        <v>TM</v>
      </c>
      <c r="K125" s="83">
        <f>VLOOKUP($D125,'[1]DM 4 Car'!$D:$M,8,FALSE)</f>
        <v>0</v>
      </c>
      <c r="L125" s="83" t="str">
        <f>VLOOKUP($D125,'[1]DM 4 Car'!$D:$M,9,FALSE)</f>
        <v>Missing JHOPL-WI-17-052</v>
      </c>
      <c r="M125" s="83" t="str">
        <f>VLOOKUP($D125,'[1]DM 4 Car'!$D:$M,10,FALSE)</f>
        <v>JHOPL</v>
      </c>
      <c r="N125" s="115">
        <v>3</v>
      </c>
      <c r="O125" s="119">
        <v>1.736111111111111E-3</v>
      </c>
    </row>
    <row r="126" spans="1:15" ht="54" customHeight="1" thickTop="1" thickBot="1" x14ac:dyDescent="0.25">
      <c r="A126" s="137"/>
      <c r="B126" s="165" t="s">
        <v>26</v>
      </c>
      <c r="C126" s="166" t="s">
        <v>461</v>
      </c>
      <c r="D126" s="166" t="s">
        <v>462</v>
      </c>
      <c r="E126" s="115" t="s">
        <v>23</v>
      </c>
      <c r="F126" s="115"/>
      <c r="G126" s="115"/>
      <c r="H126" s="128"/>
      <c r="I126" s="83" t="str">
        <f>VLOOKUP($D126,'[1]DM 4 Car'!$D:$M,6,FALSE)</f>
        <v>REPLACE</v>
      </c>
      <c r="J126" s="83" t="str">
        <f>VLOOKUP($D126,'[1]DM 4 Car'!$D:$M,7,FALSE)</f>
        <v>ATM</v>
      </c>
      <c r="K126" s="83">
        <f>VLOOKUP($D126,'[1]DM 4 Car'!$D:$M,8,FALSE)</f>
        <v>0</v>
      </c>
      <c r="L126" s="83">
        <f>VLOOKUP($D126,'[1]DM 4 Car'!$D:$M,9,FALSE)</f>
        <v>0</v>
      </c>
      <c r="M126" s="83" t="str">
        <f>VLOOKUP($D126,'[1]DM 4 Car'!$D:$M,10,FALSE)</f>
        <v>ALSTOM</v>
      </c>
      <c r="N126" s="115">
        <v>2</v>
      </c>
      <c r="O126" s="119">
        <v>6.9444444444444447E-4</v>
      </c>
    </row>
    <row r="127" spans="1:15" ht="54" customHeight="1" thickTop="1" thickBot="1" x14ac:dyDescent="0.25">
      <c r="A127" s="129"/>
      <c r="B127" s="167" t="s">
        <v>26</v>
      </c>
      <c r="C127" s="168" t="s">
        <v>463</v>
      </c>
      <c r="D127" s="168" t="s">
        <v>464</v>
      </c>
      <c r="E127" s="123" t="s">
        <v>23</v>
      </c>
      <c r="F127" s="123"/>
      <c r="G127" s="123"/>
      <c r="H127" s="139"/>
      <c r="I127" s="83" t="str">
        <f>VLOOKUP($D127,'[1]DM 4 Car'!$D:$M,6,FALSE)</f>
        <v>REPLACE</v>
      </c>
      <c r="J127" s="83" t="str">
        <f>VLOOKUP($D127,'[1]DM 4 Car'!$D:$M,7,FALSE)</f>
        <v>ATM</v>
      </c>
      <c r="K127" s="83">
        <f>VLOOKUP($D127,'[1]DM 4 Car'!$D:$M,8,FALSE)</f>
        <v>0</v>
      </c>
      <c r="L127" s="83" t="str">
        <f>VLOOKUP($D127,'[1]DM 4 Car'!$D:$M,9,FALSE)</f>
        <v>JHOPL-WI-17-157</v>
      </c>
      <c r="M127" s="83" t="str">
        <f>VLOOKUP($D127,'[1]DM 4 Car'!$D:$M,10,FALSE)</f>
        <v>ABB</v>
      </c>
      <c r="N127" s="123">
        <v>2</v>
      </c>
      <c r="O127" s="127">
        <v>6.9444444444444447E-4</v>
      </c>
    </row>
    <row r="128" spans="1:15" ht="66" customHeight="1" thickTop="1" thickBot="1" x14ac:dyDescent="0.25">
      <c r="A128" s="130"/>
      <c r="B128" s="131" t="s">
        <v>466</v>
      </c>
      <c r="C128" s="132" t="s">
        <v>467</v>
      </c>
      <c r="D128" s="132" t="s">
        <v>468</v>
      </c>
      <c r="E128" s="135" t="s">
        <v>23</v>
      </c>
      <c r="F128" s="135"/>
      <c r="G128" s="135"/>
      <c r="H128" s="152"/>
      <c r="I128" s="83" t="str">
        <f>VLOOKUP($D128,'[1]DM 4 Car'!$D:$M,6,FALSE)</f>
        <v>IROC</v>
      </c>
      <c r="J128" s="83" t="str">
        <f>VLOOKUP($D128,'[1]DM 4 Car'!$D:$M,7,FALSE)</f>
        <v>TM</v>
      </c>
      <c r="K128" s="83">
        <f>VLOOKUP($D128,'[1]DM 4 Car'!$D:$M,8,FALSE)</f>
        <v>0</v>
      </c>
      <c r="L128" s="83" t="str">
        <f>VLOOKUP($D128,'[1]DM 4 Car'!$D:$M,9,FALSE)</f>
        <v>JHOPL-WI-19-172
JHOPL-WI-19-098
JHOPL-WI-19-100
JHOPL-WI-19-084</v>
      </c>
      <c r="M128" s="83" t="str">
        <f>VLOOKUP($D128,'[1]DM 4 Car'!$D:$M,10,FALSE)</f>
        <v>JHOPL - Norgren</v>
      </c>
      <c r="N128" s="135">
        <v>2</v>
      </c>
      <c r="O128" s="153">
        <v>2.0013888888888891</v>
      </c>
    </row>
  </sheetData>
  <autoFilter ref="A2:J128" xr:uid="{BDC873B6-BD87-42BF-A896-28F9972148AE}"/>
  <phoneticPr fontId="7" type="noConversion"/>
  <conditionalFormatting sqref="C3:H22 C26:D51 N26:O128 E26:H41 H42 C64:D77 E80:H92 E43:H67 E71:H78 E96:H128 E95 E94:H94 E93 C53:D62 C52 C79:D88 C78 C90:D105 C107:D125 C106">
    <cfRule type="expression" dxfId="31" priority="26">
      <formula>AND(OR($F3="No",$F3=""), $E3= "Yes",$G3&lt;&gt;"",$H3&lt;&gt;"")</formula>
    </cfRule>
  </conditionalFormatting>
  <conditionalFormatting sqref="I3:M128">
    <cfRule type="expression" dxfId="30" priority="17">
      <formula>AND(OR($E3="No",$E3=""), $D3= "Yes",$F3&lt;&gt;"",$G3&lt;&gt;"")</formula>
    </cfRule>
  </conditionalFormatting>
  <conditionalFormatting sqref="N3:O22">
    <cfRule type="expression" dxfId="29" priority="14">
      <formula>AND(OR($F3="No",$F3=""), $E3= "Yes",$G3&lt;&gt;"",$H3&lt;&gt;"")</formula>
    </cfRule>
  </conditionalFormatting>
  <conditionalFormatting sqref="N23:O25 C23:H24">
    <cfRule type="expression" dxfId="28" priority="11">
      <formula>AND(OR($E23="No",$E23=""), $D23= "Yes",$F23&lt;&gt;"",$G23&lt;&gt;"")</formula>
    </cfRule>
  </conditionalFormatting>
  <conditionalFormatting sqref="C25:D25">
    <cfRule type="expression" dxfId="27" priority="10">
      <formula>AND(OR($E25="No",$E25=""), $D25= "Yes",$F25&lt;&gt;"",$G25&lt;&gt;"")</formula>
    </cfRule>
  </conditionalFormatting>
  <conditionalFormatting sqref="E79:H79">
    <cfRule type="expression" dxfId="26" priority="9">
      <formula>AND(OR($F79="No",$F79=""), $E79= "Yes",$G79&lt;&gt;"",$H79&lt;&gt;"")</formula>
    </cfRule>
  </conditionalFormatting>
  <conditionalFormatting sqref="G68:H70">
    <cfRule type="expression" dxfId="25" priority="7">
      <formula>AND(OR($E68="No",$E68=""), $F68= "Yes",$G68&lt;&gt;"",$H68&lt;&gt;"")</formula>
    </cfRule>
    <cfRule type="expression" dxfId="24" priority="8">
      <formula>AND(OR($F68="No",$F68=""), $E68= "Yes",$G68&lt;&gt;"",$H68&lt;&gt;"")</formula>
    </cfRule>
  </conditionalFormatting>
  <conditionalFormatting sqref="E68:F70">
    <cfRule type="expression" dxfId="23" priority="6">
      <formula>AND(OR($F68="No",$F68=""), $E68= "Yes",$G68&lt;&gt;"",$H68&lt;&gt;"")</formula>
    </cfRule>
  </conditionalFormatting>
  <conditionalFormatting sqref="D52">
    <cfRule type="expression" dxfId="22" priority="5">
      <formula>AND(OR($F52="No",$F52=""), $E52= "Yes",$G52&lt;&gt;"",$H52&lt;&gt;"")</formula>
    </cfRule>
  </conditionalFormatting>
  <conditionalFormatting sqref="D78">
    <cfRule type="expression" dxfId="21" priority="4">
      <formula>AND(OR($F78="No",$F78=""), $E78= "Yes",$G78&lt;&gt;"",$H78&lt;&gt;"")</formula>
    </cfRule>
  </conditionalFormatting>
  <conditionalFormatting sqref="C89:D89">
    <cfRule type="expression" dxfId="20" priority="2">
      <formula>AND(OR($E89="No",$E89=""), $F89= "Yes",$G89&lt;&gt;"",$H89&lt;&gt;"")</formula>
    </cfRule>
    <cfRule type="expression" dxfId="19" priority="3">
      <formula>AND(OR($F89="No",$F89=""), $E89= "Yes",$G89&lt;&gt;"",$H89&lt;&gt;"")</formula>
    </cfRule>
  </conditionalFormatting>
  <conditionalFormatting sqref="D106">
    <cfRule type="expression" dxfId="18" priority="1">
      <formula>AND(OR($F106="No",$F106=""), $E106= "Yes",$G106&lt;&gt;"",$H106&lt;&gt;"")</formula>
    </cfRule>
  </conditionalFormatting>
  <dataValidations count="1">
    <dataValidation type="list" allowBlank="1" showInputMessage="1" showErrorMessage="1" sqref="E3:E22 E43:E128 E23:F24 K129:K1048576 K1:K2 E26:E41" xr:uid="{6C641669-B91B-4649-92B5-E637A1260F09}">
      <formula1>"Yes, No"</formula1>
    </dataValidation>
  </dataValidations>
  <pageMargins left="0.2" right="0.2" top="0.2" bottom="0.2" header="0.3" footer="0.3"/>
  <pageSetup paperSize="8" scale="7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832</v>
      </c>
      <c r="D1" s="5"/>
      <c r="E1" s="5"/>
      <c r="F1" s="5"/>
      <c r="G1" s="5"/>
      <c r="H1" s="5"/>
      <c r="I1" s="5"/>
    </row>
    <row r="2" spans="1:9" s="6" customFormat="1" ht="78.75" customHeight="1" thickBot="1" x14ac:dyDescent="0.25">
      <c r="A2" s="50" t="s">
        <v>43</v>
      </c>
      <c r="B2" s="50" t="s">
        <v>44</v>
      </c>
      <c r="C2" s="51" t="s">
        <v>45</v>
      </c>
      <c r="D2" s="52" t="s">
        <v>46</v>
      </c>
      <c r="E2" s="53" t="s">
        <v>25</v>
      </c>
      <c r="F2" s="53" t="s">
        <v>21</v>
      </c>
      <c r="G2" s="54" t="s">
        <v>47</v>
      </c>
      <c r="H2" s="55" t="s">
        <v>48</v>
      </c>
      <c r="I2" s="5"/>
    </row>
    <row r="3" spans="1:9" s="2" customFormat="1" x14ac:dyDescent="0.2">
      <c r="A3" s="103">
        <v>6770</v>
      </c>
      <c r="B3" s="103" t="s">
        <v>15</v>
      </c>
      <c r="C3" s="104" t="s">
        <v>833</v>
      </c>
      <c r="D3" s="105" t="s">
        <v>833</v>
      </c>
      <c r="H3" s="17"/>
    </row>
    <row r="4" spans="1:9" s="2" customFormat="1" x14ac:dyDescent="0.2">
      <c r="A4" s="103">
        <v>6800</v>
      </c>
      <c r="B4" s="103" t="s">
        <v>15</v>
      </c>
      <c r="C4" s="102" t="s">
        <v>834</v>
      </c>
      <c r="D4" s="106" t="s">
        <v>834</v>
      </c>
    </row>
    <row r="5" spans="1:9" s="2" customFormat="1" x14ac:dyDescent="0.2">
      <c r="A5" s="103">
        <v>6790</v>
      </c>
      <c r="B5" s="103"/>
      <c r="C5" s="104" t="s">
        <v>835</v>
      </c>
      <c r="D5" s="105" t="s">
        <v>835</v>
      </c>
    </row>
    <row r="6" spans="1:9" s="2" customFormat="1" x14ac:dyDescent="0.2">
      <c r="A6" s="103">
        <v>6820</v>
      </c>
      <c r="B6" s="103"/>
      <c r="C6" s="102" t="s">
        <v>836</v>
      </c>
      <c r="D6" s="106" t="s">
        <v>836</v>
      </c>
    </row>
    <row r="7" spans="1:9" s="2" customFormat="1" ht="28.5" x14ac:dyDescent="0.2">
      <c r="A7" s="103">
        <v>6830</v>
      </c>
      <c r="B7" s="103"/>
      <c r="C7" s="102" t="s">
        <v>837</v>
      </c>
      <c r="D7" s="106" t="s">
        <v>837</v>
      </c>
    </row>
    <row r="8" spans="1:9" s="2" customFormat="1" ht="28.5" x14ac:dyDescent="0.2">
      <c r="A8" s="103">
        <v>6850</v>
      </c>
      <c r="B8" s="103"/>
      <c r="C8" s="102" t="s">
        <v>838</v>
      </c>
      <c r="D8" s="106" t="s">
        <v>838</v>
      </c>
    </row>
    <row r="9" spans="1:9" x14ac:dyDescent="0.2">
      <c r="B9" s="107"/>
    </row>
    <row r="10" spans="1:9" x14ac:dyDescent="0.2">
      <c r="B10" s="107"/>
    </row>
    <row r="11" spans="1:9" x14ac:dyDescent="0.2">
      <c r="B11" s="107"/>
    </row>
    <row r="12" spans="1:9" x14ac:dyDescent="0.2">
      <c r="B12" s="108"/>
    </row>
    <row r="13" spans="1:9" x14ac:dyDescent="0.2">
      <c r="B13" s="108"/>
    </row>
    <row r="14" spans="1:9" x14ac:dyDescent="0.2">
      <c r="B14" s="107"/>
    </row>
    <row r="15" spans="1:9" x14ac:dyDescent="0.2">
      <c r="B15" s="107"/>
    </row>
    <row r="16" spans="1:9" x14ac:dyDescent="0.2">
      <c r="B16" s="108"/>
    </row>
    <row r="17" spans="2:2" x14ac:dyDescent="0.2">
      <c r="B17" s="107"/>
    </row>
    <row r="18" spans="2:2" x14ac:dyDescent="0.2">
      <c r="B18" s="107"/>
    </row>
    <row r="19" spans="2:2" x14ac:dyDescent="0.2">
      <c r="B19" s="107"/>
    </row>
    <row r="20" spans="2:2" x14ac:dyDescent="0.2">
      <c r="B20" s="107"/>
    </row>
    <row r="21" spans="2:2" x14ac:dyDescent="0.2">
      <c r="B21" s="107"/>
    </row>
    <row r="22" spans="2:2" x14ac:dyDescent="0.2">
      <c r="B22" s="107"/>
    </row>
    <row r="23" spans="2:2" x14ac:dyDescent="0.2">
      <c r="B23" s="107"/>
    </row>
    <row r="24" spans="2:2" x14ac:dyDescent="0.2">
      <c r="B24" s="107"/>
    </row>
    <row r="25" spans="2:2" x14ac:dyDescent="0.2">
      <c r="B25" s="107"/>
    </row>
    <row r="26" spans="2:2" x14ac:dyDescent="0.2">
      <c r="B26" s="107"/>
    </row>
    <row r="27" spans="2:2" x14ac:dyDescent="0.2">
      <c r="B27" s="107"/>
    </row>
    <row r="28" spans="2:2" x14ac:dyDescent="0.2">
      <c r="B28" s="107"/>
    </row>
    <row r="29" spans="2:2" x14ac:dyDescent="0.2">
      <c r="B29" s="107"/>
    </row>
    <row r="30" spans="2:2" x14ac:dyDescent="0.2">
      <c r="B30" s="108"/>
    </row>
    <row r="31" spans="2:2" x14ac:dyDescent="0.2">
      <c r="B31" s="108"/>
    </row>
    <row r="32" spans="2:2" x14ac:dyDescent="0.2">
      <c r="B32" s="108"/>
    </row>
    <row r="33" spans="2:2" x14ac:dyDescent="0.2">
      <c r="B33" s="107"/>
    </row>
    <row r="34" spans="2:2" x14ac:dyDescent="0.2">
      <c r="B34" s="107"/>
    </row>
    <row r="35" spans="2:2" x14ac:dyDescent="0.2">
      <c r="B35" s="107"/>
    </row>
    <row r="36" spans="2:2" x14ac:dyDescent="0.2">
      <c r="B36" s="107"/>
    </row>
    <row r="37" spans="2:2" x14ac:dyDescent="0.2">
      <c r="B37" s="107"/>
    </row>
    <row r="38" spans="2:2" x14ac:dyDescent="0.2">
      <c r="B38" s="107"/>
    </row>
    <row r="39" spans="2:2" x14ac:dyDescent="0.2">
      <c r="B39" s="107"/>
    </row>
    <row r="40" spans="2:2" x14ac:dyDescent="0.2">
      <c r="B40" s="107"/>
    </row>
    <row r="41" spans="2:2" x14ac:dyDescent="0.2">
      <c r="B41" s="107"/>
    </row>
    <row r="42" spans="2:2" x14ac:dyDescent="0.2">
      <c r="B42" s="107"/>
    </row>
    <row r="43" spans="2:2" x14ac:dyDescent="0.2">
      <c r="B43" s="107"/>
    </row>
    <row r="44" spans="2:2" x14ac:dyDescent="0.2">
      <c r="B44" s="108"/>
    </row>
    <row r="45" spans="2:2" x14ac:dyDescent="0.2">
      <c r="B45" s="107"/>
    </row>
    <row r="46" spans="2:2" x14ac:dyDescent="0.2">
      <c r="B46" s="107"/>
    </row>
    <row r="47" spans="2:2" x14ac:dyDescent="0.2">
      <c r="B47" s="107"/>
    </row>
    <row r="48" spans="2:2" x14ac:dyDescent="0.2">
      <c r="B48" s="108"/>
    </row>
    <row r="49" spans="2:2" x14ac:dyDescent="0.2">
      <c r="B49" s="108"/>
    </row>
    <row r="50" spans="2:2" x14ac:dyDescent="0.2">
      <c r="B50" s="108"/>
    </row>
    <row r="51" spans="2:2" x14ac:dyDescent="0.2">
      <c r="B51" s="108"/>
    </row>
    <row r="52" spans="2:2" x14ac:dyDescent="0.2">
      <c r="B52" s="108"/>
    </row>
    <row r="53" spans="2:2" x14ac:dyDescent="0.2">
      <c r="B53" s="108"/>
    </row>
    <row r="54" spans="2:2" x14ac:dyDescent="0.2">
      <c r="B54" s="108"/>
    </row>
    <row r="55" spans="2:2" x14ac:dyDescent="0.2">
      <c r="B55" s="108"/>
    </row>
    <row r="56" spans="2:2" x14ac:dyDescent="0.2">
      <c r="B56" s="108"/>
    </row>
    <row r="57" spans="2:2" x14ac:dyDescent="0.2">
      <c r="B57" s="108"/>
    </row>
    <row r="58" spans="2:2" x14ac:dyDescent="0.2">
      <c r="B58" s="108"/>
    </row>
    <row r="59" spans="2:2" x14ac:dyDescent="0.2">
      <c r="B59" s="108"/>
    </row>
    <row r="60" spans="2:2" x14ac:dyDescent="0.2">
      <c r="B60" s="108"/>
    </row>
    <row r="61" spans="2:2" x14ac:dyDescent="0.2">
      <c r="B61" s="108"/>
    </row>
    <row r="62" spans="2:2" x14ac:dyDescent="0.2">
      <c r="B62" s="108"/>
    </row>
    <row r="63" spans="2:2" x14ac:dyDescent="0.2">
      <c r="B63" s="108"/>
    </row>
    <row r="64" spans="2:2" x14ac:dyDescent="0.2">
      <c r="B64" s="108"/>
    </row>
    <row r="65" spans="2:2" x14ac:dyDescent="0.2">
      <c r="B65" s="108"/>
    </row>
    <row r="66" spans="2:2" x14ac:dyDescent="0.2">
      <c r="B66" s="108"/>
    </row>
    <row r="67" spans="2:2" x14ac:dyDescent="0.2">
      <c r="B67" s="108"/>
    </row>
    <row r="68" spans="2:2" x14ac:dyDescent="0.2">
      <c r="B68" s="108"/>
    </row>
    <row r="69" spans="2:2" x14ac:dyDescent="0.2">
      <c r="B69" s="108"/>
    </row>
    <row r="70" spans="2:2" x14ac:dyDescent="0.2">
      <c r="B70" s="107"/>
    </row>
    <row r="71" spans="2:2" x14ac:dyDescent="0.2">
      <c r="B71" s="107"/>
    </row>
    <row r="72" spans="2:2" x14ac:dyDescent="0.2">
      <c r="B72" s="107"/>
    </row>
    <row r="73" spans="2:2" x14ac:dyDescent="0.2">
      <c r="B73" s="107"/>
    </row>
    <row r="74" spans="2:2" x14ac:dyDescent="0.2">
      <c r="B74" s="107"/>
    </row>
    <row r="75" spans="2:2" x14ac:dyDescent="0.2">
      <c r="B75" s="107"/>
    </row>
    <row r="76" spans="2:2" x14ac:dyDescent="0.2">
      <c r="B76" s="107"/>
    </row>
    <row r="77" spans="2:2" x14ac:dyDescent="0.2">
      <c r="B77" s="107"/>
    </row>
    <row r="78" spans="2:2" x14ac:dyDescent="0.2">
      <c r="B78" s="107"/>
    </row>
    <row r="79" spans="2:2" x14ac:dyDescent="0.2">
      <c r="B79" s="107"/>
    </row>
    <row r="80" spans="2:2" x14ac:dyDescent="0.2">
      <c r="B80" s="107"/>
    </row>
    <row r="81" spans="2:2" x14ac:dyDescent="0.2">
      <c r="B81" s="107"/>
    </row>
    <row r="82" spans="2:2" x14ac:dyDescent="0.2">
      <c r="B82" s="107"/>
    </row>
    <row r="83" spans="2:2" x14ac:dyDescent="0.2">
      <c r="B83" s="107"/>
    </row>
    <row r="84" spans="2:2" x14ac:dyDescent="0.2">
      <c r="B84" s="107"/>
    </row>
    <row r="85" spans="2:2" x14ac:dyDescent="0.2">
      <c r="B85" s="107"/>
    </row>
    <row r="86" spans="2:2" x14ac:dyDescent="0.2">
      <c r="B86" s="107"/>
    </row>
    <row r="87" spans="2:2" x14ac:dyDescent="0.2">
      <c r="B87" s="107"/>
    </row>
    <row r="88" spans="2:2" x14ac:dyDescent="0.2">
      <c r="B88" s="107"/>
    </row>
    <row r="89" spans="2:2" x14ac:dyDescent="0.2">
      <c r="B89" s="107"/>
    </row>
    <row r="90" spans="2:2" x14ac:dyDescent="0.2">
      <c r="B90" s="107"/>
    </row>
    <row r="91" spans="2:2" x14ac:dyDescent="0.2">
      <c r="B91" s="107"/>
    </row>
    <row r="92" spans="2:2" x14ac:dyDescent="0.2">
      <c r="B92" s="107"/>
    </row>
    <row r="93" spans="2:2" x14ac:dyDescent="0.2">
      <c r="B93" s="107"/>
    </row>
    <row r="94" spans="2:2" x14ac:dyDescent="0.2">
      <c r="B94" s="107"/>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270890B-8AB7-4E04-A6EE-F77CD441719E}">
  <ds:schemaRefs>
    <ds:schemaRef ds:uri="http://purl.org/dc/dcmitype/"/>
    <ds:schemaRef ds:uri="http://schemas.microsoft.com/office/2006/documentManagement/types"/>
    <ds:schemaRef ds:uri="http://schemas.microsoft.com/office/2006/metadata/properties"/>
    <ds:schemaRef ds:uri="http://schemas.microsoft.com/office/infopath/2007/PartnerControls"/>
    <ds:schemaRef ds:uri="http://purl.org/dc/elements/1.1/"/>
    <ds:schemaRef ds:uri="http://purl.org/dc/terms/"/>
    <ds:schemaRef ds:uri="98fadb18-abe0-4def-b0b0-9b672b1d5a2b"/>
    <ds:schemaRef ds:uri="http://schemas.openxmlformats.org/package/2006/metadata/core-properties"/>
    <ds:schemaRef ds:uri="801ea4e6-356c-4d90-aef9-664fc2866395"/>
    <ds:schemaRef ds:uri="aa12a5a9-6d4c-4ce8-9ebd-fc4098eff306"/>
    <ds:schemaRef ds:uri="http://www.w3.org/XML/1998/namespace"/>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DM 3 Car</vt:lpstr>
      <vt:lpstr>Trailer 3 Car</vt:lpstr>
      <vt:lpstr>UNDM 3 Car</vt:lpstr>
      <vt:lpstr>UNDM 4 Car</vt:lpstr>
      <vt:lpstr>Special Trailer 4 Car</vt:lpstr>
      <vt:lpstr>Trailer 4 Car</vt:lpstr>
      <vt:lpstr>DM 4 Car</vt:lpstr>
      <vt:lpstr>Train Tests</vt:lpstr>
      <vt:lpstr>'DM 3 Car'!Print_Area</vt:lpstr>
      <vt:lpstr>'DM 4 Car'!Print_Area</vt:lpstr>
      <vt:lpstr>'Special Trailer 4 Car'!Print_Area</vt:lpstr>
      <vt:lpstr>'Trailer 3 Car'!Print_Area</vt:lpstr>
      <vt:lpstr>'Trailer 4 Car'!Print_Area</vt:lpstr>
      <vt:lpstr>'UNDM 3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2025-11-11T13:57:09Z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