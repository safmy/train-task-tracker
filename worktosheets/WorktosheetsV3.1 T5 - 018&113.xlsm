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1 - T01-T06 - Program Lift (Bogies, Line Contactors &amp; Catch Back) )/T05 - (Units 96113 and 96018)/05 Work To Sheets TFOS - Phase One A/"/>
    </mc:Choice>
  </mc:AlternateContent>
  <xr:revisionPtr revIDLastSave="2856" documentId="13_ncr:1_{239B738E-F832-43F7-B77A-54D715BA4700}" xr6:coauthVersionLast="47" xr6:coauthVersionMax="47" xr10:uidLastSave="{3282E8D2-73C3-453B-97DD-213B95F048AD}"/>
  <bookViews>
    <workbookView xWindow="-120" yWindow="-120" windowWidth="25440" windowHeight="15390" firstSheet="1" activeTab="2" xr2:uid="{2DAC63F3-FB17-4143-A7E7-F1A7BBA96BF5}"/>
  </bookViews>
  <sheets>
    <sheet name="Summary" sheetId="1" r:id="rId1"/>
    <sheet name="TaskPrint" sheetId="115" r:id="rId2"/>
    <sheet name="DM 3 Car" sheetId="2" r:id="rId3"/>
    <sheet name="Trailer 3 Car" sheetId="3" r:id="rId4"/>
    <sheet name="UNDM 3 Car" sheetId="4" r:id="rId5"/>
    <sheet name="UNDM 4 Car" sheetId="8" r:id="rId6"/>
    <sheet name="Special Trailer 4 Car" sheetId="7" r:id="rId7"/>
    <sheet name="Trailer 4 Car" sheetId="6" r:id="rId8"/>
    <sheet name="DM 4 Car" sheetId="5" r:id="rId9"/>
    <sheet name="Train Tests" sheetId="9" r:id="rId10"/>
  </sheets>
  <definedNames>
    <definedName name="_xlnm._FilterDatabase" localSheetId="2" hidden="1">'DM 3 Car'!$A$2:$O$128</definedName>
    <definedName name="_xlnm._FilterDatabase" localSheetId="8" hidden="1">'DM 4 Car'!$A$2:$O$128</definedName>
    <definedName name="_xlnm._FilterDatabase" localSheetId="6" hidden="1">'Special Trailer 4 Car'!$A$2:$O$41</definedName>
    <definedName name="_xlnm._FilterDatabase" localSheetId="3" hidden="1">'Trailer 3 Car'!$A$2:$O$58</definedName>
    <definedName name="_xlnm._FilterDatabase" localSheetId="7" hidden="1">'Trailer 4 Car'!$A$2:$J$59</definedName>
    <definedName name="_xlnm._FilterDatabase" localSheetId="9" hidden="1">'Train Tests'!$A$2:$G$2</definedName>
    <definedName name="_xlnm._FilterDatabase" localSheetId="4" hidden="1">'UNDM 3 Car'!$A$2:$J$88</definedName>
    <definedName name="_xlnm._FilterDatabase" localSheetId="5" hidden="1">'UNDM 4 Car'!$A$2:$O$88</definedName>
    <definedName name="_xlnm.Print_Area" localSheetId="2">'DM 3 Car'!$B$1:$L$128</definedName>
    <definedName name="_xlnm.Print_Area" localSheetId="8">'DM 4 Car'!$B$1:$L$128</definedName>
    <definedName name="_xlnm.Print_Area" localSheetId="6">'Special Trailer 4 Car'!$B$1:$L$41</definedName>
    <definedName name="_xlnm.Print_Area" localSheetId="3">'Trailer 3 Car'!$B$1:$L$58</definedName>
    <definedName name="_xlnm.Print_Area" localSheetId="7">'Trailer 4 Car'!$B$1:$L$59</definedName>
    <definedName name="_xlnm.Print_Area" localSheetId="4">'UNDM 3 Car'!$B$1:$L$88</definedName>
    <definedName name="_xlnm.Print_Area" localSheetId="5">'UNDM 4 Car'!$B$1:$L$88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6" l="1"/>
  <c r="G42" i="6"/>
  <c r="H42" i="6"/>
  <c r="E42" i="6"/>
  <c r="F34" i="7"/>
  <c r="G34" i="7"/>
  <c r="H34" i="7"/>
  <c r="F35" i="7"/>
  <c r="G35" i="7"/>
  <c r="H35" i="7"/>
  <c r="E35" i="7"/>
  <c r="E34" i="7"/>
  <c r="F41" i="3"/>
  <c r="G41" i="3"/>
  <c r="H41" i="3"/>
  <c r="F43" i="3"/>
  <c r="G43" i="3"/>
  <c r="H43" i="3"/>
  <c r="E43" i="3"/>
  <c r="E41" i="3"/>
  <c r="H23" i="1"/>
  <c r="H24" i="1"/>
  <c r="K24" i="1"/>
  <c r="K23" i="1"/>
  <c r="K22" i="1" a="1"/>
  <c r="K22" i="1" s="1"/>
  <c r="J24" i="1"/>
  <c r="J23" i="1"/>
  <c r="J22" i="1" a="1"/>
  <c r="J22" i="1" s="1"/>
  <c r="I24" i="1"/>
  <c r="I23" i="1"/>
  <c r="I22" i="1" a="1"/>
  <c r="I22" i="1" s="1"/>
  <c r="G24" i="1"/>
  <c r="G23" i="1"/>
  <c r="G22" i="1" a="1"/>
  <c r="G22" i="1" s="1"/>
  <c r="F24" i="1"/>
  <c r="F23" i="1"/>
  <c r="F22" i="1" a="1"/>
  <c r="F22" i="1" s="1"/>
  <c r="E24" i="1"/>
  <c r="E22" i="1" a="1"/>
  <c r="E22" i="1" s="1"/>
  <c r="E23" i="1"/>
  <c r="H22" i="1" l="1" a="1"/>
  <c r="H22" i="1" s="1"/>
  <c r="I21" i="1"/>
  <c r="D24" i="1"/>
  <c r="D23" i="1"/>
  <c r="D22" i="1" a="1"/>
  <c r="D22" i="1" s="1"/>
  <c r="C24" i="1"/>
  <c r="C23" i="1"/>
  <c r="C22" i="1" a="1"/>
  <c r="C22" i="1" s="1"/>
  <c r="B24" i="1"/>
  <c r="B23" i="1"/>
  <c r="B22" i="1" a="1"/>
  <c r="B22" i="1" s="1"/>
  <c r="K21" i="1"/>
  <c r="J21" i="1"/>
  <c r="H21" i="1"/>
  <c r="G21" i="1"/>
  <c r="F21" i="1"/>
  <c r="E21" i="1"/>
  <c r="D21" i="1"/>
  <c r="C21" i="1"/>
  <c r="B21" i="1"/>
  <c r="F5" i="1"/>
  <c r="F6" i="1"/>
  <c r="F7" i="1"/>
  <c r="F8" i="1"/>
  <c r="F9" i="1"/>
  <c r="L21" i="1"/>
  <c r="G9" i="1"/>
  <c r="G8" i="1"/>
  <c r="G7" i="1"/>
  <c r="G6" i="1"/>
  <c r="H6" i="1" s="1"/>
  <c r="G5" i="1"/>
  <c r="H5" i="1" s="1"/>
  <c r="B25" i="1" l="1"/>
  <c r="H7" i="1"/>
  <c r="H8" i="1"/>
  <c r="H9" i="1"/>
  <c r="K25" i="1" l="1"/>
  <c r="F25" i="1"/>
  <c r="C25" i="1"/>
  <c r="I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Christopher Green</author>
  </authors>
  <commentList>
    <comment ref="G34" authorId="0" shapeId="0" xr:uid="{63EF28A6-A221-4124-9077-629EA6269CD5}">
      <text>
        <r>
          <rPr>
            <sz val="12"/>
            <color theme="1"/>
            <rFont val="Arial"/>
            <family val="2"/>
          </rPr>
          <t xml:space="preserve">Christopher Green:
BAU fitted for testing and to be catch back when OH units become aviable.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tc={29DA6BAD-61FF-41DC-9855-C9B2AA72CDF9}</author>
  </authors>
  <commentList>
    <comment ref="C41" authorId="0" shapeId="0" xr:uid="{29DA6BAD-61FF-41DC-9855-C9B2AA72CDF9}">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Deghyes Taha</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<sst xmlns="http://schemas.openxmlformats.org/spreadsheetml/2006/main" count="5598" uniqueCount="859">
  <si>
    <t>Overhaul Train</t>
  </si>
  <si>
    <t>Task Search</t>
  </si>
  <si>
    <t>Task in Worksheet</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</si>
  <si>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</si>
  <si>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</si>
  <si>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</si>
  <si>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</si>
  <si>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</si>
  <si>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</si>
  <si>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</si>
  <si>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</si>
  <si>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</si>
  <si>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</si>
  <si>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</si>
  <si>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</si>
  <si>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</si>
  <si>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</si>
  <si>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</si>
  <si>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</si>
  <si>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</si>
  <si>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</si>
  <si>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Coupling-Up Sheet</t>
  </si>
  <si>
    <t>Completed</t>
  </si>
  <si>
    <t>Phase 4</t>
  </si>
  <si>
    <t>No</t>
  </si>
  <si>
    <t xml:space="preserve">Testing </t>
  </si>
  <si>
    <t>Does unit have De-Icer</t>
  </si>
  <si>
    <t>DM 3 Car</t>
  </si>
  <si>
    <t>Trailer 3 Car</t>
  </si>
  <si>
    <t>UNDM 3 Car</t>
  </si>
  <si>
    <t>DM 4 Car</t>
  </si>
  <si>
    <t>Trailer 4 Car</t>
  </si>
  <si>
    <t>Special Trailer 4 Car</t>
  </si>
  <si>
    <t>UNDM 4 Car</t>
  </si>
  <si>
    <t>De-Icer DM</t>
  </si>
  <si>
    <t>De-Icer Trailer</t>
  </si>
  <si>
    <t>De-Icer UNDM</t>
  </si>
  <si>
    <t>Final Tests</t>
  </si>
  <si>
    <t>Total</t>
  </si>
  <si>
    <t>Outstanding</t>
  </si>
  <si>
    <t>Unit No: 96</t>
  </si>
  <si>
    <t>Job Task - Task #</t>
  </si>
  <si>
    <t>Phase</t>
  </si>
  <si>
    <t>Task</t>
  </si>
  <si>
    <t>Description</t>
  </si>
  <si>
    <t>Completed By</t>
  </si>
  <si>
    <t>Date</t>
  </si>
  <si>
    <t>Unit</t>
  </si>
  <si>
    <t>Unit No: 96018</t>
  </si>
  <si>
    <t>Overhaul/IROC</t>
  </si>
  <si>
    <t>Position</t>
  </si>
  <si>
    <t>Scope Delayed</t>
  </si>
  <si>
    <t>WI Reference</t>
  </si>
  <si>
    <t>Comments</t>
  </si>
  <si>
    <t>Number Of People</t>
  </si>
  <si>
    <t>Total Hours</t>
  </si>
  <si>
    <t xml:space="preserve">Material SAP # </t>
  </si>
  <si>
    <t xml:space="preserve">Material Qty </t>
  </si>
  <si>
    <t>DM UNDERFRAME REMOVE/REFIT MORS SMITT RELAYS</t>
  </si>
  <si>
    <t>REPLACE 26 RELAYS</t>
  </si>
  <si>
    <t>TM, JRL, RB, BP</t>
  </si>
  <si>
    <t>Pull Forward</t>
  </si>
  <si>
    <t>REPLACE</t>
  </si>
  <si>
    <t>ATM</t>
  </si>
  <si>
    <t>JHOPL-WI-17-184
JHOPL-WI-17-135</t>
  </si>
  <si>
    <t>DM CAB DRIVERS SIDE REMOVE/REFIT EMERGENCY LIGHT INVERTER</t>
  </si>
  <si>
    <t>REPLACE 1 EMERGENCY LIGHT INVERTER</t>
  </si>
  <si>
    <t>JN</t>
  </si>
  <si>
    <t>JHOPL-WI-17-057</t>
  </si>
  <si>
    <t>DM CAB NON DRIVERS SIDE REMOVE/REFIT EMERGENCY LIGHT INVERTER</t>
  </si>
  <si>
    <t>DM  SALOON REMOVE/REFIT EMERGENCY LIGHT INVERTERS</t>
  </si>
  <si>
    <t>REPLACE 5 EMERGENCY LIGHT INVERTERS</t>
  </si>
  <si>
    <t>JN, SC, VN</t>
  </si>
  <si>
    <t>DM CAB NON DRIVERS SIDE REMOVE/REFIT SIEMENS RELAYS</t>
  </si>
  <si>
    <t>REPLACE 8 RELAYS</t>
  </si>
  <si>
    <t>RN</t>
  </si>
  <si>
    <t>JHOPL-WI-17-185</t>
  </si>
  <si>
    <t>DM CAB DRIVERS SIDE REMOVE/REFIT SIEMENS RELAYS</t>
  </si>
  <si>
    <t>REPLACE 2  RELAYS</t>
  </si>
  <si>
    <t>CC</t>
  </si>
  <si>
    <t>DM CAR REMOVE/REFIT 4 POLE CIRCUIT BREAKER</t>
  </si>
  <si>
    <t>REPLACE 4 POLE CIRCUIT BREAKER</t>
  </si>
  <si>
    <t>DH, AOO</t>
  </si>
  <si>
    <t>JHOPL-WI-17-059</t>
  </si>
  <si>
    <t>DM CAB DRIVERS SIDE REMOVE/REFIT ROTARY SWITCHES</t>
  </si>
  <si>
    <t>REPLACE 8 ROTARY SWITCHES</t>
  </si>
  <si>
    <t>VN</t>
  </si>
  <si>
    <t>JHOPL-WI-17-156</t>
  </si>
  <si>
    <t>DM CAB NON DRIVERS SIDE REMOVE/REFIT ROTARY SWITCHES</t>
  </si>
  <si>
    <t>REPLACE 2 ROTARY SWITCH</t>
  </si>
  <si>
    <t>JHOPL-WI-17-066</t>
  </si>
  <si>
    <t>DM CAR REMOVE/REFIT AUXILIARY SUPPLY BREAKER (ASB)</t>
  </si>
  <si>
    <t>IROC - AUXILIARY SUPPLY BREAKER</t>
  </si>
  <si>
    <t>TFOS</t>
  </si>
  <si>
    <t>IROC</t>
  </si>
  <si>
    <t>Y</t>
  </si>
  <si>
    <t>JHOPL-WI-17-070</t>
  </si>
  <si>
    <t>DM CAB NON DRIVERS SIDE REMOVE/REFIT MCBS</t>
  </si>
  <si>
    <t>REPLACE 30 MCBS</t>
  </si>
  <si>
    <t>CB</t>
  </si>
  <si>
    <t>JHOPL-WI-17-074</t>
  </si>
  <si>
    <t>DM  SALOON REMOVE/REFIT MCBS</t>
  </si>
  <si>
    <t>REPLACE 24 MCBS</t>
  </si>
  <si>
    <t>JT</t>
  </si>
  <si>
    <t>DM CAB DRIVERS SIDE REMOVE/REFIT MORS SMITT RELAY</t>
  </si>
  <si>
    <t>REPLACE 4 RELAYS</t>
  </si>
  <si>
    <t>DK</t>
  </si>
  <si>
    <t>JHOPL-WI-17-135</t>
  </si>
  <si>
    <t>DM CAB NON DRIVERS SIDE REMOVE/REFIT MORS SMITT RELAYS</t>
  </si>
  <si>
    <t>REPLACE 6 RELAYS</t>
  </si>
  <si>
    <t>DM  SALOON REMOVE/REFIT MORS SMITT RELAYS</t>
  </si>
  <si>
    <t>REPLACE 3 RELAYS</t>
  </si>
  <si>
    <t>DM - TRACTION CUT-OUT SWITCH</t>
  </si>
  <si>
    <t>IROC - TRACTION CUT-OUT SWITCH</t>
  </si>
  <si>
    <t>CP, AOO</t>
  </si>
  <si>
    <t>JHOPL-WI-11-018</t>
  </si>
  <si>
    <t>DM - SHED SUPPLY SWITCH AND RECEPTACLE ASSEMBLY</t>
  </si>
  <si>
    <t xml:space="preserve">IROC -  SHED RECEPTACLE AND SWITCH </t>
  </si>
  <si>
    <t>LN, JRL</t>
  </si>
  <si>
    <t>JHOPL-WI-11-141</t>
  </si>
  <si>
    <t>DM - CAR REMOVE/REFIT SHOEGEAR VOLTAGE &amp; REVERSE VOLTAGE RELAY</t>
  </si>
  <si>
    <t>REPLACE -  SHOEGEAR VOLTAGE &amp; REVERSE VOLTAGE RELAY</t>
  </si>
  <si>
    <t>DM - REMOVE/REFIT CURRENT LIMITING INDUCTOR</t>
  </si>
  <si>
    <t>IROC - CURRENT LIMITING INDUCTOR</t>
  </si>
  <si>
    <t>AOO, CP</t>
  </si>
  <si>
    <t>JHOPL-WI-17-068</t>
  </si>
  <si>
    <t>DM - CURRENT LINK FILTER INDUCTOR (AUXILIARY LINK FILTER INDUCTOR)</t>
  </si>
  <si>
    <t>IROC - AUXILIARY LINK FILTER INDUCTOR</t>
  </si>
  <si>
    <t>JHOPL-WI-17-069</t>
  </si>
  <si>
    <t>DM - CAR REMOVE/REFIT LINE FILTER INDUCTOR</t>
  </si>
  <si>
    <t>IROC - LINE FILTER INDUCTOR</t>
  </si>
  <si>
    <t>JHOPL-WI-11-024</t>
  </si>
  <si>
    <t>DM - CONTROL SUPPLY RESISTOR (CSZ)</t>
  </si>
  <si>
    <t>IROC - CONTROL SUPPLY RESISTOR (CSZ)</t>
  </si>
  <si>
    <t>JHOPL-WI-17-071</t>
  </si>
  <si>
    <t>DM - AUXILIARY STEP-DOWN CHOPPER SNUBBER RESISTOR</t>
  </si>
  <si>
    <t>IROC - STEP-DOWN CHOPPER SNUBBER RESISITOR</t>
  </si>
  <si>
    <t>DM CAR REMOVE BOGIE A</t>
  </si>
  <si>
    <t>REMOVE BOGIE A (TYPE A)</t>
  </si>
  <si>
    <t>KA, JN</t>
  </si>
  <si>
    <t>OH</t>
  </si>
  <si>
    <t>TM</t>
  </si>
  <si>
    <t>JHOPL-WI-14-188</t>
  </si>
  <si>
    <t>DM CAR REFIT BOGIE A</t>
  </si>
  <si>
    <t>REFIT BOGIE A (TYPE A)</t>
  </si>
  <si>
    <t xml:space="preserve">CB, DD, SC, jd jjt as ma, AS, </t>
  </si>
  <si>
    <t>DM CAR REMOVE BOGIE D</t>
  </si>
  <si>
    <t>REMOVE BOGIE D (TYPE A)</t>
  </si>
  <si>
    <t>JT,AS,JD,AA</t>
  </si>
  <si>
    <t>DM CAR REFIT BOGIE D</t>
  </si>
  <si>
    <t>REFIT BOGIE D (TYPE A)</t>
  </si>
  <si>
    <t>DM UNDERFRAME REMOVE/REFIT LINE BREAKER CONTACTOR 1 AND 3</t>
  </si>
  <si>
    <t>REPLACE CONTACTOR</t>
  </si>
  <si>
    <t>Remove - CB, RN, AM
Refit - NA</t>
  </si>
  <si>
    <t>JHOPL-WI-11-129</t>
  </si>
  <si>
    <t>DM UNDERFRAME REMOVE/REFIT LINE BREAKER CONTACTOR 2 AND 4</t>
  </si>
  <si>
    <t>Remove - CB, RN, AM
Refit - VN,AO</t>
  </si>
  <si>
    <t>DM CAR REMOVE/REFIT FILTER HARD CROWBAR THYRISTOR ASSEMBLY</t>
  </si>
  <si>
    <t>REPLACE FILTER HARD CROWBAR THYRISTOR ASSEMBLY</t>
  </si>
  <si>
    <t>AOO, NA, DH, LN</t>
  </si>
  <si>
    <t>JHOPL-WI-11-006</t>
  </si>
  <si>
    <t>DM CAR REMOVE/REFIT POWER SUPPLY UNIT</t>
  </si>
  <si>
    <t>REPLACE POWER SUPPLY MODULE</t>
  </si>
  <si>
    <t>AOO, NA, DH. RB, RN</t>
  </si>
  <si>
    <t>JHOPL-WI-11-008</t>
  </si>
  <si>
    <t>DM UNDERFRAME LOCATION 412 REMOVE/REFIT AUXILIARY CONVERTER ELECTRONIC MODULE</t>
  </si>
  <si>
    <t>REPLACE AUXILIARY CONVERTER ELECTRONIC MODULE</t>
  </si>
  <si>
    <t>AOO, NA, DH</t>
  </si>
  <si>
    <t>JHOPL-WI-17-150</t>
  </si>
  <si>
    <t>DM CAR REMOVE/REFIT SERVICE BRAKE DROP HOSE A</t>
  </si>
  <si>
    <t>REPLACE 2 SERVICE BRAKE DROP HOSES</t>
  </si>
  <si>
    <t>JHOPL-WI-19-162</t>
  </si>
  <si>
    <t>DM CAR REMOVE/REFIT PARKING BRAKE DROP HOSE A</t>
  </si>
  <si>
    <t>REPLACE PARKING BRAKE DROP HOSE</t>
  </si>
  <si>
    <t>DM CAR REMOVE/REFIT SLEETBRUSH DROP HOSE (POSITIVE)</t>
  </si>
  <si>
    <t>REPLACE 2 SLEETBRUSH DROP HOSES (POSITIVE)</t>
  </si>
  <si>
    <t>JHOPL-WI-19-160</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</si>
  <si>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</si>
  <si>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</si>
  <si>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</si>
  <si>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</si>
  <si>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</si>
  <si>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</si>
  <si>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</si>
  <si>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</si>
  <si>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AR, RB</t>
  </si>
  <si>
    <t>JHOPL-WI-11-002</t>
  </si>
  <si>
    <t>DM -  REMOVE/REFIT LINE CONTACTOR AIR SUPPLY</t>
  </si>
  <si>
    <t>REPLACE LINE CONTACTOR AIR SUPPLY</t>
  </si>
  <si>
    <t>JHOPL-WI-11-191</t>
  </si>
  <si>
    <t>DM CAR REMOVE/REFIT UNCOUPLER SWITCH DM</t>
  </si>
  <si>
    <t>REPLACE UNCOUPLER SWITCH</t>
  </si>
  <si>
    <t>JHOPL-WI-15-147</t>
  </si>
  <si>
    <t xml:space="preserve">DM CAR REMOVE/REFIT PROPULSION INVERTER MODULE </t>
  </si>
  <si>
    <t>REPLACE 3 PROPULSION INVERTER MODULES</t>
  </si>
  <si>
    <t>JHOPL-WI-11-132</t>
  </si>
  <si>
    <t>DM CAR REMOVE/REFIT LINE FILTER CAPACITOR TRAY 10 CAP</t>
  </si>
  <si>
    <t>REPLACE LINE FILTER CAPACITOR TRAY10 CAP</t>
  </si>
  <si>
    <t>AOO, NA, DH.</t>
  </si>
  <si>
    <t>JHOPL-WI-11-010</t>
  </si>
  <si>
    <t xml:space="preserve">DM CAR REMOVE/REFIT LINE FILTER CAPACITOR TRAY 7 CAP - ALFK </t>
  </si>
  <si>
    <t>REPLACE LINE FILTER CAPACITOR TRAY 7 CAP ALFK</t>
  </si>
  <si>
    <t>JHOPL-WI-11-011</t>
  </si>
  <si>
    <t>DM CAR REMOVE/REFIT AUXILIARY INVERTER AND RHEOSTATIC BRAKE MODULE</t>
  </si>
  <si>
    <t>REPLACE AUXILIARY INVERTER AND RHEOSTATIC BRAKE MODULE</t>
  </si>
  <si>
    <t>JHOPL-WI-17-149</t>
  </si>
  <si>
    <t>DM CAB REMOVE/REFIT TRACTION BRAKE CONTROLLER</t>
  </si>
  <si>
    <t>REPLACE TRACTION BRAKE CONTROLLER</t>
  </si>
  <si>
    <t>KM,LN. JT, OM</t>
  </si>
  <si>
    <t>JHOPL-WI-11-136</t>
  </si>
  <si>
    <t>DM SALOON REMOVE/REFIT BRAKE CYLINDER PRESSURE SWITCH 1 (FOR ALL CARS)</t>
  </si>
  <si>
    <t>REPLACE BRAKE CYLINDER PRESSURE SWITCH</t>
  </si>
  <si>
    <t>GT, AR, JT</t>
  </si>
  <si>
    <t>JHOPL-WI-10-122</t>
  </si>
  <si>
    <t>DM CAR REMOVE/REFIT BRAKE CYLINDER PRESSURE SWITCH 2 (FOR DM/UNDM)</t>
  </si>
  <si>
    <t>DM CAR REMOVE/REFIT ½" VENTED BALL VALVE (VLCV / SYSTEM DRAIN / AUTO DRAIN / WHISLTE)</t>
  </si>
  <si>
    <t>IROC 1/2" VENTED BALL VALVE (VLCV / SYSTEM DRAIN / WHISTLE) - EXTERNAL</t>
  </si>
  <si>
    <t>MA</t>
  </si>
  <si>
    <t>JHOPL-WI-19-080
JHOPL-WI-19-102
JHOPL-WI-19-105</t>
  </si>
  <si>
    <t>DM UNDERFRAME REMOVE/REFIT VARIABLE LOAD VALVE - DM/UNDM CAR</t>
  </si>
  <si>
    <t>REPLACE VARIABLE  LOAD VALVE</t>
  </si>
  <si>
    <t>JHOPL-WI-10-126</t>
  </si>
  <si>
    <t>DM UNDERFRAME CAR REMOVE/REFIT BRAKE RELEASE VALVE</t>
  </si>
  <si>
    <t>REPLACE BRAKE RELEASE VALVE</t>
  </si>
  <si>
    <t>JHOPL-WI-10-124</t>
  </si>
  <si>
    <t>DM SALOON REMOVE/REFIT BRAKE CYLINDER SALOON GAUGES</t>
  </si>
  <si>
    <t>REPLACE BRAKE SALOON GAUGE</t>
  </si>
  <si>
    <t>AL</t>
  </si>
  <si>
    <t>JHOPL-WI-10-001</t>
  </si>
  <si>
    <t>DM CAR REMOVE/REFIT CLOSED LOOP ANALOGUE UNIT (CLAU) - DM/UNDM CAR</t>
  </si>
  <si>
    <t>REPLACE CLAU</t>
  </si>
  <si>
    <t>DM CAR REMOVE/REFIT PNEUMATIC BRAKE DRIVER</t>
  </si>
  <si>
    <t>REPLACE PNEUMATIC BRAKE DRIVER</t>
  </si>
  <si>
    <t>GT, DK, UQ</t>
  </si>
  <si>
    <t>JHOPL-WI-10-125</t>
  </si>
  <si>
    <t>DM CAR REMOVE/REFIT ¾" GANGED VENTED COCKS (BCIC/PBIC)</t>
  </si>
  <si>
    <t>REPLACE 3/4" GANGED VENTED COCKS</t>
  </si>
  <si>
    <t>JD, AM, JB</t>
  </si>
  <si>
    <t>JHOPL-WI-19-082</t>
  </si>
  <si>
    <t>DM CAR REMOVE/REFIT ENCODER UNIT</t>
  </si>
  <si>
    <t>REPLACE ENCODER UNIT</t>
  </si>
  <si>
    <t>MJ. MR</t>
  </si>
  <si>
    <t>JHOPL-WI-10-128</t>
  </si>
  <si>
    <t xml:space="preserve">DM UNDERFRAME REMOVE/REFIT WSP DUMP VALVE </t>
  </si>
  <si>
    <t>REPLACE 4 WSP DUMP VALVES</t>
  </si>
  <si>
    <t xml:space="preserve">Yes </t>
  </si>
  <si>
    <t>PM, DB, AM, CC</t>
  </si>
  <si>
    <t>JHOPL-WI-19-163</t>
  </si>
  <si>
    <t>DM CAR REMOVE/REFIT WHISTLE - TYPE 3C (ENHANCED)</t>
  </si>
  <si>
    <t>REPLACE WHISTLE (TYPE 3C)</t>
  </si>
  <si>
    <t>MAA, CC</t>
  </si>
  <si>
    <t>JHOPL-WI-19-118</t>
  </si>
  <si>
    <t>DM CAR REMOVE/REFIT 5/3 WHISTLE SPOOL VALVE DM</t>
  </si>
  <si>
    <t>REPLACE 5/3 WHISTLE SPOOL VALVE</t>
  </si>
  <si>
    <t>MR</t>
  </si>
  <si>
    <t>JHOPL-WI-19-083</t>
  </si>
  <si>
    <t>DM CAR REMOVE/REFIT WHISTLE CONTROL LEVER VALVE DM DRIVER'S SIDE)</t>
  </si>
  <si>
    <t>REPLACE WHISTLE CONTROL LEVER VALVE (DRIVER SIDE)</t>
  </si>
  <si>
    <t>JH</t>
  </si>
  <si>
    <t>JHOPL-WI-19-084</t>
  </si>
  <si>
    <t>DM CAR REMOVE/REFIT WHISTLE-OPERATED PRESSURE SWITCH DM</t>
  </si>
  <si>
    <t>REPLACE WHISTLE  OPERATED PRESSURE SWITCH</t>
  </si>
  <si>
    <t>ABS</t>
  </si>
  <si>
    <t>JHOPL-WI-19-164</t>
  </si>
  <si>
    <t>DM CAR REMOVE/REFIT TRACTION SUPPLY PRESSURE REGULATOR</t>
  </si>
  <si>
    <t>REPLACE TRACTION  SUPPLY PRESSURE REGULATOR</t>
  </si>
  <si>
    <t>LVN</t>
  </si>
  <si>
    <t>JHOPL-WI-19-167</t>
  </si>
  <si>
    <t>DM CAR REMOVE/REFIT DOOR AIR SUPPLY PRESSURE REGULATOR (SUPPLIED WITH O-RINGS)</t>
  </si>
  <si>
    <t>REPLACE DOOR AIR SUPPLY PRESSURE REGULATOR</t>
  </si>
  <si>
    <t>JHOPL-WI-19-116</t>
  </si>
  <si>
    <t>DM CAR REMOVE/REFIT LOW MAIN LINE PRESSURE SWITCH</t>
  </si>
  <si>
    <t>REPLACE 2 LOW MAIN LINE PRESSURE SWITCHES</t>
  </si>
  <si>
    <t>GT</t>
  </si>
  <si>
    <t>JHOPL-WI-19-172</t>
  </si>
  <si>
    <t>DM CAR REMOVE/REFIT COUPLING-TEST POINT-QUICK RELEASE</t>
  </si>
  <si>
    <t>IROC - 3 COUPLING-TEST POINT-QUICK RELEASE</t>
  </si>
  <si>
    <t>JHOPL-WI-19-094</t>
  </si>
  <si>
    <t>DM CAR REMOVE/REFIT MAINLINE CAB GAUGE</t>
  </si>
  <si>
    <t>IROC - MAINLINE CAB GAUGE</t>
  </si>
  <si>
    <t>JHOPL-WI-19-095</t>
  </si>
  <si>
    <t>DM CAR REMOVE/REFIT PRESSURE GAUGE (DOOR/TRACTION SUPP)</t>
  </si>
  <si>
    <t>IROC 2 PRESSURE GAUGES (DOOR/TRACTION SUPPLY)</t>
  </si>
  <si>
    <t>JHOPL-WI-19-120
JHOPL-WI-19-121</t>
  </si>
  <si>
    <t>DM CAR REMOVE/REFIT AIR FILTER WITH AUTOMATIC DRAIN</t>
  </si>
  <si>
    <t>REPLACE AIR FILTER WITH AUTOMATIC DRAIN</t>
  </si>
  <si>
    <t>MAA</t>
  </si>
  <si>
    <t>JHOPL-WI-19-117</t>
  </si>
  <si>
    <t>DM CAR REMOVE/REFIT BSR CHECK VALVE (SUPPLIED WITH O-RINGS)</t>
  </si>
  <si>
    <t>REPLACE BSR CHECK VALVE</t>
  </si>
  <si>
    <t>MAL. SA</t>
  </si>
  <si>
    <t>JHOPL-WI-19-097</t>
  </si>
  <si>
    <t>DM CAR REMOVE/REFIT MAINLINE PRESSURE SWITCH EP TEST VALVE</t>
  </si>
  <si>
    <t>REPLACE 2 MAINLINE PRESSURE SWITCH EP TEST VALVE</t>
  </si>
  <si>
    <t>PS</t>
  </si>
  <si>
    <t>JHOPL-WI-19-098</t>
  </si>
  <si>
    <t>DM CAR REMOVE/REFIT ½" CHECK VALVE (SHOEGEAR AND LINEBREAKER AUX), SUPPLIED WITH O-RINGS</t>
  </si>
  <si>
    <t>REPLACE 1/2" CHECK VALVE (SHOEGEAR AND LINEBREAKER AUX)</t>
  </si>
  <si>
    <t>JHOPL-WI-19-099</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</si>
  <si>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</si>
  <si>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</si>
  <si>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</si>
  <si>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</si>
  <si>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</si>
  <si>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</si>
  <si>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JHOPL-WI-19-100</t>
  </si>
  <si>
    <t>DM CAR REMOVE/REFIT ½" VENTED BALL VALVE (VLCV / SYSTEM DRAIN / WHISTLE)</t>
  </si>
  <si>
    <t>IROC 1/2 VENTED BALL VALVE - INTERNAL</t>
  </si>
  <si>
    <t>DM CAR REMOVE/REFIT ½" VENTED BALL VALVE (FLANGE MOUNTED)</t>
  </si>
  <si>
    <t>REPLACE 6 FLANGE MOUNTED VENTED BALL VALVES</t>
  </si>
  <si>
    <t>JD</t>
  </si>
  <si>
    <t>JHOPL-WI-19-103</t>
  </si>
  <si>
    <t>DM CAR REMOVE/REFIT AIR FLOW CUT-OFF VALVE BOGIE A</t>
  </si>
  <si>
    <t>REPLACE AIR FLOW CUT-OFF VALVE BOGIE A</t>
  </si>
  <si>
    <t>DK, UQ, CP, JB, ABS</t>
  </si>
  <si>
    <t>JHOPL-WI-19-106</t>
  </si>
  <si>
    <t>DM CAR REMOVE/REFIT SLEET BRUSH CONTROL VALVE</t>
  </si>
  <si>
    <t>REPLACE SLEET BRUSH CONTROL VALVE</t>
  </si>
  <si>
    <t>JHOPL-WI-19-107</t>
  </si>
  <si>
    <t>DM CAR REMOVE/REFIT AIR FLOW CUT-OFF VALVE BOGIE D</t>
  </si>
  <si>
    <t>REPLACE AIR FLOW CUT-OFF VALVE BOGIE D</t>
  </si>
  <si>
    <t>DM CAR REMOVE/REFIT CURRENT BALANCE DETECTOR RELAY (CBR)</t>
  </si>
  <si>
    <t>REPLACE - CURRENT BALANCE DETECTOR RELAY</t>
  </si>
  <si>
    <t>LN, KM</t>
  </si>
  <si>
    <t>JHOPL-WI-11-131</t>
  </si>
  <si>
    <t>DM - CAR REMOVE/REFIT RHEOSTATIC BRAKE RESISTOR FAN ASSEMBLY</t>
  </si>
  <si>
    <t>REPLACE RHEOSTATIC BRAKE RESISTOR FAN ASSEMBLY</t>
  </si>
  <si>
    <t>JHOPL-WI-11-140</t>
  </si>
  <si>
    <t>DM - CAR REMOVE/REFIT REVERSE VOLTAGE RELAY FUSE</t>
  </si>
  <si>
    <t>REPLACE -  REVERSE VOLTAGE RELAY FUSE</t>
  </si>
  <si>
    <t>Not fitted on this car (N/A)</t>
  </si>
  <si>
    <t>DM - CAR REMOVE/REFIT SHOE VOLTAGE RELAY FUSE 1 &amp; 2 (SVRF 1 &amp; 2)</t>
  </si>
  <si>
    <t>REPLACE SHOE VOLTAGE RELAY FUSE 1 &amp; 2</t>
  </si>
  <si>
    <t>KM</t>
  </si>
  <si>
    <t>DM CAR REMOVE/REFIT 5/3 WHISTLE CONTROL LEVER VALVE DM NON DRIVER'S SIDE</t>
  </si>
  <si>
    <t>REPLACE WHISTLE CONTROL LEVER VALVE</t>
  </si>
  <si>
    <t>DM CAR REMOVE/REFIT AUTOCOUPLER, DRAWGEAR, RADIAL SUPPORT BAR, LEFT AND RIGHT HAND CONTACT BOXES</t>
  </si>
  <si>
    <t>REPLACE AUTOCOUPLER AND DRAWGEAR</t>
  </si>
  <si>
    <t>JHOPL-WI-15-037
JHOPL-WI-16-046</t>
  </si>
  <si>
    <t>00:06:00</t>
  </si>
  <si>
    <t>DM CAR REMOVE/REFIT SEMI PERMANENT COUPLER BAR AND DRAWGEAR INTERMEDIATE A</t>
  </si>
  <si>
    <t>REPLACE SEMI PERMANENT COUPLER &amp; DRAWGEAR INTERMEDIATE A</t>
  </si>
  <si>
    <t>JHOPL-WI-15-039</t>
  </si>
  <si>
    <t>DM CAR REMOVE/REFIT ANTI-CLIMB BUFFER ASSEMBLY</t>
  </si>
  <si>
    <t>REPLACE ANTI-CLIMB BUFFER ASSEMBLY</t>
  </si>
  <si>
    <t>JHOPL-WI-16-043</t>
  </si>
  <si>
    <t>DM CAR REMOVE/REFIT ANTI-CLIMB BUFFER ASSEMBLY INTERMEDIATE</t>
  </si>
  <si>
    <t>REPLACE ANTI-CLIMB BUFFER ASSEMBLY INTERMEDIATE</t>
  </si>
  <si>
    <t>JHOPL-WI-16-044</t>
  </si>
  <si>
    <t>DM CAR REMOVE/REFIT LINE CURRENT MONITORING DEVICE</t>
  </si>
  <si>
    <t>REPLACE LINE CURRENT MONITORING DEVICE</t>
  </si>
  <si>
    <t>JHOPL-WI-11-133</t>
  </si>
  <si>
    <t>DM CAB REMOVE/REFIT CAB DESK HEATER</t>
  </si>
  <si>
    <t>REPLACE CAB DESK HEATER</t>
  </si>
  <si>
    <t>JHOPL-WI-18-159</t>
  </si>
  <si>
    <t>DM CAB REMOVE/REFIT CAB REFRIGERATION UNIT (CHILLER MODULE)</t>
  </si>
  <si>
    <t>REPLACE CAB REFRIGERATION UNIT</t>
  </si>
  <si>
    <t>JHOPL-WI-18-077</t>
  </si>
  <si>
    <t>DM CAB REMOVE/REFIT CAB AIR HANDLING UNIT (AHU)</t>
  </si>
  <si>
    <t>REPLACE CAB AHU</t>
  </si>
  <si>
    <t>JHOPL-WI-18-115</t>
  </si>
  <si>
    <t>DM CAR REMOVE/REFIT BRAKE SUPPLY RESERVOIR</t>
  </si>
  <si>
    <t>REPLACE BRAKE SUPPLY RESERVOIR</t>
  </si>
  <si>
    <t>JHOPL-WI-19-088</t>
  </si>
  <si>
    <t>DM CAR REMOVE/REFIT COUPLER HOSE / SEMI-PERM COUPLER HOSE</t>
  </si>
  <si>
    <t>REPLACE COUPLER HOSE/SEMI-PERM COUPLER HOSE</t>
  </si>
  <si>
    <t>JHOPL-WI-19-168</t>
  </si>
  <si>
    <t>DM UNDERFRAME REMOVE/REFIT DM COUPLER HOSES</t>
  </si>
  <si>
    <t>REPLACE 2 COUPLER HOSES</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</si>
  <si>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</si>
  <si>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</si>
  <si>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</si>
  <si>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</si>
  <si>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</si>
  <si>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</si>
  <si>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</si>
  <si>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</si>
  <si>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</si>
  <si>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</si>
  <si>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</si>
  <si>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</si>
  <si>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</si>
  <si>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</si>
  <si>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</si>
  <si>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</si>
  <si>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</si>
  <si>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</si>
  <si>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JHOPL-WI-17-158</t>
  </si>
  <si>
    <t>DM - CAR REMOVE/REFIT FILTER VOLTAGE MONITORING DEVICES VMD1, FVMD2, FVMD1, ALVMD.</t>
  </si>
  <si>
    <t xml:space="preserve">REPLACE FILTER VOLTAGE MONITORING DEVICE FVMD1, FVMD 2, VMD1. ALVMD, </t>
  </si>
  <si>
    <t>NA</t>
  </si>
  <si>
    <t>JHOPL-WI-11-016</t>
  </si>
  <si>
    <t>DM - CAR REMOVE/REFIT CAPACITOR PANEL ASSEMBLY</t>
  </si>
  <si>
    <t>JHOPL-WI-11-021</t>
  </si>
  <si>
    <t xml:space="preserve">DM - SHED SUPPLY FUSE </t>
  </si>
  <si>
    <t xml:space="preserve">IROC -  SHED SUPPLY FUSE </t>
  </si>
  <si>
    <t>JHOPL-WI-11-026</t>
  </si>
  <si>
    <t>DM - REMOVE AND REFIT CURRENT MONITORING DEVICES (CMDA, CMDB, CMDC)</t>
  </si>
  <si>
    <t>REPLACE CURRENT MONITORING DEVICES (CMDA, CMDB, CMDC)</t>
  </si>
  <si>
    <t>JL</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</si>
  <si>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</si>
  <si>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</si>
  <si>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</si>
  <si>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</si>
  <si>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</si>
  <si>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</si>
  <si>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</si>
  <si>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</si>
  <si>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</si>
  <si>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JHOPL-WI-17-067</t>
  </si>
  <si>
    <t>DM - WIPER MOTOR</t>
  </si>
  <si>
    <t>IROC - WIPER MOTOR</t>
  </si>
  <si>
    <t>Missing WI</t>
  </si>
  <si>
    <t>DM  - REMOVE/REFIT SALOON MODULAR SEATING - SEAT LOCK SPRING AND PIN SPRINGS</t>
  </si>
  <si>
    <t>REPLACE - SALOON MODULAR SEATING</t>
  </si>
  <si>
    <t>JHOPL-WI-13-028
JHOPL-WI-13-032</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</si>
  <si>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</si>
  <si>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</si>
  <si>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</si>
  <si>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</si>
  <si>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</si>
  <si>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</si>
  <si>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</si>
  <si>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</si>
  <si>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</si>
  <si>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</si>
  <si>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</si>
  <si>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</si>
  <si>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</si>
  <si>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</si>
  <si>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</si>
  <si>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</si>
  <si>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</si>
  <si>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</si>
  <si>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</si>
  <si>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</si>
  <si>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</si>
  <si>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</si>
  <si>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</si>
  <si>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</si>
  <si>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</si>
  <si>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</si>
  <si>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</si>
  <si>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DM - CAR REMOVE/REFIT MASTER CONTROL SWITCH (MCS)</t>
  </si>
  <si>
    <t>REPLACE MCS</t>
  </si>
  <si>
    <t>Missing - JHOPL-WI-17-065</t>
  </si>
  <si>
    <t>DM - CAR REMOVE/REFIT OUTPUT FILTER PANELS</t>
  </si>
  <si>
    <t>IROC - 6 X OUTPUT FILTER PANELS</t>
  </si>
  <si>
    <t>JHOPL-WI-11-022</t>
  </si>
  <si>
    <t>DM - REMOVE/REFITCAR SCREEN WASH TANK &amp; PUMP</t>
  </si>
  <si>
    <t>REPLACE SCREEN WASH TANK</t>
  </si>
  <si>
    <t>DM - ASK CAPAICTOR REPLACE</t>
  </si>
  <si>
    <t>REPLACED - ASK CAPAICTOR (NON ELECTROLYTIC CAPACITOR)</t>
  </si>
  <si>
    <t>DM - CAR REMOVE/REFIT AUXLIARY SUPPLY CONTACTOR (ASC)</t>
  </si>
  <si>
    <t>REPLACE ASC</t>
  </si>
  <si>
    <t>JHOPL-WI-17-157</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</si>
  <si>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</si>
  <si>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</si>
  <si>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</si>
  <si>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JHOPL-WI-19-172
JHOPL-WI-19-098
JHOPL-WI-19-100
JHOPL-WI-19-084</t>
  </si>
  <si>
    <t>Unit No: 96218</t>
  </si>
  <si>
    <t>TRIALER  UNDERFRAME REMOVE/REFIT CONTACTORS SA80</t>
  </si>
  <si>
    <t>REPLACE 5 CONTACTORS</t>
  </si>
  <si>
    <t>SC</t>
  </si>
  <si>
    <t>JHOPL-WI-17-058</t>
  </si>
  <si>
    <t>TRAILER  SALOON REMOVE/REFIT EMERGENCY LIGHT INVERTERS</t>
  </si>
  <si>
    <t>REPLACE 4 EMERGENCY LIGHT INVERTERS</t>
  </si>
  <si>
    <t>CDF</t>
  </si>
  <si>
    <t>TRAILER  SALOON REMOVE/REFIT MCBS</t>
  </si>
  <si>
    <t>REPLACE 18 MCBS</t>
  </si>
  <si>
    <t>TRAILER SALOON REMOVE/REFIT MORS SMITT RELAYS</t>
  </si>
  <si>
    <t>REPLACE 9 RELAYS</t>
  </si>
  <si>
    <t>TRAILER CAR REMOVE BOGIE A</t>
  </si>
  <si>
    <t>REMOVE BOGIE A (TYPE E)</t>
  </si>
  <si>
    <t>AB HS</t>
  </si>
  <si>
    <t>TRAILER CAR REFIT BOGIE A</t>
  </si>
  <si>
    <t>REFIT BOGIE A (TYPE E)</t>
  </si>
  <si>
    <t>CB, DD, SC, JD AS MA,AS</t>
  </si>
  <si>
    <t>TRAILER CAR REMOVE BOGIE D</t>
  </si>
  <si>
    <t>REMOVE BOGIE D (TYPE E)</t>
  </si>
  <si>
    <t>TRAILER CAR REFIT BOGIE D</t>
  </si>
  <si>
    <t>REFIT BOGIE D (TYPE E)</t>
  </si>
  <si>
    <t>TRAILER CAR REMOVE/REFIT WSP CONTROL UNIT</t>
  </si>
  <si>
    <t>REPLACE WSP CONTROL UNIT</t>
  </si>
  <si>
    <t>JHOPL-WI-19-161</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</si>
  <si>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</si>
  <si>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</si>
  <si>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</si>
  <si>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</si>
  <si>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</si>
  <si>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</si>
  <si>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JHOPL-WI-11-003</t>
  </si>
  <si>
    <t>TRAILER CAR REMOVE/REFIT BRAKE CYLINDER PRESSURE SWITCH 1 (ALL CARS)</t>
  </si>
  <si>
    <t>TRAILER CAR REMOVE/REFIT BRAKE CYLINDER PRESSURE SWITCH 2 (FOR TR CARS)</t>
  </si>
  <si>
    <t>TRAILER CAR REMOVE/REFIT ½" VENTED BALL VALVE (VLCV / SYSTEM DRAIN / AUTO DRAIN / WHISTLE)</t>
  </si>
  <si>
    <t>IROC 1/2" VENTED BALL VALVE - EXTERNAL</t>
  </si>
  <si>
    <t>TRAILER CAR REMOVE/REFIT VARIABLE LOAD VALVE - T/DIT CAR</t>
  </si>
  <si>
    <t>TRAILER CAR REMOVE/REFIT BRAKE RELEASE VALVE</t>
  </si>
  <si>
    <t>TRAILER CAR REMOVE/REFIT BRAKE CYLINDER SALOON GAUGES</t>
  </si>
  <si>
    <t>TRAILER CAR REMOVE/REFIT CLOSED LOOP ANALOGUE UNIT (CLAU) - T/ DIT CAR</t>
  </si>
  <si>
    <t>TRAILER CAR REMOVE/REFIT PNEUMATIC BRAKE DRIVER</t>
  </si>
  <si>
    <t>TRAILER CAR REMOVE/REFIT ¾" VENTED BALL VALVE (BCIC)</t>
  </si>
  <si>
    <t>IROC 3/4" VENTED BALL VALVE</t>
  </si>
  <si>
    <t>JHOPL-WI-19-081</t>
  </si>
  <si>
    <t>TRAILER CAR REMOVE/REFIT WSP DUMP VALVE - TRAILER</t>
  </si>
  <si>
    <t>TRAILER CAR REMOVE/REFIT DOOR AIR SUPPLY PRESSURE REGULATOR (SUPPLIED WITH O-RINGS)</t>
  </si>
  <si>
    <t>TRAILER CAR REMOVE/REFIT COMPRESSOR DELIVERY HOSE</t>
  </si>
  <si>
    <t>REPLACE COMPRESSOR DELIVERY HOSE</t>
  </si>
  <si>
    <t>JHOPL-WI-19-091</t>
  </si>
  <si>
    <t>TRAILER CAR REMOVE/REFIT 1/2" SILENCER (EXHAUST)</t>
  </si>
  <si>
    <t>IROC 1/2" SILENCER</t>
  </si>
  <si>
    <t>JHOPL-WI-19-170</t>
  </si>
  <si>
    <t>TRAILER CAR REMOVE/REFIT LOW COMPRESSOR DELIVERY PRESSURE SWITCH</t>
  </si>
  <si>
    <t>REPLACE LOW COMPRESSOR DELIVERY PRESSURE SWITCH</t>
  </si>
  <si>
    <t>JHOPL-WI-19-092</t>
  </si>
  <si>
    <t>TRAILER CAR REMOVE/REFIT COMPRESSOR GOVERNOR</t>
  </si>
  <si>
    <t>REPLACE COMPRESSOR GOVERNOR</t>
  </si>
  <si>
    <t>JHOPL-WI-19-171</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</si>
  <si>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</si>
  <si>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</si>
  <si>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</si>
  <si>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</si>
  <si>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</si>
  <si>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 xml:space="preserve">MAA </t>
  </si>
  <si>
    <t>TRAILER CAR REMOVE/REFIT MAINLINE RESERVOIR SAFETY VALVE</t>
  </si>
  <si>
    <t>REPLACE MAINLINE RESERVOIR SAFETY VAVLE</t>
  </si>
  <si>
    <t>JHOPL-WI-19-096</t>
  </si>
  <si>
    <t>TRAILER CAR REMOVE/REFIT COMPRESSOR NON-RETURN VALVE</t>
  </si>
  <si>
    <t>REPLACE COMPRESSOR NON-RETURN VALVE</t>
  </si>
  <si>
    <t>JHOPL-WI-19-173</t>
  </si>
  <si>
    <t>TRAILER CAR REMOVE/REFIT BSR CHECK VALVE (SUPPLIED WITH O-RINGS)</t>
  </si>
  <si>
    <t>TRAILER CAR REMOVE/REFIT ½" VENTED BALL VALVE (FLANGE MOUNTED)</t>
  </si>
  <si>
    <t>REPLACE 4 1/2" VENTED BALL VALVES (FLANGE MOUNTED)</t>
  </si>
  <si>
    <t xml:space="preserve">JD </t>
  </si>
  <si>
    <t>TRAILER CAR REMOVE/REFIT AIR FLOW CUT-OFF VALVE BOGIE A</t>
  </si>
  <si>
    <t>REPLACE AIR FLOW CUT - OFF VALVE BOGIE A</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</si>
  <si>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</si>
  <si>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</si>
  <si>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</si>
  <si>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</si>
  <si>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AR</t>
  </si>
  <si>
    <t>JHOPL-WI-21-111</t>
  </si>
  <si>
    <t>TRAILER CAR REMOVE/REFIT ANTI-CLIMB BUFFER ASSEMBLY INTERMEDIATE A END</t>
  </si>
  <si>
    <t>REPLACE ANTI-CLIMB BUFFER ASSEMBLY INTERMEDIATE A END</t>
  </si>
  <si>
    <t>REPLACE DRAWGEAR INTERMEDIATE A END WITH COUPLER BAR</t>
  </si>
  <si>
    <t>TRAILER CAR REMOVE/REFIT ANTI-CLIMB BUFFER ASSEMBLY INTERMEDIATE D END</t>
  </si>
  <si>
    <t>REPLACE ANTI-CLIMB BUFFER ASSEMBLY INTERMEDIATE D END</t>
  </si>
  <si>
    <t>TRAILER CAR REMOVE/REFIT DRAWGEAR INTERMEDIATE D END &amp; SEMI-PERMANENT COUPLER BAR</t>
  </si>
  <si>
    <t>REPLACE DRAWGEARINTERMEDIATE D END &amp; COUPLER BAR</t>
  </si>
  <si>
    <t>TRAILER CAR REMOVE/REFIT MAIN RESERVOIR</t>
  </si>
  <si>
    <t>REPLACE 2 MAIN RESERVOIRS</t>
  </si>
  <si>
    <t>JHOPL-WI-19-087</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</si>
  <si>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</si>
  <si>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</si>
  <si>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</si>
  <si>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</si>
  <si>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</si>
  <si>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JHOPL-WI-19-193</t>
  </si>
  <si>
    <t>TRAILER CAR REMOVE/REFIT 3-WAY BALL VALVE</t>
  </si>
  <si>
    <t>REPLACE 3-WAY BALL VALVE</t>
  </si>
  <si>
    <t>MAA, AOO</t>
  </si>
  <si>
    <t>JHOPL-WI-19-101</t>
  </si>
  <si>
    <t>TRAILER CAR REMOVE/REFIT ½" VENTED BALL VALVE (MAIN RESERVOIR MANUAL DRAIN VALVE)</t>
  </si>
  <si>
    <t>IROC 1/2" VENTED BALL VALVE -  INTERNAL</t>
  </si>
  <si>
    <t xml:space="preserve">MA </t>
  </si>
  <si>
    <t>JHOPL-WI-19-104</t>
  </si>
  <si>
    <t>TRAILER REMOVE/REFIT BATTERY SUPPLY CAPACITORS (BSK 1, 2, 3)  NON ELECTROLYTIC CAPACITOR</t>
  </si>
  <si>
    <t>REPLACE 3 BATTERY SUPPLY CAPACITORS (BSK 1, 2, 3) NON ELECTROLYTIC CAPACITOR</t>
  </si>
  <si>
    <t>JHOPL-WI-17-062</t>
  </si>
  <si>
    <t>TRAILER CAR REMOVE/REFIT BATTERY RECTIFIER CAPACITOR (BRK)  NON ELECTROLYTIC CAPACITOR</t>
  </si>
  <si>
    <t>REPLACE BATTERY RECTIFIER CAPACITOR (BRK)  NON ELECTROLYTIC CAPACITOR</t>
  </si>
  <si>
    <t>JHOPL-WI-17-061</t>
  </si>
  <si>
    <t>TRAILER - CAR - REMOVE/REFIT BATTERY ISOLATION CONTACTORS N(C-BIC1 AND C-BIC 2)</t>
  </si>
  <si>
    <t>REPLACE BATTERY ISOLATION CONTACTORS (C-BIC1 AND C-BIC 2)</t>
  </si>
  <si>
    <t>JHOPL-WI-17-049</t>
  </si>
  <si>
    <t xml:space="preserve">TRAILER -  REMOVE/REFIT BATTERY CURRENT MONITORING DEVICE </t>
  </si>
  <si>
    <t>REPLACE BCMD (L14 AND L19 TYPES)</t>
  </si>
  <si>
    <t>JHOPL-WI-17-060</t>
  </si>
  <si>
    <t xml:space="preserve">TRAILER -REMOVE/REFIT SALOON MODULAR SEATING - CATCH PLATE, GAS STRUT, SEAL, PINS, SPACE COVER AND INSULATION BLANKET </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</si>
  <si>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</si>
  <si>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</si>
  <si>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</si>
  <si>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</si>
  <si>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</si>
  <si>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</si>
  <si>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Unit No: 96418</t>
  </si>
  <si>
    <t>UNDM UNDERFRAME REMOVE/REFIT CONTACTOR  SA80</t>
  </si>
  <si>
    <t>REPLACE 1 CONTACTORS</t>
  </si>
  <si>
    <t>UNDM UNDERFRAME REMOVE/REFIT MORS SMITT RELAYS</t>
  </si>
  <si>
    <t>REPLACE 21 MORS SMITT RELAYS</t>
  </si>
  <si>
    <t>TM, LN</t>
  </si>
  <si>
    <t>UNDM SALOON  REMOVE/REFIT EMERGENCY LIGHT INVERTERS</t>
  </si>
  <si>
    <t>UNDM SALOON REMOVE/REFIT SIEMENS RELAYS</t>
  </si>
  <si>
    <t>RB</t>
  </si>
  <si>
    <t>UNDM SALOON REMOVE/REFIT MCBS</t>
  </si>
  <si>
    <t>REPLACE 27 MCBS</t>
  </si>
  <si>
    <t>UNDM SALOON REMOVE/REFIT MORS SMITT RELAYS</t>
  </si>
  <si>
    <t>REPLACE 7 RELAYS</t>
  </si>
  <si>
    <t>UNDM - TRACTION CUT-OUT SWITCH</t>
  </si>
  <si>
    <t>UNDM - SHED SUPPLY SWITCH AND RECEPTACLE ASSEMBLY</t>
  </si>
  <si>
    <t>LN JRL</t>
  </si>
  <si>
    <t>UNDM - CURRENT LINK FILTER INDUCTOR (AUXILIARY LINK FILTER INDUCTOR)</t>
  </si>
  <si>
    <t>UNDM - REMOVE/REFIT CURRENT LIMITING INDUCTOR</t>
  </si>
  <si>
    <t>UNDM - CONTROL SUPPLY RESISTOR (CSZ)</t>
  </si>
  <si>
    <t>UNDM -CAR REMOVE/REFIT LINE FILTER INDUCTOR</t>
  </si>
  <si>
    <t>CC, HS</t>
  </si>
  <si>
    <t>UNDM CAR REMOVE BOGIE A</t>
  </si>
  <si>
    <t>REMOVE BOGIE A (TYPE D)</t>
  </si>
  <si>
    <t>MR, HS</t>
  </si>
  <si>
    <t>UNDM CAR REFIT BOGIE A</t>
  </si>
  <si>
    <t>REFIT BOGIE A (TYPE D)</t>
  </si>
  <si>
    <t>CB,DD,SC,AO,PS,JJT,MA,AS</t>
  </si>
  <si>
    <t>UNDM CAR REMOVE BOGIE D</t>
  </si>
  <si>
    <t>REMOVE BOGIE D (TYPE D)</t>
  </si>
  <si>
    <t>TM, AB</t>
  </si>
  <si>
    <t>UNDM CAR REFIT BOGIE D</t>
  </si>
  <si>
    <t>REFIT BOGIE D (TYPE D)</t>
  </si>
  <si>
    <t>UNDM CAR REMOVE/REFIT LINE BREAKER CONTACTOR 1 AND 3</t>
  </si>
  <si>
    <t>UNDM CAR REMOVE/REFIT LINE BREAKER CONTACTOR 2 AND 4</t>
  </si>
  <si>
    <t>UNDM CAR REMOVE/REFIT FILTER HARD CROWBAR THYRISTOR ASSEMBLY</t>
  </si>
  <si>
    <t>UNDM CAR REMOVE/REFIT POWER SUPPLY UNIT</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</si>
  <si>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</si>
  <si>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</si>
  <si>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</si>
  <si>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</si>
  <si>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</si>
  <si>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</si>
  <si>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</si>
  <si>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UNDM - WHEEL SPEED PROBE - MOTOR</t>
  </si>
  <si>
    <t>UNDM CAR REMOVE/REFIT UNCOUPLER SWITCH UNDM</t>
  </si>
  <si>
    <t>JHOPL-WI-15-148</t>
  </si>
  <si>
    <t>UNDM CAR REMOVE/REFIT PROPULSION INVERTER MODULE</t>
  </si>
  <si>
    <t>UNDM CAR REMOVE/REFIT RHEOSTATIC BRAKE MODULE</t>
  </si>
  <si>
    <t>REPLACE RHEOSTATIC BRAKE MODULE</t>
  </si>
  <si>
    <t>JHOPL-WI-11-134</t>
  </si>
  <si>
    <t>UNDM CAR REMOVE/REFIT LINE FILTER CAPACITOR TRAY 6 CAP - KF</t>
  </si>
  <si>
    <t>REPLACE LINE FILTER CAPACITOR TRAY 6 CAP KF</t>
  </si>
  <si>
    <t>JHOPL-WI-11-009</t>
  </si>
  <si>
    <t>UNDM CAR REMOVE/REFIT LINE FILTER CAPACITOR TRAY 10 CAP</t>
  </si>
  <si>
    <t>REPLACE LINE FILTER CAPACITOR TRAY 10 CAP</t>
  </si>
  <si>
    <t>UNDM CAR REMOVE/REFIT BRAKE CYLINDER PRESSURE SWITCH 1 (FOR ALL CARS)</t>
  </si>
  <si>
    <t>UNDM CAR REMOVE/REFIT BRAKE CYLINDER PRESSURE SWITCH 2 (FOR DM/UNDM)</t>
  </si>
  <si>
    <t>UNDM CAR REMOVE/REFIT ½" VENTED BALL VALVE (VLCV / SYSTEM DRAIN / WHISTLE)</t>
  </si>
  <si>
    <t>UNDM CAR REMOVE/REFIT VARIABLE LOAD VALVE - UNDM CAR</t>
  </si>
  <si>
    <t>UNDM CAR REMOVE/REFIT BRAKE RELEASE VALVE</t>
  </si>
  <si>
    <t>UNDM CAR REMOVE/REFIT BRAKE CYLINDER SALOON GAUGES</t>
  </si>
  <si>
    <t>UNDM CAR REMOVE/REFIT CLOSED LOOP ANALOGUE UNIT (CLAU) - UNDM CAR</t>
  </si>
  <si>
    <t>UNDM CAR REMOVE/REFIT PNEUMATIC BRAKE DRIVER</t>
  </si>
  <si>
    <t>UNDM CAR REMOVE/REFIT ¾" GANGED VENTED COCKS (BCIC/PBIC)</t>
  </si>
  <si>
    <t>MJ, AM, JB</t>
  </si>
  <si>
    <t>UNDM CAR REMOVE/REFIT WSP DUMP VALVE - MOTOR</t>
  </si>
  <si>
    <t>UNDM CAR REMOVE/REFIT WHISTLE - TYPE 3C (ENHANCED)</t>
  </si>
  <si>
    <t>REPLACE WHISTLE</t>
  </si>
  <si>
    <t>JHOPL-WI-19-119</t>
  </si>
  <si>
    <t>UNDM CAR REMOVE/REFIT WHISTLE CONTROL VALVE &amp; BUTTON ASSY UNDM</t>
  </si>
  <si>
    <t>MA. KA</t>
  </si>
  <si>
    <t>JHOPL-WI-19-085</t>
  </si>
  <si>
    <t>UNDM CAR REMOVE/REFIT TRACTION SUPPLY PRESSURE REGULATOR</t>
  </si>
  <si>
    <t>UNDM CAR REMOVE/REFIT DOOR AIR SUPPLY PRESSURE REGULATOR (SUPPLIED WITH O-RINGS)</t>
  </si>
  <si>
    <t>UNDM CAR REMOVE/REFIT LOW MAIN LINE PRESSURE SWITCH</t>
  </si>
  <si>
    <t>REPLACE LOW MAIN LINE PRESSURE SWITCH</t>
  </si>
  <si>
    <t>UNDM CAR REMOVE/REFIT COUPLING-TEST POINT-QUICK RELEASE</t>
  </si>
  <si>
    <t>UNDM CAR REMOVE/REFIT MAINLINE CAB GAUGE</t>
  </si>
  <si>
    <t>UNDM CAR REMOVE/REFIT PRESSURE GAUGE (DOOR/TRACTION SUPP)</t>
  </si>
  <si>
    <t>IROC PRESSURE GAUGES (DOOR &amp; TRACTION SUPPLY)</t>
  </si>
  <si>
    <t>NO</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</si>
  <si>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</si>
  <si>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</si>
  <si>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</si>
  <si>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</si>
  <si>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IROC 1/2" VENTED BALL VALVE (VLCV / SYSTEM DRAIN / WHISTLE) - INTERNAL</t>
  </si>
  <si>
    <t>MAL</t>
  </si>
  <si>
    <t>UNDM CAR REMOVE/REFIT ½" VENTED BALL VALVE (FLANGE MOUNTED)</t>
  </si>
  <si>
    <t>REPLACE 5 FLANGE MOUNTED VENTED BALL VALVES</t>
  </si>
  <si>
    <t>UNDM CAR REMOVE/REFIT AIR FLOW CUT-OFF VALVE BOGIE A</t>
  </si>
  <si>
    <t>UNDM CAR REMOVE/REFIT AIR FLOW CUT-OFF VALVE BOGIE D</t>
  </si>
  <si>
    <t>UNDM CAR REMOVE/REFIT RELAY PANEL 3</t>
  </si>
  <si>
    <t>IROC - RELAY PANEL 3 (RP3)</t>
  </si>
  <si>
    <t>JHOPL-WI-11-005</t>
  </si>
  <si>
    <t>UNDM CAR REMOVE/REFIT CURRENT BALANCE DETECTOR RELAY (CBR)</t>
  </si>
  <si>
    <t>UNDM -CAR REMOVE/REFIT RHEOSTATIC BRAKE RESISTOR FAN ASSEMBLY</t>
  </si>
  <si>
    <t>UNDM -  CAR REMOVE/REFIT REVERSE VOLTAGE RELAY FUSE</t>
  </si>
  <si>
    <t>REPLACE  REVERSE VOLTAGE RELAY FUSE</t>
  </si>
  <si>
    <t>UNDM -  CAR REMOVE/REFIT SHOE VOLTAGE RELAY FUSE 1 &amp; 2 (SVRF 1 &amp; 2)</t>
  </si>
  <si>
    <t xml:space="preserve">KM </t>
  </si>
  <si>
    <t>UNDM CAR REMOVE/REFIT AUTOCOUPLER UNDM RH 3-CAR, DRAWGEAR, RADIAL SUPPORT BAR, CONTACT BOX ASSY L/H &amp; CONTACT BOX ASSY R/H</t>
  </si>
  <si>
    <t>REPLACE AUTOCOUPLER UNDM RH 3-CAR, DRAWGEAR &amp; CONTACT BOX L &amp; R HAND</t>
  </si>
  <si>
    <t>JHOPL-WI-15-038
JHOPL-WI-16-046</t>
  </si>
  <si>
    <t>UNDM CAR REMOVE/REFIT SEMI PERMANENT COUPLER BAR &amp; DRAWGEAR INTERMEDIATE A</t>
  </si>
  <si>
    <t>REPLACE INTERMEDIATE A DRAWGEAR AND SEMI PERMANENT COUPLER BAR</t>
  </si>
  <si>
    <t>UNDM CAR REMOVE/REFIT ANTI-CLIMB BUFFER ASSEMBLY UNDM</t>
  </si>
  <si>
    <t>JHOPL-WI-16-045</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</si>
  <si>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</si>
  <si>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</si>
  <si>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</si>
  <si>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</si>
  <si>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</si>
  <si>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</si>
  <si>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</si>
  <si>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</si>
  <si>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</si>
  <si>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</si>
  <si>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 xml:space="preserve">UNDM - SHED SUPPLY FUSE </t>
  </si>
  <si>
    <t xml:space="preserve">REPLACE  SHED SUPPLY FUSE </t>
  </si>
  <si>
    <t>UNDM - WIPER MOTOR</t>
  </si>
  <si>
    <t>JHOPL-WI-17-050</t>
  </si>
  <si>
    <t>DM - CAR REMOVE/REFIT FILTER VOLTAGE MONITORING DEVICES VMD1, FVMD1</t>
  </si>
  <si>
    <t>REPLACE FILTER VOLTAGE MONITORING DEVICE FVMD1, VMD1</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</si>
  <si>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</si>
  <si>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</si>
  <si>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</si>
  <si>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</si>
  <si>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</si>
  <si>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</si>
  <si>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</si>
  <si>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</si>
  <si>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</si>
  <si>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</si>
  <si>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</si>
  <si>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</si>
  <si>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</si>
  <si>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JHOPL-WI-19-085
JHOPL-WI-19-098</t>
  </si>
  <si>
    <t>Unit No: 96513</t>
  </si>
  <si>
    <t>MM</t>
  </si>
  <si>
    <t>AOO, AS</t>
  </si>
  <si>
    <t>DK, MMA</t>
  </si>
  <si>
    <t>DD, AM</t>
  </si>
  <si>
    <t>CP, DK, AM, CC, UQ, JB</t>
  </si>
  <si>
    <t>CB,DD,SC,MA,JD,AO,AOO,PS,AS</t>
  </si>
  <si>
    <t>CB, DD, SC, UQ, CP, AM, DK, CC, ASM, JB</t>
  </si>
  <si>
    <t>Remove - LN
Refit - DH, AO</t>
  </si>
  <si>
    <t>JD, AR, JT</t>
  </si>
  <si>
    <t>MJ, TL, ASZ</t>
  </si>
  <si>
    <t>MAA, CC. AL</t>
  </si>
  <si>
    <t>MA, KA</t>
  </si>
  <si>
    <t>MJ</t>
  </si>
  <si>
    <t>MJ. SA</t>
  </si>
  <si>
    <t>PM</t>
  </si>
  <si>
    <t>DK, UQ, CP, JB, MA MAA</t>
  </si>
  <si>
    <t>UNDM CAR REMOVE/REFIT CURRENT BALANCE RELAY PANEL</t>
  </si>
  <si>
    <t>IROC - CURRENT BALANCE RELAY PANEL</t>
  </si>
  <si>
    <t>UNDM CAR REMOVE/REFIT AUTOCOUPLER UNDM RH 4-CAR, DRAWGEAR, RADIAL SUPPORT BAR, CONTACT BOX ASSY L/H &amp; CONTACT BOX ASSY R/H</t>
  </si>
  <si>
    <t>REPLACE AUTOCOUPLER UNDM RH 4-CAR, DRAWGEAR &amp; CONTACT BOX L &amp; R HAND</t>
  </si>
  <si>
    <t>Unit No: 96713</t>
  </si>
  <si>
    <t>SPECIAL TRAILER  SALOON REMOVE/REFIT EMERGENCY LIGHT INVERTERS</t>
  </si>
  <si>
    <t>SPECIAL TRAILER  SALOON REMOVE/REFIT MCBS</t>
  </si>
  <si>
    <t>REPLACE 19 MCBS</t>
  </si>
  <si>
    <t>SPECIAL TRAILER SALOON REMOVE/REFIT MORS SMITT RELAYS</t>
  </si>
  <si>
    <t>KA, MMA</t>
  </si>
  <si>
    <t>SPECIAL TRAILER CAR REMOVE BOGIE A</t>
  </si>
  <si>
    <t>REMOVE BOGIE A (TYPE G)</t>
  </si>
  <si>
    <t>DK, CP, AM, UQ, JB</t>
  </si>
  <si>
    <t>SPECIAL TRAILER CAR REFIT BOGIE A</t>
  </si>
  <si>
    <t>REFIT BOGIE A (TYPE G)</t>
  </si>
  <si>
    <t>AOO,CB,JT,AS,PS,AO,JD,MA</t>
  </si>
  <si>
    <t>SPECIAL TRAILER CAR REMOVE BOGIE D</t>
  </si>
  <si>
    <t>REMOVE BOGIE D (TYPE G)</t>
  </si>
  <si>
    <t>SPECIAL TRAILER CAR REFIT BOGIE D</t>
  </si>
  <si>
    <t>REFIT BOGIE D (TYPE G)</t>
  </si>
  <si>
    <t>SPECIAL TRAILER CAR REMOVE/REFIT WSP CONTROL UNIT</t>
  </si>
  <si>
    <t>SPECIAL TRAILER CAR REMOVE/REFIT SERVICE BRAKE DROP HOSE BOGIE A</t>
  </si>
  <si>
    <t>SPECIAL TRAILER CAR REMOVE/REFIT SERVICE BRAKE DROP HOSE BOGIE D</t>
  </si>
  <si>
    <t>SPECIAL TRAILER - AXLE-END SPEED PROBE HOUSING (WSP)</t>
  </si>
  <si>
    <t xml:space="preserve">AOO , DH </t>
  </si>
  <si>
    <t>SPECIAL TRAILER CAR REMOVE/REFIT BRAKE CYLINDER PRESSURE SWITCH 1 (FOR ALL CARS)</t>
  </si>
  <si>
    <t>SPECIAL TRAILER CAR REMOVE/REFIT BRAKE CYLINDER PRESSURE SWITCH 2 (FOR TR CARS)</t>
  </si>
  <si>
    <t>SPECIAL TRAILER CAR REMOVE/REFIT ½" VENTED BALL VALVE (VLCV / SYSTEM DRAIN / WHISTLE)</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</si>
  <si>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</si>
  <si>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</si>
  <si>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</si>
  <si>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</si>
  <si>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</si>
  <si>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SPECIAL TRAILER CAR REMOVE/REFIT ¾" VENTED BALL VALVE (BCIC)</t>
  </si>
  <si>
    <t>SPECIAL TRAILER CAR REMOVE/REFIT WSP DUMP VALVE - TRAILER</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</si>
  <si>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</si>
  <si>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</si>
  <si>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</si>
  <si>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</si>
  <si>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</si>
  <si>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</si>
  <si>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</si>
  <si>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</si>
  <si>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</si>
  <si>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</si>
  <si>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</si>
  <si>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</si>
  <si>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</si>
  <si>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t>REPLACE DRAWGEAR INTERMEDIATE D END WITH COUPLER BAR</t>
  </si>
  <si>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</si>
  <si>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</si>
  <si>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</si>
  <si>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</si>
  <si>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</si>
  <si>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</si>
  <si>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</si>
  <si>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</si>
  <si>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96313</t>
  </si>
  <si>
    <t>CB, DD, SC</t>
  </si>
  <si>
    <t>TRAILER CAR REMOVE/REFIT BRAKE CYLINDER PRESSURE SWITCH 1 (FOR ALL CARS)</t>
  </si>
  <si>
    <t>TRAILER CAR REMOVE/REFIT ½" VENTED BALL VALVE (VLCV / SYSTEM DRAIN / WHISTLE)</t>
  </si>
  <si>
    <t xml:space="preserve">No </t>
  </si>
  <si>
    <t>OM</t>
  </si>
  <si>
    <t>REPLACE DRAWGEAR INTERMEDIATE A END</t>
  </si>
  <si>
    <t>REPLACE DRAWGEAR INTERMEDIATE D END</t>
  </si>
  <si>
    <t>REPLACE 2 UNDM &amp; STC CARS COUPLER HOSE/SEMI-PERM COUPLER HOSE</t>
  </si>
  <si>
    <t>IROC 2 1/2" VENTED BALL VALVE (MAIN RESERVOIR MANUAL DRAIN VALVE)</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</si>
  <si>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</si>
  <si>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</si>
  <si>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</si>
  <si>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</si>
  <si>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</si>
  <si>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96113</t>
  </si>
  <si>
    <t>KA, MAA</t>
  </si>
  <si>
    <t>DH</t>
  </si>
  <si>
    <t>CB, DD, SC,JD,JT,AS,MA,PS</t>
  </si>
  <si>
    <t>CB, DD, SC, CP, AM, JB, CC, QA, ASM</t>
  </si>
  <si>
    <t>Remove - JL
Refit - NA</t>
  </si>
  <si>
    <t>GT, TL, ASZ</t>
  </si>
  <si>
    <t>SA</t>
  </si>
  <si>
    <t>DM CAR REMOVE/REFIT WHISTLE CONTROL LEVER VALVE (DM DRIVER'S SIDE)</t>
  </si>
  <si>
    <t>KA</t>
  </si>
  <si>
    <t>CP</t>
  </si>
  <si>
    <t>N/A</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</si>
  <si>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</si>
  <si>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</si>
  <si>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</si>
  <si>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</si>
  <si>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</si>
  <si>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</si>
  <si>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</si>
  <si>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</si>
  <si>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</si>
  <si>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</si>
  <si>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</si>
  <si>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</si>
  <si>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MORS SMITT</t>
  </si>
  <si>
    <t>LPA</t>
  </si>
  <si>
    <t>SIEMENS</t>
  </si>
  <si>
    <t>JHOPL</t>
  </si>
  <si>
    <t>ALSTOM</t>
  </si>
  <si>
    <t>TIDYCO</t>
  </si>
  <si>
    <t>WABTEC</t>
  </si>
  <si>
    <t>KBRS</t>
  </si>
  <si>
    <t>REW</t>
  </si>
  <si>
    <t>WILLIAM COOK</t>
  </si>
  <si>
    <t>VOITH</t>
  </si>
  <si>
    <t>LH GROUP</t>
  </si>
  <si>
    <t>REPLACE -  DM CAR REMOVE/REFIT CAPACITOR PANEL ASSEMBLY</t>
  </si>
  <si>
    <t>JHOPL - MORS SMITT</t>
  </si>
  <si>
    <t>JHOPL - ALSTOM</t>
  </si>
  <si>
    <t>JHOPL - KBRS</t>
  </si>
  <si>
    <t>R. BAKER</t>
  </si>
  <si>
    <t>JHOPL - TBC</t>
  </si>
  <si>
    <t>JHOPL - REW</t>
  </si>
  <si>
    <t>ABB</t>
  </si>
  <si>
    <t>JHOPL - Norgren</t>
  </si>
  <si>
    <t>JHOPL-WI-17-073</t>
  </si>
  <si>
    <t xml:space="preserve">IROC 1/2" VENTED BALL VALVE </t>
  </si>
  <si>
    <t>REPLACE WHISTLE CONTROL LEVER VALVE (DRIVER SIDE AND INSTRUCTOR SIDE)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</si>
</sst>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19" x14ac:knownFonts="1">
    <font>
      <sz val="12"/>
      <color theme="1"/>
      <name val="Arial"/>
      <family val="2"/>
    </font>
    <font>
      <sz val="11"/>
      <color theme="1"/>
      <name val="Calibri"/>
      <family val="2"/>
      <scheme val="minor"/>
    </font>
    <font>
      <sz val="1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2"/>
      <color theme="1"/>
      <name val="Calibri"/>
      <family val="2"/>
    </font>
    <font>
      <sz val="11"/>
      <color rgb="FF000000"/>
      <name val="Calibri"/>
      <family val="2"/>
    </font>
    <font>
      <sz val="12"/>
      <color theme="0" tint="-0.34998626667073579"/>
      <name val="Arial"/>
      <family val="2"/>
    </font>
    <font>
      <sz val="12"/>
      <color rgb="FF000000"/>
      <name val="Arial"/>
      <family val="2"/>
    </font>
    <font>
      <sz val="12"/>
      <color rgb="FFFF0000"/>
      <name val="Arial"/>
      <family val="2"/>
    </font>
    <font>
      <b/>
      <sz val="16"/>
      <color rgb="FF000000"/>
      <name val="Arial"/>
      <family val="2"/>
    </font>
    <font>
      <b/>
      <sz val="11"/>
      <color rgb="FFFF0000"/>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
      <patternFill patternType="solid">
        <fgColor rgb="FFF2881E"/>
        <bgColor indexed="64"/>
      </patternFill>
    </fill>
  </fills>
  <borders count="39">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theme="0" tint="-0.249977111117893"/>
      </right>
      <top style="thin">
        <color theme="0" tint="-0.249977111117893"/>
      </top>
      <bottom style="thin">
        <color theme="0" tint="-0.249977111117893"/>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diagonal/>
    </border>
    <border>
      <left style="thin">
        <color theme="0" tint="-0.249977111117893"/>
      </left>
      <right/>
      <top/>
      <bottom/>
      <diagonal/>
    </border>
    <border>
      <left style="thin">
        <color indexed="64"/>
      </left>
      <right style="thin">
        <color indexed="64"/>
      </right>
      <top style="thin">
        <color indexed="64"/>
      </top>
      <bottom style="thin">
        <color indexed="64"/>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
      <left style="thick">
        <color indexed="8"/>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s>
  <cellStyleXfs count="2">
    <xf numFmtId="0" fontId="0" fillId="0" borderId="0"/>
    <xf numFmtId="9" fontId="5" fillId="0" borderId="0" applyFont="0" applyFill="0" applyBorder="0" applyAlignment="0" applyProtection="0"/>
  </cellStyleXfs>
  <cellXfs count="186">
    <xf numFmtId="0" fontId="0" fillId="0" borderId="0" xfId="0"/>
    <xf numFmtId="0" fontId="0" fillId="0" borderId="0" xfId="0" applyAlignment="1">
      <alignment vertical="top" wrapText="1"/>
    </xf>
    <xf numFmtId="0" fontId="1" fillId="2" borderId="1" xfId="0" applyFont="1" applyFill="1" applyBorder="1" applyAlignment="1">
      <alignment horizontal="center" vertical="top"/>
    </xf>
    <xf numFmtId="0" fontId="0" fillId="0" borderId="0" xfId="0" applyAlignment="1">
      <alignment wrapText="1"/>
    </xf>
    <xf numFmtId="0" fontId="1" fillId="0" borderId="1" xfId="0" applyFont="1" applyBorder="1" applyAlignment="1">
      <alignment horizontal="center" vertical="top"/>
    </xf>
    <xf numFmtId="0" fontId="1" fillId="0" borderId="1" xfId="0" applyFont="1" applyBorder="1" applyAlignment="1">
      <alignment horizontal="center" vertical="top" wrapText="1"/>
    </xf>
    <xf numFmtId="0" fontId="1" fillId="0" borderId="1" xfId="0" applyFont="1" applyBorder="1" applyAlignment="1">
      <alignment wrapText="1"/>
    </xf>
    <xf numFmtId="0" fontId="0" fillId="2" borderId="0" xfId="0" applyFill="1"/>
    <xf numFmtId="0" fontId="3"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wrapText="1"/>
    </xf>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1" applyFont="1" applyFill="1" applyBorder="1"/>
    <xf numFmtId="9" fontId="6" fillId="0" borderId="6" xfId="1" applyFont="1" applyFill="1" applyBorder="1"/>
    <xf numFmtId="0" fontId="0" fillId="0" borderId="14" xfId="0" applyBorder="1"/>
    <xf numFmtId="0" fontId="0" fillId="0" borderId="6" xfId="0" applyBorder="1"/>
    <xf numFmtId="0" fontId="6" fillId="6" borderId="0" xfId="0" applyFont="1" applyFill="1" applyAlignment="1">
      <alignment vertical="top" wrapText="1"/>
    </xf>
    <xf numFmtId="0" fontId="6" fillId="5" borderId="2" xfId="0" applyFont="1" applyFill="1"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0" fillId="8" borderId="10" xfId="0" applyFill="1" applyBorder="1"/>
    <xf numFmtId="0" fontId="0" fillId="8" borderId="0" xfId="0" applyFill="1"/>
    <xf numFmtId="0" fontId="0" fillId="8" borderId="9" xfId="0" applyFill="1" applyBorder="1"/>
    <xf numFmtId="0" fontId="0" fillId="4" borderId="0" xfId="0" applyFill="1" applyAlignment="1">
      <alignment vertical="center" wrapText="1"/>
    </xf>
    <xf numFmtId="0" fontId="0" fillId="0" borderId="0" xfId="0" applyAlignment="1">
      <alignment vertical="center" wrapText="1"/>
    </xf>
    <xf numFmtId="0" fontId="6" fillId="0" borderId="15" xfId="0" applyFont="1" applyBorder="1"/>
    <xf numFmtId="0" fontId="6" fillId="0" borderId="16" xfId="0" applyFont="1" applyBorder="1"/>
    <xf numFmtId="0" fontId="0" fillId="0" borderId="13" xfId="0" applyBorder="1"/>
    <xf numFmtId="0" fontId="6" fillId="9" borderId="0" xfId="0" applyFont="1" applyFill="1" applyAlignment="1">
      <alignment vertical="top" wrapText="1"/>
    </xf>
    <xf numFmtId="0" fontId="8" fillId="5" borderId="6"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4" xfId="0" applyFont="1" applyFill="1" applyBorder="1" applyAlignment="1">
      <alignment horizontal="center" vertical="center" textRotation="90" wrapText="1"/>
    </xf>
    <xf numFmtId="0" fontId="8" fillId="5" borderId="5" xfId="0" applyFont="1" applyFill="1" applyBorder="1" applyAlignment="1">
      <alignment horizontal="center" vertical="center" textRotation="90" wrapText="1"/>
    </xf>
    <xf numFmtId="0" fontId="8" fillId="5" borderId="5" xfId="0" applyFont="1" applyFill="1" applyBorder="1" applyAlignment="1">
      <alignment horizontal="center" vertical="center" wrapText="1"/>
    </xf>
    <xf numFmtId="0" fontId="1" fillId="0" borderId="1" xfId="0" applyFont="1" applyBorder="1" applyAlignment="1">
      <alignment horizontal="center" wrapText="1"/>
    </xf>
    <xf numFmtId="49" fontId="1" fillId="0" borderId="1" xfId="0" applyNumberFormat="1" applyFont="1" applyBorder="1" applyAlignment="1">
      <alignment horizontal="center" wrapText="1"/>
    </xf>
    <xf numFmtId="49" fontId="1" fillId="0" borderId="1" xfId="0" applyNumberFormat="1" applyFont="1" applyBorder="1" applyAlignment="1">
      <alignment horizontal="left" wrapText="1"/>
    </xf>
    <xf numFmtId="0" fontId="9" fillId="3" borderId="0" xfId="0" applyFont="1" applyFill="1" applyAlignment="1">
      <alignment wrapText="1"/>
    </xf>
    <xf numFmtId="0" fontId="9" fillId="3" borderId="0" xfId="0" applyFont="1" applyFill="1" applyAlignment="1">
      <alignment vertical="center" wrapText="1"/>
    </xf>
    <xf numFmtId="0" fontId="9" fillId="3" borderId="0" xfId="0" applyFont="1" applyFill="1" applyAlignment="1">
      <alignment horizontal="center" vertical="center" wrapText="1"/>
    </xf>
    <xf numFmtId="0" fontId="0" fillId="0" borderId="2" xfId="0" applyBorder="1"/>
    <xf numFmtId="0" fontId="0" fillId="0" borderId="10" xfId="0" applyBorder="1"/>
    <xf numFmtId="0" fontId="8" fillId="5" borderId="13" xfId="0" applyFont="1" applyFill="1" applyBorder="1" applyAlignment="1">
      <alignment horizontal="center" vertical="center" wrapText="1"/>
    </xf>
    <xf numFmtId="0" fontId="8" fillId="5" borderId="22" xfId="0" applyFont="1" applyFill="1" applyBorder="1" applyAlignment="1">
      <alignment horizontal="center" vertical="center" wrapText="1"/>
    </xf>
    <xf numFmtId="0" fontId="8" fillId="5" borderId="23" xfId="0" applyFont="1" applyFill="1" applyBorder="1" applyAlignment="1">
      <alignment horizontal="center" vertical="center" textRotation="90" wrapText="1"/>
    </xf>
    <xf numFmtId="0" fontId="8" fillId="5" borderId="24" xfId="0" applyFont="1" applyFill="1" applyBorder="1" applyAlignment="1">
      <alignment horizontal="center" vertical="center" textRotation="90" wrapText="1"/>
    </xf>
    <xf numFmtId="0" fontId="8" fillId="5" borderId="24" xfId="0" applyFont="1" applyFill="1" applyBorder="1" applyAlignment="1">
      <alignment horizontal="center" vertical="center" wrapText="1"/>
    </xf>
    <xf numFmtId="0" fontId="6" fillId="5" borderId="2" xfId="0" applyFont="1" applyFill="1" applyBorder="1" applyAlignment="1">
      <alignment horizontal="center" vertical="center" wrapText="1"/>
    </xf>
    <xf numFmtId="0" fontId="8" fillId="5" borderId="14" xfId="0" applyFont="1" applyFill="1" applyBorder="1" applyAlignment="1">
      <alignment horizontal="center" vertical="center" wrapText="1"/>
    </xf>
    <xf numFmtId="164" fontId="0" fillId="0" borderId="0" xfId="0" applyNumberFormat="1" applyAlignment="1">
      <alignment wrapText="1"/>
    </xf>
    <xf numFmtId="164" fontId="8" fillId="5" borderId="5" xfId="0" applyNumberFormat="1" applyFont="1" applyFill="1" applyBorder="1" applyAlignment="1">
      <alignment horizontal="center" vertical="center" wrapText="1"/>
    </xf>
    <xf numFmtId="0" fontId="0" fillId="9" borderId="0" xfId="0" applyFill="1"/>
    <xf numFmtId="0" fontId="0" fillId="10" borderId="0" xfId="0" applyFill="1" applyAlignment="1">
      <alignment wrapText="1"/>
    </xf>
    <xf numFmtId="0" fontId="0" fillId="10" borderId="11" xfId="0" applyFill="1" applyBorder="1" applyAlignment="1">
      <alignment wrapText="1"/>
    </xf>
    <xf numFmtId="0" fontId="1" fillId="10" borderId="27" xfId="0" applyFont="1" applyFill="1" applyBorder="1" applyAlignment="1">
      <alignment horizontal="center" vertical="center" wrapText="1"/>
    </xf>
    <xf numFmtId="0" fontId="0" fillId="10" borderId="27" xfId="0" applyFill="1" applyBorder="1" applyAlignment="1">
      <alignment horizontal="center" vertical="center" wrapText="1"/>
    </xf>
    <xf numFmtId="14" fontId="0" fillId="10" borderId="27" xfId="0" applyNumberFormat="1" applyFill="1" applyBorder="1" applyAlignment="1">
      <alignment horizontal="center" vertical="center" wrapText="1"/>
    </xf>
    <xf numFmtId="0" fontId="12" fillId="10" borderId="27" xfId="0" applyFont="1" applyFill="1" applyBorder="1" applyAlignment="1">
      <alignment horizontal="center" vertical="center" wrapText="1"/>
    </xf>
    <xf numFmtId="14" fontId="1" fillId="10" borderId="27" xfId="0" applyNumberFormat="1" applyFont="1" applyFill="1" applyBorder="1" applyAlignment="1">
      <alignment horizontal="center" vertical="center" wrapText="1"/>
    </xf>
    <xf numFmtId="0" fontId="1" fillId="10" borderId="28" xfId="0" applyFont="1" applyFill="1" applyBorder="1" applyAlignment="1">
      <alignment horizontal="center" vertical="center" wrapText="1"/>
    </xf>
    <xf numFmtId="0" fontId="1" fillId="10" borderId="29" xfId="0" applyFont="1" applyFill="1" applyBorder="1" applyAlignment="1">
      <alignment horizontal="center" vertical="center" wrapText="1"/>
    </xf>
    <xf numFmtId="0" fontId="0" fillId="10" borderId="29" xfId="0" applyFill="1" applyBorder="1" applyAlignment="1">
      <alignment horizontal="center" vertical="center" wrapText="1"/>
    </xf>
    <xf numFmtId="14" fontId="0" fillId="10" borderId="29" xfId="0" applyNumberFormat="1" applyFill="1" applyBorder="1" applyAlignment="1">
      <alignment horizontal="center" vertical="center" wrapText="1"/>
    </xf>
    <xf numFmtId="164" fontId="1" fillId="10" borderId="30" xfId="0" applyNumberFormat="1" applyFont="1" applyFill="1" applyBorder="1" applyAlignment="1">
      <alignment horizontal="center" vertical="center" wrapText="1"/>
    </xf>
    <xf numFmtId="0" fontId="1" fillId="10" borderId="31" xfId="0" applyFont="1" applyFill="1" applyBorder="1" applyAlignment="1">
      <alignment horizontal="center" vertical="center" wrapText="1"/>
    </xf>
    <xf numFmtId="164" fontId="1" fillId="10" borderId="32" xfId="0" applyNumberFormat="1" applyFont="1" applyFill="1" applyBorder="1" applyAlignment="1">
      <alignment horizontal="center" vertical="center" wrapText="1"/>
    </xf>
    <xf numFmtId="164" fontId="2" fillId="10" borderId="32" xfId="0" applyNumberFormat="1" applyFont="1" applyFill="1" applyBorder="1" applyAlignment="1">
      <alignment horizontal="center" vertical="center" wrapText="1"/>
    </xf>
    <xf numFmtId="0" fontId="1" fillId="10" borderId="33" xfId="0" applyFont="1" applyFill="1" applyBorder="1" applyAlignment="1">
      <alignment horizontal="center" vertical="center" wrapText="1"/>
    </xf>
    <xf numFmtId="0" fontId="1" fillId="10" borderId="34" xfId="0" applyFont="1" applyFill="1" applyBorder="1" applyAlignment="1">
      <alignment horizontal="center" vertical="center" wrapText="1"/>
    </xf>
    <xf numFmtId="0" fontId="0" fillId="10" borderId="34" xfId="0" applyFill="1" applyBorder="1" applyAlignment="1">
      <alignment horizontal="center" vertical="center" wrapText="1"/>
    </xf>
    <xf numFmtId="164" fontId="1" fillId="10" borderId="35" xfId="0" applyNumberFormat="1" applyFont="1" applyFill="1" applyBorder="1" applyAlignment="1">
      <alignment horizontal="center" vertical="center" wrapText="1"/>
    </xf>
    <xf numFmtId="14" fontId="1" fillId="10" borderId="29" xfId="0" applyNumberFormat="1" applyFont="1" applyFill="1" applyBorder="1" applyAlignment="1">
      <alignment horizontal="center" vertical="center" wrapText="1"/>
    </xf>
    <xf numFmtId="0" fontId="0" fillId="10" borderId="17" xfId="0" applyFill="1" applyBorder="1" applyAlignment="1">
      <alignment wrapText="1"/>
    </xf>
    <xf numFmtId="0" fontId="0" fillId="10" borderId="25" xfId="0" applyFill="1" applyBorder="1" applyAlignment="1">
      <alignment wrapText="1"/>
    </xf>
    <xf numFmtId="0" fontId="0" fillId="10" borderId="19" xfId="0" applyFill="1" applyBorder="1" applyAlignment="1">
      <alignment wrapText="1"/>
    </xf>
    <xf numFmtId="14" fontId="1" fillId="10" borderId="34" xfId="0" applyNumberFormat="1" applyFont="1" applyFill="1" applyBorder="1" applyAlignment="1">
      <alignment horizontal="center" vertical="center" wrapText="1"/>
    </xf>
    <xf numFmtId="0" fontId="0" fillId="10" borderId="13" xfId="0" applyFill="1" applyBorder="1" applyAlignment="1">
      <alignment wrapText="1"/>
    </xf>
    <xf numFmtId="0" fontId="0" fillId="10" borderId="14" xfId="0" applyFill="1" applyBorder="1" applyAlignment="1">
      <alignment wrapText="1"/>
    </xf>
    <xf numFmtId="0" fontId="0" fillId="10" borderId="20" xfId="0" applyFill="1" applyBorder="1" applyAlignment="1">
      <alignment wrapText="1"/>
    </xf>
    <xf numFmtId="0" fontId="13" fillId="10" borderId="34" xfId="0" applyFont="1" applyFill="1" applyBorder="1" applyAlignment="1">
      <alignment horizontal="center" vertical="center" wrapText="1"/>
    </xf>
    <xf numFmtId="14" fontId="13" fillId="10" borderId="34" xfId="0" applyNumberFormat="1" applyFont="1" applyFill="1" applyBorder="1" applyAlignment="1">
      <alignment horizontal="center" vertical="center" wrapText="1"/>
    </xf>
    <xf numFmtId="0" fontId="14" fillId="7" borderId="0" xfId="0" applyFont="1" applyFill="1" applyAlignment="1">
      <alignment horizontal="center" vertical="center" wrapText="1"/>
    </xf>
    <xf numFmtId="0" fontId="1" fillId="0" borderId="27" xfId="0" applyFont="1" applyFill="1" applyBorder="1" applyAlignment="1">
      <alignment horizontal="center" vertical="center" wrapText="1"/>
    </xf>
    <xf numFmtId="0" fontId="0" fillId="0" borderId="0" xfId="0" applyFill="1" applyAlignment="1">
      <alignment wrapText="1"/>
    </xf>
    <xf numFmtId="0" fontId="1" fillId="0" borderId="28" xfId="0" applyFont="1" applyFill="1" applyBorder="1" applyAlignment="1">
      <alignment horizontal="center" vertical="center" wrapText="1"/>
    </xf>
    <xf numFmtId="0" fontId="1" fillId="0" borderId="29" xfId="0" applyFont="1" applyFill="1" applyBorder="1" applyAlignment="1">
      <alignment horizontal="center" vertical="center" wrapText="1"/>
    </xf>
    <xf numFmtId="0" fontId="0" fillId="0" borderId="29" xfId="0" applyFill="1" applyBorder="1" applyAlignment="1">
      <alignment horizontal="center" vertical="center" wrapText="1"/>
    </xf>
    <xf numFmtId="14" fontId="0" fillId="0" borderId="29" xfId="0" applyNumberFormat="1" applyFill="1" applyBorder="1" applyAlignment="1">
      <alignment horizontal="center" vertical="center" wrapText="1"/>
    </xf>
    <xf numFmtId="164" fontId="1" fillId="0" borderId="30" xfId="0" applyNumberFormat="1" applyFont="1" applyFill="1" applyBorder="1" applyAlignment="1">
      <alignment horizontal="center" vertical="center" wrapText="1"/>
    </xf>
    <xf numFmtId="0" fontId="1" fillId="0" borderId="31" xfId="0" applyFont="1" applyFill="1" applyBorder="1" applyAlignment="1">
      <alignment horizontal="center" vertical="center" wrapText="1"/>
    </xf>
    <xf numFmtId="0" fontId="0" fillId="0" borderId="27" xfId="0" applyFill="1" applyBorder="1" applyAlignment="1">
      <alignment horizontal="center" vertical="center" wrapText="1"/>
    </xf>
    <xf numFmtId="14" fontId="0" fillId="0" borderId="27" xfId="0" applyNumberFormat="1" applyFill="1" applyBorder="1" applyAlignment="1">
      <alignment horizontal="center" vertical="center" wrapText="1"/>
    </xf>
    <xf numFmtId="164" fontId="1" fillId="0" borderId="32" xfId="0" applyNumberFormat="1" applyFont="1" applyFill="1" applyBorder="1" applyAlignment="1">
      <alignment horizontal="center" vertical="center" wrapText="1"/>
    </xf>
    <xf numFmtId="0" fontId="0" fillId="0" borderId="11" xfId="0" applyFill="1" applyBorder="1" applyAlignment="1">
      <alignment wrapText="1"/>
    </xf>
    <xf numFmtId="0" fontId="1" fillId="0" borderId="33" xfId="0" applyFont="1" applyFill="1" applyBorder="1" applyAlignment="1">
      <alignment horizontal="center" vertical="center" wrapText="1"/>
    </xf>
    <xf numFmtId="0" fontId="1" fillId="0" borderId="34" xfId="0" applyFont="1" applyFill="1" applyBorder="1" applyAlignment="1">
      <alignment horizontal="center" vertical="center" wrapText="1"/>
    </xf>
    <xf numFmtId="0" fontId="0" fillId="0" borderId="34" xfId="0" applyFill="1" applyBorder="1" applyAlignment="1">
      <alignment horizontal="center" vertical="center" wrapText="1"/>
    </xf>
    <xf numFmtId="164" fontId="1" fillId="0" borderId="35" xfId="0" applyNumberFormat="1" applyFont="1" applyFill="1" applyBorder="1" applyAlignment="1">
      <alignment horizontal="center" vertical="center" wrapText="1"/>
    </xf>
    <xf numFmtId="14" fontId="1" fillId="0" borderId="29" xfId="0" applyNumberFormat="1" applyFont="1" applyFill="1" applyBorder="1" applyAlignment="1">
      <alignment horizontal="center" vertical="center" wrapText="1"/>
    </xf>
    <xf numFmtId="14" fontId="1" fillId="0" borderId="27" xfId="0" applyNumberFormat="1" applyFont="1" applyFill="1" applyBorder="1" applyAlignment="1">
      <alignment horizontal="center" vertical="center" wrapText="1"/>
    </xf>
    <xf numFmtId="14" fontId="0" fillId="0" borderId="34" xfId="0" applyNumberFormat="1" applyFill="1" applyBorder="1" applyAlignment="1">
      <alignment horizontal="center" vertical="center" wrapText="1"/>
    </xf>
    <xf numFmtId="0" fontId="0" fillId="0" borderId="2" xfId="0" applyFill="1" applyBorder="1" applyAlignment="1">
      <alignment wrapText="1"/>
    </xf>
    <xf numFmtId="0" fontId="0" fillId="0" borderId="36" xfId="0" applyFill="1" applyBorder="1" applyAlignment="1">
      <alignment horizontal="center" vertical="center" wrapText="1"/>
    </xf>
    <xf numFmtId="0" fontId="0" fillId="0" borderId="37" xfId="0" applyFill="1" applyBorder="1" applyAlignment="1">
      <alignment horizontal="center" vertical="center" wrapText="1"/>
    </xf>
    <xf numFmtId="0" fontId="1" fillId="0" borderId="37" xfId="0" applyFont="1" applyFill="1" applyBorder="1" applyAlignment="1">
      <alignment horizontal="center" vertical="center" wrapText="1"/>
    </xf>
    <xf numFmtId="164" fontId="1" fillId="0" borderId="38" xfId="0" applyNumberFormat="1" applyFont="1" applyFill="1" applyBorder="1" applyAlignment="1">
      <alignment wrapText="1"/>
    </xf>
    <xf numFmtId="0" fontId="0" fillId="0" borderId="0" xfId="0" applyFill="1" applyAlignment="1">
      <alignment horizontal="center" vertical="center" wrapText="1"/>
    </xf>
    <xf numFmtId="164" fontId="0" fillId="0" borderId="0" xfId="0" applyNumberFormat="1" applyFill="1" applyAlignment="1">
      <alignment wrapText="1"/>
    </xf>
    <xf numFmtId="0" fontId="0" fillId="11" borderId="0" xfId="0" applyFill="1" applyAlignment="1">
      <alignment wrapText="1"/>
    </xf>
    <xf numFmtId="0" fontId="1" fillId="11" borderId="31" xfId="0" applyFont="1" applyFill="1" applyBorder="1" applyAlignment="1">
      <alignment horizontal="center" vertical="center" wrapText="1"/>
    </xf>
    <xf numFmtId="0" fontId="1" fillId="11" borderId="27" xfId="0" applyFont="1" applyFill="1" applyBorder="1" applyAlignment="1">
      <alignment horizontal="center" vertical="center" wrapText="1"/>
    </xf>
    <xf numFmtId="0" fontId="0" fillId="11" borderId="27" xfId="0" applyFill="1" applyBorder="1" applyAlignment="1">
      <alignment horizontal="center" vertical="center" wrapText="1"/>
    </xf>
    <xf numFmtId="14" fontId="0" fillId="11" borderId="27" xfId="0" applyNumberFormat="1" applyFill="1" applyBorder="1" applyAlignment="1">
      <alignment horizontal="center" vertical="center" wrapText="1"/>
    </xf>
    <xf numFmtId="164" fontId="1" fillId="11" borderId="32" xfId="0" applyNumberFormat="1" applyFont="1" applyFill="1" applyBorder="1" applyAlignment="1">
      <alignment horizontal="center" vertical="center" wrapText="1"/>
    </xf>
    <xf numFmtId="0" fontId="1"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164" fontId="1" fillId="0" borderId="0" xfId="0" applyNumberFormat="1" applyFont="1" applyFill="1" applyBorder="1" applyAlignment="1">
      <alignment horizontal="center" vertical="center" wrapText="1"/>
    </xf>
    <xf numFmtId="14" fontId="0" fillId="10" borderId="34" xfId="0" applyNumberFormat="1" applyFill="1" applyBorder="1" applyAlignment="1">
      <alignment horizontal="center" vertical="center" wrapText="1"/>
    </xf>
    <xf numFmtId="0" fontId="0" fillId="0" borderId="17" xfId="0" applyFill="1" applyBorder="1" applyAlignment="1">
      <alignment wrapText="1"/>
    </xf>
    <xf numFmtId="0" fontId="0" fillId="0" borderId="25" xfId="0" applyFill="1" applyBorder="1" applyAlignment="1">
      <alignment wrapText="1"/>
    </xf>
    <xf numFmtId="0" fontId="0" fillId="0" borderId="19" xfId="0" applyFill="1" applyBorder="1" applyAlignment="1">
      <alignment wrapText="1"/>
    </xf>
    <xf numFmtId="0" fontId="1" fillId="0" borderId="34" xfId="0" applyFont="1" applyFill="1" applyBorder="1" applyAlignment="1">
      <alignment wrapText="1"/>
    </xf>
    <xf numFmtId="0" fontId="2" fillId="0" borderId="27" xfId="0" applyFont="1" applyFill="1" applyBorder="1" applyAlignment="1">
      <alignment horizontal="center" vertical="center" wrapText="1"/>
    </xf>
    <xf numFmtId="0" fontId="0" fillId="0" borderId="31" xfId="0" applyFill="1" applyBorder="1" applyAlignment="1">
      <alignment horizontal="center" vertical="center" wrapText="1"/>
    </xf>
    <xf numFmtId="0" fontId="0" fillId="0" borderId="27" xfId="0" applyFill="1" applyBorder="1" applyAlignment="1">
      <alignment vertical="center" wrapText="1"/>
    </xf>
    <xf numFmtId="0" fontId="0" fillId="0" borderId="27" xfId="0" applyFill="1" applyBorder="1" applyAlignment="1">
      <alignment wrapText="1"/>
    </xf>
    <xf numFmtId="0" fontId="0" fillId="0" borderId="32" xfId="0" applyFill="1" applyBorder="1" applyAlignment="1">
      <alignment wrapText="1"/>
    </xf>
    <xf numFmtId="0" fontId="0" fillId="0" borderId="33" xfId="0" applyFill="1" applyBorder="1" applyAlignment="1">
      <alignment horizontal="center" vertical="center" wrapText="1"/>
    </xf>
    <xf numFmtId="0" fontId="0" fillId="0" borderId="34" xfId="0" applyFill="1" applyBorder="1" applyAlignment="1">
      <alignment vertical="center" wrapText="1"/>
    </xf>
    <xf numFmtId="0" fontId="0" fillId="0" borderId="34" xfId="0" applyFill="1" applyBorder="1" applyAlignment="1">
      <alignment wrapText="1"/>
    </xf>
    <xf numFmtId="0" fontId="0" fillId="0" borderId="35" xfId="0" applyFill="1" applyBorder="1" applyAlignment="1">
      <alignment wrapText="1"/>
    </xf>
    <xf numFmtId="0" fontId="0" fillId="0" borderId="0" xfId="0" applyFill="1" applyAlignment="1">
      <alignment vertical="center" wrapText="1"/>
    </xf>
    <xf numFmtId="0" fontId="0" fillId="11" borderId="25" xfId="0" applyFill="1" applyBorder="1" applyAlignment="1">
      <alignment wrapText="1"/>
    </xf>
    <xf numFmtId="0" fontId="1" fillId="0" borderId="0" xfId="0" applyFont="1" applyFill="1" applyBorder="1" applyAlignment="1">
      <alignment wrapText="1"/>
    </xf>
    <xf numFmtId="0" fontId="0" fillId="0" borderId="0" xfId="0" applyFill="1" applyBorder="1" applyAlignment="1">
      <alignment vertical="center" wrapText="1"/>
    </xf>
    <xf numFmtId="0" fontId="0" fillId="0" borderId="0" xfId="0" applyFill="1" applyBorder="1" applyAlignment="1">
      <alignment wrapText="1"/>
    </xf>
    <xf numFmtId="0" fontId="0" fillId="0" borderId="14" xfId="0" applyFill="1" applyBorder="1" applyAlignment="1">
      <alignment wrapText="1"/>
    </xf>
    <xf numFmtId="0" fontId="1" fillId="0" borderId="21" xfId="0" applyFont="1" applyFill="1" applyBorder="1" applyAlignment="1">
      <alignment horizontal="center" vertical="center" wrapText="1"/>
    </xf>
    <xf numFmtId="14" fontId="1" fillId="0" borderId="34" xfId="0" applyNumberFormat="1" applyFont="1" applyFill="1" applyBorder="1" applyAlignment="1">
      <alignment horizontal="center" vertical="center" wrapText="1"/>
    </xf>
    <xf numFmtId="0" fontId="0" fillId="0" borderId="13" xfId="0" applyFill="1" applyBorder="1" applyAlignment="1">
      <alignment wrapText="1"/>
    </xf>
    <xf numFmtId="0" fontId="0" fillId="0" borderId="6" xfId="0" applyFill="1" applyBorder="1" applyAlignment="1">
      <alignment wrapText="1"/>
    </xf>
    <xf numFmtId="0" fontId="0" fillId="0" borderId="26" xfId="0" applyFill="1" applyBorder="1" applyAlignment="1">
      <alignment wrapText="1"/>
    </xf>
    <xf numFmtId="14" fontId="1" fillId="0" borderId="37" xfId="0" applyNumberFormat="1" applyFont="1" applyFill="1" applyBorder="1" applyAlignment="1">
      <alignment horizontal="center" vertical="center" wrapText="1"/>
    </xf>
    <xf numFmtId="164" fontId="1" fillId="0" borderId="38" xfId="0" applyNumberFormat="1" applyFont="1" applyFill="1" applyBorder="1" applyAlignment="1">
      <alignment horizontal="center" vertical="center" wrapText="1"/>
    </xf>
    <xf numFmtId="0" fontId="0" fillId="10" borderId="6" xfId="0" applyFill="1" applyBorder="1" applyAlignment="1">
      <alignment wrapText="1"/>
    </xf>
    <xf numFmtId="0" fontId="0" fillId="11" borderId="14" xfId="0" applyFill="1" applyBorder="1" applyAlignment="1">
      <alignment wrapText="1"/>
    </xf>
    <xf numFmtId="0" fontId="1" fillId="0" borderId="21" xfId="0" applyFont="1" applyFill="1" applyBorder="1" applyAlignment="1">
      <alignment wrapText="1"/>
    </xf>
    <xf numFmtId="0" fontId="1" fillId="0" borderId="1" xfId="0" applyFont="1" applyFill="1" applyBorder="1" applyAlignment="1">
      <alignment wrapText="1"/>
    </xf>
    <xf numFmtId="0" fontId="1" fillId="0" borderId="33" xfId="0" applyFont="1" applyFill="1" applyBorder="1" applyAlignment="1">
      <alignment wrapText="1"/>
    </xf>
    <xf numFmtId="0" fontId="1" fillId="0" borderId="27" xfId="0" applyFont="1" applyBorder="1" applyAlignment="1">
      <alignment horizontal="center" vertical="center" wrapText="1"/>
    </xf>
    <xf numFmtId="0" fontId="1" fillId="0" borderId="27" xfId="0" applyFont="1" applyBorder="1" applyAlignment="1">
      <alignment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cellXfs>
  <cellStyles count="2">
    <cellStyle name="Normal" xfId="0" builtinId="0"/>
    <cellStyle name="Percent" xfId="1" builtinId="5"/>
  </cellStyles>
  <dxfs count="292">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152400</xdr:colOff>
          <xdr:row>13</xdr:row>
          <xdr:rowOff>123825</xdr:rowOff>
        </xdr:from>
        <xdr:to>
          <xdr:col>12</xdr:col>
          <xdr:colOff>438150</xdr:colOff>
          <xdr:row>16</xdr:row>
          <xdr:rowOff>266700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600" b="1"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9E10155B-CBF3-4F1B-8B0B-04FD282900A8}" userId="S::TahaDeghyes@tfl.gov.uk::da7eecb3-e0fa-4d68-908c-844844052a9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9E10155B-CBF3-4F1B-8B0B-04FD282900A8}" id="{29DA6BAD-61FF-41DC-9855-C9B2AA72CDF9}">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topLeftCell="A5" zoomScale="90" zoomScaleNormal="90" workbookViewId="0">
      <selection activeCell="H17" sqref="H17"/>
    </sheetView>
  </sheetViews>
  <sheetFormatPr defaultRowHeight="15" x14ac:dyDescent="0.2"/>
  <cols>
    <col min="1" max="1" width="18" style="19"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8"/>
      <c r="B1" s="11"/>
      <c r="C1" s="11"/>
      <c r="D1" s="11"/>
      <c r="E1" s="11"/>
      <c r="F1" s="11"/>
      <c r="G1" s="11"/>
      <c r="H1" s="11"/>
      <c r="I1" s="7"/>
      <c r="J1" s="7"/>
      <c r="K1" s="7"/>
      <c r="L1" s="7"/>
      <c r="M1" s="7"/>
      <c r="N1" s="7"/>
      <c r="O1" s="7"/>
      <c r="P1" s="11"/>
      <c r="Q1" s="11"/>
      <c r="R1" s="11"/>
      <c r="S1" s="11"/>
      <c r="T1" s="11"/>
      <c r="U1" s="11"/>
      <c r="V1" s="11"/>
      <c r="W1" s="11"/>
      <c r="X1" s="11"/>
      <c r="Y1" s="11"/>
      <c r="Z1" s="11"/>
      <c r="AA1" s="11"/>
      <c r="AB1" s="11"/>
      <c r="AC1" s="11"/>
      <c r="AD1" s="11"/>
      <c r="AE1" s="11"/>
      <c r="AF1" s="11"/>
      <c r="AG1" s="11"/>
      <c r="AH1" s="11"/>
      <c r="AI1" s="11"/>
      <c r="AJ1" s="11"/>
      <c r="AK1" s="11"/>
    </row>
    <row r="2" spans="1:37" ht="30.75" thickBot="1" x14ac:dyDescent="0.3">
      <c r="A2" s="34" t="s">
        <v>0</v>
      </c>
      <c r="B2" s="47">
        <v>5</v>
      </c>
      <c r="C2" s="11"/>
      <c r="D2" s="11"/>
      <c r="E2" s="11"/>
      <c r="F2" s="11"/>
      <c r="G2" s="11"/>
      <c r="H2" s="11"/>
      <c r="I2" s="16" t="s">
        <v>1</v>
      </c>
      <c r="J2" s="20"/>
      <c r="K2" s="17" t="s">
        <v>2</v>
      </c>
      <c r="L2" s="13"/>
      <c r="M2" s="14"/>
      <c r="N2" s="15"/>
      <c r="O2" s="7"/>
      <c r="P2" s="11"/>
      <c r="Q2" s="11"/>
      <c r="R2" s="11"/>
      <c r="S2" s="11"/>
      <c r="T2" s="11"/>
      <c r="U2" s="11"/>
      <c r="V2" s="11"/>
      <c r="W2" s="11"/>
      <c r="X2" s="11"/>
      <c r="Y2" s="11"/>
      <c r="Z2" s="11"/>
      <c r="AA2" s="11"/>
      <c r="AB2" s="11"/>
      <c r="AC2" s="11"/>
      <c r="AD2" s="11"/>
      <c r="AE2" s="11"/>
      <c r="AF2" s="11"/>
      <c r="AG2" s="11"/>
      <c r="AH2" s="11"/>
      <c r="AI2" s="11"/>
      <c r="AJ2" s="11"/>
      <c r="AK2" s="11"/>
    </row>
    <row r="3" spans="1:37" ht="15.75" thickBot="1" x14ac:dyDescent="0.25">
      <c r="A3" s="18"/>
      <c r="B3" s="11"/>
      <c r="C3" s="11"/>
      <c r="D3" s="11"/>
      <c r="E3" s="11"/>
      <c r="F3" s="11"/>
      <c r="G3" s="11"/>
      <c r="H3" s="11"/>
      <c r="I3" s="7"/>
      <c r="J3" s="7"/>
      <c r="K3" s="7"/>
      <c r="L3" s="7"/>
      <c r="M3" s="7"/>
      <c r="N3" s="7"/>
      <c r="O3" s="7"/>
      <c r="P3" s="11"/>
      <c r="Q3" s="11"/>
      <c r="R3" s="11"/>
      <c r="S3" s="11"/>
      <c r="T3" s="11"/>
      <c r="U3" s="11"/>
      <c r="V3" s="11"/>
      <c r="W3" s="11"/>
      <c r="X3" s="11"/>
      <c r="Y3" s="11"/>
      <c r="Z3" s="11"/>
      <c r="AA3" s="11"/>
      <c r="AB3" s="11"/>
      <c r="AC3" s="11"/>
      <c r="AD3" s="11"/>
      <c r="AE3" s="11"/>
      <c r="AF3" s="11"/>
      <c r="AG3" s="11"/>
      <c r="AH3" s="11"/>
      <c r="AI3" s="11"/>
      <c r="AJ3" s="11"/>
      <c r="AK3" s="11"/>
    </row>
    <row r="4" spans="1:37" ht="48" thickBot="1" x14ac:dyDescent="0.3">
      <c r="A4" s="40"/>
      <c r="B4" s="35" t="s">
        <v>3</v>
      </c>
      <c r="C4" s="44" t="s">
        <v>4</v>
      </c>
      <c r="D4" s="43"/>
      <c r="E4" s="36" t="s">
        <v>5</v>
      </c>
      <c r="F4" s="37" t="s">
        <v>6</v>
      </c>
      <c r="G4" s="38" t="s">
        <v>7</v>
      </c>
      <c r="H4" s="37" t="s">
        <v>8</v>
      </c>
      <c r="I4" s="11"/>
      <c r="J4" s="7"/>
      <c r="K4" s="7"/>
      <c r="L4" s="7"/>
      <c r="M4" s="7"/>
      <c r="N4" s="11"/>
      <c r="O4" s="11"/>
      <c r="P4" s="11"/>
      <c r="Q4" s="11"/>
      <c r="R4" s="11"/>
      <c r="S4" s="11"/>
      <c r="T4" s="11"/>
      <c r="U4" s="11"/>
      <c r="V4" s="11"/>
      <c r="W4" s="11"/>
      <c r="X4" s="11"/>
      <c r="Y4" s="11"/>
      <c r="Z4" s="11"/>
      <c r="AA4" s="11"/>
      <c r="AB4" s="11"/>
      <c r="AC4" s="11"/>
      <c r="AD4" s="11"/>
      <c r="AE4" s="11"/>
      <c r="AF4" s="11"/>
      <c r="AG4" s="11"/>
      <c r="AH4" s="11"/>
      <c r="AI4" s="11"/>
      <c r="AJ4" s="11"/>
      <c r="AK4" s="11"/>
    </row>
    <row r="5" spans="1:37" ht="16.5" thickBot="1" x14ac:dyDescent="0.3">
      <c r="A5" s="41" t="s">
        <v>9</v>
      </c>
      <c r="B5" s="45">
        <v>96018</v>
      </c>
      <c r="C5" s="46">
        <v>96113</v>
      </c>
      <c r="D5" s="50" t="s">
        <v>10</v>
      </c>
      <c r="E5" s="27" t="s">
        <v>11</v>
      </c>
      <c r="F5" s="52">
        <f>IF($B$17="No",SUM(COUNTIFS('DM 3 Car'!$B:$B,Summary!D5),COUNTIFS('Trailer 3 Car'!$B:$B,Summary!D5),COUNTIFS('UNDM 3 Car'!$B:$B,Summary!D5),COUNTIFS('DM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79</v>
      </c>
      <c r="G5" s="31">
        <f>IF($B$17="No",SUM(COUNTIFS('DM 3 Car'!$E:$E,"Yes",'DM 3 Car'!$B:$B,Summary!D5),COUNTIFS('Trailer 3 Car'!$E:$E,"Yes",'Trailer 3 Car'!$B:$B,Summary!D5),COUNTIFS('UNDM 3 Car'!$E:$E,"Yes",'UNDM 3 Car'!$B:$B,Summary!D5),COUNTIFS('DM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79</v>
      </c>
      <c r="H5" s="29">
        <f t="shared" ref="H5:H6" si="0">IFERROR(G5/F5,0)</f>
        <v>1</v>
      </c>
      <c r="I5" s="11"/>
      <c r="J5" s="7"/>
      <c r="K5" s="7"/>
      <c r="L5" s="7"/>
      <c r="M5" s="7"/>
      <c r="N5" s="11"/>
      <c r="O5" s="11"/>
      <c r="P5" s="11"/>
      <c r="Q5" s="11"/>
      <c r="R5" s="11"/>
      <c r="S5" s="11"/>
      <c r="T5" s="11"/>
      <c r="U5" s="11"/>
      <c r="V5" s="11"/>
      <c r="W5" s="11"/>
      <c r="X5" s="11"/>
      <c r="Y5" s="11"/>
      <c r="Z5" s="11"/>
      <c r="AA5" s="11"/>
      <c r="AB5" s="11"/>
      <c r="AC5" s="11"/>
      <c r="AD5" s="11"/>
      <c r="AE5" s="11"/>
      <c r="AF5" s="11"/>
      <c r="AG5" s="11"/>
      <c r="AH5" s="11"/>
      <c r="AI5" s="11"/>
      <c r="AJ5" s="11"/>
      <c r="AK5" s="11"/>
    </row>
    <row r="6" spans="1:37" ht="32.25" thickBot="1" x14ac:dyDescent="0.3">
      <c r="A6" s="41" t="s">
        <v>12</v>
      </c>
      <c r="B6" s="27" cm="1">
        <f t="array" ref="B6">_xlfn.IFS($B$17="No",SUMPRODUCT(B21:D21),$B$17="Yes",SUMPRODUCT(I21:K21))</f>
        <v>242</v>
      </c>
      <c r="C6">
        <f>SUMPRODUCT(E21:H21)</f>
        <v>280</v>
      </c>
      <c r="D6" s="50" t="s">
        <v>13</v>
      </c>
      <c r="E6" s="27" t="s">
        <v>11</v>
      </c>
      <c r="F6" s="31">
        <f>IF($B$17="No",SUM(COUNTIFS('DM 3 Car'!$B:$B,Summary!D6),COUNTIFS('Trailer 3 Car'!$B:$B,Summary!D6),COUNTIFS('UNDM 3 Car'!$B:$B,Summary!D6),COUNTIFS('DM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31">
        <f>IF($B$17="No",SUM(COUNTIFS('DM 3 Car'!$E:$E,"Yes",'DM 3 Car'!$B:$B,Summary!D6),COUNTIFS('Trailer 3 Car'!$E:$E,"Yes",'Trailer 3 Car'!$B:$B,Summary!D6),COUNTIFS('UNDM 3 Car'!$E:$E,"Yes",'UNDM 3 Car'!$B:$B,Summary!D6),COUNTIFS('DM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83</v>
      </c>
      <c r="H6" s="29">
        <f t="shared" si="0"/>
        <v>0.94318181818181823</v>
      </c>
      <c r="I6" s="11"/>
      <c r="J6" s="7"/>
      <c r="K6" s="7"/>
      <c r="L6" s="7"/>
      <c r="M6" s="7"/>
      <c r="N6" s="11"/>
      <c r="O6" s="11"/>
      <c r="P6" s="177" t="s">
        <v>14</v>
      </c>
      <c r="Q6" s="178"/>
      <c r="R6" s="179"/>
      <c r="S6" s="11"/>
      <c r="T6" s="11"/>
      <c r="U6" s="11"/>
      <c r="V6" s="11"/>
      <c r="W6" s="11"/>
      <c r="X6" s="11"/>
      <c r="Y6" s="11"/>
      <c r="Z6" s="11"/>
      <c r="AA6" s="11"/>
      <c r="AB6" s="11"/>
      <c r="AC6" s="11"/>
      <c r="AD6" s="11"/>
      <c r="AE6" s="11"/>
      <c r="AF6" s="11"/>
      <c r="AG6" s="11"/>
      <c r="AH6" s="11"/>
      <c r="AI6" s="11"/>
      <c r="AJ6" s="11"/>
      <c r="AK6" s="11"/>
    </row>
    <row r="7" spans="1:37" ht="16.5" thickBot="1" x14ac:dyDescent="0.3">
      <c r="A7" s="41" t="s">
        <v>15</v>
      </c>
      <c r="B7" s="27" cm="1">
        <f t="array" ref="B7">_xlfn.IFS($B$17="No",SUMPRODUCT(B22:D22),$B$17="Yes",SUMPRODUCT(I22:K22))</f>
        <v>0</v>
      </c>
      <c r="C7">
        <f t="shared" ref="C7:C8" si="1">SUMPRODUCT(E22:H22)</f>
        <v>0</v>
      </c>
      <c r="D7" s="50" t="s">
        <v>16</v>
      </c>
      <c r="E7" s="27" t="s">
        <v>11</v>
      </c>
      <c r="F7" s="31">
        <f>IF($B$17="No",SUM(COUNTIFS('DM 3 Car'!$B:$B,Summary!D7),COUNTIFS('Trailer 3 Car'!$B:$B,Summary!D7),COUNTIFS('UNDM 3 Car'!$B:$B,Summary!D7),COUNTIFS('DM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31">
        <f>IF($B$17="No",SUM(COUNTIFS('DM 3 Car'!$E:$E,"Yes",'DM 3 Car'!$B:$B,Summary!D7),COUNTIFS('Trailer 3 Car'!$E:$E,"Yes",'Trailer 3 Car'!$B:$B,Summary!D7),COUNTIFS('UNDM 3 Car'!$E:$E,"Yes",'UNDM 3 Car'!$B:$B,Summary!D7),COUNTIFS('DM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147</v>
      </c>
      <c r="H7" s="29">
        <f>IFERROR(G7/F7,0)</f>
        <v>0.64192139737991272</v>
      </c>
      <c r="I7" s="11"/>
      <c r="J7" s="7"/>
      <c r="K7" s="7"/>
      <c r="L7" s="7"/>
      <c r="M7" s="7"/>
      <c r="N7" s="11"/>
      <c r="O7" s="11"/>
      <c r="P7" s="180" t="s">
        <v>17</v>
      </c>
      <c r="Q7" s="181"/>
      <c r="R7" s="66" t="s">
        <v>18</v>
      </c>
      <c r="S7" s="11"/>
      <c r="T7" s="11"/>
      <c r="U7" s="11"/>
      <c r="V7" s="11"/>
      <c r="W7" s="11"/>
      <c r="X7" s="11"/>
      <c r="Y7" s="11"/>
      <c r="Z7" s="11"/>
      <c r="AA7" s="11"/>
      <c r="AB7" s="11"/>
      <c r="AC7" s="11"/>
      <c r="AD7" s="11"/>
      <c r="AE7" s="11"/>
      <c r="AF7" s="11"/>
      <c r="AG7" s="11"/>
      <c r="AH7" s="11"/>
      <c r="AI7" s="11"/>
      <c r="AJ7" s="11"/>
      <c r="AK7" s="11"/>
    </row>
    <row r="8" spans="1:37" ht="15.75" x14ac:dyDescent="0.25">
      <c r="A8" s="41" t="s">
        <v>19</v>
      </c>
      <c r="B8" s="27" cm="1">
        <f t="array" ref="B8">_xlfn.IFS($B$17="No",SUMPRODUCT(B23:D23),$B$17="Yes",SUMPRODUCT(I23:K23))</f>
        <v>1</v>
      </c>
      <c r="C8">
        <f t="shared" si="1"/>
        <v>0</v>
      </c>
      <c r="D8" s="50" t="s">
        <v>20</v>
      </c>
      <c r="E8" s="27" t="s">
        <v>11</v>
      </c>
      <c r="F8" s="31">
        <f>IF($B$17="No",SUM(COUNTIFS('DM 3 Car'!$B:$B,Summary!D8),COUNTIFS('Trailer 3 Car'!$B:$B,Summary!D8),COUNTIFS('UNDM 3 Car'!$B:$B,Summary!D8),COUNTIFS('DM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126</v>
      </c>
      <c r="G8" s="31">
        <f>IF($B$17="No",SUM(COUNTIFS('DM 3 Car'!$E:$E,"Yes",'DM 3 Car'!$B:$B,Summary!D8),COUNTIFS('Trailer 3 Car'!$E:$E,"Yes",'Trailer 3 Car'!$B:$B,Summary!D8),COUNTIFS('UNDM 3 Car'!$E:$E,"Yes",'UNDM 3 Car'!$B:$B,Summary!D8),COUNTIFS('DM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24</v>
      </c>
      <c r="H8" s="29">
        <f t="shared" ref="H8:H9" si="2">IFERROR(G8/F8,0)</f>
        <v>0.19047619047619047</v>
      </c>
      <c r="I8" s="11"/>
      <c r="J8" s="7"/>
      <c r="K8" s="7"/>
      <c r="L8" s="7"/>
      <c r="M8" s="7"/>
      <c r="N8" s="11"/>
      <c r="O8" s="11"/>
      <c r="P8" s="182" t="s">
        <v>21</v>
      </c>
      <c r="Q8" s="183"/>
      <c r="R8" s="67" t="s">
        <v>11</v>
      </c>
      <c r="S8" s="11"/>
      <c r="T8" s="11"/>
      <c r="U8" s="11"/>
      <c r="V8" s="11"/>
      <c r="W8" s="11"/>
      <c r="X8" s="11"/>
      <c r="Y8" s="11"/>
      <c r="Z8" s="11"/>
      <c r="AA8" s="11"/>
      <c r="AB8" s="11"/>
      <c r="AC8" s="11"/>
      <c r="AD8" s="11"/>
      <c r="AE8" s="11"/>
      <c r="AF8" s="11"/>
      <c r="AG8" s="11"/>
      <c r="AH8" s="11"/>
      <c r="AI8" s="11"/>
      <c r="AJ8" s="11"/>
      <c r="AK8" s="11"/>
    </row>
    <row r="9" spans="1:37" ht="16.5" thickBot="1" x14ac:dyDescent="0.3">
      <c r="A9" s="42" t="s">
        <v>22</v>
      </c>
      <c r="B9" s="28" cm="1">
        <f t="array" ref="B9">_xlfn.IFS($B$17="No",SUMPRODUCT(B24:D24),$B$17="Yes",SUMPRODUCT(I24:K24))</f>
        <v>161</v>
      </c>
      <c r="C9" s="28">
        <f>SUMPRODUCT(E24:H24)</f>
        <v>172</v>
      </c>
      <c r="D9" s="51" t="s">
        <v>23</v>
      </c>
      <c r="E9" s="28" t="s">
        <v>24</v>
      </c>
      <c r="F9" s="32">
        <f>IF($B$17="No",SUM(COUNTIFS('DM 3 Car'!$B:$B,Summary!D9),COUNTIFS('Trailer 3 Car'!$B:$B,Summary!D9),COUNTIFS('UNDM 3 Car'!$B:$B,Summary!D9),COUNTIFS('DM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32">
        <f>IF($B$17="No",SUM(COUNTIFS('DM 3 Car'!$E:$E,"Yes",'DM 3 Car'!$B:$B,Summary!D9),COUNTIFS('Trailer 3 Car'!$E:$E,"Yes",'Trailer 3 Car'!$B:$B,Summary!D9),COUNTIFS('UNDM 3 Car'!$E:$E,"Yes",'UNDM 3 Car'!$B:$B,Summary!D9),COUNTIFS('DM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30">
        <f t="shared" si="2"/>
        <v>0</v>
      </c>
      <c r="I9" s="11"/>
      <c r="J9" s="7"/>
      <c r="K9" s="7"/>
      <c r="L9" s="7"/>
      <c r="M9" s="7"/>
      <c r="N9" s="11"/>
      <c r="O9" s="11"/>
      <c r="P9" s="184" t="s">
        <v>25</v>
      </c>
      <c r="Q9" s="185"/>
      <c r="R9" s="28" t="s">
        <v>11</v>
      </c>
      <c r="S9" s="11"/>
      <c r="T9" s="11"/>
      <c r="U9" s="11"/>
      <c r="V9" s="11"/>
      <c r="W9" s="11"/>
      <c r="X9" s="11"/>
      <c r="Y9" s="11"/>
      <c r="Z9" s="11"/>
      <c r="AA9" s="11"/>
      <c r="AB9" s="11"/>
      <c r="AC9" s="11"/>
      <c r="AD9" s="11"/>
      <c r="AE9" s="11"/>
      <c r="AF9" s="11"/>
      <c r="AG9" s="11"/>
      <c r="AH9" s="11"/>
      <c r="AI9" s="11"/>
      <c r="AJ9" s="11"/>
      <c r="AK9" s="11"/>
    </row>
    <row r="10" spans="1:37" x14ac:dyDescent="0.2">
      <c r="A10" s="11"/>
      <c r="B10" s="11"/>
      <c r="C10" s="11"/>
      <c r="D10" s="11"/>
      <c r="E10" s="11"/>
      <c r="F10" s="11"/>
      <c r="G10" s="11"/>
      <c r="H10" s="11"/>
      <c r="I10" s="11"/>
      <c r="J10" s="7"/>
      <c r="K10" s="7"/>
      <c r="L10" s="7"/>
      <c r="M10" s="7"/>
      <c r="N10" s="11"/>
      <c r="O10" s="11"/>
      <c r="P10" s="12"/>
      <c r="Q10" s="12"/>
      <c r="R10" s="12"/>
      <c r="S10" s="11"/>
      <c r="T10" s="11"/>
      <c r="U10" s="11"/>
      <c r="V10" s="11"/>
      <c r="W10" s="11"/>
      <c r="X10" s="11"/>
      <c r="Y10" s="11"/>
      <c r="Z10" s="11"/>
      <c r="AA10" s="11"/>
      <c r="AB10" s="11"/>
      <c r="AC10" s="11"/>
      <c r="AD10" s="11"/>
      <c r="AE10" s="11"/>
      <c r="AF10" s="11"/>
      <c r="AG10" s="11"/>
      <c r="AH10" s="11"/>
      <c r="AI10" s="11"/>
      <c r="AJ10" s="11"/>
      <c r="AK10" s="11"/>
    </row>
    <row r="11" spans="1:37" x14ac:dyDescent="0.2">
      <c r="A11" s="11"/>
      <c r="B11" s="11"/>
      <c r="C11" s="11"/>
      <c r="D11" s="11"/>
      <c r="E11" s="11"/>
      <c r="F11" s="11"/>
      <c r="G11" s="11"/>
      <c r="H11" s="11"/>
      <c r="I11" s="11"/>
      <c r="J11" s="7"/>
      <c r="K11" s="7"/>
      <c r="L11" s="7"/>
      <c r="M11" s="7"/>
      <c r="N11" s="11"/>
      <c r="O11" s="11"/>
      <c r="P11" s="12"/>
      <c r="Q11" s="12"/>
      <c r="R11" s="12"/>
      <c r="S11" s="11"/>
      <c r="T11" s="11"/>
      <c r="U11" s="11"/>
      <c r="V11" s="11"/>
      <c r="W11" s="11"/>
      <c r="X11" s="11"/>
      <c r="Y11" s="11"/>
      <c r="Z11" s="11"/>
      <c r="AA11" s="11"/>
      <c r="AB11" s="11"/>
      <c r="AC11" s="11"/>
      <c r="AD11" s="11"/>
      <c r="AE11" s="11"/>
      <c r="AF11" s="11"/>
      <c r="AG11" s="11"/>
      <c r="AH11" s="11"/>
      <c r="AI11" s="11"/>
      <c r="AJ11" s="11"/>
      <c r="AK11" s="11"/>
    </row>
    <row r="12" spans="1:37" x14ac:dyDescent="0.2">
      <c r="A12" s="11"/>
      <c r="B12" s="11"/>
      <c r="C12" s="11"/>
      <c r="D12" s="11"/>
      <c r="E12" s="11"/>
      <c r="F12" s="11"/>
      <c r="G12" s="11"/>
      <c r="H12" s="11"/>
      <c r="I12" s="11"/>
      <c r="J12" s="7"/>
      <c r="K12" s="7"/>
      <c r="L12" s="7"/>
      <c r="M12" s="7"/>
      <c r="N12" s="11"/>
      <c r="O12" s="11"/>
      <c r="P12" s="12"/>
      <c r="Q12" s="12"/>
      <c r="R12" s="12"/>
      <c r="S12" s="11"/>
      <c r="T12" s="11"/>
      <c r="U12" s="11"/>
      <c r="V12" s="11"/>
      <c r="W12" s="11"/>
      <c r="X12" s="11"/>
      <c r="Y12" s="11"/>
      <c r="Z12" s="11"/>
      <c r="AA12" s="11"/>
      <c r="AB12" s="11"/>
      <c r="AC12" s="11"/>
      <c r="AD12" s="11"/>
      <c r="AE12" s="11"/>
      <c r="AF12" s="11"/>
      <c r="AG12" s="11"/>
      <c r="AH12" s="11"/>
      <c r="AI12" s="11"/>
      <c r="AJ12" s="11"/>
      <c r="AK12" s="11"/>
    </row>
    <row r="13" spans="1:37" x14ac:dyDescent="0.2">
      <c r="A13" s="11"/>
      <c r="B13" s="11"/>
      <c r="C13" s="11"/>
      <c r="D13" s="11"/>
      <c r="E13" s="11"/>
      <c r="F13" s="11"/>
      <c r="G13" s="11"/>
      <c r="H13" s="11"/>
      <c r="I13" s="11"/>
      <c r="J13" s="7"/>
      <c r="K13" s="7"/>
      <c r="L13" s="7"/>
      <c r="M13" s="7"/>
      <c r="N13" s="11"/>
      <c r="O13" s="11"/>
      <c r="P13" s="12"/>
      <c r="Q13" s="12"/>
      <c r="R13" s="12"/>
      <c r="S13" s="11"/>
      <c r="T13" s="11"/>
      <c r="U13" s="11"/>
      <c r="V13" s="11"/>
      <c r="W13" s="11"/>
      <c r="X13" s="11"/>
      <c r="Y13" s="11"/>
      <c r="Z13" s="11"/>
      <c r="AA13" s="11"/>
      <c r="AB13" s="11"/>
      <c r="AC13" s="11"/>
      <c r="AD13" s="11"/>
      <c r="AE13" s="11"/>
      <c r="AF13" s="11"/>
      <c r="AG13" s="11"/>
      <c r="AH13" s="11"/>
      <c r="AI13" s="11"/>
      <c r="AJ13" s="11"/>
      <c r="AK13" s="11"/>
    </row>
    <row r="14" spans="1:37" x14ac:dyDescent="0.2">
      <c r="A14" s="11"/>
      <c r="B14" s="11"/>
      <c r="C14" s="11"/>
      <c r="D14" s="11"/>
      <c r="E14" s="11"/>
      <c r="F14" s="11"/>
      <c r="G14" s="11"/>
      <c r="H14" s="11"/>
      <c r="I14" s="11"/>
      <c r="J14" s="77"/>
      <c r="K14" s="77"/>
      <c r="L14" s="77"/>
      <c r="M14" s="77"/>
      <c r="N14" s="11"/>
      <c r="O14" s="11"/>
      <c r="P14" s="11"/>
      <c r="Q14" s="11"/>
      <c r="R14" s="11"/>
      <c r="S14" s="11"/>
      <c r="T14" s="11"/>
      <c r="U14" s="11"/>
      <c r="V14" s="11"/>
      <c r="W14" s="11"/>
      <c r="X14" s="11"/>
      <c r="Y14" s="11"/>
      <c r="Z14" s="11"/>
      <c r="AA14" s="11"/>
      <c r="AB14" s="11"/>
      <c r="AC14" s="11"/>
      <c r="AD14" s="11"/>
      <c r="AE14" s="11"/>
      <c r="AF14" s="11"/>
      <c r="AG14" s="11"/>
      <c r="AH14" s="11"/>
      <c r="AI14" s="11"/>
      <c r="AJ14" s="11"/>
      <c r="AK14" s="11"/>
    </row>
    <row r="15" spans="1:37" x14ac:dyDescent="0.2">
      <c r="A15" s="18"/>
      <c r="B15" s="11"/>
      <c r="C15" s="11"/>
      <c r="D15" s="11"/>
      <c r="E15" s="11"/>
      <c r="F15" s="11"/>
      <c r="G15" s="11"/>
      <c r="H15" s="11"/>
      <c r="I15" s="11"/>
      <c r="J15" s="77"/>
      <c r="K15" s="77"/>
      <c r="L15" s="77"/>
      <c r="M15" s="77"/>
      <c r="N15" s="11"/>
      <c r="O15" s="11"/>
      <c r="P15" s="11"/>
      <c r="Q15" s="11"/>
      <c r="R15" s="11"/>
      <c r="S15" s="11"/>
      <c r="T15" s="11"/>
      <c r="U15" s="11"/>
      <c r="V15" s="11"/>
      <c r="W15" s="11"/>
      <c r="X15" s="11"/>
      <c r="Y15" s="11"/>
      <c r="Z15" s="11"/>
      <c r="AA15" s="11"/>
      <c r="AB15" s="11"/>
      <c r="AC15" s="11"/>
      <c r="AD15" s="11"/>
      <c r="AE15" s="11"/>
      <c r="AF15" s="11"/>
      <c r="AG15" s="11"/>
      <c r="AH15" s="11"/>
      <c r="AI15" s="11"/>
      <c r="AJ15" s="11"/>
      <c r="AK15" s="11"/>
    </row>
    <row r="16" spans="1:37" x14ac:dyDescent="0.2">
      <c r="A16" s="18"/>
      <c r="B16" s="11"/>
      <c r="C16" s="11"/>
      <c r="D16" s="11"/>
      <c r="E16" s="11"/>
      <c r="F16" s="11"/>
      <c r="G16" s="11"/>
      <c r="H16" s="11"/>
      <c r="I16" s="11"/>
      <c r="J16" s="77"/>
      <c r="K16" s="77"/>
      <c r="L16" s="77"/>
      <c r="M16" s="77"/>
      <c r="N16" s="11"/>
      <c r="O16" s="11"/>
      <c r="P16" s="11"/>
      <c r="Q16" s="11"/>
      <c r="R16" s="11"/>
      <c r="S16" s="11"/>
      <c r="T16" s="11"/>
      <c r="U16" s="11"/>
      <c r="V16" s="11"/>
      <c r="W16" s="11"/>
      <c r="X16" s="11"/>
      <c r="Y16" s="11"/>
      <c r="Z16" s="11"/>
      <c r="AA16" s="11"/>
      <c r="AB16" s="11"/>
      <c r="AC16" s="11"/>
      <c r="AD16" s="11"/>
      <c r="AE16" s="11"/>
      <c r="AF16" s="11"/>
      <c r="AG16" s="11"/>
      <c r="AH16" s="11"/>
      <c r="AI16" s="11"/>
      <c r="AJ16" s="11"/>
      <c r="AK16" s="11"/>
    </row>
    <row r="17" spans="1:37" ht="31.5" x14ac:dyDescent="0.2">
      <c r="A17" s="39" t="s">
        <v>26</v>
      </c>
      <c r="B17" s="46" t="s">
        <v>24</v>
      </c>
      <c r="C17" s="11"/>
      <c r="D17" s="11"/>
      <c r="E17" s="11"/>
      <c r="F17" s="11"/>
      <c r="G17" s="11"/>
      <c r="H17" s="11"/>
      <c r="I17" s="11"/>
      <c r="J17" s="77"/>
      <c r="K17" s="77"/>
      <c r="L17" s="77"/>
      <c r="M17" s="77"/>
      <c r="N17" s="11"/>
      <c r="O17" s="11"/>
      <c r="P17" s="11"/>
      <c r="Q17" s="11"/>
      <c r="R17" s="11"/>
      <c r="S17" s="11"/>
      <c r="T17" s="11"/>
      <c r="U17" s="11"/>
      <c r="V17" s="11"/>
      <c r="W17" s="11"/>
      <c r="X17" s="11"/>
      <c r="Y17" s="11"/>
      <c r="Z17" s="11"/>
      <c r="AA17" s="11"/>
      <c r="AB17" s="11"/>
      <c r="AC17" s="11"/>
      <c r="AD17" s="11"/>
      <c r="AE17" s="11"/>
      <c r="AF17" s="11"/>
      <c r="AG17" s="11"/>
      <c r="AH17" s="11"/>
      <c r="AI17" s="11"/>
      <c r="AJ17" s="11"/>
      <c r="AK17" s="11"/>
    </row>
    <row r="18" spans="1:37" ht="15.75" thickBot="1" x14ac:dyDescent="0.25">
      <c r="A18" s="11"/>
      <c r="B18" s="11"/>
      <c r="C18" s="11"/>
      <c r="D18" s="11"/>
      <c r="E18" s="11"/>
      <c r="F18" s="11"/>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row>
    <row r="19" spans="1:37" s="1" customFormat="1" ht="39" customHeight="1" thickBot="1" x14ac:dyDescent="0.25">
      <c r="A19" s="11"/>
      <c r="B19" s="73" t="s">
        <v>27</v>
      </c>
      <c r="C19" s="73" t="s">
        <v>28</v>
      </c>
      <c r="D19" s="73" t="s">
        <v>29</v>
      </c>
      <c r="E19" s="73" t="s">
        <v>30</v>
      </c>
      <c r="F19" s="73" t="s">
        <v>31</v>
      </c>
      <c r="G19" s="73" t="s">
        <v>32</v>
      </c>
      <c r="H19" s="73" t="s">
        <v>33</v>
      </c>
      <c r="I19" s="73" t="s">
        <v>34</v>
      </c>
      <c r="J19" s="73" t="s">
        <v>35</v>
      </c>
      <c r="K19" s="73" t="s">
        <v>36</v>
      </c>
      <c r="L19" s="73" t="s">
        <v>37</v>
      </c>
      <c r="M19" s="33"/>
      <c r="N19" s="12"/>
      <c r="O19" s="12"/>
      <c r="P19" s="12"/>
      <c r="Q19" s="12"/>
      <c r="R19" s="12"/>
      <c r="S19" s="12"/>
      <c r="T19" s="12"/>
      <c r="U19" s="12"/>
      <c r="V19" s="12"/>
      <c r="W19" s="12"/>
      <c r="X19" s="12"/>
      <c r="Y19" s="12"/>
      <c r="Z19" s="12"/>
      <c r="AA19" s="12"/>
      <c r="AB19" s="12"/>
      <c r="AC19" s="12"/>
      <c r="AD19" s="12"/>
      <c r="AE19" s="12"/>
      <c r="AF19" s="12"/>
      <c r="AG19" s="12"/>
      <c r="AH19" s="12"/>
      <c r="AI19" s="12"/>
      <c r="AJ19" s="12"/>
      <c r="AK19" s="12"/>
    </row>
    <row r="20" spans="1:37" x14ac:dyDescent="0.2">
      <c r="A20" s="18"/>
      <c r="B20" s="11"/>
      <c r="C20" s="11"/>
      <c r="D20" s="11"/>
      <c r="E20" s="11"/>
      <c r="F20" s="11"/>
      <c r="G20" s="11"/>
      <c r="H20" s="11"/>
      <c r="I20" s="11"/>
      <c r="J20" s="11"/>
      <c r="K20" s="11"/>
      <c r="L20" s="11"/>
      <c r="M20" s="12"/>
      <c r="N20" s="12"/>
      <c r="O20" s="11"/>
      <c r="P20" s="11"/>
      <c r="Q20" s="11"/>
      <c r="R20" s="11"/>
      <c r="S20" s="11"/>
      <c r="T20" s="11"/>
      <c r="U20" s="11"/>
      <c r="V20" s="11"/>
      <c r="W20" s="11"/>
      <c r="X20" s="11"/>
      <c r="Y20" s="11"/>
      <c r="Z20" s="11"/>
      <c r="AA20" s="11"/>
      <c r="AB20" s="11"/>
      <c r="AC20" s="11"/>
      <c r="AD20" s="11"/>
      <c r="AE20" s="11"/>
      <c r="AF20" s="11"/>
      <c r="AG20" s="11"/>
      <c r="AH20" s="11"/>
      <c r="AI20" s="11"/>
      <c r="AJ20" s="11"/>
      <c r="AK20" s="11"/>
    </row>
    <row r="21" spans="1:37" ht="15.75" x14ac:dyDescent="0.2">
      <c r="A21" s="39" t="s">
        <v>38</v>
      </c>
      <c r="B21">
        <f>IF(B17="No",SUM(IF(E5="Yes",COUNTIF('DM 3 Car'!$B:$B,Summary!D5)),IF(Summary!E6="Yes",COUNTIF('DM 3 Car'!$B:$B,Summary!D6)),IF(Summary!E7="Yes",COUNTIF('DM 3 Car'!$B:$B,Summary!D7)),IF(Summary!E8="Yes",COUNTIF('DM 3 Car'!$B:$B,Summary!D8)),IF(Summary!E9="Yes",COUNTIF('DM 3 Car'!$B:$B,Summary!D9))),"N/A")</f>
        <v>111</v>
      </c>
      <c r="C21">
        <f>IF(B17="No",SUM(IF(E5="Yes",COUNTIF('Trailer 3 Car'!$B:$B,Summary!D5)),IF(Summary!E6="Yes",COUNTIF('Trailer 3 Car'!$B:$B,Summary!D6)),IF(Summary!E7="Yes",COUNTIF('Trailer 3 Car'!$B:$B,Summary!D7)),IF(Summary!E8="Yes",COUNTIF('Trailer 3 Car'!$B:$B,Summary!D8)),,IF(Summary!E9="Yes",COUNTIF('Trailer 3 Car'!$B:$B,Summary!D9))),"N/A")</f>
        <v>53</v>
      </c>
      <c r="D21">
        <f>IF(B17="No",SUM(IF(E5="Yes",COUNTIF('UNDM 3 Car'!B:B,Summary!D5)),IF(Summary!E6="Yes",COUNTIF('UNDM 3 Car'!B:B,Summary!D6)),IF(Summary!E7="Yes",COUNTIF('UNDM 3 Car'!B:B,Summary!D7)),IF(Summary!E8="Yes",COUNTIF('UNDM 3 Car'!B:B,Summary!D8)),IF(Summary!E9="Yes",COUNTIF('UNDM 3 Car'!B:B,Summary!D9))),"N/A")</f>
        <v>78</v>
      </c>
      <c r="E21">
        <f>SUM(IF(E5="Yes",COUNTIF('DM 4 Car'!$B:$B,Summary!D5)),IF(Summary!E6="Yes",COUNTIF('DM 4 Car'!$B:$B,Summary!D6)),IF(Summary!E7="Yes",COUNTIF('DM 4 Car'!$B:$B,Summary!D7)),IF(Summary!E8="Yes",COUNTIF('DM 4 Car'!$B:$B,Summary!D8)),IF(Summary!E9="Yes",COUNTIF('DM 4 Car'!$B:$B,Summary!D9)))</f>
        <v>111</v>
      </c>
      <c r="F21">
        <f>SUM(IF(E5="Yes",COUNTIF('Trailer 4 Car'!$B:$B,Summary!D5)),IF(Summary!E6="Yes",COUNTIF('Trailer 4 Car'!$B:$B,Summary!D6)),IF(Summary!E7="Yes",COUNTIF('Trailer 4 Car'!$B:$B,Summary!D7)),IF(Summary!E8="Yes",COUNTIF('Trailer 4 Car'!$B:$B,Summary!D8)),IF(Summary!E9="Yes",COUNTIF('Trailer 4 Car'!$B:$B,Summary!D9)))</f>
        <v>54</v>
      </c>
      <c r="G21">
        <f>SUM(IF(E5="Yes",COUNTIF('Special Trailer 4 Car'!$B:$B,Summary!D5)),IF(Summary!E6="Yes",COUNTIF('Special Trailer 4 Car'!$B:$B,Summary!D6)),IF(Summary!E7="Yes",COUNTIF('Special Trailer 4 Car'!$B:$B,Summary!D7)),IF(Summary!E8="Yes",COUNTIF('Special Trailer 4 Car'!$B:$B,Summary!D8)),IF(Summary!E9="Yes",COUNTIF('Special Trailer 4 Car'!$B:$B,Summary!D9)))</f>
        <v>37</v>
      </c>
      <c r="H21">
        <f>SUM(IF(E5="Yes",COUNTIF('UNDM 4 Car'!B:B,Summary!D5)),IF(Summary!E6="Yes",COUNTIF('UNDM 4 Car'!B:B,Summary!D6)),IF(Summary!E7="Yes",COUNTIF('UNDM 4 Car'!B:B,Summary!D7)),IF(Summary!E8="Yes",COUNTIF('UNDM 4 Car'!B:B,Summary!D8)),IF(Summary!E9="Yes",COUNTIF('UNDM 4 Car'!B:B,Summary!D9)))</f>
        <v>78</v>
      </c>
      <c r="I21" t="str">
        <f>IF(B17="Yes",SUM(IF(E5="Yes",COUNTIF(#REF!,Summary!D5)),IF(Summary!E6="Yes",COUNTIF(#REF!,Summary!D6)),IF(Summary!E7="Yes",COUNTIF(#REF!,Summary!D7)),IF(Summary!E8="Yes",COUNTIF(#REF!,Summary!D8)),IF(Summary!E9="Yes",COUNTIF(#REF!,Summary!D9))),"N/A")</f>
        <v>N/A</v>
      </c>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12"/>
      <c r="N21" s="12"/>
      <c r="O21" s="11"/>
      <c r="P21" s="11"/>
      <c r="Q21" s="11"/>
      <c r="R21" s="11"/>
      <c r="S21" s="11"/>
      <c r="T21" s="11"/>
      <c r="U21" s="11"/>
      <c r="V21" s="11"/>
      <c r="W21" s="11"/>
      <c r="X21" s="11"/>
      <c r="Y21" s="11"/>
      <c r="Z21" s="11"/>
      <c r="AA21" s="11"/>
      <c r="AB21" s="11"/>
      <c r="AC21" s="11"/>
      <c r="AD21" s="11"/>
      <c r="AE21" s="11"/>
      <c r="AF21" s="11"/>
      <c r="AG21" s="11"/>
      <c r="AH21" s="11"/>
      <c r="AI21" s="11"/>
      <c r="AJ21" s="11"/>
      <c r="AK21" s="11"/>
    </row>
    <row r="22" spans="1:37" ht="15.75" x14ac:dyDescent="0.2">
      <c r="A22" s="39" t="s">
        <v>15</v>
      </c>
      <c r="B22" cm="1">
        <f t="array" ref="B22">IF(B17="No",SUM(IF(E5="Yes",SUM(COUNTIFS('DM 3 Car'!$E:$E,{"No",""},'DM 3 Car'!$F:$F,{"No",""},'DM 3 Car'!$G:$G,"",'DM 3 Car'!B:B,Summary!D5))),IF(Summary!E6="Yes",SUM(COUNTIFS('DM 3 Car'!$E:$E,{"No",""},'DM 3 Car'!$F:$F,{"No",""},'DM 3 Car'!$G:$G,"",'DM 3 Car'!B:B,Summary!D6))),IF(Summary!E7="Yes",SUM(COUNTIFS('DM 3 Car'!$E:$E,{"No",""},'DM 3 Car'!$F:$F,{"No",""},'DM 3 Car'!$G:$G,"",'DM 3 Car'!B:B,Summary!D7))),IF(Summary!E8="Yes",SUM(COUNTIFS('DM 3 Car'!$E:$E,{"No",""},'DM 3 Car'!$F:$F,{"No",""},'DM 3 Car'!$G:$G,"",'DM 3 Car'!B:B,Summary!D8))),IF(Summary!E9="Yes",SUM(COUNTIFS('DM 3 Car'!$E:$E,{"No",""},'DM 3 Car'!$F:$F,{"No",""},'DM 3 Car'!$G:$G,"",'DM 3 Car'!B:B,Summary!D9)))),"N/A")</f>
        <v>0</v>
      </c>
      <c r="C22" cm="1">
        <f t="array" ref="C22">IF(B17="No",SUM(IF(E5="Yes",SUM(COUNTIFS('Trailer 3 Car'!$E:$E,{"No",""},'Trailer 3 Car'!$F:$F,{"No",""},'Trailer 3 Car'!$G:$G,"",'Trailer 3 Car'!B:B,Summary!D5))),IF(Summary!E6="Yes",SUM(COUNTIFS('Trailer 3 Car'!$E:$E,{"No",""},'Trailer 3 Car'!$F:$F,{"No",""},'Trailer 3 Car'!$G:$G,"",'Trailer 3 Car'!B:B,Summary!D6))),IF(Summary!E7="Yes",SUM(COUNTIFS('Trailer 3 Car'!$E:$E,{"No",""},'Trailer 3 Car'!$F:$F,{"No",""},'Trailer 3 Car'!$G:$G,"",'Trailer 3 Car'!B:B,Summary!D7))),IF(Summary!E8="Yes",SUM(COUNTIFS('Trailer 3 Car'!$E:$E,{"No",""},'Trailer 3 Car'!$F:$F,{"No",""},'Trailer 3 Car'!$G:$G,"",'Trailer 3 Car'!B:B,Summary!D8))),IF(Summary!E9="Yes",SUM(COUNTIFS('Trailer 3 Car'!$E:$E,{"No",""},'Trailer 3 Car'!$F:$F,{"No",""},'Trailer 3 Car'!$G:$G,"",'Trailer 3 Car'!B:B,Summary!D9)))),"N/A")</f>
        <v>0</v>
      </c>
      <c r="D22" cm="1">
        <f t="array" ref="D22">IF(B17="No",SUM(IF(E5="Yes",SUM(COUNTIFS('UNDM 3 Car'!$E:$E,{"No",""},'UNDM 3 Car'!$F:$F,{"No",""},'UNDM 3 Car'!$G:$G,"",'UNDM 3 Car'!B:B,Summary!D5))),IF(Summary!E6="Yes",SUM(COUNTIFS('UNDM 3 Car'!$E:$E,{"No",""},'UNDM 3 Car'!$F:$F,{"No",""},'UNDM 3 Car'!$G:$G,"",'UNDM 3 Car'!B:B,Summary!D6))),IF(Summary!E7="Yes",SUM(COUNTIFS('UNDM 3 Car'!$E:$E,{"No",""},'UNDM 3 Car'!$F:$F,{"No",""},'UNDM 3 Car'!$G:$G,"",'UNDM 3 Car'!B:B,Summary!D7))),IF(Summary!E8="Yes",SUM(COUNTIFS('UNDM 3 Car'!$E:$E,{"No",""},'UNDM 3 Car'!$F:$F,{"No",""},'UNDM 3 Car'!$G:$G,"",'UNDM 3 Car'!B:B,Summary!D8))),IF(Summary!E9="Yes",SUM(COUNTIFS('UNDM 3 Car'!$E:$E,{"No",""},'UNDM 3 Car'!$F:$F,{"No",""},'UNDM 3 Car'!$G:$G,"",'UNDM 3 Car'!B:B,Summary!D9)))),"N/A")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t="str" cm="1">
        <f t="array" ref="I22">IF(B17="Yes",SUM(IF(E5="Yes",SUM(COUNTIFS(#REF!,{"No",""},#REF!,{"No",""},#REF!,"",#REF!,Summary!D5))),IF(Summary!E6="Yes",SUM(COUNTIFS(#REF!,{"No",""},#REF!,{"No",""},#REF!,"",#REF!,Summary!D6))),IF(Summary!E7="Yes",SUM(COUNTIFS(#REF!,{"No",""},#REF!,{"No",""},#REF!,"",#REF!,Summary!D7))),IF(Summary!E8="Yes",SUM(COUNTIFS(#REF!,{"No",""},#REF!,{"No",""},#REF!,"",#REF!,Summary!D8))),IF(Summary!E9="Yes",SUM(COUNTIFS(#REF!,{"No",""},#REF!,{"No",""},#REF!,"",#REF!,Summary!D9)))),"N/A")</f>
        <v>N/A</v>
      </c>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12"/>
      <c r="N22" s="12"/>
      <c r="O22" s="11"/>
      <c r="P22" s="11"/>
      <c r="Q22" s="11"/>
      <c r="R22" s="11"/>
      <c r="S22" s="11"/>
      <c r="T22" s="11"/>
      <c r="U22" s="11"/>
      <c r="V22" s="11"/>
      <c r="W22" s="11"/>
      <c r="X22" s="11"/>
      <c r="Y22" s="11"/>
      <c r="Z22" s="11"/>
      <c r="AA22" s="11"/>
      <c r="AB22" s="11"/>
      <c r="AC22" s="11"/>
      <c r="AD22" s="11"/>
      <c r="AE22" s="11"/>
      <c r="AF22" s="11"/>
      <c r="AG22" s="11"/>
      <c r="AH22" s="11"/>
      <c r="AI22" s="11"/>
      <c r="AJ22" s="11"/>
      <c r="AK22" s="11"/>
    </row>
    <row r="23" spans="1:37" ht="15.75" x14ac:dyDescent="0.2">
      <c r="A23" s="39" t="s">
        <v>19</v>
      </c>
      <c r="B23">
        <f>IF(B17="No",SUM(IF(E5="Yes",COUNTIFS('DM 3 Car'!$F:$F,"Yes",'DM 3 Car'!B:B,Summary!D5)),IF(Summary!E6="Yes",COUNTIFS('DM 3 Car'!$F:$F,"Yes",'DM 3 Car'!B:B,Summary!D6)),IF(Summary!E7="Yes",COUNTIFS('DM 3 Car'!$F:$F,"Yes",'DM 3 Car'!B:B,Summary!D7)),IF(Summary!E8="Yes",COUNTIFS('DM 3 Car'!$F:$F,"Yes",'DM 3 Car'!B:B,Summary!D8)),IF(Summary!E9="Yes",COUNTIFS('DM 3 Car'!$F:$F,"Yes",'DM 3 Car'!B:B,Summary!D9))),"N/A")</f>
        <v>1</v>
      </c>
      <c r="C23">
        <f>IF(B17="No",SUM(IF(E5="Yes",COUNTIFS('Trailer 3 Car'!$F:$F,"Yes",'Trailer 3 Car'!B:B,Summary!D5)),IF(Summary!E6="Yes",COUNTIFS('Trailer 3 Car'!$F:$F,"Yes",'Trailer 3 Car'!B:B,Summary!D6)),IF(Summary!E7="Yes",COUNTIFS('Trailer 3 Car'!$F:$F,"Yes",'Trailer 3 Car'!B:B,Summary!D7)),IF(Summary!E8="Yes",COUNTIFS('Trailer 3 Car'!$F:$F,"Yes",'Trailer 3 Car'!B:B,Summary!D8)),IF(Summary!E9="Yes",COUNTIFS('Trailer 3 Car'!$F:$F,"Yes",'Trailer 3 Car'!B:B,Summary!D9))),"N/A")</f>
        <v>0</v>
      </c>
      <c r="D23">
        <f>IF(B17="No",SUM(IF(E5="Yes",COUNTIFS('UNDM 3 Car'!$F:$F,"Yes",'UNDM 3 Car'!B:B,Summary!D5)),IF(Summary!E6="Yes",COUNTIFS('UNDM 3 Car'!$F:$F,"Yes",'UNDM 3 Car'!B:B,Summary!D6)),IF(Summary!E7="Yes",COUNTIFS('UNDM 3 Car'!$F:$F,"Yes",'UNDM 3 Car'!B:B,Summary!D7)),IF(Summary!E8="Yes",COUNTIFS('UNDM 3 Car'!$F:$F,"Yes",'UNDM 3 Car'!B:B,Summary!D8)),IF(Summary!E9="Yes",COUNTIFS('UNDM 3 Car'!$F:$F,"Yes",'UNDM 3 Car'!B:B,Summary!D9))),"N/A")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t="str">
        <f>IF(B17="Yes",SUM(IF(E5="Yes",COUNTIFS(#REF!,"Yes",#REF!,Summary!D5)),IF(Summary!E6="Yes",COUNTIFS(#REF!,"Yes",#REF!,Summary!D6)),IF(Summary!E7="Yes",COUNTIFS(#REF!,"Yes",#REF!,Summary!D7)),IF(Summary!E8="Yes",COUNTIFS(#REF!,"Yes",#REF!,Summary!D8)),IF(Summary!E9="Yes",COUNTIFS(#REF!,"Yes",#REF!,Summary!D9))),"N/A")</f>
        <v>N/A</v>
      </c>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12"/>
      <c r="N23" s="12"/>
      <c r="O23" s="11"/>
      <c r="P23" s="11"/>
      <c r="Q23" s="11"/>
      <c r="R23" s="11"/>
      <c r="S23" s="11"/>
      <c r="T23" s="11"/>
      <c r="U23" s="11"/>
      <c r="V23" s="11"/>
      <c r="W23" s="11"/>
      <c r="X23" s="11"/>
      <c r="Y23" s="11"/>
      <c r="Z23" s="11"/>
      <c r="AA23" s="11"/>
      <c r="AB23" s="11"/>
      <c r="AC23" s="11"/>
      <c r="AD23" s="11"/>
      <c r="AE23" s="11"/>
      <c r="AF23" s="11"/>
      <c r="AG23" s="11"/>
      <c r="AH23" s="11"/>
      <c r="AI23" s="11"/>
      <c r="AJ23" s="11"/>
      <c r="AK23" s="11"/>
    </row>
    <row r="24" spans="1:37" ht="15.75" x14ac:dyDescent="0.2">
      <c r="A24" s="39" t="s">
        <v>22</v>
      </c>
      <c r="B24">
        <f>IF(B17="No",SUM(IF(E5="Yes",COUNTIFS('DM 3 Car'!$E:$E,"Yes",'DM 3 Car'!B:B,Summary!D5)),IF(Summary!E6="Yes",COUNTIFS('DM 3 Car'!$E:$E,"Yes",'DM 3 Car'!B:B,Summary!D6)),IF(Summary!E7="Yes",COUNTIFS('DM 3 Car'!$E:$E,"Yes",'DM 3 Car'!B:B,Summary!D7)),IF(Summary!E8="Yes",COUNTIFS('DM 3 Car'!$E:$E,"Yes",'DM 3 Car'!B:B,Summary!D8)),IF(Summary!E9="Yes",COUNTIFS('DM 3 Car'!$E:$E,"Yes",'DM 3 Car'!B:B,Summary!D9))),"N/A")</f>
        <v>82</v>
      </c>
      <c r="C24">
        <f>IF(B17="No",SUM(IF(E5="Yes",COUNTIFS('Trailer 3 Car'!$E:$E,"Yes",'Trailer 3 Car'!B:B,Summary!D5)),IF(Summary!E6="Yes",COUNTIFS('Trailer 3 Car'!$E:$E,"Yes",'Trailer 3 Car'!B:B,Summary!D6)),IF(Summary!E7="Yes",COUNTIFS('Trailer 3 Car'!$E:$E,"Yes",'Trailer 3 Car'!B:B,Summary!D7)),IF(Summary!E8="Yes",COUNTIFS('Trailer 3 Car'!$E:$E,"Yes",'Trailer 3 Car'!B:B,Summary!D8)),IF(Summary!E9="Yes",COUNTIFS('Trailer 3 Car'!$E:$E,"Yes",'Trailer 3 Car'!B:B,Summary!D9))),"N/A")</f>
        <v>30</v>
      </c>
      <c r="D24">
        <f>IF(B17="No",SUM(IF(E5="Yes",COUNTIFS('UNDM 3 Car'!$E:$E,"Yes",'UNDM 3 Car'!B:B,Summary!D5)),IF(Summary!E6="Yes",COUNTIFS('UNDM 3 Car'!$E:$E,"Yes",'UNDM 3 Car'!B:B,Summary!D6)),IF(Summary!E7="Yes",COUNTIFS('UNDM 3 Car'!$E:$E,"Yes",'UNDM 3 Car'!B:B,Summary!D7)),IF(Summary!E8="Yes",COUNTIFS('UNDM 3 Car'!$E:$E,"Yes",'UNDM 3 Car'!B:B,Summary!D8)),IF(Summary!E9="Yes",COUNTIFS('UNDM 3 Car'!$E:$E,"Yes",'UNDM 3 Car'!B:B,Summary!D9))),"N/A")</f>
        <v>49</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77</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27</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23</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45</v>
      </c>
      <c r="I24" t="str">
        <f>IF(B17="Yes",SUM(IF(E5="Yes",COUNTIFS(#REF!,"Yes",#REF!,Summary!D5)),IF(Summary!E6="Yes",COUNTIFS(#REF!,"Yes",#REF!,Summary!D6)),IF(Summary!E7="Yes",COUNTIFS(#REF!,"Yes",#REF!,Summary!D7)),IF(Summary!E8="Yes",COUNTIFS(#REF!,"Yes",#REF!,Summary!D8)),IF(Summary!E9="Yes",COUNTIFS(#REF!,"Yes",#REF!,Summary!D9))),"N/A")</f>
        <v>N/A</v>
      </c>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12"/>
      <c r="N24" s="12"/>
      <c r="O24" s="11"/>
      <c r="P24" s="11"/>
      <c r="Q24" s="11"/>
      <c r="R24" s="11"/>
      <c r="S24" s="11"/>
      <c r="T24" s="11"/>
      <c r="U24" s="11"/>
      <c r="V24" s="11"/>
      <c r="W24" s="11"/>
      <c r="X24" s="11"/>
      <c r="Y24" s="11"/>
      <c r="Z24" s="11"/>
      <c r="AA24" s="11"/>
      <c r="AB24" s="11"/>
      <c r="AC24" s="11"/>
      <c r="AD24" s="11"/>
      <c r="AE24" s="11"/>
      <c r="AF24" s="11"/>
      <c r="AG24" s="11"/>
      <c r="AH24" s="11"/>
      <c r="AI24" s="11"/>
      <c r="AJ24" s="11"/>
      <c r="AK24" s="11"/>
    </row>
    <row r="25" spans="1:37" ht="15.75" x14ac:dyDescent="0.2">
      <c r="A25" s="39" t="s">
        <v>39</v>
      </c>
      <c r="B25" s="53">
        <f>IFERROR(B21-B24,"N/A")</f>
        <v>29</v>
      </c>
      <c r="C25" s="53">
        <f t="shared" ref="C25:L25" si="3">IFERROR(C21-C24,"N/A")</f>
        <v>23</v>
      </c>
      <c r="D25" s="53">
        <f t="shared" si="3"/>
        <v>29</v>
      </c>
      <c r="E25" s="53">
        <f t="shared" si="3"/>
        <v>34</v>
      </c>
      <c r="F25" s="53">
        <f t="shared" si="3"/>
        <v>27</v>
      </c>
      <c r="G25" s="53">
        <f t="shared" si="3"/>
        <v>14</v>
      </c>
      <c r="H25" s="53">
        <f t="shared" si="3"/>
        <v>33</v>
      </c>
      <c r="I25" s="53" t="str">
        <f t="shared" si="3"/>
        <v>N/A</v>
      </c>
      <c r="J25" s="53" t="str">
        <f t="shared" si="3"/>
        <v>N/A</v>
      </c>
      <c r="K25" s="53" t="str">
        <f t="shared" si="3"/>
        <v>N/A</v>
      </c>
      <c r="L25" s="53">
        <f t="shared" si="3"/>
        <v>6</v>
      </c>
      <c r="M25" s="12"/>
      <c r="N25" s="12"/>
      <c r="O25" s="11"/>
      <c r="P25" s="11"/>
      <c r="Q25" s="11"/>
      <c r="R25" s="11"/>
      <c r="S25" s="11"/>
      <c r="T25" s="11"/>
      <c r="U25" s="11"/>
      <c r="V25" s="11"/>
      <c r="W25" s="11"/>
      <c r="X25" s="11"/>
      <c r="Y25" s="11"/>
      <c r="Z25" s="11"/>
      <c r="AA25" s="11"/>
      <c r="AB25" s="11"/>
      <c r="AC25" s="11"/>
      <c r="AD25" s="11"/>
      <c r="AE25" s="11"/>
      <c r="AF25" s="11"/>
      <c r="AG25" s="11"/>
      <c r="AH25" s="11"/>
      <c r="AI25" s="11"/>
      <c r="AJ25" s="11"/>
      <c r="AK25" s="11"/>
    </row>
    <row r="26" spans="1:37" x14ac:dyDescent="0.2">
      <c r="A26" s="12"/>
      <c r="B26" s="12"/>
      <c r="C26" s="12"/>
      <c r="D26" s="12"/>
      <c r="E26" s="12"/>
      <c r="F26" s="12"/>
      <c r="G26" s="12"/>
      <c r="H26" s="12"/>
      <c r="I26" s="12"/>
      <c r="J26" s="12"/>
      <c r="K26" s="12"/>
      <c r="L26" s="12"/>
      <c r="M26" s="12"/>
      <c r="N26" s="12"/>
      <c r="O26" s="11"/>
      <c r="P26" s="11"/>
      <c r="Q26" s="11"/>
      <c r="R26" s="11"/>
      <c r="S26" s="11"/>
      <c r="T26" s="11"/>
      <c r="U26" s="11"/>
      <c r="V26" s="11"/>
      <c r="W26" s="11"/>
      <c r="X26" s="11"/>
      <c r="Y26" s="11"/>
      <c r="Z26" s="11"/>
      <c r="AA26" s="11"/>
      <c r="AB26" s="11"/>
      <c r="AC26" s="11"/>
      <c r="AD26" s="11"/>
      <c r="AE26" s="11"/>
      <c r="AF26" s="11"/>
      <c r="AG26" s="11"/>
      <c r="AH26" s="11"/>
      <c r="AI26" s="11"/>
      <c r="AJ26" s="11"/>
      <c r="AK26" s="11"/>
    </row>
    <row r="27" spans="1:37" x14ac:dyDescent="0.2">
      <c r="A27" s="18"/>
      <c r="B27" s="11"/>
      <c r="C27" s="11"/>
      <c r="D27" s="11"/>
      <c r="E27" s="11"/>
      <c r="F27" s="11"/>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row>
    <row r="28" spans="1:37" x14ac:dyDescent="0.2">
      <c r="A28" s="18"/>
      <c r="B28" s="11"/>
      <c r="C28" s="11"/>
      <c r="D28" s="11"/>
      <c r="E28" s="11"/>
      <c r="F28" s="11"/>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row>
    <row r="29" spans="1:37" x14ac:dyDescent="0.2">
      <c r="A29" s="18"/>
      <c r="B29" s="11"/>
      <c r="C29" s="11"/>
      <c r="D29" s="11"/>
      <c r="E29" s="11"/>
      <c r="F29" s="11"/>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row>
    <row r="30" spans="1:37" x14ac:dyDescent="0.2">
      <c r="A30" s="18"/>
      <c r="B30" s="11"/>
      <c r="C30" s="11"/>
      <c r="D30" s="11"/>
      <c r="E30" s="11"/>
      <c r="F30" s="11"/>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row>
    <row r="31" spans="1:37" x14ac:dyDescent="0.2">
      <c r="A31" s="18"/>
      <c r="B31" s="11"/>
      <c r="C31" s="11"/>
      <c r="D31" s="11"/>
      <c r="E31" s="11"/>
      <c r="F31" s="11"/>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row>
    <row r="32" spans="1:37" x14ac:dyDescent="0.2">
      <c r="A32" s="18"/>
      <c r="B32" s="11"/>
      <c r="C32" s="11"/>
      <c r="D32" s="11"/>
      <c r="E32" s="11"/>
      <c r="F32" s="11"/>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row>
    <row r="33" spans="1:37" x14ac:dyDescent="0.2">
      <c r="A33" s="18"/>
      <c r="B33" s="11"/>
      <c r="C33" s="11"/>
      <c r="D33" s="11"/>
      <c r="E33" s="11"/>
      <c r="F33" s="11"/>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row>
    <row r="34" spans="1:37" x14ac:dyDescent="0.2">
      <c r="A34" s="18"/>
      <c r="B34" s="11"/>
      <c r="C34" s="11"/>
      <c r="D34" s="11"/>
      <c r="E34" s="11"/>
      <c r="F34" s="11"/>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row>
    <row r="35" spans="1:37" x14ac:dyDescent="0.2">
      <c r="A35" s="18"/>
      <c r="B35" s="11"/>
      <c r="C35" s="11"/>
      <c r="D35" s="11"/>
      <c r="E35" s="11"/>
      <c r="F35" s="11"/>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row>
    <row r="36" spans="1:37" x14ac:dyDescent="0.2">
      <c r="A36" s="18"/>
      <c r="B36" s="11"/>
      <c r="C36" s="11"/>
      <c r="D36" s="11"/>
      <c r="E36" s="11"/>
      <c r="F36" s="11"/>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row>
    <row r="37" spans="1:37" x14ac:dyDescent="0.2">
      <c r="A37" s="18"/>
      <c r="B37" s="11"/>
      <c r="C37" s="11"/>
      <c r="D37" s="11"/>
      <c r="E37" s="11"/>
      <c r="F37" s="11"/>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row>
    <row r="38" spans="1:37" x14ac:dyDescent="0.2">
      <c r="A38" s="18"/>
      <c r="B38" s="11"/>
      <c r="C38" s="11"/>
      <c r="D38" s="11"/>
      <c r="E38" s="11"/>
      <c r="F38" s="11"/>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row>
    <row r="39" spans="1:37" x14ac:dyDescent="0.2">
      <c r="A39" s="18"/>
      <c r="B39" s="11"/>
      <c r="C39" s="11"/>
      <c r="D39" s="11"/>
      <c r="E39" s="11"/>
      <c r="F39" s="11"/>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row>
    <row r="40" spans="1:37" x14ac:dyDescent="0.2">
      <c r="A40" s="18"/>
      <c r="B40" s="11"/>
      <c r="C40" s="11"/>
      <c r="D40" s="11"/>
      <c r="E40" s="11"/>
      <c r="F40" s="11"/>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row>
    <row r="41" spans="1:37" x14ac:dyDescent="0.2">
      <c r="A41" s="18"/>
      <c r="B41" s="11"/>
      <c r="C41" s="11"/>
      <c r="D41" s="11"/>
      <c r="E41" s="11"/>
      <c r="F41" s="11"/>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row>
    <row r="42" spans="1:37" x14ac:dyDescent="0.2">
      <c r="A42" s="18"/>
      <c r="B42" s="11"/>
      <c r="C42" s="11"/>
      <c r="D42" s="11"/>
      <c r="E42" s="11"/>
      <c r="F42" s="11"/>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row>
    <row r="43" spans="1:37" x14ac:dyDescent="0.2">
      <c r="A43" s="18"/>
      <c r="B43" s="11"/>
      <c r="C43" s="11"/>
      <c r="D43" s="11"/>
      <c r="E43" s="11"/>
      <c r="F43" s="11"/>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row>
    <row r="44" spans="1:37" x14ac:dyDescent="0.2">
      <c r="A44" s="18"/>
      <c r="B44" s="11"/>
      <c r="C44" s="11"/>
      <c r="D44" s="11"/>
      <c r="E44" s="11"/>
      <c r="F44" s="11"/>
      <c r="G44" s="11"/>
      <c r="H44" s="11"/>
      <c r="I44" s="11"/>
      <c r="J44" s="11"/>
      <c r="K44" s="11"/>
      <c r="L44" s="11"/>
      <c r="M44" s="11"/>
      <c r="N44" s="11"/>
      <c r="O44" s="11"/>
      <c r="P44" s="11"/>
      <c r="Q44" s="11"/>
      <c r="R44" s="11"/>
      <c r="S44" s="11"/>
      <c r="T44" s="11"/>
      <c r="U44" s="11"/>
      <c r="V44" s="11"/>
      <c r="W44" s="11"/>
      <c r="X44" s="11"/>
      <c r="Y44" s="11"/>
      <c r="Z44" s="11"/>
      <c r="AA44" s="11"/>
      <c r="AB44" s="11"/>
      <c r="AC44" s="11"/>
      <c r="AD44" s="11"/>
      <c r="AE44" s="11"/>
      <c r="AF44" s="11"/>
      <c r="AG44" s="11"/>
      <c r="AH44" s="11"/>
      <c r="AI44" s="11"/>
      <c r="AJ44" s="11"/>
      <c r="AK44" s="11"/>
    </row>
    <row r="45" spans="1:37" x14ac:dyDescent="0.2">
      <c r="A45" s="18"/>
      <c r="B45" s="11"/>
      <c r="C45" s="11"/>
      <c r="D45" s="11"/>
      <c r="E45" s="11"/>
      <c r="F45" s="11"/>
      <c r="G45" s="11"/>
      <c r="H45" s="11"/>
      <c r="I45" s="11"/>
      <c r="J45" s="11"/>
      <c r="K45" s="11"/>
      <c r="L45" s="11"/>
      <c r="M45" s="11"/>
      <c r="N45" s="11"/>
      <c r="O45" s="11"/>
      <c r="P45" s="11"/>
      <c r="Q45" s="11"/>
      <c r="R45" s="11"/>
      <c r="S45" s="11"/>
      <c r="T45" s="11"/>
      <c r="U45" s="11"/>
      <c r="V45" s="11"/>
      <c r="W45" s="11"/>
      <c r="X45" s="11"/>
      <c r="Y45" s="11"/>
      <c r="Z45" s="11"/>
      <c r="AA45" s="11"/>
      <c r="AB45" s="11"/>
      <c r="AC45" s="11"/>
      <c r="AD45" s="11"/>
      <c r="AE45" s="11"/>
      <c r="AF45" s="11"/>
      <c r="AG45" s="11"/>
      <c r="AH45" s="11"/>
      <c r="AI45" s="11"/>
      <c r="AJ45" s="11"/>
      <c r="AK45" s="11"/>
    </row>
    <row r="46" spans="1:37" x14ac:dyDescent="0.2">
      <c r="A46" s="18"/>
      <c r="B46" s="11"/>
      <c r="C46" s="11"/>
      <c r="D46" s="11"/>
      <c r="E46" s="11"/>
      <c r="F46" s="11"/>
      <c r="G46" s="11"/>
      <c r="H46" s="11"/>
      <c r="I46" s="11"/>
      <c r="J46" s="11"/>
      <c r="K46" s="11"/>
      <c r="L46" s="11"/>
      <c r="M46" s="11"/>
      <c r="N46" s="11"/>
      <c r="O46" s="11"/>
      <c r="P46" s="11"/>
      <c r="Q46" s="11"/>
      <c r="R46" s="11"/>
      <c r="S46" s="11"/>
      <c r="T46" s="11"/>
      <c r="U46" s="11"/>
      <c r="V46" s="11"/>
      <c r="W46" s="11"/>
      <c r="X46" s="11"/>
      <c r="Y46" s="11"/>
      <c r="Z46" s="11"/>
      <c r="AA46" s="11"/>
      <c r="AB46" s="11"/>
      <c r="AC46" s="11"/>
      <c r="AD46" s="11"/>
      <c r="AE46" s="11"/>
      <c r="AF46" s="11"/>
      <c r="AG46" s="11"/>
      <c r="AH46" s="11"/>
      <c r="AI46" s="11"/>
      <c r="AJ46" s="11"/>
      <c r="AK46" s="11"/>
    </row>
    <row r="47" spans="1:37" x14ac:dyDescent="0.2">
      <c r="A47" s="18"/>
      <c r="B47" s="11"/>
      <c r="C47" s="11"/>
      <c r="D47" s="11"/>
      <c r="E47" s="11"/>
      <c r="F47" s="11"/>
      <c r="G47" s="11"/>
      <c r="H47" s="11"/>
      <c r="I47" s="11"/>
      <c r="J47" s="11"/>
      <c r="K47" s="11"/>
      <c r="L47" s="11"/>
      <c r="M47" s="11"/>
      <c r="N47" s="11"/>
      <c r="O47" s="11"/>
      <c r="P47" s="11"/>
      <c r="Q47" s="11"/>
      <c r="R47" s="11"/>
      <c r="S47" s="11"/>
      <c r="T47" s="11"/>
      <c r="U47" s="11"/>
      <c r="V47" s="11"/>
      <c r="W47" s="11"/>
      <c r="X47" s="11"/>
      <c r="Y47" s="11"/>
      <c r="Z47" s="11"/>
      <c r="AA47" s="11"/>
      <c r="AB47" s="11"/>
      <c r="AC47" s="11"/>
      <c r="AD47" s="11"/>
      <c r="AE47" s="11"/>
      <c r="AF47" s="11"/>
      <c r="AG47" s="11"/>
      <c r="AH47" s="11"/>
      <c r="AI47" s="11"/>
      <c r="AJ47" s="11"/>
      <c r="AK47" s="11"/>
    </row>
    <row r="48" spans="1:37" x14ac:dyDescent="0.2">
      <c r="A48" s="18"/>
      <c r="B48" s="11"/>
      <c r="C48" s="11"/>
      <c r="D48" s="11"/>
      <c r="E48" s="11"/>
      <c r="F48" s="11"/>
      <c r="G48" s="11"/>
      <c r="H48" s="11"/>
      <c r="I48" s="11"/>
      <c r="J48" s="11"/>
      <c r="K48" s="11"/>
      <c r="L48" s="11"/>
      <c r="M48" s="11"/>
      <c r="N48" s="11"/>
      <c r="O48" s="11"/>
      <c r="P48" s="11"/>
      <c r="Q48" s="11"/>
      <c r="R48" s="11"/>
      <c r="S48" s="11"/>
      <c r="T48" s="11"/>
      <c r="U48" s="11"/>
      <c r="V48" s="11"/>
      <c r="W48" s="11"/>
      <c r="X48" s="11"/>
      <c r="Y48" s="11"/>
      <c r="Z48" s="11"/>
      <c r="AA48" s="11"/>
      <c r="AB48" s="11"/>
      <c r="AC48" s="11"/>
      <c r="AD48" s="11"/>
      <c r="AE48" s="11"/>
      <c r="AF48" s="11"/>
      <c r="AG48" s="11"/>
      <c r="AH48" s="11"/>
      <c r="AI48" s="11"/>
      <c r="AJ48" s="11"/>
      <c r="AK48" s="11"/>
    </row>
    <row r="49" spans="1:37" x14ac:dyDescent="0.2">
      <c r="A49" s="18"/>
      <c r="B49" s="11"/>
      <c r="C49" s="11"/>
      <c r="D49" s="11"/>
      <c r="E49" s="11"/>
      <c r="F49" s="11"/>
      <c r="G49" s="11"/>
      <c r="H49" s="11"/>
      <c r="I49" s="11"/>
      <c r="J49" s="11"/>
      <c r="K49" s="11"/>
      <c r="L49" s="11"/>
      <c r="M49" s="11"/>
      <c r="N49" s="11"/>
      <c r="O49" s="11"/>
      <c r="P49" s="11"/>
      <c r="Q49" s="11"/>
      <c r="R49" s="11"/>
      <c r="S49" s="11"/>
      <c r="T49" s="11"/>
      <c r="U49" s="11"/>
      <c r="V49" s="11"/>
      <c r="W49" s="11"/>
      <c r="X49" s="11"/>
      <c r="Y49" s="11"/>
      <c r="Z49" s="11"/>
      <c r="AA49" s="11"/>
      <c r="AB49" s="11"/>
      <c r="AC49" s="11"/>
      <c r="AD49" s="11"/>
      <c r="AE49" s="11"/>
      <c r="AF49" s="11"/>
      <c r="AG49" s="11"/>
      <c r="AH49" s="11"/>
      <c r="AI49" s="11"/>
      <c r="AJ49" s="11"/>
      <c r="AK49" s="11"/>
    </row>
    <row r="50" spans="1:37" x14ac:dyDescent="0.2">
      <c r="A50" s="18"/>
      <c r="B50" s="11"/>
      <c r="C50" s="11"/>
      <c r="D50" s="11"/>
      <c r="E50" s="11"/>
      <c r="F50" s="11"/>
      <c r="G50" s="11"/>
      <c r="H50" s="11"/>
      <c r="I50" s="11"/>
      <c r="J50" s="11"/>
      <c r="K50" s="11"/>
      <c r="L50" s="11"/>
      <c r="M50" s="11"/>
      <c r="N50" s="11"/>
      <c r="O50" s="11"/>
      <c r="P50" s="11"/>
      <c r="Q50" s="11"/>
      <c r="R50" s="11"/>
      <c r="S50" s="11"/>
      <c r="T50" s="11"/>
      <c r="U50" s="11"/>
      <c r="V50" s="11"/>
      <c r="W50" s="11"/>
      <c r="X50" s="11"/>
      <c r="Y50" s="11"/>
      <c r="Z50" s="11"/>
      <c r="AA50" s="11"/>
      <c r="AB50" s="11"/>
      <c r="AC50" s="11"/>
      <c r="AD50" s="11"/>
      <c r="AE50" s="11"/>
      <c r="AF50" s="11"/>
      <c r="AG50" s="11"/>
      <c r="AH50" s="11"/>
      <c r="AI50" s="11"/>
      <c r="AJ50" s="11"/>
      <c r="AK50" s="11"/>
    </row>
    <row r="51" spans="1:37" x14ac:dyDescent="0.2">
      <c r="A51" s="18"/>
      <c r="B51" s="11"/>
      <c r="C51" s="11"/>
      <c r="D51" s="11"/>
      <c r="E51" s="11"/>
      <c r="F51" s="11"/>
      <c r="G51" s="11"/>
      <c r="H51" s="11"/>
      <c r="I51" s="11"/>
      <c r="J51" s="11"/>
      <c r="K51" s="11"/>
      <c r="L51" s="11"/>
      <c r="M51" s="11"/>
      <c r="N51" s="11"/>
      <c r="O51" s="11"/>
      <c r="P51" s="11"/>
      <c r="Q51" s="11"/>
      <c r="R51" s="11"/>
      <c r="S51" s="11"/>
      <c r="T51" s="11"/>
      <c r="U51" s="11"/>
      <c r="V51" s="11"/>
      <c r="W51" s="11"/>
      <c r="X51" s="11"/>
      <c r="Y51" s="11"/>
      <c r="Z51" s="11"/>
      <c r="AA51" s="11"/>
      <c r="AB51" s="11"/>
      <c r="AC51" s="11"/>
      <c r="AD51" s="11"/>
      <c r="AE51" s="11"/>
      <c r="AF51" s="11"/>
      <c r="AG51" s="11"/>
      <c r="AH51" s="11"/>
      <c r="AI51" s="11"/>
      <c r="AJ51" s="11"/>
      <c r="AK51" s="11"/>
    </row>
    <row r="52" spans="1:37" x14ac:dyDescent="0.2">
      <c r="A52" s="18"/>
      <c r="B52" s="11"/>
      <c r="C52" s="11"/>
      <c r="D52" s="11"/>
      <c r="E52" s="11"/>
      <c r="F52" s="11"/>
      <c r="G52" s="11"/>
      <c r="H52" s="11"/>
      <c r="I52" s="11"/>
      <c r="J52" s="11"/>
      <c r="K52" s="11"/>
      <c r="L52" s="11"/>
      <c r="M52" s="11"/>
      <c r="N52" s="11"/>
      <c r="O52" s="11"/>
      <c r="P52" s="11"/>
      <c r="Q52" s="11"/>
      <c r="R52" s="11"/>
      <c r="S52" s="11"/>
      <c r="T52" s="11"/>
      <c r="U52" s="11"/>
      <c r="V52" s="11"/>
      <c r="W52" s="11"/>
      <c r="X52" s="11"/>
      <c r="Y52" s="11"/>
      <c r="Z52" s="11"/>
      <c r="AA52" s="11"/>
      <c r="AB52" s="11"/>
      <c r="AC52" s="11"/>
      <c r="AD52" s="11"/>
      <c r="AE52" s="11"/>
      <c r="AF52" s="11"/>
      <c r="AG52" s="11"/>
      <c r="AH52" s="11"/>
      <c r="AI52" s="11"/>
      <c r="AJ52" s="11"/>
      <c r="AK52" s="11"/>
    </row>
    <row r="53" spans="1:37" x14ac:dyDescent="0.2">
      <c r="A53" s="18"/>
      <c r="B53" s="11"/>
      <c r="C53" s="11"/>
      <c r="D53" s="11"/>
      <c r="E53" s="11"/>
      <c r="F53" s="11"/>
      <c r="G53" s="11"/>
      <c r="H53" s="11"/>
      <c r="I53" s="11"/>
      <c r="J53" s="11"/>
      <c r="K53" s="11"/>
      <c r="L53" s="11"/>
      <c r="M53" s="11"/>
      <c r="N53" s="11"/>
      <c r="O53" s="11"/>
      <c r="P53" s="11"/>
      <c r="Q53" s="11"/>
      <c r="R53" s="11"/>
      <c r="S53" s="11"/>
      <c r="T53" s="11"/>
      <c r="U53" s="11"/>
      <c r="V53" s="11"/>
      <c r="W53" s="11"/>
      <c r="X53" s="11"/>
      <c r="Y53" s="11"/>
      <c r="Z53" s="11"/>
      <c r="AA53" s="11"/>
      <c r="AB53" s="11"/>
      <c r="AC53" s="11"/>
      <c r="AD53" s="11"/>
      <c r="AE53" s="11"/>
      <c r="AF53" s="11"/>
      <c r="AG53" s="11"/>
      <c r="AH53" s="11"/>
      <c r="AI53" s="11"/>
      <c r="AJ53" s="11"/>
      <c r="AK53" s="11"/>
    </row>
    <row r="54" spans="1:37" x14ac:dyDescent="0.2">
      <c r="A54" s="18"/>
      <c r="B54" s="11"/>
      <c r="C54" s="11"/>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1"/>
      <c r="AD54" s="11"/>
      <c r="AE54" s="11"/>
      <c r="AF54" s="11"/>
      <c r="AG54" s="11"/>
      <c r="AH54" s="11"/>
      <c r="AI54" s="11"/>
      <c r="AJ54" s="11"/>
      <c r="AK54" s="11"/>
    </row>
    <row r="55" spans="1:37" x14ac:dyDescent="0.2">
      <c r="A55" s="18"/>
      <c r="B55" s="11"/>
      <c r="C55" s="11"/>
      <c r="D55" s="11"/>
      <c r="E55" s="11"/>
      <c r="F55" s="11"/>
      <c r="G55" s="11"/>
      <c r="H55" s="11"/>
      <c r="I55" s="11"/>
      <c r="J55" s="11"/>
      <c r="K55" s="11"/>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row>
    <row r="56" spans="1:37" x14ac:dyDescent="0.2">
      <c r="A56" s="18"/>
      <c r="B56" s="11"/>
      <c r="C56" s="11"/>
      <c r="D56" s="11"/>
      <c r="E56" s="11"/>
      <c r="F56" s="11"/>
      <c r="G56" s="11"/>
      <c r="H56" s="11"/>
      <c r="I56" s="11"/>
      <c r="J56" s="11"/>
      <c r="K56" s="11"/>
      <c r="L56" s="11"/>
      <c r="M56" s="11"/>
      <c r="N56" s="11"/>
      <c r="O56" s="11"/>
      <c r="P56" s="11"/>
      <c r="Q56" s="11"/>
      <c r="R56" s="11"/>
      <c r="S56" s="11"/>
      <c r="T56" s="11"/>
      <c r="U56" s="11"/>
      <c r="V56" s="11"/>
      <c r="W56" s="11"/>
      <c r="X56" s="11"/>
      <c r="Y56" s="11"/>
      <c r="Z56" s="11"/>
      <c r="AA56" s="11"/>
      <c r="AB56" s="11"/>
      <c r="AC56" s="11"/>
      <c r="AD56" s="11"/>
      <c r="AE56" s="11"/>
      <c r="AF56" s="11"/>
      <c r="AG56" s="11"/>
      <c r="AH56" s="11"/>
      <c r="AI56" s="11"/>
      <c r="AJ56" s="11"/>
      <c r="AK56" s="11"/>
    </row>
    <row r="57" spans="1:37" x14ac:dyDescent="0.2">
      <c r="A57" s="18"/>
      <c r="B57" s="11"/>
      <c r="C57" s="11"/>
      <c r="D57" s="11"/>
      <c r="E57" s="11"/>
      <c r="F57" s="11"/>
      <c r="G57" s="11"/>
      <c r="H57" s="11"/>
      <c r="I57" s="11"/>
      <c r="J57" s="11"/>
      <c r="K57" s="11"/>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row>
    <row r="58" spans="1:37" x14ac:dyDescent="0.2">
      <c r="A58" s="18"/>
      <c r="B58" s="11"/>
      <c r="C58" s="11"/>
      <c r="D58" s="11"/>
      <c r="E58" s="11"/>
      <c r="F58" s="11"/>
      <c r="G58" s="11"/>
      <c r="H58" s="11"/>
      <c r="I58" s="11"/>
      <c r="J58" s="11"/>
      <c r="K58" s="11"/>
      <c r="L58" s="11"/>
      <c r="M58" s="11"/>
      <c r="N58" s="11"/>
      <c r="O58" s="11"/>
      <c r="P58" s="11"/>
      <c r="Q58" s="11"/>
      <c r="R58" s="11"/>
      <c r="S58" s="11"/>
      <c r="T58" s="11"/>
      <c r="U58" s="11"/>
      <c r="V58" s="11"/>
      <c r="W58" s="11"/>
      <c r="X58" s="11"/>
      <c r="Y58" s="11"/>
      <c r="Z58" s="11"/>
      <c r="AA58" s="11"/>
      <c r="AB58" s="11"/>
      <c r="AC58" s="11"/>
      <c r="AD58" s="11"/>
      <c r="AE58" s="11"/>
      <c r="AF58" s="11"/>
      <c r="AG58" s="11"/>
      <c r="AH58" s="11"/>
      <c r="AI58" s="11"/>
      <c r="AJ58" s="11"/>
      <c r="AK58" s="11"/>
    </row>
    <row r="59" spans="1:37" x14ac:dyDescent="0.2">
      <c r="A59" s="18"/>
      <c r="B59" s="11"/>
      <c r="C59" s="11"/>
      <c r="D59" s="11"/>
      <c r="E59" s="11"/>
      <c r="F59" s="11"/>
      <c r="G59" s="11"/>
      <c r="H59" s="11"/>
      <c r="I59" s="11"/>
      <c r="J59" s="11"/>
      <c r="K59" s="11"/>
      <c r="L59" s="11"/>
      <c r="M59" s="11"/>
      <c r="N59" s="11"/>
      <c r="O59" s="11"/>
      <c r="P59" s="11"/>
      <c r="Q59" s="11"/>
      <c r="R59" s="11"/>
      <c r="S59" s="11"/>
      <c r="T59" s="11"/>
      <c r="U59" s="11"/>
      <c r="V59" s="11"/>
      <c r="W59" s="11"/>
      <c r="X59" s="11"/>
      <c r="Y59" s="11"/>
      <c r="Z59" s="11"/>
      <c r="AA59" s="11"/>
      <c r="AB59" s="11"/>
      <c r="AC59" s="11"/>
      <c r="AD59" s="11"/>
      <c r="AE59" s="11"/>
      <c r="AF59" s="11"/>
      <c r="AG59" s="11"/>
      <c r="AH59" s="11"/>
      <c r="AI59" s="11"/>
      <c r="AJ59" s="11"/>
      <c r="AK59" s="11"/>
    </row>
    <row r="60" spans="1:37" x14ac:dyDescent="0.2">
      <c r="A60" s="18"/>
      <c r="B60" s="11"/>
      <c r="C60" s="11"/>
      <c r="D60" s="11"/>
      <c r="E60" s="11"/>
      <c r="F60" s="11"/>
      <c r="G60" s="11"/>
      <c r="H60" s="11"/>
      <c r="I60" s="11"/>
      <c r="J60" s="11"/>
      <c r="K60" s="11"/>
      <c r="L60" s="11"/>
      <c r="M60" s="11"/>
      <c r="N60" s="11"/>
      <c r="O60" s="11"/>
      <c r="P60" s="11"/>
      <c r="Q60" s="11"/>
      <c r="R60" s="11"/>
      <c r="S60" s="11"/>
      <c r="T60" s="11"/>
      <c r="U60" s="11"/>
      <c r="V60" s="11"/>
      <c r="W60" s="11"/>
      <c r="X60" s="11"/>
      <c r="Y60" s="11"/>
      <c r="Z60" s="11"/>
      <c r="AA60" s="11"/>
      <c r="AB60" s="11"/>
      <c r="AC60" s="11"/>
      <c r="AD60" s="11"/>
      <c r="AE60" s="11"/>
      <c r="AF60" s="11"/>
      <c r="AG60" s="11"/>
      <c r="AH60" s="11"/>
      <c r="AI60" s="11"/>
      <c r="AJ60" s="11"/>
      <c r="AK60" s="11"/>
    </row>
    <row r="61" spans="1:37" x14ac:dyDescent="0.2">
      <c r="A61" s="18"/>
      <c r="B61" s="11"/>
      <c r="C61" s="11"/>
      <c r="D61" s="11"/>
      <c r="E61" s="11"/>
      <c r="F61" s="11"/>
      <c r="G61" s="11"/>
      <c r="H61" s="11"/>
      <c r="I61" s="11"/>
      <c r="J61" s="11"/>
      <c r="K61" s="11"/>
      <c r="L61" s="11"/>
      <c r="M61" s="11"/>
      <c r="N61" s="11"/>
      <c r="O61" s="11"/>
      <c r="P61" s="11"/>
      <c r="Q61" s="11"/>
      <c r="R61" s="11"/>
      <c r="S61" s="11"/>
      <c r="T61" s="11"/>
      <c r="U61" s="11"/>
      <c r="V61" s="11"/>
      <c r="W61" s="11"/>
      <c r="X61" s="11"/>
      <c r="Y61" s="11"/>
      <c r="Z61" s="11"/>
      <c r="AA61" s="11"/>
      <c r="AB61" s="11"/>
      <c r="AC61" s="11"/>
      <c r="AD61" s="11"/>
      <c r="AE61" s="11"/>
      <c r="AF61" s="11"/>
      <c r="AG61" s="11"/>
      <c r="AH61" s="11"/>
      <c r="AI61" s="11"/>
      <c r="AJ61" s="11"/>
      <c r="AK61" s="11"/>
    </row>
    <row r="62" spans="1:37" x14ac:dyDescent="0.2">
      <c r="A62" s="18"/>
      <c r="B62" s="11"/>
      <c r="C62" s="11"/>
      <c r="D62" s="11"/>
      <c r="E62" s="11"/>
      <c r="F62" s="11"/>
      <c r="G62" s="11"/>
      <c r="H62" s="11"/>
      <c r="I62" s="11"/>
      <c r="J62" s="11"/>
      <c r="K62" s="11"/>
      <c r="L62" s="11"/>
      <c r="M62" s="11"/>
      <c r="N62" s="11"/>
      <c r="O62" s="11"/>
      <c r="P62" s="11"/>
      <c r="Q62" s="11"/>
      <c r="R62" s="11"/>
      <c r="S62" s="11"/>
      <c r="T62" s="11"/>
      <c r="U62" s="11"/>
      <c r="V62" s="11"/>
      <c r="W62" s="11"/>
      <c r="X62" s="11"/>
      <c r="Y62" s="11"/>
      <c r="Z62" s="11"/>
      <c r="AA62" s="11"/>
      <c r="AB62" s="11"/>
      <c r="AC62" s="11"/>
      <c r="AD62" s="11"/>
      <c r="AE62" s="11"/>
      <c r="AF62" s="11"/>
      <c r="AG62" s="11"/>
      <c r="AH62" s="11"/>
      <c r="AI62" s="11"/>
      <c r="AJ62" s="11"/>
      <c r="AK62" s="11"/>
    </row>
    <row r="63" spans="1:37" x14ac:dyDescent="0.2">
      <c r="A63" s="18"/>
      <c r="B63" s="11"/>
      <c r="C63" s="11"/>
      <c r="D63" s="11"/>
      <c r="E63" s="11"/>
      <c r="F63" s="11"/>
      <c r="G63" s="11"/>
      <c r="H63" s="11"/>
      <c r="I63" s="11"/>
      <c r="J63" s="11"/>
      <c r="K63" s="11"/>
      <c r="L63" s="11"/>
      <c r="M63" s="11"/>
      <c r="N63" s="11"/>
      <c r="O63" s="11"/>
      <c r="P63" s="11"/>
      <c r="Q63" s="11"/>
      <c r="R63" s="11"/>
      <c r="S63" s="11"/>
      <c r="T63" s="11"/>
      <c r="U63" s="11"/>
      <c r="V63" s="11"/>
      <c r="W63" s="11"/>
      <c r="X63" s="11"/>
      <c r="Y63" s="11"/>
      <c r="Z63" s="11"/>
      <c r="AA63" s="11"/>
      <c r="AB63" s="11"/>
      <c r="AC63" s="11"/>
      <c r="AD63" s="11"/>
      <c r="AE63" s="11"/>
      <c r="AF63" s="11"/>
      <c r="AG63" s="11"/>
      <c r="AH63" s="11"/>
      <c r="AI63" s="11"/>
      <c r="AJ63" s="11"/>
      <c r="AK63" s="11"/>
    </row>
    <row r="64" spans="1:37" x14ac:dyDescent="0.2">
      <c r="A64" s="18"/>
      <c r="B64" s="11"/>
      <c r="C64" s="11"/>
      <c r="D64" s="11"/>
      <c r="E64" s="11"/>
      <c r="F64" s="11"/>
      <c r="G64" s="11"/>
      <c r="H64" s="11"/>
      <c r="I64" s="11"/>
      <c r="J64" s="11"/>
      <c r="K64" s="11"/>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11"/>
    </row>
    <row r="65" spans="1:37" x14ac:dyDescent="0.2">
      <c r="A65" s="18"/>
      <c r="B65" s="11"/>
      <c r="C65" s="11"/>
      <c r="D65" s="11"/>
      <c r="E65" s="11"/>
      <c r="F65" s="11"/>
      <c r="G65" s="11"/>
      <c r="H65" s="11"/>
      <c r="I65" s="11"/>
      <c r="J65" s="11"/>
      <c r="K65" s="11"/>
      <c r="L65" s="11"/>
      <c r="M65" s="11"/>
      <c r="N65" s="11"/>
      <c r="O65" s="11"/>
      <c r="P65" s="11"/>
      <c r="Q65" s="11"/>
      <c r="R65" s="11"/>
      <c r="S65" s="11"/>
      <c r="T65" s="11"/>
      <c r="U65" s="11"/>
      <c r="V65" s="11"/>
      <c r="W65" s="11"/>
      <c r="X65" s="11"/>
      <c r="Y65" s="11"/>
      <c r="Z65" s="11"/>
      <c r="AA65" s="11"/>
      <c r="AB65" s="11"/>
      <c r="AC65" s="11"/>
      <c r="AD65" s="11"/>
      <c r="AE65" s="11"/>
      <c r="AF65" s="11"/>
      <c r="AG65" s="11"/>
      <c r="AH65" s="11"/>
      <c r="AI65" s="11"/>
      <c r="AJ65" s="11"/>
      <c r="AK65" s="11"/>
    </row>
    <row r="66" spans="1:37" x14ac:dyDescent="0.2">
      <c r="A66" s="18"/>
      <c r="B66" s="11"/>
      <c r="C66" s="11"/>
      <c r="D66" s="11"/>
      <c r="E66" s="11"/>
      <c r="F66" s="11"/>
      <c r="G66" s="11"/>
      <c r="H66" s="11"/>
      <c r="I66" s="11"/>
      <c r="J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row>
    <row r="67" spans="1:37" x14ac:dyDescent="0.2">
      <c r="A67" s="18"/>
      <c r="B67" s="11"/>
      <c r="C67" s="11"/>
      <c r="D67" s="11"/>
      <c r="E67" s="11"/>
      <c r="F67" s="11"/>
      <c r="G67" s="11"/>
      <c r="H67" s="11"/>
      <c r="I67" s="11"/>
      <c r="J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row>
    <row r="68" spans="1:37" x14ac:dyDescent="0.2">
      <c r="A68" s="18"/>
      <c r="B68" s="11"/>
      <c r="C68" s="11"/>
      <c r="D68" s="11"/>
      <c r="E68" s="11"/>
      <c r="F68" s="11"/>
      <c r="G68" s="11"/>
      <c r="H68" s="11"/>
      <c r="I68" s="11"/>
      <c r="J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row>
    <row r="69" spans="1:37" x14ac:dyDescent="0.2">
      <c r="A69" s="18"/>
      <c r="B69" s="11"/>
      <c r="C69" s="11"/>
      <c r="D69" s="11"/>
      <c r="E69" s="11"/>
      <c r="F69" s="11"/>
      <c r="G69" s="11"/>
      <c r="H69" s="11"/>
      <c r="I69" s="11"/>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row>
    <row r="70" spans="1:37" x14ac:dyDescent="0.2">
      <c r="A70" s="18"/>
      <c r="B70" s="11"/>
      <c r="C70" s="11"/>
      <c r="D70" s="11"/>
      <c r="E70" s="11"/>
      <c r="F70" s="11"/>
      <c r="G70" s="11"/>
      <c r="H70" s="11"/>
      <c r="I70" s="11"/>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row>
    <row r="71" spans="1:37" x14ac:dyDescent="0.2">
      <c r="A71" s="18"/>
      <c r="B71" s="11"/>
      <c r="C71" s="11"/>
      <c r="D71" s="11"/>
      <c r="E71" s="11"/>
      <c r="F71" s="11"/>
      <c r="G71" s="11"/>
      <c r="H71" s="11"/>
      <c r="I71" s="11"/>
      <c r="J71" s="11"/>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row>
    <row r="72" spans="1:37" x14ac:dyDescent="0.2">
      <c r="A72" s="18"/>
      <c r="B72" s="11"/>
      <c r="C72" s="11"/>
      <c r="D72" s="11"/>
      <c r="E72" s="11"/>
      <c r="F72" s="11"/>
      <c r="G72" s="11"/>
      <c r="H72" s="11"/>
      <c r="I72" s="11"/>
      <c r="J72" s="11"/>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row>
    <row r="73" spans="1:37" x14ac:dyDescent="0.2">
      <c r="A73" s="18"/>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row>
    <row r="74" spans="1:37" x14ac:dyDescent="0.2">
      <c r="A74" s="18"/>
      <c r="B74" s="11"/>
      <c r="C74" s="11"/>
      <c r="D74" s="11"/>
      <c r="E74" s="11"/>
      <c r="F74" s="11"/>
      <c r="G74" s="11"/>
      <c r="H74" s="11"/>
      <c r="I74" s="11"/>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row>
    <row r="75" spans="1:37" x14ac:dyDescent="0.2">
      <c r="A75" s="18"/>
      <c r="B75" s="11"/>
      <c r="C75" s="11"/>
      <c r="D75" s="11"/>
      <c r="E75" s="11"/>
      <c r="F75" s="11"/>
      <c r="G75" s="11"/>
      <c r="H75" s="11"/>
      <c r="I75" s="11"/>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row>
    <row r="76" spans="1:37" x14ac:dyDescent="0.2">
      <c r="A76" s="18"/>
      <c r="B76" s="11"/>
      <c r="C76" s="11"/>
      <c r="D76" s="11"/>
      <c r="E76" s="11"/>
      <c r="F76" s="11"/>
      <c r="G76" s="11"/>
      <c r="H76" s="11"/>
      <c r="I76" s="11"/>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row>
    <row r="77" spans="1:37" x14ac:dyDescent="0.2">
      <c r="A77" s="18"/>
      <c r="B77" s="11"/>
      <c r="C77" s="11"/>
      <c r="D77" s="11"/>
      <c r="E77" s="11"/>
      <c r="F77" s="11"/>
      <c r="G77" s="11"/>
      <c r="H77" s="11"/>
      <c r="I77" s="1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row>
    <row r="78" spans="1:37" x14ac:dyDescent="0.2">
      <c r="A78" s="18"/>
      <c r="B78" s="11"/>
      <c r="C78" s="11"/>
      <c r="D78" s="11"/>
      <c r="E78" s="11"/>
      <c r="F78" s="11"/>
      <c r="G78" s="11"/>
      <c r="H78" s="11"/>
      <c r="I78" s="11"/>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row>
    <row r="79" spans="1:37" x14ac:dyDescent="0.2">
      <c r="A79" s="18"/>
      <c r="B79" s="11"/>
      <c r="C79" s="11"/>
      <c r="D79" s="11"/>
      <c r="E79" s="11"/>
      <c r="F79" s="11"/>
      <c r="G79" s="11"/>
      <c r="H79" s="11"/>
      <c r="I79" s="11"/>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row>
    <row r="80" spans="1:37" x14ac:dyDescent="0.2">
      <c r="A80" s="18"/>
      <c r="B80" s="11"/>
      <c r="C80" s="11"/>
      <c r="D80" s="11"/>
      <c r="E80" s="11"/>
      <c r="F80" s="11"/>
      <c r="G80" s="11"/>
      <c r="H80" s="11"/>
      <c r="I80" s="11"/>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row>
    <row r="81" spans="1:37" x14ac:dyDescent="0.2">
      <c r="A81" s="18"/>
      <c r="B81" s="11"/>
      <c r="C81" s="11"/>
      <c r="D81" s="11"/>
      <c r="E81" s="11"/>
      <c r="F81" s="11"/>
      <c r="G81" s="11"/>
      <c r="H81" s="11"/>
      <c r="I81" s="11"/>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row>
    <row r="82" spans="1:37" x14ac:dyDescent="0.2">
      <c r="A82" s="18"/>
      <c r="B82" s="11"/>
      <c r="C82" s="11"/>
      <c r="D82" s="11"/>
      <c r="E82" s="11"/>
      <c r="F82" s="11"/>
      <c r="G82" s="11"/>
      <c r="H82" s="11"/>
      <c r="I82" s="11"/>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row>
    <row r="83" spans="1:37" x14ac:dyDescent="0.2">
      <c r="A83" s="18"/>
      <c r="B83" s="11"/>
      <c r="C83" s="11"/>
      <c r="D83" s="11"/>
      <c r="E83" s="11"/>
      <c r="F83" s="11"/>
      <c r="G83" s="11"/>
      <c r="H83" s="11"/>
      <c r="I83" s="11"/>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row>
    <row r="84" spans="1:37" x14ac:dyDescent="0.2">
      <c r="A84" s="18"/>
      <c r="B84" s="11"/>
      <c r="C84" s="11"/>
      <c r="D84" s="11"/>
      <c r="E84" s="11"/>
      <c r="F84" s="11"/>
      <c r="G84" s="11"/>
      <c r="H84" s="11"/>
      <c r="I84" s="11"/>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row>
    <row r="85" spans="1:37" x14ac:dyDescent="0.2">
      <c r="A85" s="18"/>
      <c r="B85" s="11"/>
      <c r="C85" s="11"/>
      <c r="D85" s="11"/>
      <c r="E85" s="11"/>
      <c r="F85" s="11"/>
      <c r="G85" s="11"/>
      <c r="H85" s="11"/>
      <c r="I85" s="11"/>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row>
    <row r="86" spans="1:37" x14ac:dyDescent="0.2">
      <c r="A86" s="18"/>
      <c r="B86" s="11"/>
      <c r="C86" s="11"/>
      <c r="D86" s="11"/>
      <c r="E86" s="11"/>
      <c r="F86" s="11"/>
      <c r="G86" s="11"/>
      <c r="H86" s="11"/>
      <c r="I86" s="11"/>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row>
    <row r="87" spans="1:37" x14ac:dyDescent="0.2">
      <c r="A87" s="18"/>
      <c r="B87" s="11"/>
      <c r="C87" s="11"/>
      <c r="D87" s="11"/>
      <c r="E87" s="11"/>
      <c r="F87" s="11"/>
      <c r="G87" s="11"/>
      <c r="H87" s="11"/>
      <c r="I87" s="11"/>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row>
    <row r="88" spans="1:37" x14ac:dyDescent="0.2">
      <c r="A88" s="18"/>
      <c r="B88" s="11"/>
      <c r="C88" s="11"/>
      <c r="D88" s="11"/>
      <c r="E88" s="11"/>
      <c r="F88" s="11"/>
      <c r="G88" s="11"/>
      <c r="H88" s="11"/>
      <c r="I88" s="11"/>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row>
    <row r="89" spans="1:37" x14ac:dyDescent="0.2">
      <c r="A89" s="18"/>
      <c r="B89" s="11"/>
      <c r="C89" s="11"/>
      <c r="D89" s="11"/>
      <c r="E89" s="11"/>
      <c r="F89" s="11"/>
      <c r="G89" s="11"/>
      <c r="H89" s="11"/>
      <c r="I89" s="11"/>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row>
    <row r="90" spans="1:37" x14ac:dyDescent="0.2">
      <c r="A90" s="18"/>
      <c r="B90" s="11"/>
      <c r="C90" s="11"/>
      <c r="D90" s="11"/>
      <c r="E90" s="11"/>
      <c r="F90" s="11"/>
      <c r="G90" s="11"/>
      <c r="H90" s="11"/>
      <c r="I90" s="11"/>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row>
    <row r="91" spans="1:37" x14ac:dyDescent="0.2">
      <c r="A91" s="18"/>
      <c r="B91" s="11"/>
      <c r="C91" s="11"/>
      <c r="D91" s="11"/>
      <c r="E91" s="11"/>
      <c r="F91" s="11"/>
      <c r="G91" s="11"/>
      <c r="H91" s="11"/>
      <c r="I91" s="11"/>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row>
    <row r="92" spans="1:37" x14ac:dyDescent="0.2">
      <c r="A92" s="18"/>
      <c r="B92" s="11"/>
      <c r="C92" s="11"/>
      <c r="D92" s="11"/>
      <c r="E92" s="11"/>
      <c r="F92" s="11"/>
      <c r="G92" s="11"/>
      <c r="H92" s="11"/>
      <c r="I92" s="11"/>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row>
    <row r="93" spans="1:37" x14ac:dyDescent="0.2">
      <c r="A93" s="18"/>
      <c r="B93" s="11"/>
      <c r="C93" s="11"/>
      <c r="D93" s="11"/>
      <c r="E93" s="11"/>
      <c r="F93" s="11"/>
      <c r="G93" s="11"/>
      <c r="H93" s="11"/>
      <c r="I93" s="11"/>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row>
    <row r="94" spans="1:37" x14ac:dyDescent="0.2">
      <c r="A94" s="18"/>
      <c r="B94" s="11"/>
      <c r="C94" s="11"/>
      <c r="D94" s="11"/>
      <c r="E94" s="11"/>
      <c r="F94" s="11"/>
      <c r="G94" s="11"/>
      <c r="H94" s="11"/>
      <c r="I94" s="11"/>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row>
    <row r="95" spans="1:37" x14ac:dyDescent="0.2">
      <c r="A95" s="18"/>
      <c r="B95" s="11"/>
      <c r="C95" s="11"/>
      <c r="D95" s="11"/>
      <c r="E95" s="11"/>
      <c r="F95" s="11"/>
      <c r="G95" s="11"/>
      <c r="H95" s="11"/>
      <c r="I95" s="11"/>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row>
    <row r="96" spans="1:37" x14ac:dyDescent="0.2">
      <c r="A96" s="18"/>
      <c r="B96" s="11"/>
      <c r="C96" s="11"/>
      <c r="D96" s="11"/>
      <c r="E96" s="11"/>
      <c r="F96" s="11"/>
      <c r="G96" s="11"/>
      <c r="H96" s="11"/>
      <c r="I96" s="11"/>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row>
    <row r="97" spans="1:37" x14ac:dyDescent="0.2">
      <c r="A97" s="18"/>
      <c r="B97" s="11"/>
      <c r="C97" s="11"/>
      <c r="D97" s="11"/>
      <c r="E97" s="11"/>
      <c r="F97" s="11"/>
      <c r="G97" s="11"/>
      <c r="H97" s="11"/>
      <c r="I97" s="11"/>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row>
    <row r="98" spans="1:37" x14ac:dyDescent="0.2">
      <c r="A98" s="18"/>
      <c r="B98" s="11"/>
      <c r="C98" s="11"/>
      <c r="D98" s="11"/>
      <c r="E98" s="11"/>
      <c r="F98" s="11"/>
      <c r="G98" s="11"/>
      <c r="H98" s="11"/>
      <c r="I98" s="11"/>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row>
    <row r="99" spans="1:37" x14ac:dyDescent="0.2">
      <c r="A99" s="18"/>
      <c r="B99" s="11"/>
      <c r="C99" s="11"/>
      <c r="D99" s="11"/>
      <c r="E99" s="11"/>
      <c r="F99" s="11"/>
      <c r="G99" s="11"/>
      <c r="H99" s="11"/>
      <c r="I99" s="11"/>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row>
    <row r="100" spans="1:37" x14ac:dyDescent="0.2">
      <c r="A100" s="18"/>
      <c r="B100" s="11"/>
      <c r="C100" s="11"/>
      <c r="D100" s="11"/>
      <c r="E100" s="11"/>
      <c r="F100" s="11"/>
      <c r="G100" s="11"/>
      <c r="H100" s="11"/>
      <c r="I100" s="11"/>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row>
    <row r="101" spans="1:37" x14ac:dyDescent="0.2">
      <c r="A101" s="18"/>
      <c r="B101" s="11"/>
      <c r="C101" s="11"/>
      <c r="D101" s="11"/>
      <c r="E101" s="11"/>
      <c r="F101" s="11"/>
      <c r="G101" s="11"/>
      <c r="H101" s="11"/>
      <c r="I101" s="11"/>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row>
    <row r="102" spans="1:37" x14ac:dyDescent="0.2">
      <c r="A102" s="18"/>
      <c r="B102" s="11"/>
      <c r="C102" s="11"/>
      <c r="D102" s="11"/>
      <c r="E102" s="11"/>
      <c r="F102" s="11"/>
      <c r="G102" s="11"/>
      <c r="H102" s="11"/>
      <c r="I102" s="11"/>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row>
    <row r="103" spans="1:37" x14ac:dyDescent="0.2">
      <c r="A103" s="18"/>
      <c r="B103" s="11"/>
      <c r="C103" s="11"/>
      <c r="D103" s="11"/>
      <c r="E103" s="11"/>
      <c r="F103" s="11"/>
      <c r="G103" s="11"/>
      <c r="H103" s="11"/>
      <c r="I103" s="11"/>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row>
    <row r="104" spans="1:37" x14ac:dyDescent="0.2">
      <c r="A104" s="18"/>
      <c r="B104" s="11"/>
      <c r="C104" s="11"/>
      <c r="D104" s="11"/>
      <c r="E104" s="11"/>
      <c r="F104" s="11"/>
      <c r="G104" s="11"/>
      <c r="H104" s="11"/>
      <c r="I104" s="11"/>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row>
    <row r="105" spans="1:37" x14ac:dyDescent="0.2">
      <c r="A105" s="18"/>
      <c r="B105" s="11"/>
      <c r="C105" s="11"/>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row>
    <row r="106" spans="1:37" x14ac:dyDescent="0.2">
      <c r="A106" s="18"/>
      <c r="B106" s="11"/>
      <c r="C106" s="11"/>
      <c r="D106" s="11"/>
      <c r="E106" s="11"/>
      <c r="F106" s="11"/>
      <c r="G106" s="11"/>
      <c r="H106" s="11"/>
      <c r="I106" s="11"/>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row>
    <row r="107" spans="1:37" x14ac:dyDescent="0.2">
      <c r="A107" s="18"/>
      <c r="B107" s="11"/>
      <c r="C107" s="11"/>
      <c r="D107" s="11"/>
      <c r="E107" s="11"/>
      <c r="F107" s="11"/>
      <c r="G107" s="11"/>
      <c r="H107" s="11"/>
      <c r="I107" s="11"/>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row>
    <row r="108" spans="1:37" x14ac:dyDescent="0.2">
      <c r="A108" s="18"/>
      <c r="B108" s="11"/>
      <c r="C108" s="11"/>
      <c r="D108" s="11"/>
      <c r="E108" s="11"/>
      <c r="F108" s="11"/>
      <c r="G108" s="11"/>
      <c r="H108" s="11"/>
      <c r="I108" s="11"/>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row>
    <row r="109" spans="1:37" x14ac:dyDescent="0.2">
      <c r="A109" s="18"/>
      <c r="B109" s="11"/>
      <c r="C109" s="11"/>
      <c r="D109" s="11"/>
      <c r="E109" s="11"/>
      <c r="F109" s="11"/>
      <c r="G109" s="11"/>
      <c r="H109" s="11"/>
      <c r="I109" s="11"/>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row>
    <row r="110" spans="1:37" x14ac:dyDescent="0.2">
      <c r="A110" s="18"/>
      <c r="B110" s="11"/>
      <c r="C110" s="11"/>
      <c r="D110" s="11"/>
      <c r="E110" s="11"/>
      <c r="F110" s="11"/>
      <c r="G110" s="11"/>
      <c r="H110" s="11"/>
      <c r="I110" s="11"/>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row>
    <row r="111" spans="1:37" x14ac:dyDescent="0.2">
      <c r="A111" s="18"/>
      <c r="B111" s="11"/>
      <c r="C111" s="11"/>
      <c r="D111" s="11"/>
      <c r="E111" s="11"/>
      <c r="F111" s="11"/>
      <c r="G111" s="11"/>
      <c r="H111" s="11"/>
      <c r="I111" s="11"/>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row>
    <row r="112" spans="1:37" x14ac:dyDescent="0.2">
      <c r="A112" s="18"/>
      <c r="B112" s="11"/>
      <c r="C112" s="11"/>
      <c r="D112" s="11"/>
      <c r="E112" s="11"/>
      <c r="F112" s="11"/>
      <c r="G112" s="11"/>
      <c r="H112" s="11"/>
      <c r="I112" s="11"/>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row>
    <row r="113" spans="1:37" x14ac:dyDescent="0.2">
      <c r="A113" s="18"/>
      <c r="B113" s="11"/>
      <c r="C113" s="11"/>
      <c r="D113" s="11"/>
      <c r="E113" s="11"/>
      <c r="F113" s="11"/>
      <c r="G113" s="11"/>
      <c r="H113" s="11"/>
      <c r="I113" s="11"/>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row>
    <row r="114" spans="1:37" x14ac:dyDescent="0.2">
      <c r="A114" s="18"/>
      <c r="B114" s="11"/>
      <c r="C114" s="11"/>
      <c r="D114" s="11"/>
      <c r="E114" s="11"/>
      <c r="F114" s="11"/>
      <c r="G114" s="11"/>
      <c r="H114" s="11"/>
      <c r="I114" s="11"/>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row>
    <row r="115" spans="1:37" x14ac:dyDescent="0.2">
      <c r="A115" s="18"/>
      <c r="B115" s="11"/>
      <c r="C115" s="11"/>
      <c r="D115" s="11"/>
      <c r="E115" s="11"/>
      <c r="F115" s="11"/>
      <c r="G115" s="11"/>
      <c r="H115" s="11"/>
      <c r="I115" s="11"/>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row>
    <row r="116" spans="1:37" x14ac:dyDescent="0.2">
      <c r="A116" s="18"/>
      <c r="B116" s="11"/>
      <c r="C116" s="11"/>
      <c r="D116" s="11"/>
      <c r="E116" s="11"/>
      <c r="F116" s="11"/>
      <c r="G116" s="11"/>
      <c r="H116" s="11"/>
      <c r="I116" s="11"/>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row>
    <row r="117" spans="1:37" x14ac:dyDescent="0.2">
      <c r="A117" s="18"/>
      <c r="B117" s="11"/>
      <c r="C117" s="11"/>
      <c r="D117" s="11"/>
      <c r="E117" s="11"/>
      <c r="F117" s="11"/>
      <c r="G117" s="11"/>
      <c r="H117" s="11"/>
      <c r="I117" s="11"/>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row>
    <row r="118" spans="1:37" x14ac:dyDescent="0.2">
      <c r="A118" s="18"/>
      <c r="B118" s="11"/>
      <c r="C118" s="11"/>
      <c r="D118" s="11"/>
      <c r="E118" s="11"/>
      <c r="F118" s="11"/>
      <c r="G118" s="11"/>
      <c r="H118" s="11"/>
      <c r="I118" s="11"/>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row>
    <row r="119" spans="1:37" x14ac:dyDescent="0.2">
      <c r="A119" s="18"/>
      <c r="B119" s="11"/>
      <c r="C119" s="11"/>
      <c r="D119" s="11"/>
      <c r="E119" s="11"/>
      <c r="F119" s="11"/>
      <c r="G119" s="11"/>
      <c r="H119" s="11"/>
      <c r="I119" s="11"/>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row>
    <row r="120" spans="1:37" x14ac:dyDescent="0.2">
      <c r="A120" s="18"/>
      <c r="B120" s="11"/>
      <c r="C120" s="11"/>
      <c r="D120" s="11"/>
      <c r="E120" s="11"/>
      <c r="F120" s="11"/>
      <c r="G120" s="11"/>
      <c r="H120" s="11"/>
      <c r="I120" s="11"/>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row>
    <row r="121" spans="1:37" x14ac:dyDescent="0.2">
      <c r="A121" s="18"/>
      <c r="B121" s="11"/>
      <c r="C121" s="11"/>
      <c r="D121" s="11"/>
      <c r="E121" s="11"/>
      <c r="F121" s="11"/>
      <c r="G121" s="11"/>
      <c r="H121" s="11"/>
      <c r="I121" s="11"/>
      <c r="J121" s="11"/>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row>
    <row r="122" spans="1:37" x14ac:dyDescent="0.2">
      <c r="A122" s="18"/>
      <c r="B122" s="11"/>
      <c r="C122" s="11"/>
      <c r="D122" s="11"/>
      <c r="E122" s="11"/>
      <c r="F122" s="11"/>
      <c r="G122" s="11"/>
      <c r="H122" s="11"/>
      <c r="I122" s="11"/>
      <c r="J122" s="11"/>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row>
    <row r="123" spans="1:37" x14ac:dyDescent="0.2">
      <c r="A123" s="18"/>
      <c r="B123" s="11"/>
      <c r="C123" s="11"/>
      <c r="D123" s="11"/>
      <c r="E123" s="11"/>
      <c r="F123" s="11"/>
      <c r="G123" s="11"/>
      <c r="H123" s="11"/>
      <c r="I123" s="11"/>
      <c r="J123" s="11"/>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row>
    <row r="124" spans="1:37" x14ac:dyDescent="0.2">
      <c r="A124" s="18"/>
      <c r="B124" s="11"/>
      <c r="C124" s="11"/>
      <c r="D124" s="11"/>
      <c r="E124" s="11"/>
      <c r="F124" s="11"/>
      <c r="G124" s="11"/>
      <c r="H124" s="11"/>
      <c r="I124" s="11"/>
      <c r="J124" s="11"/>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row>
    <row r="125" spans="1:37" x14ac:dyDescent="0.2">
      <c r="A125" s="18"/>
      <c r="B125" s="11"/>
      <c r="C125" s="11"/>
      <c r="D125" s="11"/>
      <c r="E125" s="11"/>
      <c r="F125" s="11"/>
      <c r="G125" s="11"/>
      <c r="H125" s="11"/>
      <c r="I125" s="11"/>
      <c r="J125" s="11"/>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row>
    <row r="126" spans="1:37" x14ac:dyDescent="0.2">
      <c r="A126" s="18"/>
      <c r="B126" s="11"/>
      <c r="C126" s="11"/>
      <c r="D126" s="11"/>
      <c r="E126" s="11"/>
      <c r="F126" s="11"/>
      <c r="G126" s="11"/>
      <c r="H126" s="11"/>
      <c r="I126" s="11"/>
      <c r="J126" s="11"/>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row>
    <row r="127" spans="1:37" x14ac:dyDescent="0.2">
      <c r="A127" s="18"/>
      <c r="B127" s="11"/>
      <c r="C127" s="11"/>
      <c r="D127" s="11"/>
      <c r="E127" s="11"/>
      <c r="F127" s="11"/>
      <c r="G127" s="11"/>
      <c r="H127" s="11"/>
      <c r="I127" s="11"/>
      <c r="J127" s="11"/>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row>
    <row r="128" spans="1:37" x14ac:dyDescent="0.2">
      <c r="A128" s="18"/>
      <c r="B128" s="11"/>
      <c r="C128" s="11"/>
      <c r="D128" s="11"/>
      <c r="E128" s="11"/>
      <c r="F128" s="11"/>
      <c r="G128" s="11"/>
      <c r="H128" s="11"/>
      <c r="I128" s="11"/>
      <c r="J128" s="11"/>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row>
    <row r="129" spans="1:37" x14ac:dyDescent="0.2">
      <c r="A129" s="18"/>
      <c r="B129" s="11"/>
      <c r="C129" s="11"/>
      <c r="D129" s="11"/>
      <c r="E129" s="11"/>
      <c r="F129" s="11"/>
      <c r="G129" s="11"/>
      <c r="H129" s="11"/>
      <c r="I129" s="11"/>
      <c r="J129" s="11"/>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row>
    <row r="130" spans="1:37" x14ac:dyDescent="0.2">
      <c r="A130" s="18"/>
      <c r="B130" s="11"/>
      <c r="C130" s="11"/>
      <c r="D130" s="11"/>
      <c r="E130" s="11"/>
      <c r="F130" s="11"/>
      <c r="G130" s="11"/>
      <c r="H130" s="11"/>
      <c r="I130" s="11"/>
      <c r="J130" s="11"/>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row>
    <row r="131" spans="1:37" x14ac:dyDescent="0.2">
      <c r="A131" s="18"/>
      <c r="B131" s="11"/>
      <c r="C131" s="11"/>
      <c r="D131" s="11"/>
      <c r="E131" s="11"/>
      <c r="F131" s="11"/>
      <c r="G131" s="11"/>
      <c r="H131" s="11"/>
      <c r="I131" s="11"/>
      <c r="J131" s="11"/>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row>
    <row r="132" spans="1:37" x14ac:dyDescent="0.2">
      <c r="A132" s="18"/>
      <c r="B132" s="11"/>
      <c r="C132" s="11"/>
      <c r="D132" s="11"/>
      <c r="E132" s="11"/>
      <c r="F132" s="11"/>
      <c r="G132" s="11"/>
      <c r="H132" s="11"/>
      <c r="I132" s="11"/>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row>
    <row r="133" spans="1:37" x14ac:dyDescent="0.2">
      <c r="A133" s="18"/>
      <c r="B133" s="11"/>
      <c r="C133" s="11"/>
      <c r="D133" s="11"/>
      <c r="E133" s="11"/>
      <c r="F133" s="11"/>
      <c r="G133" s="11"/>
      <c r="H133" s="11"/>
      <c r="I133" s="11"/>
      <c r="J133" s="11"/>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row>
    <row r="134" spans="1:37" x14ac:dyDescent="0.2">
      <c r="A134" s="18"/>
      <c r="B134" s="11"/>
      <c r="C134" s="11"/>
      <c r="D134" s="11"/>
      <c r="E134" s="11"/>
      <c r="F134" s="11"/>
      <c r="G134" s="11"/>
      <c r="H134" s="11"/>
      <c r="I134" s="11"/>
      <c r="J134" s="11"/>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row>
    <row r="135" spans="1:37" x14ac:dyDescent="0.2">
      <c r="A135" s="18"/>
      <c r="B135" s="11"/>
      <c r="C135" s="11"/>
      <c r="D135" s="11"/>
      <c r="E135" s="11"/>
      <c r="F135" s="11"/>
      <c r="G135" s="11"/>
      <c r="H135" s="11"/>
      <c r="I135" s="11"/>
      <c r="J135" s="11"/>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row>
    <row r="136" spans="1:37" x14ac:dyDescent="0.2">
      <c r="A136" s="18"/>
      <c r="B136" s="11"/>
      <c r="C136" s="11"/>
      <c r="D136" s="11"/>
      <c r="E136" s="11"/>
      <c r="F136" s="11"/>
      <c r="G136" s="11"/>
      <c r="H136" s="11"/>
      <c r="I136" s="11"/>
      <c r="J136" s="11"/>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row>
    <row r="137" spans="1:37" x14ac:dyDescent="0.2">
      <c r="A137" s="18"/>
      <c r="B137" s="11"/>
      <c r="C137" s="11"/>
      <c r="D137" s="11"/>
      <c r="E137" s="11"/>
      <c r="F137" s="11"/>
      <c r="G137" s="11"/>
      <c r="H137" s="11"/>
      <c r="I137" s="11"/>
      <c r="J137" s="11"/>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row>
    <row r="138" spans="1:37" x14ac:dyDescent="0.2">
      <c r="A138" s="18"/>
      <c r="B138" s="11"/>
      <c r="C138" s="11"/>
      <c r="D138" s="11"/>
      <c r="E138" s="11"/>
      <c r="F138" s="11"/>
      <c r="G138" s="11"/>
      <c r="H138" s="11"/>
      <c r="I138" s="11"/>
      <c r="J138" s="11"/>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row>
    <row r="139" spans="1:37" x14ac:dyDescent="0.2">
      <c r="A139" s="18"/>
      <c r="B139" s="11"/>
      <c r="C139" s="11"/>
      <c r="D139" s="11"/>
      <c r="E139" s="11"/>
      <c r="F139" s="11"/>
      <c r="G139" s="11"/>
      <c r="H139" s="11"/>
      <c r="I139" s="11"/>
      <c r="J139" s="11"/>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row>
    <row r="140" spans="1:37" x14ac:dyDescent="0.2">
      <c r="A140" s="18"/>
      <c r="B140" s="11"/>
      <c r="C140" s="11"/>
      <c r="D140" s="11"/>
      <c r="E140" s="11"/>
      <c r="F140" s="11"/>
      <c r="G140" s="11"/>
      <c r="H140" s="11"/>
      <c r="I140" s="11"/>
      <c r="J140" s="11"/>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row>
    <row r="141" spans="1:37" x14ac:dyDescent="0.2">
      <c r="A141" s="18"/>
      <c r="B141" s="11"/>
      <c r="C141" s="11"/>
      <c r="D141" s="11"/>
      <c r="E141" s="11"/>
      <c r="F141" s="11"/>
      <c r="G141" s="11"/>
      <c r="H141" s="11"/>
      <c r="I141" s="11"/>
      <c r="J141" s="11"/>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row>
    <row r="142" spans="1:37" x14ac:dyDescent="0.2">
      <c r="A142" s="18"/>
      <c r="B142" s="11"/>
      <c r="C142" s="11"/>
      <c r="D142" s="11"/>
      <c r="E142" s="11"/>
      <c r="F142" s="11"/>
      <c r="G142" s="11"/>
      <c r="H142" s="11"/>
      <c r="I142" s="11"/>
      <c r="J142" s="11"/>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row>
    <row r="143" spans="1:37" x14ac:dyDescent="0.2">
      <c r="A143" s="18"/>
      <c r="B143" s="11"/>
      <c r="C143" s="11"/>
      <c r="D143" s="11"/>
      <c r="E143" s="11"/>
      <c r="F143" s="11"/>
      <c r="G143" s="11"/>
      <c r="H143" s="11"/>
      <c r="I143" s="11"/>
      <c r="J143" s="11"/>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row>
    <row r="144" spans="1:37" x14ac:dyDescent="0.2">
      <c r="A144" s="18"/>
      <c r="B144" s="11"/>
      <c r="C144" s="11"/>
      <c r="D144" s="11"/>
      <c r="E144" s="11"/>
      <c r="F144" s="11"/>
      <c r="G144" s="11"/>
      <c r="H144" s="11"/>
      <c r="I144" s="11"/>
      <c r="J144" s="11"/>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row>
    <row r="145" spans="1:37" x14ac:dyDescent="0.2">
      <c r="A145" s="18"/>
      <c r="B145" s="11"/>
      <c r="C145" s="11"/>
      <c r="D145" s="11"/>
      <c r="E145" s="11"/>
      <c r="F145" s="11"/>
      <c r="G145" s="11"/>
      <c r="H145" s="11"/>
      <c r="I145" s="11"/>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row>
    <row r="146" spans="1:37" x14ac:dyDescent="0.2">
      <c r="A146" s="18"/>
      <c r="B146" s="11"/>
      <c r="C146" s="11"/>
      <c r="D146" s="11"/>
      <c r="E146" s="11"/>
      <c r="F146" s="11"/>
      <c r="G146" s="11"/>
      <c r="H146" s="11"/>
      <c r="I146" s="11"/>
      <c r="J146" s="11"/>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row>
    <row r="147" spans="1:37" x14ac:dyDescent="0.2">
      <c r="A147" s="18"/>
      <c r="B147" s="11"/>
      <c r="C147" s="11"/>
      <c r="D147" s="11"/>
      <c r="E147" s="11"/>
      <c r="F147" s="11"/>
      <c r="G147" s="11"/>
      <c r="H147" s="11"/>
      <c r="I147" s="11"/>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row>
    <row r="148" spans="1:37" x14ac:dyDescent="0.2">
      <c r="A148" s="18"/>
      <c r="B148" s="11"/>
      <c r="C148" s="11"/>
      <c r="D148" s="11"/>
      <c r="E148" s="11"/>
      <c r="F148" s="11"/>
      <c r="G148" s="11"/>
      <c r="H148" s="11"/>
      <c r="I148" s="11"/>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row>
    <row r="149" spans="1:37" x14ac:dyDescent="0.2">
      <c r="A149" s="18"/>
      <c r="B149" s="11"/>
      <c r="C149" s="11"/>
      <c r="D149" s="11"/>
      <c r="E149" s="11"/>
      <c r="F149" s="11"/>
      <c r="G149" s="11"/>
      <c r="H149" s="11"/>
      <c r="I149" s="11"/>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row>
    <row r="150" spans="1:37" x14ac:dyDescent="0.2">
      <c r="A150" s="18"/>
      <c r="B150" s="11"/>
      <c r="C150" s="11"/>
      <c r="D150" s="11"/>
      <c r="E150" s="11"/>
      <c r="F150" s="11"/>
      <c r="G150" s="11"/>
      <c r="H150" s="11"/>
      <c r="I150" s="11"/>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row>
    <row r="151" spans="1:37" x14ac:dyDescent="0.2">
      <c r="A151" s="18"/>
      <c r="B151" s="11"/>
      <c r="C151" s="11"/>
      <c r="D151" s="11"/>
      <c r="E151" s="11"/>
      <c r="F151" s="11"/>
      <c r="G151" s="11"/>
      <c r="H151" s="11"/>
      <c r="I151" s="11"/>
      <c r="J151" s="11"/>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row>
    <row r="152" spans="1:37" x14ac:dyDescent="0.2">
      <c r="A152" s="18"/>
      <c r="B152" s="11"/>
      <c r="C152" s="11"/>
      <c r="D152" s="11"/>
      <c r="E152" s="11"/>
      <c r="F152" s="11"/>
      <c r="G152" s="11"/>
      <c r="H152" s="11"/>
      <c r="I152" s="11"/>
      <c r="J152" s="11"/>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row>
    <row r="153" spans="1:37" x14ac:dyDescent="0.2">
      <c r="A153" s="18"/>
      <c r="B153" s="11"/>
      <c r="C153" s="11"/>
      <c r="D153" s="11"/>
      <c r="E153" s="11"/>
      <c r="F153" s="11"/>
      <c r="G153" s="11"/>
      <c r="H153" s="11"/>
      <c r="I153" s="11"/>
      <c r="J153" s="11"/>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row>
    <row r="154" spans="1:37" x14ac:dyDescent="0.2">
      <c r="A154" s="18"/>
      <c r="B154" s="11"/>
      <c r="C154" s="11"/>
      <c r="D154" s="11"/>
      <c r="E154" s="11"/>
      <c r="F154" s="11"/>
      <c r="G154" s="11"/>
      <c r="H154" s="11"/>
      <c r="I154" s="11"/>
      <c r="J154" s="11"/>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row>
    <row r="155" spans="1:37" x14ac:dyDescent="0.2">
      <c r="A155" s="18"/>
      <c r="B155" s="11"/>
      <c r="C155" s="11"/>
      <c r="D155" s="11"/>
      <c r="E155" s="11"/>
      <c r="F155" s="11"/>
      <c r="G155" s="11"/>
      <c r="H155" s="11"/>
      <c r="I155" s="11"/>
      <c r="J155" s="11"/>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row>
    <row r="156" spans="1:37" x14ac:dyDescent="0.2">
      <c r="A156" s="18"/>
      <c r="B156" s="11"/>
      <c r="C156" s="11"/>
      <c r="D156" s="11"/>
      <c r="E156" s="11"/>
      <c r="F156" s="11"/>
      <c r="G156" s="11"/>
      <c r="H156" s="11"/>
      <c r="I156" s="11"/>
      <c r="J156" s="11"/>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row>
    <row r="157" spans="1:37" x14ac:dyDescent="0.2">
      <c r="A157" s="18"/>
      <c r="B157" s="11"/>
      <c r="C157" s="11"/>
      <c r="D157" s="11"/>
      <c r="E157" s="11"/>
      <c r="F157" s="11"/>
      <c r="G157" s="11"/>
      <c r="H157" s="11"/>
      <c r="I157" s="11"/>
      <c r="J157" s="11"/>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row>
    <row r="158" spans="1:37" x14ac:dyDescent="0.2">
      <c r="A158" s="18"/>
      <c r="B158" s="11"/>
      <c r="C158" s="11"/>
      <c r="D158" s="11"/>
      <c r="E158" s="11"/>
      <c r="F158" s="11"/>
      <c r="G158" s="11"/>
      <c r="H158" s="11"/>
      <c r="I158" s="11"/>
      <c r="J158" s="11"/>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row>
    <row r="159" spans="1:37" x14ac:dyDescent="0.2">
      <c r="A159" s="18"/>
      <c r="B159" s="11"/>
      <c r="C159" s="11"/>
      <c r="D159" s="11"/>
      <c r="E159" s="11"/>
      <c r="F159" s="11"/>
      <c r="G159" s="11"/>
      <c r="H159" s="11"/>
      <c r="I159" s="11"/>
      <c r="J159" s="11"/>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row>
    <row r="160" spans="1:37" x14ac:dyDescent="0.2">
      <c r="A160" s="18"/>
      <c r="B160" s="11"/>
      <c r="C160" s="11"/>
      <c r="D160" s="11"/>
      <c r="E160" s="11"/>
      <c r="F160" s="11"/>
      <c r="G160" s="11"/>
      <c r="H160" s="11"/>
      <c r="I160" s="11"/>
      <c r="J160" s="11"/>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row>
    <row r="161" spans="1:37" x14ac:dyDescent="0.2">
      <c r="A161" s="18"/>
      <c r="B161" s="11"/>
      <c r="C161" s="11"/>
      <c r="D161" s="11"/>
      <c r="E161" s="11"/>
      <c r="F161" s="11"/>
      <c r="G161" s="11"/>
      <c r="H161" s="11"/>
      <c r="I161" s="11"/>
      <c r="J161" s="11"/>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row>
    <row r="162" spans="1:37" x14ac:dyDescent="0.2">
      <c r="A162" s="18"/>
      <c r="B162" s="11"/>
      <c r="C162" s="11"/>
      <c r="D162" s="11"/>
      <c r="E162" s="11"/>
      <c r="F162" s="11"/>
      <c r="G162" s="11"/>
      <c r="H162" s="11"/>
      <c r="I162" s="11"/>
      <c r="J162" s="11"/>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row>
    <row r="163" spans="1:37" x14ac:dyDescent="0.2">
      <c r="A163" s="18"/>
      <c r="B163" s="11"/>
      <c r="C163" s="11"/>
      <c r="D163" s="11"/>
      <c r="E163" s="11"/>
      <c r="F163" s="11"/>
      <c r="G163" s="11"/>
      <c r="H163" s="11"/>
      <c r="I163" s="11"/>
      <c r="J163" s="11"/>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row>
    <row r="164" spans="1:37" x14ac:dyDescent="0.2">
      <c r="A164" s="18"/>
      <c r="B164" s="11"/>
      <c r="C164" s="11"/>
      <c r="D164" s="11"/>
      <c r="E164" s="11"/>
      <c r="F164" s="11"/>
      <c r="G164" s="11"/>
      <c r="H164" s="11"/>
      <c r="I164" s="11"/>
      <c r="J164" s="11"/>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row>
    <row r="165" spans="1:37" x14ac:dyDescent="0.2">
      <c r="A165" s="18"/>
      <c r="B165" s="11"/>
      <c r="C165" s="11"/>
      <c r="D165" s="11"/>
      <c r="E165" s="11"/>
      <c r="F165" s="11"/>
      <c r="G165" s="11"/>
      <c r="H165" s="11"/>
      <c r="I165" s="11"/>
      <c r="J165" s="11"/>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row>
    <row r="166" spans="1:37" x14ac:dyDescent="0.2">
      <c r="A166" s="18"/>
      <c r="B166" s="11"/>
      <c r="C166" s="11"/>
      <c r="D166" s="11"/>
      <c r="E166" s="11"/>
      <c r="F166" s="11"/>
      <c r="G166" s="11"/>
      <c r="H166" s="11"/>
      <c r="I166" s="11"/>
      <c r="J166" s="11"/>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row>
    <row r="167" spans="1:37" x14ac:dyDescent="0.2">
      <c r="A167" s="18"/>
      <c r="B167" s="11"/>
      <c r="C167" s="11"/>
      <c r="D167" s="11"/>
      <c r="E167" s="11"/>
      <c r="F167" s="11"/>
      <c r="G167" s="11"/>
      <c r="H167" s="11"/>
      <c r="I167" s="11"/>
      <c r="J167" s="11"/>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row>
    <row r="168" spans="1:37" x14ac:dyDescent="0.2">
      <c r="A168" s="18"/>
      <c r="B168" s="11"/>
      <c r="C168" s="11"/>
      <c r="D168" s="11"/>
      <c r="E168" s="11"/>
      <c r="F168" s="11"/>
      <c r="G168" s="11"/>
      <c r="H168" s="11"/>
      <c r="I168" s="11"/>
      <c r="J168" s="11"/>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row>
    <row r="169" spans="1:37" x14ac:dyDescent="0.2">
      <c r="A169" s="18"/>
      <c r="B169" s="11"/>
      <c r="C169" s="11"/>
      <c r="D169" s="11"/>
      <c r="E169" s="11"/>
      <c r="F169" s="11"/>
      <c r="G169" s="11"/>
      <c r="H169" s="11"/>
      <c r="I169" s="11"/>
      <c r="J169" s="11"/>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row>
    <row r="170" spans="1:37" x14ac:dyDescent="0.2">
      <c r="A170" s="18"/>
      <c r="B170" s="11"/>
      <c r="C170" s="11"/>
      <c r="D170" s="11"/>
      <c r="E170" s="11"/>
      <c r="F170" s="11"/>
      <c r="G170" s="11"/>
      <c r="H170" s="11"/>
      <c r="I170" s="11"/>
      <c r="J170" s="11"/>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row>
    <row r="171" spans="1:37" x14ac:dyDescent="0.2">
      <c r="A171" s="18"/>
      <c r="B171" s="11"/>
      <c r="C171" s="11"/>
      <c r="D171" s="11"/>
      <c r="E171" s="11"/>
      <c r="F171" s="11"/>
      <c r="G171" s="11"/>
      <c r="H171" s="11"/>
      <c r="I171" s="11"/>
      <c r="J171" s="11"/>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row>
    <row r="172" spans="1:37" x14ac:dyDescent="0.2">
      <c r="A172" s="18"/>
      <c r="B172" s="11"/>
      <c r="C172" s="11"/>
      <c r="D172" s="11"/>
      <c r="E172" s="11"/>
      <c r="F172" s="11"/>
      <c r="G172" s="11"/>
      <c r="H172" s="11"/>
      <c r="I172" s="11"/>
      <c r="J172" s="11"/>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row>
    <row r="173" spans="1:37" x14ac:dyDescent="0.2">
      <c r="A173" s="18"/>
      <c r="B173" s="11"/>
      <c r="C173" s="11"/>
      <c r="D173" s="11"/>
      <c r="E173" s="11"/>
      <c r="F173" s="11"/>
      <c r="G173" s="11"/>
      <c r="H173" s="11"/>
      <c r="I173" s="11"/>
      <c r="J173" s="11"/>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row>
    <row r="174" spans="1:37" x14ac:dyDescent="0.2">
      <c r="A174" s="18"/>
      <c r="B174" s="11"/>
      <c r="C174" s="11"/>
      <c r="D174" s="11"/>
      <c r="E174" s="11"/>
      <c r="F174" s="11"/>
      <c r="G174" s="11"/>
      <c r="H174" s="11"/>
      <c r="I174" s="11"/>
      <c r="J174" s="11"/>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row>
    <row r="175" spans="1:37" x14ac:dyDescent="0.2">
      <c r="A175" s="18"/>
      <c r="B175" s="11"/>
      <c r="C175" s="11"/>
      <c r="D175" s="11"/>
      <c r="E175" s="11"/>
      <c r="F175" s="11"/>
      <c r="G175" s="11"/>
      <c r="H175" s="11"/>
      <c r="I175" s="11"/>
      <c r="J175" s="11"/>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row>
    <row r="176" spans="1:37" x14ac:dyDescent="0.2">
      <c r="A176" s="18"/>
      <c r="B176" s="11"/>
      <c r="C176" s="11"/>
      <c r="D176" s="11"/>
      <c r="E176" s="11"/>
      <c r="F176" s="11"/>
      <c r="G176" s="11"/>
      <c r="H176" s="11"/>
      <c r="I176" s="11"/>
      <c r="J176" s="11"/>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row>
    <row r="177" spans="1:37" x14ac:dyDescent="0.2">
      <c r="A177" s="18"/>
      <c r="B177" s="11"/>
      <c r="C177" s="11"/>
      <c r="D177" s="11"/>
      <c r="E177" s="11"/>
      <c r="F177" s="11"/>
      <c r="G177" s="11"/>
      <c r="H177" s="11"/>
      <c r="I177" s="11"/>
      <c r="J177" s="11"/>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row>
    <row r="178" spans="1:37" x14ac:dyDescent="0.2">
      <c r="A178" s="18"/>
      <c r="B178" s="11"/>
      <c r="C178" s="11"/>
      <c r="D178" s="11"/>
      <c r="E178" s="11"/>
      <c r="F178" s="11"/>
      <c r="G178" s="11"/>
      <c r="H178" s="11"/>
      <c r="I178" s="11"/>
      <c r="J178" s="11"/>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row>
    <row r="179" spans="1:37" x14ac:dyDescent="0.2">
      <c r="A179" s="18"/>
      <c r="B179" s="11"/>
      <c r="C179" s="11"/>
      <c r="D179" s="11"/>
      <c r="E179" s="11"/>
      <c r="F179" s="11"/>
      <c r="G179" s="11"/>
      <c r="H179" s="11"/>
      <c r="I179" s="11"/>
      <c r="J179" s="11"/>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row>
    <row r="180" spans="1:37" x14ac:dyDescent="0.2">
      <c r="A180" s="18"/>
      <c r="B180" s="11"/>
      <c r="C180" s="11"/>
      <c r="D180" s="11"/>
      <c r="E180" s="11"/>
      <c r="F180" s="11"/>
      <c r="G180" s="11"/>
      <c r="H180" s="11"/>
      <c r="I180" s="11"/>
      <c r="J180" s="11"/>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row>
    <row r="181" spans="1:37" x14ac:dyDescent="0.2">
      <c r="A181" s="18"/>
      <c r="B181" s="11"/>
      <c r="C181" s="11"/>
      <c r="D181" s="11"/>
      <c r="E181" s="11"/>
      <c r="F181" s="11"/>
      <c r="G181" s="11"/>
      <c r="H181" s="11"/>
      <c r="I181" s="11"/>
      <c r="J181" s="11"/>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row>
    <row r="182" spans="1:37" x14ac:dyDescent="0.2">
      <c r="A182" s="18"/>
      <c r="B182" s="11"/>
      <c r="C182" s="11"/>
      <c r="D182" s="11"/>
      <c r="E182" s="11"/>
      <c r="F182" s="11"/>
      <c r="G182" s="11"/>
      <c r="H182" s="11"/>
      <c r="I182" s="11"/>
      <c r="J182" s="11"/>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row>
    <row r="183" spans="1:37" x14ac:dyDescent="0.2">
      <c r="A183" s="18"/>
      <c r="B183" s="11"/>
      <c r="C183" s="11"/>
      <c r="D183" s="11"/>
      <c r="E183" s="11"/>
      <c r="F183" s="11"/>
      <c r="G183" s="11"/>
      <c r="H183" s="11"/>
      <c r="I183" s="11"/>
      <c r="J183" s="11"/>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row>
    <row r="184" spans="1:37" x14ac:dyDescent="0.2">
      <c r="A184" s="18"/>
      <c r="B184" s="11"/>
      <c r="C184" s="11"/>
      <c r="D184" s="11"/>
      <c r="E184" s="11"/>
      <c r="F184" s="11"/>
      <c r="G184" s="11"/>
      <c r="H184" s="11"/>
      <c r="I184" s="11"/>
      <c r="J184" s="11"/>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row>
    <row r="185" spans="1:37" x14ac:dyDescent="0.2">
      <c r="A185" s="18"/>
      <c r="B185" s="11"/>
      <c r="C185" s="11"/>
      <c r="D185" s="11"/>
      <c r="E185" s="11"/>
      <c r="F185" s="11"/>
      <c r="G185" s="11"/>
      <c r="H185" s="11"/>
      <c r="I185" s="11"/>
      <c r="J185" s="11"/>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row>
    <row r="186" spans="1:37" x14ac:dyDescent="0.2">
      <c r="A186" s="18"/>
      <c r="B186" s="11"/>
      <c r="C186" s="11"/>
      <c r="D186" s="11"/>
      <c r="E186" s="11"/>
      <c r="F186" s="11"/>
      <c r="G186" s="11"/>
      <c r="H186" s="11"/>
      <c r="I186" s="11"/>
      <c r="J186" s="11"/>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row>
    <row r="187" spans="1:37" x14ac:dyDescent="0.2">
      <c r="A187" s="18"/>
      <c r="B187" s="11"/>
      <c r="C187" s="11"/>
      <c r="D187" s="11"/>
      <c r="E187" s="11"/>
      <c r="F187" s="11"/>
      <c r="G187" s="11"/>
      <c r="H187" s="11"/>
      <c r="I187" s="11"/>
      <c r="J187" s="11"/>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row>
    <row r="188" spans="1:37" x14ac:dyDescent="0.2">
      <c r="A188" s="18"/>
      <c r="B188" s="11"/>
      <c r="C188" s="11"/>
      <c r="D188" s="11"/>
      <c r="E188" s="11"/>
      <c r="F188" s="11"/>
      <c r="G188" s="11"/>
      <c r="H188" s="11"/>
      <c r="I188" s="11"/>
      <c r="J188" s="11"/>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row>
    <row r="189" spans="1:37" x14ac:dyDescent="0.2">
      <c r="A189" s="18"/>
      <c r="B189" s="11"/>
      <c r="C189" s="11"/>
      <c r="D189" s="11"/>
      <c r="E189" s="11"/>
      <c r="F189" s="11"/>
      <c r="G189" s="11"/>
      <c r="H189" s="11"/>
      <c r="I189" s="11"/>
      <c r="J189" s="11"/>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row>
    <row r="190" spans="1:37" x14ac:dyDescent="0.2">
      <c r="A190" s="18"/>
      <c r="B190" s="11"/>
      <c r="C190" s="11"/>
      <c r="D190" s="11"/>
      <c r="E190" s="11"/>
      <c r="F190" s="11"/>
      <c r="G190" s="11"/>
      <c r="H190" s="11"/>
      <c r="I190" s="11"/>
      <c r="J190" s="11"/>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row>
    <row r="191" spans="1:37" x14ac:dyDescent="0.2">
      <c r="A191" s="18"/>
      <c r="B191" s="11"/>
      <c r="C191" s="11"/>
      <c r="D191" s="11"/>
      <c r="E191" s="11"/>
      <c r="F191" s="11"/>
      <c r="G191" s="11"/>
      <c r="H191" s="11"/>
      <c r="I191" s="11"/>
      <c r="J191" s="11"/>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row>
    <row r="192" spans="1:37" x14ac:dyDescent="0.2">
      <c r="A192" s="18"/>
      <c r="B192" s="11"/>
      <c r="C192" s="11"/>
      <c r="D192" s="11"/>
      <c r="E192" s="11"/>
      <c r="F192" s="11"/>
      <c r="G192" s="11"/>
      <c r="H192" s="11"/>
      <c r="I192" s="11"/>
      <c r="J192" s="11"/>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row>
    <row r="193" spans="1:37" x14ac:dyDescent="0.2">
      <c r="A193" s="18"/>
      <c r="B193" s="11"/>
      <c r="C193" s="11"/>
      <c r="D193" s="11"/>
      <c r="E193" s="11"/>
      <c r="F193" s="11"/>
      <c r="G193" s="11"/>
      <c r="H193" s="11"/>
      <c r="I193" s="11"/>
      <c r="J193" s="11"/>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row>
    <row r="194" spans="1:37" x14ac:dyDescent="0.2">
      <c r="A194" s="18"/>
      <c r="B194" s="11"/>
      <c r="C194" s="11"/>
      <c r="D194" s="11"/>
      <c r="E194" s="11"/>
      <c r="F194" s="11"/>
      <c r="G194" s="11"/>
      <c r="H194" s="11"/>
      <c r="I194" s="11"/>
      <c r="J194" s="11"/>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row>
    <row r="195" spans="1:37" x14ac:dyDescent="0.2">
      <c r="A195" s="18"/>
      <c r="B195" s="11"/>
      <c r="C195" s="11"/>
      <c r="D195" s="11"/>
      <c r="E195" s="11"/>
      <c r="F195" s="11"/>
      <c r="G195" s="11"/>
      <c r="H195" s="11"/>
      <c r="I195" s="11"/>
      <c r="J195" s="11"/>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c r="AJ195" s="11"/>
      <c r="AK195" s="11"/>
    </row>
    <row r="196" spans="1:37" x14ac:dyDescent="0.2">
      <c r="A196" s="18"/>
      <c r="B196" s="11"/>
      <c r="C196" s="11"/>
      <c r="D196" s="11"/>
      <c r="E196" s="11"/>
      <c r="F196" s="11"/>
      <c r="G196" s="11"/>
      <c r="H196" s="11"/>
      <c r="I196" s="11"/>
      <c r="J196" s="11"/>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c r="AJ196" s="11"/>
      <c r="AK196" s="11"/>
    </row>
    <row r="197" spans="1:37" x14ac:dyDescent="0.2">
      <c r="A197" s="18"/>
      <c r="B197" s="11"/>
      <c r="C197" s="11"/>
      <c r="D197" s="11"/>
      <c r="E197" s="11"/>
      <c r="F197" s="11"/>
      <c r="G197" s="11"/>
      <c r="H197" s="11"/>
      <c r="I197" s="11"/>
      <c r="J197" s="11"/>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c r="AJ197" s="11"/>
      <c r="AK197" s="11"/>
    </row>
    <row r="198" spans="1:37" x14ac:dyDescent="0.2">
      <c r="A198" s="18"/>
      <c r="B198" s="11"/>
      <c r="C198" s="11"/>
      <c r="D198" s="11"/>
      <c r="E198" s="11"/>
      <c r="F198" s="11"/>
      <c r="G198" s="11"/>
      <c r="H198" s="11"/>
      <c r="I198" s="11"/>
      <c r="J198" s="11"/>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c r="AJ198" s="11"/>
      <c r="AK198" s="11"/>
    </row>
    <row r="199" spans="1:37" x14ac:dyDescent="0.2">
      <c r="A199" s="18"/>
      <c r="B199" s="11"/>
      <c r="C199" s="11"/>
      <c r="D199" s="11"/>
      <c r="E199" s="11"/>
      <c r="F199" s="11"/>
      <c r="G199" s="11"/>
      <c r="H199" s="11"/>
      <c r="I199" s="11"/>
      <c r="J199" s="11"/>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c r="AJ199" s="11"/>
      <c r="AK199" s="11"/>
    </row>
    <row r="200" spans="1:37" x14ac:dyDescent="0.2">
      <c r="A200" s="18"/>
      <c r="B200" s="11"/>
      <c r="C200" s="11"/>
      <c r="D200" s="11"/>
      <c r="E200" s="11"/>
      <c r="F200" s="11"/>
      <c r="G200" s="11"/>
      <c r="H200" s="11"/>
      <c r="I200" s="11"/>
      <c r="J200" s="11"/>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c r="AJ200" s="11"/>
      <c r="AK200" s="11"/>
    </row>
    <row r="201" spans="1:37" x14ac:dyDescent="0.2">
      <c r="A201" s="18"/>
      <c r="B201" s="11"/>
      <c r="C201" s="11"/>
      <c r="D201" s="11"/>
      <c r="E201" s="11"/>
      <c r="F201" s="11"/>
      <c r="G201" s="11"/>
      <c r="H201" s="11"/>
      <c r="I201" s="11"/>
      <c r="J201" s="11"/>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c r="AJ201" s="11"/>
      <c r="AK201" s="11"/>
    </row>
    <row r="202" spans="1:37" x14ac:dyDescent="0.2">
      <c r="A202" s="18"/>
      <c r="B202" s="11"/>
      <c r="C202" s="11"/>
      <c r="D202" s="11"/>
      <c r="E202" s="11"/>
      <c r="F202" s="11"/>
      <c r="G202" s="11"/>
      <c r="H202" s="11"/>
      <c r="I202" s="11"/>
      <c r="J202" s="11"/>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c r="AJ202" s="11"/>
      <c r="AK202" s="11"/>
    </row>
    <row r="203" spans="1:37" x14ac:dyDescent="0.2">
      <c r="A203" s="18"/>
      <c r="B203" s="11"/>
      <c r="C203" s="11"/>
      <c r="D203" s="11"/>
      <c r="E203" s="11"/>
      <c r="F203" s="11"/>
      <c r="G203" s="11"/>
      <c r="H203" s="11"/>
      <c r="I203" s="11"/>
      <c r="J203" s="11"/>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c r="AJ203" s="11"/>
      <c r="AK203" s="11"/>
    </row>
    <row r="204" spans="1:37" x14ac:dyDescent="0.2">
      <c r="A204" s="18"/>
      <c r="B204" s="11"/>
      <c r="C204" s="11"/>
      <c r="D204" s="11"/>
      <c r="E204" s="11"/>
      <c r="F204" s="11"/>
      <c r="G204" s="11"/>
      <c r="H204" s="11"/>
      <c r="I204" s="11"/>
      <c r="J204" s="11"/>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c r="AJ204" s="11"/>
      <c r="AK204" s="11"/>
    </row>
    <row r="205" spans="1:37" x14ac:dyDescent="0.2">
      <c r="A205" s="18"/>
      <c r="B205" s="11"/>
      <c r="C205" s="11"/>
      <c r="D205" s="11"/>
      <c r="E205" s="11"/>
      <c r="F205" s="11"/>
      <c r="G205" s="11"/>
      <c r="H205" s="11"/>
      <c r="I205" s="11"/>
      <c r="J205" s="11"/>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c r="AJ205" s="11"/>
      <c r="AK205" s="11"/>
    </row>
    <row r="206" spans="1:37" x14ac:dyDescent="0.2">
      <c r="A206" s="18"/>
      <c r="B206" s="11"/>
      <c r="C206" s="11"/>
      <c r="D206" s="11"/>
      <c r="E206" s="11"/>
      <c r="F206" s="11"/>
      <c r="G206" s="11"/>
      <c r="H206" s="11"/>
      <c r="I206" s="11"/>
      <c r="J206" s="11"/>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c r="AJ206" s="11"/>
      <c r="AK206" s="11"/>
    </row>
    <row r="207" spans="1:37" x14ac:dyDescent="0.2">
      <c r="A207" s="18"/>
      <c r="B207" s="11"/>
      <c r="C207" s="11"/>
      <c r="D207" s="11"/>
      <c r="E207" s="11"/>
      <c r="F207" s="11"/>
      <c r="G207" s="11"/>
      <c r="H207" s="11"/>
      <c r="I207" s="11"/>
      <c r="J207" s="11"/>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c r="AJ207" s="11"/>
      <c r="AK207" s="11"/>
    </row>
    <row r="208" spans="1:37" x14ac:dyDescent="0.2">
      <c r="A208" s="18"/>
      <c r="B208" s="11"/>
      <c r="C208" s="11"/>
      <c r="D208" s="11"/>
      <c r="E208" s="11"/>
      <c r="F208" s="11"/>
      <c r="G208" s="11"/>
      <c r="H208" s="11"/>
      <c r="I208" s="11"/>
      <c r="J208" s="11"/>
      <c r="K208" s="11"/>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c r="AJ208" s="11"/>
      <c r="AK208" s="11"/>
    </row>
    <row r="209" spans="1:37" x14ac:dyDescent="0.2">
      <c r="A209" s="18"/>
      <c r="B209" s="11"/>
      <c r="C209" s="11"/>
      <c r="D209" s="11"/>
      <c r="E209" s="11"/>
      <c r="F209" s="11"/>
      <c r="G209" s="11"/>
      <c r="H209" s="11"/>
      <c r="I209" s="11"/>
      <c r="J209" s="11"/>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c r="AJ209" s="11"/>
      <c r="AK209" s="11"/>
    </row>
    <row r="210" spans="1:37" x14ac:dyDescent="0.2">
      <c r="A210" s="18"/>
      <c r="B210" s="11"/>
      <c r="C210" s="11"/>
      <c r="D210" s="11"/>
      <c r="E210" s="11"/>
      <c r="F210" s="11"/>
      <c r="G210" s="11"/>
      <c r="H210" s="11"/>
      <c r="I210" s="11"/>
      <c r="J210" s="11"/>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c r="AJ210" s="11"/>
      <c r="AK210" s="11"/>
    </row>
    <row r="211" spans="1:37" x14ac:dyDescent="0.2">
      <c r="A211" s="18"/>
      <c r="B211" s="11"/>
      <c r="C211" s="11"/>
      <c r="D211" s="11"/>
      <c r="E211" s="11"/>
      <c r="F211" s="11"/>
      <c r="G211" s="11"/>
      <c r="H211" s="11"/>
      <c r="I211" s="11"/>
      <c r="J211" s="11"/>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c r="AJ211" s="11"/>
      <c r="AK211" s="11"/>
    </row>
    <row r="212" spans="1:37" x14ac:dyDescent="0.2">
      <c r="A212" s="18"/>
      <c r="B212" s="11"/>
      <c r="C212" s="11"/>
      <c r="D212" s="11"/>
      <c r="E212" s="11"/>
      <c r="F212" s="11"/>
      <c r="G212" s="11"/>
      <c r="H212" s="11"/>
      <c r="I212" s="11"/>
      <c r="J212" s="11"/>
      <c r="K212" s="11"/>
      <c r="L212" s="11"/>
      <c r="M212" s="11"/>
      <c r="N212" s="11"/>
      <c r="O212" s="11"/>
      <c r="P212" s="11"/>
      <c r="Q212" s="11"/>
      <c r="R212" s="11"/>
      <c r="S212" s="11"/>
      <c r="T212" s="11"/>
      <c r="U212" s="11"/>
      <c r="V212" s="11"/>
      <c r="W212" s="11"/>
      <c r="X212" s="11"/>
      <c r="Y212" s="11"/>
      <c r="Z212" s="11"/>
      <c r="AA212" s="11"/>
      <c r="AB212" s="11"/>
      <c r="AC212" s="11"/>
      <c r="AD212" s="11"/>
      <c r="AE212" s="11"/>
      <c r="AF212" s="11"/>
      <c r="AG212" s="11"/>
      <c r="AH212" s="11"/>
      <c r="AI212" s="11"/>
      <c r="AJ212" s="11"/>
      <c r="AK212" s="11"/>
    </row>
    <row r="213" spans="1:37" x14ac:dyDescent="0.2">
      <c r="A213" s="18"/>
      <c r="B213" s="11"/>
      <c r="C213" s="11"/>
      <c r="D213" s="11"/>
      <c r="E213" s="11"/>
      <c r="F213" s="11"/>
      <c r="G213" s="11"/>
      <c r="H213" s="11"/>
      <c r="I213" s="11"/>
      <c r="J213" s="11"/>
      <c r="K213" s="11"/>
      <c r="L213" s="11"/>
      <c r="M213" s="11"/>
      <c r="N213" s="11"/>
      <c r="O213" s="11"/>
      <c r="P213" s="11"/>
      <c r="Q213" s="11"/>
      <c r="R213" s="11"/>
      <c r="S213" s="11"/>
      <c r="T213" s="11"/>
      <c r="U213" s="11"/>
      <c r="V213" s="11"/>
      <c r="W213" s="11"/>
      <c r="X213" s="11"/>
      <c r="Y213" s="11"/>
      <c r="Z213" s="11"/>
      <c r="AA213" s="11"/>
      <c r="AB213" s="11"/>
      <c r="AC213" s="11"/>
      <c r="AD213" s="11"/>
      <c r="AE213" s="11"/>
      <c r="AF213" s="11"/>
      <c r="AG213" s="11"/>
      <c r="AH213" s="11"/>
      <c r="AI213" s="11"/>
      <c r="AJ213" s="11"/>
      <c r="AK213" s="11"/>
    </row>
    <row r="214" spans="1:37" x14ac:dyDescent="0.2">
      <c r="A214" s="18"/>
      <c r="B214" s="11"/>
      <c r="C214" s="11"/>
      <c r="D214" s="11"/>
      <c r="E214" s="11"/>
      <c r="F214" s="11"/>
      <c r="G214" s="11"/>
      <c r="H214" s="11"/>
      <c r="I214" s="11"/>
      <c r="J214" s="11"/>
      <c r="K214" s="11"/>
      <c r="L214" s="11"/>
      <c r="M214" s="11"/>
      <c r="N214" s="11"/>
      <c r="O214" s="11"/>
      <c r="P214" s="11"/>
      <c r="Q214" s="11"/>
      <c r="R214" s="11"/>
      <c r="S214" s="11"/>
      <c r="T214" s="11"/>
      <c r="U214" s="11"/>
      <c r="V214" s="11"/>
      <c r="W214" s="11"/>
      <c r="X214" s="11"/>
      <c r="Y214" s="11"/>
      <c r="Z214" s="11"/>
      <c r="AA214" s="11"/>
      <c r="AB214" s="11"/>
      <c r="AC214" s="11"/>
      <c r="AD214" s="11"/>
      <c r="AE214" s="11"/>
      <c r="AF214" s="11"/>
      <c r="AG214" s="11"/>
      <c r="AH214" s="11"/>
      <c r="AI214" s="11"/>
      <c r="AJ214" s="11"/>
      <c r="AK214" s="11"/>
    </row>
    <row r="215" spans="1:37" x14ac:dyDescent="0.2">
      <c r="A215" s="18"/>
      <c r="B215" s="11"/>
      <c r="C215" s="11"/>
      <c r="D215" s="11"/>
      <c r="E215" s="11"/>
      <c r="F215" s="11"/>
      <c r="G215" s="11"/>
      <c r="H215" s="11"/>
      <c r="I215" s="11"/>
      <c r="J215" s="11"/>
      <c r="K215" s="11"/>
      <c r="L215" s="11"/>
      <c r="M215" s="11"/>
      <c r="N215" s="11"/>
      <c r="O215" s="11"/>
      <c r="P215" s="11"/>
      <c r="Q215" s="11"/>
      <c r="R215" s="11"/>
      <c r="S215" s="11"/>
      <c r="T215" s="11"/>
      <c r="U215" s="11"/>
      <c r="V215" s="11"/>
      <c r="W215" s="11"/>
      <c r="X215" s="11"/>
      <c r="Y215" s="11"/>
      <c r="Z215" s="11"/>
      <c r="AA215" s="11"/>
      <c r="AB215" s="11"/>
      <c r="AC215" s="11"/>
      <c r="AD215" s="11"/>
      <c r="AE215" s="11"/>
      <c r="AF215" s="11"/>
      <c r="AG215" s="11"/>
      <c r="AH215" s="11"/>
      <c r="AI215" s="11"/>
      <c r="AJ215" s="11"/>
      <c r="AK215" s="11"/>
    </row>
    <row r="216" spans="1:37" x14ac:dyDescent="0.2">
      <c r="A216" s="18"/>
      <c r="B216" s="11"/>
      <c r="C216" s="11"/>
      <c r="D216" s="11"/>
      <c r="E216" s="11"/>
      <c r="F216" s="11"/>
      <c r="G216" s="11"/>
      <c r="H216" s="11"/>
      <c r="I216" s="11"/>
      <c r="J216" s="11"/>
      <c r="K216" s="11"/>
      <c r="L216" s="11"/>
      <c r="M216" s="11"/>
      <c r="N216" s="11"/>
      <c r="O216" s="11"/>
      <c r="P216" s="11"/>
      <c r="Q216" s="11"/>
      <c r="R216" s="11"/>
      <c r="S216" s="11"/>
      <c r="T216" s="11"/>
      <c r="U216" s="11"/>
      <c r="V216" s="11"/>
      <c r="W216" s="11"/>
      <c r="X216" s="11"/>
      <c r="Y216" s="11"/>
      <c r="Z216" s="11"/>
      <c r="AA216" s="11"/>
      <c r="AB216" s="11"/>
      <c r="AC216" s="11"/>
      <c r="AD216" s="11"/>
      <c r="AE216" s="11"/>
      <c r="AF216" s="11"/>
      <c r="AG216" s="11"/>
      <c r="AH216" s="11"/>
      <c r="AI216" s="11"/>
      <c r="AJ216" s="11"/>
      <c r="AK216" s="11"/>
    </row>
    <row r="217" spans="1:37" x14ac:dyDescent="0.2">
      <c r="A217" s="18"/>
      <c r="B217" s="11"/>
      <c r="C217" s="11"/>
      <c r="D217" s="11"/>
      <c r="E217" s="11"/>
      <c r="F217" s="11"/>
      <c r="G217" s="11"/>
      <c r="H217" s="11"/>
      <c r="I217" s="11"/>
      <c r="J217" s="11"/>
      <c r="K217" s="11"/>
      <c r="L217" s="11"/>
      <c r="M217" s="11"/>
      <c r="N217" s="11"/>
      <c r="O217" s="11"/>
      <c r="P217" s="11"/>
      <c r="Q217" s="11"/>
      <c r="R217" s="11"/>
      <c r="S217" s="11"/>
      <c r="T217" s="11"/>
      <c r="U217" s="11"/>
      <c r="V217" s="11"/>
      <c r="W217" s="11"/>
      <c r="X217" s="11"/>
      <c r="Y217" s="11"/>
      <c r="Z217" s="11"/>
      <c r="AA217" s="11"/>
      <c r="AB217" s="11"/>
      <c r="AC217" s="11"/>
      <c r="AD217" s="11"/>
      <c r="AE217" s="11"/>
      <c r="AF217" s="11"/>
      <c r="AG217" s="11"/>
      <c r="AH217" s="11"/>
      <c r="AI217" s="11"/>
      <c r="AJ217" s="11"/>
      <c r="AK217" s="11"/>
    </row>
    <row r="218" spans="1:37" x14ac:dyDescent="0.2">
      <c r="A218" s="18"/>
      <c r="B218" s="11"/>
      <c r="C218" s="11"/>
      <c r="D218" s="11"/>
      <c r="E218" s="11"/>
      <c r="F218" s="11"/>
      <c r="G218" s="11"/>
      <c r="H218" s="11"/>
      <c r="I218" s="11"/>
      <c r="J218" s="11"/>
      <c r="K218" s="11"/>
      <c r="L218" s="11"/>
      <c r="M218" s="11"/>
      <c r="N218" s="11"/>
      <c r="O218" s="11"/>
      <c r="P218" s="11"/>
      <c r="Q218" s="11"/>
      <c r="R218" s="11"/>
      <c r="S218" s="11"/>
      <c r="T218" s="11"/>
      <c r="U218" s="11"/>
      <c r="V218" s="11"/>
      <c r="W218" s="11"/>
      <c r="X218" s="11"/>
      <c r="Y218" s="11"/>
      <c r="Z218" s="11"/>
      <c r="AA218" s="11"/>
      <c r="AB218" s="11"/>
      <c r="AC218" s="11"/>
      <c r="AD218" s="11"/>
      <c r="AE218" s="11"/>
      <c r="AF218" s="11"/>
      <c r="AG218" s="11"/>
      <c r="AH218" s="11"/>
      <c r="AI218" s="11"/>
      <c r="AJ218" s="11"/>
      <c r="AK218" s="11"/>
    </row>
    <row r="219" spans="1:37" x14ac:dyDescent="0.2">
      <c r="A219" s="18"/>
      <c r="B219" s="11"/>
      <c r="C219" s="11"/>
      <c r="D219" s="11"/>
      <c r="E219" s="11"/>
      <c r="F219" s="11"/>
      <c r="G219" s="11"/>
      <c r="H219" s="11"/>
      <c r="I219" s="11"/>
      <c r="J219" s="11"/>
      <c r="K219" s="11"/>
      <c r="L219" s="11"/>
      <c r="M219" s="11"/>
      <c r="N219" s="11"/>
      <c r="O219" s="11"/>
      <c r="P219" s="11"/>
      <c r="Q219" s="11"/>
      <c r="R219" s="11"/>
      <c r="S219" s="11"/>
      <c r="T219" s="11"/>
      <c r="U219" s="11"/>
      <c r="V219" s="11"/>
      <c r="W219" s="11"/>
      <c r="X219" s="11"/>
      <c r="Y219" s="11"/>
      <c r="Z219" s="11"/>
      <c r="AA219" s="11"/>
      <c r="AB219" s="11"/>
      <c r="AC219" s="11"/>
      <c r="AD219" s="11"/>
      <c r="AE219" s="11"/>
      <c r="AF219" s="11"/>
      <c r="AG219" s="11"/>
      <c r="AH219" s="11"/>
      <c r="AI219" s="11"/>
      <c r="AJ219" s="11"/>
      <c r="AK219" s="11"/>
    </row>
    <row r="220" spans="1:37" x14ac:dyDescent="0.2">
      <c r="A220" s="18"/>
      <c r="B220" s="11"/>
      <c r="C220" s="11"/>
      <c r="D220" s="11"/>
      <c r="E220" s="11"/>
      <c r="F220" s="11"/>
      <c r="G220" s="11"/>
      <c r="H220" s="11"/>
      <c r="I220" s="11"/>
      <c r="J220" s="11"/>
      <c r="K220" s="11"/>
      <c r="L220" s="11"/>
      <c r="M220" s="11"/>
      <c r="N220" s="11"/>
      <c r="O220" s="11"/>
      <c r="P220" s="11"/>
      <c r="Q220" s="11"/>
      <c r="R220" s="11"/>
      <c r="S220" s="11"/>
      <c r="T220" s="11"/>
      <c r="U220" s="11"/>
      <c r="V220" s="11"/>
      <c r="W220" s="11"/>
      <c r="X220" s="11"/>
      <c r="Y220" s="11"/>
      <c r="Z220" s="11"/>
      <c r="AA220" s="11"/>
      <c r="AB220" s="11"/>
      <c r="AC220" s="11"/>
      <c r="AD220" s="11"/>
      <c r="AE220" s="11"/>
      <c r="AF220" s="11"/>
      <c r="AG220" s="11"/>
      <c r="AH220" s="11"/>
      <c r="AI220" s="11"/>
      <c r="AJ220" s="11"/>
      <c r="AK220" s="11"/>
    </row>
    <row r="221" spans="1:37" x14ac:dyDescent="0.2">
      <c r="A221" s="18"/>
      <c r="B221" s="11"/>
      <c r="C221" s="11"/>
      <c r="D221" s="11"/>
      <c r="E221" s="11"/>
      <c r="F221" s="11"/>
      <c r="G221" s="11"/>
      <c r="H221" s="11"/>
      <c r="I221" s="11"/>
      <c r="J221" s="11"/>
      <c r="K221" s="11"/>
      <c r="L221" s="11"/>
      <c r="M221" s="11"/>
      <c r="N221" s="11"/>
      <c r="O221" s="11"/>
      <c r="P221" s="11"/>
      <c r="Q221" s="11"/>
      <c r="R221" s="11"/>
      <c r="S221" s="11"/>
      <c r="T221" s="11"/>
      <c r="U221" s="11"/>
      <c r="V221" s="11"/>
      <c r="W221" s="11"/>
      <c r="X221" s="11"/>
      <c r="Y221" s="11"/>
      <c r="Z221" s="11"/>
      <c r="AA221" s="11"/>
      <c r="AB221" s="11"/>
      <c r="AC221" s="11"/>
      <c r="AD221" s="11"/>
      <c r="AE221" s="11"/>
      <c r="AF221" s="11"/>
      <c r="AG221" s="11"/>
      <c r="AH221" s="11"/>
      <c r="AI221" s="11"/>
      <c r="AJ221" s="11"/>
      <c r="AK221" s="11"/>
    </row>
    <row r="222" spans="1:37" x14ac:dyDescent="0.2">
      <c r="A222" s="18"/>
      <c r="B222" s="11"/>
      <c r="C222" s="11"/>
      <c r="D222" s="11"/>
      <c r="E222" s="11"/>
      <c r="F222" s="11"/>
      <c r="G222" s="11"/>
      <c r="H222" s="11"/>
      <c r="I222" s="11"/>
      <c r="J222" s="11"/>
      <c r="K222" s="11"/>
      <c r="L222" s="11"/>
      <c r="M222" s="11"/>
      <c r="N222" s="11"/>
      <c r="O222" s="11"/>
      <c r="P222" s="11"/>
      <c r="Q222" s="11"/>
      <c r="R222" s="11"/>
      <c r="S222" s="11"/>
      <c r="T222" s="11"/>
      <c r="U222" s="11"/>
      <c r="V222" s="11"/>
      <c r="W222" s="11"/>
      <c r="X222" s="11"/>
      <c r="Y222" s="11"/>
      <c r="Z222" s="11"/>
      <c r="AA222" s="11"/>
      <c r="AB222" s="11"/>
      <c r="AC222" s="11"/>
      <c r="AD222" s="11"/>
      <c r="AE222" s="11"/>
      <c r="AF222" s="11"/>
      <c r="AG222" s="11"/>
      <c r="AH222" s="11"/>
      <c r="AI222" s="11"/>
      <c r="AJ222" s="11"/>
      <c r="AK222" s="11"/>
    </row>
    <row r="223" spans="1:37" x14ac:dyDescent="0.2">
      <c r="A223" s="18"/>
      <c r="B223" s="11"/>
      <c r="C223" s="11"/>
      <c r="D223" s="11"/>
      <c r="E223" s="11"/>
      <c r="F223" s="11"/>
      <c r="G223" s="11"/>
      <c r="H223" s="11"/>
      <c r="I223" s="11"/>
      <c r="J223" s="11"/>
      <c r="K223" s="11"/>
      <c r="L223" s="11"/>
      <c r="M223" s="11"/>
      <c r="N223" s="11"/>
      <c r="O223" s="11"/>
      <c r="P223" s="11"/>
      <c r="Q223" s="11"/>
      <c r="R223" s="11"/>
      <c r="S223" s="11"/>
      <c r="T223" s="11"/>
      <c r="U223" s="11"/>
      <c r="V223" s="11"/>
      <c r="W223" s="11"/>
      <c r="X223" s="11"/>
      <c r="Y223" s="11"/>
      <c r="Z223" s="11"/>
      <c r="AA223" s="11"/>
      <c r="AB223" s="11"/>
      <c r="AC223" s="11"/>
      <c r="AD223" s="11"/>
      <c r="AE223" s="11"/>
      <c r="AF223" s="11"/>
      <c r="AG223" s="11"/>
      <c r="AH223" s="11"/>
      <c r="AI223" s="11"/>
      <c r="AJ223" s="11"/>
      <c r="AK223" s="11"/>
    </row>
    <row r="224" spans="1:37" x14ac:dyDescent="0.2">
      <c r="A224" s="18"/>
      <c r="B224" s="11"/>
      <c r="C224" s="11"/>
      <c r="D224" s="11"/>
      <c r="E224" s="11"/>
      <c r="F224" s="11"/>
      <c r="G224" s="11"/>
      <c r="H224" s="11"/>
      <c r="I224" s="11"/>
      <c r="J224" s="11"/>
      <c r="K224" s="11"/>
      <c r="L224" s="11"/>
      <c r="M224" s="11"/>
      <c r="N224" s="11"/>
      <c r="O224" s="11"/>
      <c r="P224" s="11"/>
      <c r="Q224" s="11"/>
      <c r="R224" s="11"/>
      <c r="S224" s="11"/>
      <c r="T224" s="11"/>
      <c r="U224" s="11"/>
      <c r="V224" s="11"/>
      <c r="W224" s="11"/>
      <c r="X224" s="11"/>
      <c r="Y224" s="11"/>
      <c r="Z224" s="11"/>
      <c r="AA224" s="11"/>
      <c r="AB224" s="11"/>
      <c r="AC224" s="11"/>
      <c r="AD224" s="11"/>
      <c r="AE224" s="11"/>
      <c r="AF224" s="11"/>
      <c r="AG224" s="11"/>
      <c r="AH224" s="11"/>
      <c r="AI224" s="11"/>
      <c r="AJ224" s="11"/>
      <c r="AK224" s="11"/>
    </row>
    <row r="225" spans="1:37" x14ac:dyDescent="0.2">
      <c r="A225" s="18"/>
      <c r="B225" s="11"/>
      <c r="C225" s="11"/>
      <c r="D225" s="11"/>
      <c r="E225" s="11"/>
      <c r="F225" s="11"/>
      <c r="G225" s="11"/>
      <c r="H225" s="11"/>
      <c r="I225" s="11"/>
      <c r="J225" s="11"/>
      <c r="K225" s="11"/>
      <c r="L225" s="11"/>
      <c r="M225" s="11"/>
      <c r="N225" s="11"/>
      <c r="O225" s="11"/>
      <c r="P225" s="11"/>
      <c r="Q225" s="11"/>
      <c r="R225" s="11"/>
      <c r="S225" s="11"/>
      <c r="T225" s="11"/>
      <c r="U225" s="11"/>
      <c r="V225" s="11"/>
      <c r="W225" s="11"/>
      <c r="X225" s="11"/>
      <c r="Y225" s="11"/>
      <c r="Z225" s="11"/>
      <c r="AA225" s="11"/>
      <c r="AB225" s="11"/>
      <c r="AC225" s="11"/>
      <c r="AD225" s="11"/>
      <c r="AE225" s="11"/>
      <c r="AF225" s="11"/>
      <c r="AG225" s="11"/>
      <c r="AH225" s="11"/>
      <c r="AI225" s="11"/>
      <c r="AJ225" s="11"/>
      <c r="AK225" s="11"/>
    </row>
    <row r="226" spans="1:37" x14ac:dyDescent="0.2">
      <c r="A226" s="18"/>
      <c r="B226" s="11"/>
      <c r="C226" s="11"/>
      <c r="D226" s="11"/>
      <c r="E226" s="11"/>
      <c r="F226" s="11"/>
      <c r="G226" s="11"/>
      <c r="H226" s="11"/>
      <c r="I226" s="11"/>
      <c r="J226" s="11"/>
      <c r="K226" s="11"/>
      <c r="L226" s="11"/>
      <c r="M226" s="11"/>
      <c r="N226" s="11"/>
      <c r="O226" s="11"/>
      <c r="P226" s="11"/>
      <c r="Q226" s="11"/>
      <c r="R226" s="11"/>
      <c r="S226" s="11"/>
      <c r="T226" s="11"/>
      <c r="U226" s="11"/>
      <c r="V226" s="11"/>
      <c r="W226" s="11"/>
      <c r="X226" s="11"/>
      <c r="Y226" s="11"/>
      <c r="Z226" s="11"/>
      <c r="AA226" s="11"/>
      <c r="AB226" s="11"/>
      <c r="AC226" s="11"/>
      <c r="AD226" s="11"/>
      <c r="AE226" s="11"/>
      <c r="AF226" s="11"/>
      <c r="AG226" s="11"/>
      <c r="AH226" s="11"/>
      <c r="AI226" s="11"/>
      <c r="AJ226" s="11"/>
      <c r="AK226" s="11"/>
    </row>
    <row r="227" spans="1:37" x14ac:dyDescent="0.2">
      <c r="A227" s="18"/>
      <c r="B227" s="11"/>
      <c r="C227" s="11"/>
      <c r="D227" s="11"/>
      <c r="E227" s="11"/>
      <c r="F227" s="11"/>
      <c r="G227" s="11"/>
      <c r="H227" s="11"/>
      <c r="I227" s="11"/>
      <c r="J227" s="11"/>
      <c r="K227" s="11"/>
      <c r="L227" s="11"/>
      <c r="M227" s="11"/>
      <c r="N227" s="11"/>
      <c r="O227" s="11"/>
      <c r="P227" s="11"/>
      <c r="Q227" s="11"/>
      <c r="R227" s="11"/>
      <c r="S227" s="11"/>
      <c r="T227" s="11"/>
      <c r="U227" s="11"/>
      <c r="V227" s="11"/>
      <c r="W227" s="11"/>
      <c r="X227" s="11"/>
      <c r="Y227" s="11"/>
      <c r="Z227" s="11"/>
      <c r="AA227" s="11"/>
      <c r="AB227" s="11"/>
      <c r="AC227" s="11"/>
      <c r="AD227" s="11"/>
      <c r="AE227" s="11"/>
      <c r="AF227" s="11"/>
      <c r="AG227" s="11"/>
      <c r="AH227" s="11"/>
      <c r="AI227" s="11"/>
      <c r="AJ227" s="11"/>
      <c r="AK227" s="11"/>
    </row>
    <row r="228" spans="1:37" x14ac:dyDescent="0.2">
      <c r="A228" s="18"/>
      <c r="B228" s="11"/>
      <c r="C228" s="11"/>
      <c r="D228" s="11"/>
      <c r="E228" s="11"/>
      <c r="F228" s="11"/>
      <c r="G228" s="11"/>
      <c r="H228" s="11"/>
      <c r="I228" s="11"/>
      <c r="J228" s="11"/>
      <c r="K228" s="11"/>
      <c r="L228" s="11"/>
      <c r="M228" s="11"/>
      <c r="N228" s="11"/>
      <c r="O228" s="11"/>
      <c r="P228" s="11"/>
      <c r="Q228" s="11"/>
      <c r="R228" s="11"/>
      <c r="S228" s="11"/>
      <c r="T228" s="11"/>
      <c r="U228" s="11"/>
      <c r="V228" s="11"/>
      <c r="W228" s="11"/>
      <c r="X228" s="11"/>
      <c r="Y228" s="11"/>
      <c r="Z228" s="11"/>
      <c r="AA228" s="11"/>
      <c r="AB228" s="11"/>
      <c r="AC228" s="11"/>
      <c r="AD228" s="11"/>
      <c r="AE228" s="11"/>
      <c r="AF228" s="11"/>
      <c r="AG228" s="11"/>
      <c r="AH228" s="11"/>
      <c r="AI228" s="11"/>
      <c r="AJ228" s="11"/>
      <c r="AK228" s="11"/>
    </row>
    <row r="229" spans="1:37" x14ac:dyDescent="0.2">
      <c r="A229" s="18"/>
      <c r="B229" s="11"/>
      <c r="C229" s="11"/>
      <c r="D229" s="11"/>
      <c r="E229" s="11"/>
      <c r="F229" s="11"/>
      <c r="G229" s="11"/>
      <c r="H229" s="11"/>
      <c r="I229" s="11"/>
      <c r="J229" s="11"/>
      <c r="K229" s="11"/>
      <c r="L229" s="11"/>
      <c r="M229" s="11"/>
      <c r="N229" s="11"/>
      <c r="O229" s="11"/>
      <c r="P229" s="11"/>
      <c r="Q229" s="11"/>
      <c r="R229" s="11"/>
      <c r="S229" s="11"/>
      <c r="T229" s="11"/>
      <c r="U229" s="11"/>
      <c r="V229" s="11"/>
      <c r="W229" s="11"/>
      <c r="X229" s="11"/>
      <c r="Y229" s="11"/>
      <c r="Z229" s="11"/>
      <c r="AA229" s="11"/>
      <c r="AB229" s="11"/>
      <c r="AC229" s="11"/>
      <c r="AD229" s="11"/>
      <c r="AE229" s="11"/>
      <c r="AF229" s="11"/>
      <c r="AG229" s="11"/>
      <c r="AH229" s="11"/>
      <c r="AI229" s="11"/>
      <c r="AJ229" s="11"/>
      <c r="AK229" s="11"/>
    </row>
  </sheetData>
  <mergeCells count="4">
    <mergeCell ref="P6:R6"/>
    <mergeCell ref="P7:Q7"/>
    <mergeCell ref="P8:Q8"/>
    <mergeCell ref="P9:Q9"/>
  </mergeCells>
  <conditionalFormatting sqref="B21 B24">
    <cfRule type="duplicateValues" dxfId="291" priority="11"/>
  </conditionalFormatting>
  <conditionalFormatting sqref="C21 C24">
    <cfRule type="duplicateValues" dxfId="290" priority="10"/>
  </conditionalFormatting>
  <conditionalFormatting sqref="D21 D24">
    <cfRule type="duplicateValues" dxfId="289" priority="9"/>
  </conditionalFormatting>
  <conditionalFormatting sqref="E21 E24">
    <cfRule type="duplicateValues" dxfId="288" priority="8"/>
  </conditionalFormatting>
  <conditionalFormatting sqref="F21 F24">
    <cfRule type="duplicateValues" dxfId="287" priority="7"/>
  </conditionalFormatting>
  <conditionalFormatting sqref="G21 G24">
    <cfRule type="duplicateValues" dxfId="286" priority="6"/>
  </conditionalFormatting>
  <conditionalFormatting sqref="H21 H24">
    <cfRule type="duplicateValues" dxfId="285" priority="5"/>
  </conditionalFormatting>
  <conditionalFormatting sqref="I21 I24">
    <cfRule type="duplicateValues" dxfId="284" priority="4"/>
  </conditionalFormatting>
  <conditionalFormatting sqref="J21 J24">
    <cfRule type="duplicateValues" dxfId="283" priority="3"/>
  </conditionalFormatting>
  <conditionalFormatting sqref="K21 K24">
    <cfRule type="duplicateValues" dxfId="282" priority="2"/>
  </conditionalFormatting>
  <conditionalFormatting sqref="L21 L24">
    <cfRule type="duplicateValues" dxfId="281"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9" r:id="rId8" name="Button 11">
              <controlPr defaultSize="0" print="0" autoFill="0" autoPict="0" macro="[0]!Print_Format">
                <anchor moveWithCells="1" sizeWithCells="1">
                  <from>
                    <xdr:col>9</xdr:col>
                    <xdr:colOff>152400</xdr:colOff>
                    <xdr:row>13</xdr:row>
                    <xdr:rowOff>123825</xdr:rowOff>
                  </from>
                  <to>
                    <xdr:col>12</xdr:col>
                    <xdr:colOff>438150</xdr:colOff>
                    <xdr:row>16</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C17" sqref="C17"/>
    </sheetView>
  </sheetViews>
  <sheetFormatPr defaultRowHeight="15" x14ac:dyDescent="0.2"/>
  <cols>
    <col min="1" max="1" width="5.6640625" style="22" customWidth="1"/>
    <col min="2" max="2" width="7.6640625" style="22" customWidth="1"/>
    <col min="3" max="3" width="17.21875" style="22" customWidth="1"/>
    <col min="4" max="4" width="16.6640625" style="22" customWidth="1"/>
    <col min="5" max="7" width="5.6640625" style="22" customWidth="1"/>
    <col min="8" max="8" width="10.6640625" style="22" customWidth="1"/>
  </cols>
  <sheetData>
    <row r="1" spans="1:57" s="3" customFormat="1" ht="20.25" customHeight="1" thickBot="1" x14ac:dyDescent="0.25">
      <c r="A1" s="26"/>
      <c r="B1" s="26"/>
      <c r="C1" s="65" t="s">
        <v>40</v>
      </c>
      <c r="D1" s="23"/>
      <c r="E1" s="23"/>
      <c r="F1" s="23"/>
      <c r="G1" s="23"/>
      <c r="H1" s="23"/>
    </row>
    <row r="2" spans="1:57" s="10" customFormat="1" ht="84" customHeight="1" thickBot="1" x14ac:dyDescent="0.25">
      <c r="A2" s="54" t="s">
        <v>41</v>
      </c>
      <c r="B2" s="54" t="s">
        <v>42</v>
      </c>
      <c r="C2" s="55" t="s">
        <v>43</v>
      </c>
      <c r="D2" s="56" t="s">
        <v>44</v>
      </c>
      <c r="E2" s="57" t="s">
        <v>22</v>
      </c>
      <c r="F2" s="57" t="s">
        <v>19</v>
      </c>
      <c r="G2" s="58" t="s">
        <v>45</v>
      </c>
      <c r="H2" s="58" t="s">
        <v>46</v>
      </c>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pageSetUpPr fitToPage="1"/>
  </sheetPr>
  <dimension ref="A1:BW180"/>
  <sheetViews>
    <sheetView tabSelected="1" showWhiteSpace="0" zoomScale="60" zoomScaleNormal="60" workbookViewId="0">
      <pane ySplit="2" topLeftCell="A57" activePane="bottomLeft" state="frozen"/>
      <selection pane="bottomLeft" activeCell="I63" sqref="I63"/>
    </sheetView>
  </sheetViews>
  <sheetFormatPr defaultColWidth="8.88671875" defaultRowHeight="15" x14ac:dyDescent="0.2"/>
  <cols>
    <col min="1" max="1" width="6.88671875" style="3" customWidth="1"/>
    <col min="2" max="2" width="7.77734375" style="22" customWidth="1"/>
    <col min="3" max="3" width="60.77734375" style="3" customWidth="1"/>
    <col min="4" max="4" width="38.77734375" style="3" customWidth="1"/>
    <col min="5" max="5" width="8" style="3" customWidth="1"/>
    <col min="6" max="6" width="7.5546875" style="3" customWidth="1"/>
    <col min="7" max="7" width="38.77734375" style="3" customWidth="1"/>
    <col min="8" max="8" width="14.77734375" style="3" customWidth="1"/>
    <col min="9" max="9" width="10.33203125" style="22" customWidth="1"/>
    <col min="10" max="10" width="10.33203125" style="3" customWidth="1"/>
    <col min="11" max="11" width="10.5546875" style="3" customWidth="1"/>
    <col min="12" max="12" width="16.109375" style="3" customWidth="1"/>
    <col min="13" max="13" width="27.33203125" style="3" customWidth="1"/>
    <col min="14" max="14" width="9.109375" style="3" customWidth="1"/>
    <col min="15" max="15" width="7.5546875" style="75" customWidth="1"/>
    <col min="16" max="17" width="8.88671875" style="3" customWidth="1"/>
    <col min="18" max="16384" width="8.88671875" style="3"/>
  </cols>
  <sheetData>
    <row r="1" spans="1:75" ht="21" customHeight="1" thickBot="1" x14ac:dyDescent="0.3">
      <c r="A1" s="25"/>
      <c r="B1" s="107" t="s">
        <v>47</v>
      </c>
      <c r="C1" s="63" t="s">
        <v>48</v>
      </c>
      <c r="D1" s="9"/>
      <c r="E1" s="9"/>
      <c r="F1" s="9"/>
      <c r="G1" s="9"/>
      <c r="H1" s="9"/>
      <c r="I1" s="23"/>
      <c r="J1" s="9"/>
      <c r="K1" s="9"/>
      <c r="L1" s="9"/>
    </row>
    <row r="2" spans="1:75" s="10" customFormat="1" ht="87.95" customHeight="1" thickBot="1" x14ac:dyDescent="0.25">
      <c r="A2" s="54" t="s">
        <v>41</v>
      </c>
      <c r="B2" s="74" t="s">
        <v>42</v>
      </c>
      <c r="C2" s="68" t="s">
        <v>43</v>
      </c>
      <c r="D2" s="69" t="s">
        <v>44</v>
      </c>
      <c r="E2" s="70" t="s">
        <v>22</v>
      </c>
      <c r="F2" s="70" t="s">
        <v>19</v>
      </c>
      <c r="G2" s="71" t="s">
        <v>45</v>
      </c>
      <c r="H2" s="71" t="s">
        <v>46</v>
      </c>
      <c r="I2" s="72" t="s">
        <v>49</v>
      </c>
      <c r="J2" s="72" t="s">
        <v>50</v>
      </c>
      <c r="K2" s="72" t="s">
        <v>51</v>
      </c>
      <c r="L2" s="72" t="s">
        <v>52</v>
      </c>
      <c r="M2" s="72" t="s">
        <v>53</v>
      </c>
      <c r="N2" s="59" t="s">
        <v>54</v>
      </c>
      <c r="O2" s="76" t="s">
        <v>55</v>
      </c>
      <c r="P2" s="59" t="s">
        <v>56</v>
      </c>
      <c r="Q2" s="59" t="s">
        <v>57</v>
      </c>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row>
    <row r="3" spans="1:75" s="109" customFormat="1" ht="54" customHeight="1" thickTop="1" thickBot="1" x14ac:dyDescent="0.25">
      <c r="A3" s="78"/>
      <c r="B3" s="85" t="s">
        <v>10</v>
      </c>
      <c r="C3" s="86" t="s">
        <v>58</v>
      </c>
      <c r="D3" s="86" t="s">
        <v>59</v>
      </c>
      <c r="E3" s="87" t="s">
        <v>11</v>
      </c>
      <c r="F3" s="87" t="s">
        <v>24</v>
      </c>
      <c r="G3" s="87" t="s">
        <v>60</v>
      </c>
      <c r="H3" s="88" t="s">
        <v>61</v>
      </c>
      <c r="I3" s="87" t="s">
        <v>62</v>
      </c>
      <c r="J3" s="87" t="s">
        <v>63</v>
      </c>
      <c r="K3" s="87">
        <v>0</v>
      </c>
      <c r="L3" s="87" t="s">
        <v>64</v>
      </c>
      <c r="M3" s="87" t="s">
        <v>835</v>
      </c>
      <c r="N3" s="86">
        <v>1</v>
      </c>
      <c r="O3" s="89">
        <v>5.2083333333333333E-4</v>
      </c>
    </row>
    <row r="4" spans="1:75" s="109" customFormat="1" ht="54" customHeight="1" thickTop="1" thickBot="1" x14ac:dyDescent="0.25">
      <c r="A4" s="78"/>
      <c r="B4" s="90" t="s">
        <v>10</v>
      </c>
      <c r="C4" s="83" t="s">
        <v>65</v>
      </c>
      <c r="D4" s="80" t="s">
        <v>66</v>
      </c>
      <c r="E4" s="81" t="s">
        <v>11</v>
      </c>
      <c r="F4" s="81" t="s">
        <v>24</v>
      </c>
      <c r="G4" s="81" t="s">
        <v>67</v>
      </c>
      <c r="H4" s="82" t="s">
        <v>61</v>
      </c>
      <c r="I4" s="87" t="s">
        <v>62</v>
      </c>
      <c r="J4" s="87" t="s">
        <v>63</v>
      </c>
      <c r="K4" s="87">
        <v>0</v>
      </c>
      <c r="L4" s="87" t="s">
        <v>68</v>
      </c>
      <c r="M4" s="87" t="s">
        <v>836</v>
      </c>
      <c r="N4" s="80">
        <v>1</v>
      </c>
      <c r="O4" s="91">
        <v>3.4722222222222224E-4</v>
      </c>
    </row>
    <row r="5" spans="1:75" s="109" customFormat="1" ht="54" customHeight="1" thickTop="1" thickBot="1" x14ac:dyDescent="0.25">
      <c r="A5" s="78"/>
      <c r="B5" s="90" t="s">
        <v>10</v>
      </c>
      <c r="C5" s="80" t="s">
        <v>69</v>
      </c>
      <c r="D5" s="80" t="s">
        <v>66</v>
      </c>
      <c r="E5" s="81" t="s">
        <v>11</v>
      </c>
      <c r="F5" s="81" t="s">
        <v>24</v>
      </c>
      <c r="G5" s="81" t="s">
        <v>67</v>
      </c>
      <c r="H5" s="82" t="s">
        <v>61</v>
      </c>
      <c r="I5" s="87" t="s">
        <v>62</v>
      </c>
      <c r="J5" s="87" t="s">
        <v>63</v>
      </c>
      <c r="K5" s="87">
        <v>0</v>
      </c>
      <c r="L5" s="87" t="s">
        <v>68</v>
      </c>
      <c r="M5" s="87" t="s">
        <v>836</v>
      </c>
      <c r="N5" s="80">
        <v>1</v>
      </c>
      <c r="O5" s="91">
        <v>3.4722222222222224E-4</v>
      </c>
    </row>
    <row r="6" spans="1:75" s="109" customFormat="1" ht="54" customHeight="1" thickTop="1" thickBot="1" x14ac:dyDescent="0.25">
      <c r="A6" s="78"/>
      <c r="B6" s="90" t="s">
        <v>10</v>
      </c>
      <c r="C6" s="80" t="s">
        <v>70</v>
      </c>
      <c r="D6" s="80" t="s">
        <v>71</v>
      </c>
      <c r="E6" s="81" t="s">
        <v>11</v>
      </c>
      <c r="F6" s="81" t="s">
        <v>24</v>
      </c>
      <c r="G6" s="81" t="s">
        <v>72</v>
      </c>
      <c r="H6" s="82" t="s">
        <v>61</v>
      </c>
      <c r="I6" s="87" t="s">
        <v>62</v>
      </c>
      <c r="J6" s="87" t="s">
        <v>63</v>
      </c>
      <c r="K6" s="87">
        <v>0</v>
      </c>
      <c r="L6" s="87" t="s">
        <v>68</v>
      </c>
      <c r="M6" s="87" t="s">
        <v>836</v>
      </c>
      <c r="N6" s="80">
        <v>1</v>
      </c>
      <c r="O6" s="91">
        <v>1.3888888888888889E-3</v>
      </c>
    </row>
    <row r="7" spans="1:75" s="109" customFormat="1" ht="54" customHeight="1" thickTop="1" thickBot="1" x14ac:dyDescent="0.25">
      <c r="A7" s="78"/>
      <c r="B7" s="90" t="s">
        <v>10</v>
      </c>
      <c r="C7" s="80" t="s">
        <v>73</v>
      </c>
      <c r="D7" s="80" t="s">
        <v>74</v>
      </c>
      <c r="E7" s="81" t="s">
        <v>11</v>
      </c>
      <c r="F7" s="81" t="s">
        <v>24</v>
      </c>
      <c r="G7" s="81" t="s">
        <v>75</v>
      </c>
      <c r="H7" s="82" t="s">
        <v>61</v>
      </c>
      <c r="I7" s="87" t="s">
        <v>62</v>
      </c>
      <c r="J7" s="87" t="s">
        <v>63</v>
      </c>
      <c r="K7" s="87">
        <v>0</v>
      </c>
      <c r="L7" s="87" t="s">
        <v>76</v>
      </c>
      <c r="M7" s="87" t="s">
        <v>837</v>
      </c>
      <c r="N7" s="80">
        <v>1</v>
      </c>
      <c r="O7" s="91">
        <v>1.2152777777777778E-3</v>
      </c>
    </row>
    <row r="8" spans="1:75" s="109" customFormat="1" ht="54" customHeight="1" thickTop="1" thickBot="1" x14ac:dyDescent="0.25">
      <c r="A8" s="78"/>
      <c r="B8" s="90" t="s">
        <v>10</v>
      </c>
      <c r="C8" s="80" t="s">
        <v>77</v>
      </c>
      <c r="D8" s="80" t="s">
        <v>78</v>
      </c>
      <c r="E8" s="81" t="s">
        <v>11</v>
      </c>
      <c r="F8" s="81" t="s">
        <v>24</v>
      </c>
      <c r="G8" s="81" t="s">
        <v>79</v>
      </c>
      <c r="H8" s="82" t="s">
        <v>61</v>
      </c>
      <c r="I8" s="87" t="s">
        <v>62</v>
      </c>
      <c r="J8" s="87" t="s">
        <v>63</v>
      </c>
      <c r="K8" s="87">
        <v>0</v>
      </c>
      <c r="L8" s="87" t="s">
        <v>76</v>
      </c>
      <c r="M8" s="87" t="s">
        <v>837</v>
      </c>
      <c r="N8" s="80">
        <v>1</v>
      </c>
      <c r="O8" s="91">
        <v>3.4722222222222224E-4</v>
      </c>
    </row>
    <row r="9" spans="1:75" s="109" customFormat="1" ht="54" customHeight="1" thickTop="1" thickBot="1" x14ac:dyDescent="0.25">
      <c r="A9" s="78"/>
      <c r="B9" s="90" t="s">
        <v>10</v>
      </c>
      <c r="C9" s="80" t="s">
        <v>80</v>
      </c>
      <c r="D9" s="80" t="s">
        <v>81</v>
      </c>
      <c r="E9" s="81" t="s">
        <v>11</v>
      </c>
      <c r="F9" s="81" t="s">
        <v>24</v>
      </c>
      <c r="G9" s="81" t="s">
        <v>82</v>
      </c>
      <c r="H9" s="82">
        <v>45773</v>
      </c>
      <c r="I9" s="87" t="s">
        <v>62</v>
      </c>
      <c r="J9" s="87" t="s">
        <v>63</v>
      </c>
      <c r="K9" s="87">
        <v>0</v>
      </c>
      <c r="L9" s="87" t="s">
        <v>83</v>
      </c>
      <c r="M9" s="87" t="s">
        <v>835</v>
      </c>
      <c r="N9" s="80">
        <v>2</v>
      </c>
      <c r="O9" s="92">
        <v>3.4722222222222224E-4</v>
      </c>
    </row>
    <row r="10" spans="1:75" s="109" customFormat="1" ht="54" customHeight="1" thickTop="1" thickBot="1" x14ac:dyDescent="0.25">
      <c r="A10" s="78"/>
      <c r="B10" s="90" t="s">
        <v>10</v>
      </c>
      <c r="C10" s="80" t="s">
        <v>84</v>
      </c>
      <c r="D10" s="80" t="s">
        <v>85</v>
      </c>
      <c r="E10" s="81" t="s">
        <v>11</v>
      </c>
      <c r="F10" s="81" t="s">
        <v>24</v>
      </c>
      <c r="G10" s="81" t="s">
        <v>86</v>
      </c>
      <c r="H10" s="82" t="s">
        <v>61</v>
      </c>
      <c r="I10" s="87" t="s">
        <v>62</v>
      </c>
      <c r="J10" s="87" t="s">
        <v>63</v>
      </c>
      <c r="K10" s="87">
        <v>0</v>
      </c>
      <c r="L10" s="87" t="s">
        <v>87</v>
      </c>
      <c r="M10" s="87" t="s">
        <v>835</v>
      </c>
      <c r="N10" s="80">
        <v>1</v>
      </c>
      <c r="O10" s="91">
        <v>1.3888888888888889E-3</v>
      </c>
    </row>
    <row r="11" spans="1:75" s="109" customFormat="1" ht="54" customHeight="1" thickTop="1" thickBot="1" x14ac:dyDescent="0.25">
      <c r="A11" s="78"/>
      <c r="B11" s="90" t="s">
        <v>10</v>
      </c>
      <c r="C11" s="80" t="s">
        <v>88</v>
      </c>
      <c r="D11" s="80" t="s">
        <v>89</v>
      </c>
      <c r="E11" s="81" t="s">
        <v>11</v>
      </c>
      <c r="F11" s="81" t="s">
        <v>24</v>
      </c>
      <c r="G11" s="81" t="s">
        <v>75</v>
      </c>
      <c r="H11" s="82" t="s">
        <v>61</v>
      </c>
      <c r="I11" s="87" t="s">
        <v>62</v>
      </c>
      <c r="J11" s="87" t="s">
        <v>63</v>
      </c>
      <c r="K11" s="87">
        <v>0</v>
      </c>
      <c r="L11" s="87" t="s">
        <v>90</v>
      </c>
      <c r="M11" s="87" t="s">
        <v>835</v>
      </c>
      <c r="N11" s="80">
        <v>1</v>
      </c>
      <c r="O11" s="91">
        <v>3.4722222222222224E-4</v>
      </c>
    </row>
    <row r="12" spans="1:75" s="109" customFormat="1" ht="54" customHeight="1" thickTop="1" thickBot="1" x14ac:dyDescent="0.25">
      <c r="A12" s="78"/>
      <c r="B12" s="90" t="s">
        <v>10</v>
      </c>
      <c r="C12" s="80" t="s">
        <v>91</v>
      </c>
      <c r="D12" s="80" t="s">
        <v>92</v>
      </c>
      <c r="E12" s="81" t="s">
        <v>11</v>
      </c>
      <c r="F12" s="81" t="s">
        <v>24</v>
      </c>
      <c r="G12" s="81" t="s">
        <v>93</v>
      </c>
      <c r="H12" s="82" t="s">
        <v>61</v>
      </c>
      <c r="I12" s="87" t="s">
        <v>94</v>
      </c>
      <c r="J12" s="87" t="s">
        <v>63</v>
      </c>
      <c r="K12" s="87" t="s">
        <v>95</v>
      </c>
      <c r="L12" s="87" t="s">
        <v>96</v>
      </c>
      <c r="M12" s="87" t="s">
        <v>848</v>
      </c>
      <c r="N12" s="80">
        <v>1</v>
      </c>
      <c r="O12" s="91">
        <v>3.4722222222222224E-4</v>
      </c>
    </row>
    <row r="13" spans="1:75" s="109" customFormat="1" ht="54" customHeight="1" thickTop="1" thickBot="1" x14ac:dyDescent="0.25">
      <c r="A13" s="78"/>
      <c r="B13" s="90" t="s">
        <v>10</v>
      </c>
      <c r="C13" s="80" t="s">
        <v>97</v>
      </c>
      <c r="D13" s="80" t="s">
        <v>98</v>
      </c>
      <c r="E13" s="81" t="s">
        <v>11</v>
      </c>
      <c r="F13" s="81" t="s">
        <v>24</v>
      </c>
      <c r="G13" s="81" t="s">
        <v>99</v>
      </c>
      <c r="H13" s="82" t="s">
        <v>61</v>
      </c>
      <c r="I13" s="87" t="s">
        <v>62</v>
      </c>
      <c r="J13" s="87" t="s">
        <v>63</v>
      </c>
      <c r="K13" s="87">
        <v>0</v>
      </c>
      <c r="L13" s="87" t="s">
        <v>100</v>
      </c>
      <c r="M13" s="87" t="s">
        <v>835</v>
      </c>
      <c r="N13" s="80">
        <v>1</v>
      </c>
      <c r="O13" s="91">
        <v>1.3888888888888889E-3</v>
      </c>
    </row>
    <row r="14" spans="1:75" s="109" customFormat="1" ht="54" customHeight="1" thickTop="1" thickBot="1" x14ac:dyDescent="0.25">
      <c r="A14" s="78"/>
      <c r="B14" s="90" t="s">
        <v>10</v>
      </c>
      <c r="C14" s="80" t="s">
        <v>101</v>
      </c>
      <c r="D14" s="80" t="s">
        <v>102</v>
      </c>
      <c r="E14" s="81" t="s">
        <v>11</v>
      </c>
      <c r="F14" s="81" t="s">
        <v>24</v>
      </c>
      <c r="G14" s="81" t="s">
        <v>103</v>
      </c>
      <c r="H14" s="82" t="s">
        <v>61</v>
      </c>
      <c r="I14" s="87" t="s">
        <v>62</v>
      </c>
      <c r="J14" s="87" t="s">
        <v>63</v>
      </c>
      <c r="K14" s="87">
        <v>0</v>
      </c>
      <c r="L14" s="87" t="s">
        <v>100</v>
      </c>
      <c r="M14" s="87" t="s">
        <v>835</v>
      </c>
      <c r="N14" s="80">
        <v>1</v>
      </c>
      <c r="O14" s="91">
        <v>1.3888888888888889E-3</v>
      </c>
    </row>
    <row r="15" spans="1:75" s="109" customFormat="1" ht="54" customHeight="1" thickTop="1" thickBot="1" x14ac:dyDescent="0.25">
      <c r="A15" s="78"/>
      <c r="B15" s="90" t="s">
        <v>10</v>
      </c>
      <c r="C15" s="80" t="s">
        <v>104</v>
      </c>
      <c r="D15" s="80" t="s">
        <v>105</v>
      </c>
      <c r="E15" s="81" t="s">
        <v>11</v>
      </c>
      <c r="F15" s="81" t="s">
        <v>24</v>
      </c>
      <c r="G15" s="81" t="s">
        <v>106</v>
      </c>
      <c r="H15" s="82" t="s">
        <v>61</v>
      </c>
      <c r="I15" s="87" t="s">
        <v>62</v>
      </c>
      <c r="J15" s="87" t="s">
        <v>63</v>
      </c>
      <c r="K15" s="87">
        <v>0</v>
      </c>
      <c r="L15" s="87" t="s">
        <v>107</v>
      </c>
      <c r="M15" s="87" t="s">
        <v>835</v>
      </c>
      <c r="N15" s="80">
        <v>1</v>
      </c>
      <c r="O15" s="91">
        <v>5.2083333333333333E-4</v>
      </c>
    </row>
    <row r="16" spans="1:75" s="109" customFormat="1" ht="54" customHeight="1" thickTop="1" thickBot="1" x14ac:dyDescent="0.25">
      <c r="A16" s="78"/>
      <c r="B16" s="90" t="s">
        <v>10</v>
      </c>
      <c r="C16" s="80" t="s">
        <v>108</v>
      </c>
      <c r="D16" s="80" t="s">
        <v>109</v>
      </c>
      <c r="E16" s="81" t="s">
        <v>11</v>
      </c>
      <c r="F16" s="81" t="s">
        <v>24</v>
      </c>
      <c r="G16" s="81" t="s">
        <v>106</v>
      </c>
      <c r="H16" s="82" t="s">
        <v>61</v>
      </c>
      <c r="I16" s="87" t="s">
        <v>62</v>
      </c>
      <c r="J16" s="87" t="s">
        <v>63</v>
      </c>
      <c r="K16" s="87">
        <v>0</v>
      </c>
      <c r="L16" s="87" t="s">
        <v>107</v>
      </c>
      <c r="M16" s="87" t="s">
        <v>835</v>
      </c>
      <c r="N16" s="80">
        <v>1</v>
      </c>
      <c r="O16" s="91">
        <v>5.2083333333333333E-4</v>
      </c>
    </row>
    <row r="17" spans="1:15" s="109" customFormat="1" ht="54" customHeight="1" thickTop="1" thickBot="1" x14ac:dyDescent="0.25">
      <c r="A17" s="78"/>
      <c r="B17" s="90" t="s">
        <v>10</v>
      </c>
      <c r="C17" s="80" t="s">
        <v>110</v>
      </c>
      <c r="D17" s="80" t="s">
        <v>111</v>
      </c>
      <c r="E17" s="81" t="s">
        <v>11</v>
      </c>
      <c r="F17" s="81" t="s">
        <v>24</v>
      </c>
      <c r="G17" s="81" t="s">
        <v>106</v>
      </c>
      <c r="H17" s="82" t="s">
        <v>61</v>
      </c>
      <c r="I17" s="87" t="s">
        <v>62</v>
      </c>
      <c r="J17" s="87" t="s">
        <v>63</v>
      </c>
      <c r="K17" s="87">
        <v>0</v>
      </c>
      <c r="L17" s="87" t="s">
        <v>107</v>
      </c>
      <c r="M17" s="87" t="s">
        <v>835</v>
      </c>
      <c r="N17" s="80">
        <v>1</v>
      </c>
      <c r="O17" s="91">
        <v>3.4722222222222224E-4</v>
      </c>
    </row>
    <row r="18" spans="1:15" s="109" customFormat="1" ht="54" customHeight="1" thickTop="1" thickBot="1" x14ac:dyDescent="0.25">
      <c r="A18" s="78"/>
      <c r="B18" s="90" t="s">
        <v>10</v>
      </c>
      <c r="C18" s="80" t="s">
        <v>112</v>
      </c>
      <c r="D18" s="80" t="s">
        <v>113</v>
      </c>
      <c r="E18" s="81" t="s">
        <v>11</v>
      </c>
      <c r="F18" s="81" t="s">
        <v>24</v>
      </c>
      <c r="G18" s="81" t="s">
        <v>114</v>
      </c>
      <c r="H18" s="82" t="s">
        <v>61</v>
      </c>
      <c r="I18" s="87" t="s">
        <v>94</v>
      </c>
      <c r="J18" s="87" t="s">
        <v>63</v>
      </c>
      <c r="K18" s="87">
        <v>0</v>
      </c>
      <c r="L18" s="87" t="s">
        <v>115</v>
      </c>
      <c r="M18" s="87" t="s">
        <v>838</v>
      </c>
      <c r="N18" s="80">
        <v>1</v>
      </c>
      <c r="O18" s="92">
        <v>6.9444444444444447E-4</v>
      </c>
    </row>
    <row r="19" spans="1:15" s="109" customFormat="1" ht="54" customHeight="1" thickTop="1" thickBot="1" x14ac:dyDescent="0.25">
      <c r="A19" s="79"/>
      <c r="B19" s="90" t="s">
        <v>10</v>
      </c>
      <c r="C19" s="80" t="s">
        <v>116</v>
      </c>
      <c r="D19" s="80" t="s">
        <v>117</v>
      </c>
      <c r="E19" s="81" t="s">
        <v>11</v>
      </c>
      <c r="F19" s="81" t="s">
        <v>24</v>
      </c>
      <c r="G19" s="81" t="s">
        <v>118</v>
      </c>
      <c r="H19" s="82" t="s">
        <v>61</v>
      </c>
      <c r="I19" s="87" t="s">
        <v>94</v>
      </c>
      <c r="J19" s="87" t="s">
        <v>63</v>
      </c>
      <c r="K19" s="87">
        <v>0</v>
      </c>
      <c r="L19" s="87" t="s">
        <v>119</v>
      </c>
      <c r="M19" s="87" t="s">
        <v>838</v>
      </c>
      <c r="N19" s="80">
        <v>1</v>
      </c>
      <c r="O19" s="92">
        <v>6.9444444444444447E-4</v>
      </c>
    </row>
    <row r="20" spans="1:15" s="109" customFormat="1" ht="54" customHeight="1" thickTop="1" thickBot="1" x14ac:dyDescent="0.25">
      <c r="A20" s="78"/>
      <c r="B20" s="90" t="s">
        <v>10</v>
      </c>
      <c r="C20" s="80" t="s">
        <v>120</v>
      </c>
      <c r="D20" s="80" t="s">
        <v>121</v>
      </c>
      <c r="E20" s="81" t="s">
        <v>11</v>
      </c>
      <c r="F20" s="81" t="s">
        <v>24</v>
      </c>
      <c r="G20" s="81" t="s">
        <v>93</v>
      </c>
      <c r="H20" s="82" t="s">
        <v>61</v>
      </c>
      <c r="I20" s="87" t="s">
        <v>62</v>
      </c>
      <c r="J20" s="87" t="s">
        <v>63</v>
      </c>
      <c r="K20" s="87">
        <v>0</v>
      </c>
      <c r="L20" s="87">
        <v>0</v>
      </c>
      <c r="M20" s="87" t="s">
        <v>835</v>
      </c>
      <c r="N20" s="80">
        <v>2</v>
      </c>
      <c r="O20" s="91">
        <v>5.2083333333333333E-4</v>
      </c>
    </row>
    <row r="21" spans="1:15" s="109" customFormat="1" ht="54" customHeight="1" thickTop="1" thickBot="1" x14ac:dyDescent="0.25">
      <c r="A21" s="78"/>
      <c r="B21" s="90" t="s">
        <v>10</v>
      </c>
      <c r="C21" s="80" t="s">
        <v>122</v>
      </c>
      <c r="D21" s="80" t="s">
        <v>123</v>
      </c>
      <c r="E21" s="81" t="s">
        <v>11</v>
      </c>
      <c r="F21" s="81" t="s">
        <v>24</v>
      </c>
      <c r="G21" s="81" t="s">
        <v>124</v>
      </c>
      <c r="H21" s="82" t="s">
        <v>61</v>
      </c>
      <c r="I21" s="87" t="s">
        <v>94</v>
      </c>
      <c r="J21" s="87" t="s">
        <v>63</v>
      </c>
      <c r="K21" s="87">
        <v>0</v>
      </c>
      <c r="L21" s="87" t="s">
        <v>125</v>
      </c>
      <c r="M21" s="87" t="s">
        <v>838</v>
      </c>
      <c r="N21" s="80">
        <v>2</v>
      </c>
      <c r="O21" s="91">
        <v>45.000520833333333</v>
      </c>
    </row>
    <row r="22" spans="1:15" s="109" customFormat="1" ht="54" customHeight="1" thickTop="1" thickBot="1" x14ac:dyDescent="0.25">
      <c r="A22" s="78"/>
      <c r="B22" s="90" t="s">
        <v>10</v>
      </c>
      <c r="C22" s="80" t="s">
        <v>126</v>
      </c>
      <c r="D22" s="80" t="s">
        <v>127</v>
      </c>
      <c r="E22" s="81" t="s">
        <v>11</v>
      </c>
      <c r="F22" s="81" t="s">
        <v>24</v>
      </c>
      <c r="G22" s="81" t="s">
        <v>124</v>
      </c>
      <c r="H22" s="82" t="s">
        <v>61</v>
      </c>
      <c r="I22" s="87" t="s">
        <v>94</v>
      </c>
      <c r="J22" s="87" t="s">
        <v>63</v>
      </c>
      <c r="K22" s="87">
        <v>0</v>
      </c>
      <c r="L22" s="87" t="s">
        <v>128</v>
      </c>
      <c r="M22" s="87" t="s">
        <v>838</v>
      </c>
      <c r="N22" s="80">
        <v>2</v>
      </c>
      <c r="O22" s="91">
        <v>45.042187499999997</v>
      </c>
    </row>
    <row r="23" spans="1:15" s="109" customFormat="1" ht="54" customHeight="1" thickTop="1" thickBot="1" x14ac:dyDescent="0.25">
      <c r="A23" s="78"/>
      <c r="B23" s="90" t="s">
        <v>10</v>
      </c>
      <c r="C23" s="80" t="s">
        <v>129</v>
      </c>
      <c r="D23" s="80" t="s">
        <v>130</v>
      </c>
      <c r="E23" s="81" t="s">
        <v>11</v>
      </c>
      <c r="F23" s="81" t="s">
        <v>24</v>
      </c>
      <c r="G23" s="81" t="s">
        <v>124</v>
      </c>
      <c r="H23" s="82" t="s">
        <v>61</v>
      </c>
      <c r="I23" s="87" t="s">
        <v>94</v>
      </c>
      <c r="J23" s="87" t="s">
        <v>63</v>
      </c>
      <c r="K23" s="87">
        <v>0</v>
      </c>
      <c r="L23" s="87" t="s">
        <v>131</v>
      </c>
      <c r="M23" s="87" t="s">
        <v>849</v>
      </c>
      <c r="N23" s="80">
        <v>1</v>
      </c>
      <c r="O23" s="91">
        <v>5.2083333333333333E-4</v>
      </c>
    </row>
    <row r="24" spans="1:15" s="109" customFormat="1" ht="54" customHeight="1" thickTop="1" thickBot="1" x14ac:dyDescent="0.25">
      <c r="A24" s="78"/>
      <c r="B24" s="90" t="s">
        <v>10</v>
      </c>
      <c r="C24" s="80" t="s">
        <v>132</v>
      </c>
      <c r="D24" s="80" t="s">
        <v>133</v>
      </c>
      <c r="E24" s="81" t="s">
        <v>11</v>
      </c>
      <c r="F24" s="81" t="s">
        <v>24</v>
      </c>
      <c r="G24" s="81" t="s">
        <v>124</v>
      </c>
      <c r="H24" s="82" t="s">
        <v>61</v>
      </c>
      <c r="I24" s="87" t="s">
        <v>94</v>
      </c>
      <c r="J24" s="87" t="s">
        <v>63</v>
      </c>
      <c r="K24" s="87">
        <v>0</v>
      </c>
      <c r="L24" s="87" t="s">
        <v>134</v>
      </c>
      <c r="M24" s="87" t="s">
        <v>849</v>
      </c>
      <c r="N24" s="80">
        <v>2</v>
      </c>
      <c r="O24" s="91">
        <v>6.9444444444444447E-4</v>
      </c>
    </row>
    <row r="25" spans="1:15" s="109" customFormat="1" ht="54" customHeight="1" thickTop="1" thickBot="1" x14ac:dyDescent="0.25">
      <c r="A25" s="78"/>
      <c r="B25" s="93" t="s">
        <v>10</v>
      </c>
      <c r="C25" s="94" t="s">
        <v>135</v>
      </c>
      <c r="D25" s="94" t="s">
        <v>136</v>
      </c>
      <c r="E25" s="105" t="s">
        <v>11</v>
      </c>
      <c r="F25" s="105" t="s">
        <v>24</v>
      </c>
      <c r="G25" s="105" t="s">
        <v>93</v>
      </c>
      <c r="H25" s="106" t="s">
        <v>61</v>
      </c>
      <c r="I25" s="87" t="s">
        <v>94</v>
      </c>
      <c r="J25" s="87" t="s">
        <v>63</v>
      </c>
      <c r="K25" s="87">
        <v>0</v>
      </c>
      <c r="L25" s="87">
        <v>0</v>
      </c>
      <c r="M25" s="87" t="s">
        <v>838</v>
      </c>
      <c r="N25" s="94"/>
      <c r="O25" s="96"/>
    </row>
    <row r="26" spans="1:15" s="109" customFormat="1" ht="54" customHeight="1" thickTop="1" thickBot="1" x14ac:dyDescent="0.25">
      <c r="A26" s="78"/>
      <c r="B26" s="85" t="s">
        <v>13</v>
      </c>
      <c r="C26" s="86" t="s">
        <v>137</v>
      </c>
      <c r="D26" s="86" t="s">
        <v>138</v>
      </c>
      <c r="E26" s="87" t="s">
        <v>11</v>
      </c>
      <c r="F26" s="87" t="s">
        <v>24</v>
      </c>
      <c r="G26" s="87" t="s">
        <v>139</v>
      </c>
      <c r="H26" s="97">
        <v>45041</v>
      </c>
      <c r="I26" s="87" t="s">
        <v>140</v>
      </c>
      <c r="J26" s="87" t="s">
        <v>141</v>
      </c>
      <c r="K26" s="87">
        <v>0</v>
      </c>
      <c r="L26" s="87" t="s">
        <v>142</v>
      </c>
      <c r="M26" s="87" t="s">
        <v>838</v>
      </c>
      <c r="N26" s="86">
        <v>4</v>
      </c>
      <c r="O26" s="89">
        <v>1.736111111111111E-3</v>
      </c>
    </row>
    <row r="27" spans="1:15" s="109" customFormat="1" ht="54" customHeight="1" thickTop="1" thickBot="1" x14ac:dyDescent="0.25">
      <c r="A27" s="78"/>
      <c r="B27" s="90" t="s">
        <v>13</v>
      </c>
      <c r="C27" s="80" t="s">
        <v>143</v>
      </c>
      <c r="D27" s="80" t="s">
        <v>144</v>
      </c>
      <c r="E27" s="81" t="s">
        <v>11</v>
      </c>
      <c r="F27" s="81" t="s">
        <v>24</v>
      </c>
      <c r="G27" s="81" t="s">
        <v>145</v>
      </c>
      <c r="H27" s="84">
        <v>45041</v>
      </c>
      <c r="I27" s="87" t="s">
        <v>140</v>
      </c>
      <c r="J27" s="87" t="s">
        <v>141</v>
      </c>
      <c r="K27" s="87">
        <v>0</v>
      </c>
      <c r="L27" s="87" t="s">
        <v>142</v>
      </c>
      <c r="M27" s="87" t="s">
        <v>838</v>
      </c>
      <c r="N27" s="80">
        <v>4</v>
      </c>
      <c r="O27" s="91">
        <v>1.736111111111111E-3</v>
      </c>
    </row>
    <row r="28" spans="1:15" s="109" customFormat="1" ht="54" customHeight="1" thickTop="1" thickBot="1" x14ac:dyDescent="0.25">
      <c r="A28" s="78"/>
      <c r="B28" s="90" t="s">
        <v>13</v>
      </c>
      <c r="C28" s="80" t="s">
        <v>146</v>
      </c>
      <c r="D28" s="80" t="s">
        <v>147</v>
      </c>
      <c r="E28" s="81" t="s">
        <v>11</v>
      </c>
      <c r="F28" s="81" t="s">
        <v>24</v>
      </c>
      <c r="G28" s="81" t="s">
        <v>148</v>
      </c>
      <c r="H28" s="84">
        <v>45041</v>
      </c>
      <c r="I28" s="87" t="s">
        <v>140</v>
      </c>
      <c r="J28" s="87" t="s">
        <v>141</v>
      </c>
      <c r="K28" s="87">
        <v>0</v>
      </c>
      <c r="L28" s="87" t="s">
        <v>142</v>
      </c>
      <c r="M28" s="87" t="s">
        <v>838</v>
      </c>
      <c r="N28" s="80">
        <v>4</v>
      </c>
      <c r="O28" s="91">
        <v>1.736111111111111E-3</v>
      </c>
    </row>
    <row r="29" spans="1:15" s="109" customFormat="1" ht="54" customHeight="1" thickTop="1" thickBot="1" x14ac:dyDescent="0.25">
      <c r="A29" s="78"/>
      <c r="B29" s="90" t="s">
        <v>13</v>
      </c>
      <c r="C29" s="80" t="s">
        <v>149</v>
      </c>
      <c r="D29" s="80" t="s">
        <v>150</v>
      </c>
      <c r="E29" s="81" t="s">
        <v>11</v>
      </c>
      <c r="F29" s="81" t="s">
        <v>24</v>
      </c>
      <c r="G29" s="81" t="s">
        <v>145</v>
      </c>
      <c r="H29" s="84">
        <v>45041</v>
      </c>
      <c r="I29" s="87" t="s">
        <v>140</v>
      </c>
      <c r="J29" s="87" t="s">
        <v>141</v>
      </c>
      <c r="K29" s="87">
        <v>0</v>
      </c>
      <c r="L29" s="87" t="s">
        <v>142</v>
      </c>
      <c r="M29" s="87" t="s">
        <v>838</v>
      </c>
      <c r="N29" s="80">
        <v>4</v>
      </c>
      <c r="O29" s="91">
        <v>1.736111111111111E-3</v>
      </c>
    </row>
    <row r="30" spans="1:15" s="109" customFormat="1" ht="54" customHeight="1" thickTop="1" thickBot="1" x14ac:dyDescent="0.25">
      <c r="A30" s="78"/>
      <c r="B30" s="90" t="s">
        <v>13</v>
      </c>
      <c r="C30" s="80" t="s">
        <v>151</v>
      </c>
      <c r="D30" s="80" t="s">
        <v>152</v>
      </c>
      <c r="E30" s="81" t="s">
        <v>11</v>
      </c>
      <c r="F30" s="81" t="s">
        <v>24</v>
      </c>
      <c r="G30" s="80" t="s">
        <v>153</v>
      </c>
      <c r="H30" s="84">
        <v>45041</v>
      </c>
      <c r="I30" s="87" t="s">
        <v>140</v>
      </c>
      <c r="J30" s="87" t="s">
        <v>63</v>
      </c>
      <c r="K30" s="87">
        <v>0</v>
      </c>
      <c r="L30" s="87" t="s">
        <v>154</v>
      </c>
      <c r="M30" s="87" t="s">
        <v>839</v>
      </c>
      <c r="N30" s="80">
        <v>2</v>
      </c>
      <c r="O30" s="91">
        <v>5.2083333333333333E-4</v>
      </c>
    </row>
    <row r="31" spans="1:15" s="109" customFormat="1" ht="54" customHeight="1" thickTop="1" thickBot="1" x14ac:dyDescent="0.25">
      <c r="A31" s="78"/>
      <c r="B31" s="90" t="s">
        <v>13</v>
      </c>
      <c r="C31" s="80" t="s">
        <v>155</v>
      </c>
      <c r="D31" s="80" t="s">
        <v>152</v>
      </c>
      <c r="E31" s="81" t="s">
        <v>11</v>
      </c>
      <c r="F31" s="81" t="s">
        <v>24</v>
      </c>
      <c r="G31" s="80" t="s">
        <v>156</v>
      </c>
      <c r="H31" s="84">
        <v>45041</v>
      </c>
      <c r="I31" s="87" t="s">
        <v>140</v>
      </c>
      <c r="J31" s="87" t="s">
        <v>63</v>
      </c>
      <c r="K31" s="87">
        <v>0</v>
      </c>
      <c r="L31" s="87" t="s">
        <v>154</v>
      </c>
      <c r="M31" s="87" t="s">
        <v>839</v>
      </c>
      <c r="N31" s="80">
        <v>2</v>
      </c>
      <c r="O31" s="91">
        <v>5.2083333333333333E-4</v>
      </c>
    </row>
    <row r="32" spans="1:15" s="109" customFormat="1" ht="54" customHeight="1" thickTop="1" thickBot="1" x14ac:dyDescent="0.25">
      <c r="A32" s="78"/>
      <c r="B32" s="90" t="s">
        <v>13</v>
      </c>
      <c r="C32" s="80" t="s">
        <v>157</v>
      </c>
      <c r="D32" s="80" t="s">
        <v>158</v>
      </c>
      <c r="E32" s="81" t="s">
        <v>11</v>
      </c>
      <c r="F32" s="81" t="s">
        <v>24</v>
      </c>
      <c r="G32" s="81" t="s">
        <v>159</v>
      </c>
      <c r="H32" s="82">
        <v>45778</v>
      </c>
      <c r="I32" s="87" t="s">
        <v>140</v>
      </c>
      <c r="J32" s="87" t="s">
        <v>63</v>
      </c>
      <c r="K32" s="87">
        <v>0</v>
      </c>
      <c r="L32" s="87" t="s">
        <v>160</v>
      </c>
      <c r="M32" s="87" t="s">
        <v>839</v>
      </c>
      <c r="N32" s="80">
        <v>1</v>
      </c>
      <c r="O32" s="91">
        <v>2.3148148148148146E-4</v>
      </c>
    </row>
    <row r="33" spans="1:15" s="109" customFormat="1" ht="54" customHeight="1" thickTop="1" thickBot="1" x14ac:dyDescent="0.25">
      <c r="A33" s="78"/>
      <c r="B33" s="90" t="s">
        <v>13</v>
      </c>
      <c r="C33" s="80" t="s">
        <v>161</v>
      </c>
      <c r="D33" s="80" t="s">
        <v>162</v>
      </c>
      <c r="E33" s="81" t="s">
        <v>11</v>
      </c>
      <c r="F33" s="81" t="s">
        <v>24</v>
      </c>
      <c r="G33" s="81" t="s">
        <v>163</v>
      </c>
      <c r="H33" s="82">
        <v>45772</v>
      </c>
      <c r="I33" s="87" t="s">
        <v>140</v>
      </c>
      <c r="J33" s="87" t="s">
        <v>63</v>
      </c>
      <c r="K33" s="87">
        <v>0</v>
      </c>
      <c r="L33" s="87" t="s">
        <v>164</v>
      </c>
      <c r="M33" s="87" t="s">
        <v>839</v>
      </c>
      <c r="N33" s="80">
        <v>2</v>
      </c>
      <c r="O33" s="91">
        <v>2.3148148148148146E-4</v>
      </c>
    </row>
    <row r="34" spans="1:15" s="109" customFormat="1" ht="54" customHeight="1" thickTop="1" thickBot="1" x14ac:dyDescent="0.25">
      <c r="A34" s="134"/>
      <c r="B34" s="135" t="s">
        <v>13</v>
      </c>
      <c r="C34" s="136" t="s">
        <v>165</v>
      </c>
      <c r="D34" s="136" t="s">
        <v>166</v>
      </c>
      <c r="E34" s="137" t="s">
        <v>24</v>
      </c>
      <c r="F34" s="137" t="s">
        <v>11</v>
      </c>
      <c r="G34" s="137" t="s">
        <v>167</v>
      </c>
      <c r="H34" s="138">
        <v>45772</v>
      </c>
      <c r="I34" s="87" t="s">
        <v>140</v>
      </c>
      <c r="J34" s="87" t="s">
        <v>63</v>
      </c>
      <c r="K34" s="87">
        <v>0</v>
      </c>
      <c r="L34" s="87" t="s">
        <v>168</v>
      </c>
      <c r="M34" s="87" t="s">
        <v>839</v>
      </c>
      <c r="N34" s="136">
        <v>2</v>
      </c>
      <c r="O34" s="139">
        <v>3.4722222222222224E-4</v>
      </c>
    </row>
    <row r="35" spans="1:15" s="109" customFormat="1" ht="54" customHeight="1" thickTop="1" thickBot="1" x14ac:dyDescent="0.25">
      <c r="A35" s="78"/>
      <c r="B35" s="90" t="s">
        <v>13</v>
      </c>
      <c r="C35" s="80" t="s">
        <v>169</v>
      </c>
      <c r="D35" s="80" t="s">
        <v>170</v>
      </c>
      <c r="E35" s="81" t="s">
        <v>11</v>
      </c>
      <c r="F35" s="81" t="s">
        <v>24</v>
      </c>
      <c r="G35" s="81" t="s">
        <v>145</v>
      </c>
      <c r="H35" s="84">
        <v>45041</v>
      </c>
      <c r="I35" s="87" t="s">
        <v>62</v>
      </c>
      <c r="J35" s="87" t="s">
        <v>141</v>
      </c>
      <c r="K35" s="87">
        <v>0</v>
      </c>
      <c r="L35" s="87" t="s">
        <v>171</v>
      </c>
      <c r="M35" s="87" t="s">
        <v>840</v>
      </c>
      <c r="N35" s="80">
        <v>2</v>
      </c>
      <c r="O35" s="91">
        <v>4.6296296296296293E-4</v>
      </c>
    </row>
    <row r="36" spans="1:15" s="109" customFormat="1" ht="54" customHeight="1" thickTop="1" thickBot="1" x14ac:dyDescent="0.25">
      <c r="A36" s="78"/>
      <c r="B36" s="90" t="s">
        <v>13</v>
      </c>
      <c r="C36" s="80" t="s">
        <v>172</v>
      </c>
      <c r="D36" s="80" t="s">
        <v>173</v>
      </c>
      <c r="E36" s="81" t="s">
        <v>11</v>
      </c>
      <c r="F36" s="81" t="s">
        <v>24</v>
      </c>
      <c r="G36" s="81" t="s">
        <v>145</v>
      </c>
      <c r="H36" s="84">
        <v>45041</v>
      </c>
      <c r="I36" s="87" t="s">
        <v>62</v>
      </c>
      <c r="J36" s="87" t="s">
        <v>141</v>
      </c>
      <c r="K36" s="87">
        <v>0</v>
      </c>
      <c r="L36" s="87" t="s">
        <v>171</v>
      </c>
      <c r="M36" s="87" t="s">
        <v>840</v>
      </c>
      <c r="N36" s="80">
        <v>2</v>
      </c>
      <c r="O36" s="91">
        <v>4.6296296296296293E-4</v>
      </c>
    </row>
    <row r="37" spans="1:15" s="109" customFormat="1" ht="54" customHeight="1" thickTop="1" thickBot="1" x14ac:dyDescent="0.25">
      <c r="A37" s="78"/>
      <c r="B37" s="90" t="s">
        <v>13</v>
      </c>
      <c r="C37" s="80" t="s">
        <v>174</v>
      </c>
      <c r="D37" s="80" t="s">
        <v>175</v>
      </c>
      <c r="E37" s="81" t="s">
        <v>11</v>
      </c>
      <c r="F37" s="81" t="s">
        <v>24</v>
      </c>
      <c r="G37" s="81" t="s">
        <v>145</v>
      </c>
      <c r="H37" s="84">
        <v>45041</v>
      </c>
      <c r="I37" s="87" t="s">
        <v>62</v>
      </c>
      <c r="J37" s="87" t="s">
        <v>141</v>
      </c>
      <c r="K37" s="87">
        <v>0</v>
      </c>
      <c r="L37" s="87" t="s">
        <v>176</v>
      </c>
      <c r="M37" s="87" t="s">
        <v>840</v>
      </c>
      <c r="N37" s="80">
        <v>1</v>
      </c>
      <c r="O37" s="91">
        <v>4.6296296296296293E-4</v>
      </c>
    </row>
    <row r="38" spans="1:15" s="109" customFormat="1" ht="54" customHeight="1" thickTop="1" thickBot="1" x14ac:dyDescent="0.25">
      <c r="A38" s="78"/>
      <c r="B38" s="90" t="s">
        <v>13</v>
      </c>
      <c r="C38" s="80" t="s">
        <v>177</v>
      </c>
      <c r="D38" s="80" t="s">
        <v>178</v>
      </c>
      <c r="E38" s="81" t="s">
        <v>11</v>
      </c>
      <c r="F38" s="81" t="s">
        <v>24</v>
      </c>
      <c r="G38" s="81" t="s">
        <v>145</v>
      </c>
      <c r="H38" s="84">
        <v>45041</v>
      </c>
      <c r="I38" s="87" t="s">
        <v>62</v>
      </c>
      <c r="J38" s="87" t="s">
        <v>141</v>
      </c>
      <c r="K38" s="87">
        <v>0</v>
      </c>
      <c r="L38" s="87" t="s">
        <v>176</v>
      </c>
      <c r="M38" s="87" t="s">
        <v>840</v>
      </c>
      <c r="N38" s="80">
        <v>1</v>
      </c>
      <c r="O38" s="91">
        <v>4.6296296296296293E-4</v>
      </c>
    </row>
    <row r="39" spans="1:15" s="109" customFormat="1" ht="54" customHeight="1" thickTop="1" thickBot="1" x14ac:dyDescent="0.25">
      <c r="A39" s="78"/>
      <c r="B39" s="90" t="s">
        <v>13</v>
      </c>
      <c r="C39" s="80" t="s">
        <v>179</v>
      </c>
      <c r="D39" s="80" t="s">
        <v>180</v>
      </c>
      <c r="E39" s="81" t="s">
        <v>11</v>
      </c>
      <c r="F39" s="81" t="s">
        <v>24</v>
      </c>
      <c r="G39" s="81" t="s">
        <v>145</v>
      </c>
      <c r="H39" s="84">
        <v>45041</v>
      </c>
      <c r="I39" s="87" t="s">
        <v>62</v>
      </c>
      <c r="J39" s="87" t="s">
        <v>141</v>
      </c>
      <c r="K39" s="87">
        <v>0</v>
      </c>
      <c r="L39" s="87" t="s">
        <v>176</v>
      </c>
      <c r="M39" s="87" t="s">
        <v>840</v>
      </c>
      <c r="N39" s="80">
        <v>1</v>
      </c>
      <c r="O39" s="91">
        <v>4.6296296296296293E-4</v>
      </c>
    </row>
    <row r="40" spans="1:15" s="109" customFormat="1" ht="54" customHeight="1" thickTop="1" thickBot="1" x14ac:dyDescent="0.25">
      <c r="A40" s="79"/>
      <c r="B40" s="90" t="s">
        <v>13</v>
      </c>
      <c r="C40" s="80" t="s">
        <v>181</v>
      </c>
      <c r="D40" s="80" t="s">
        <v>170</v>
      </c>
      <c r="E40" s="81" t="s">
        <v>11</v>
      </c>
      <c r="F40" s="81" t="s">
        <v>24</v>
      </c>
      <c r="G40" s="81" t="s">
        <v>145</v>
      </c>
      <c r="H40" s="84">
        <v>45041</v>
      </c>
      <c r="I40" s="87" t="s">
        <v>62</v>
      </c>
      <c r="J40" s="87" t="s">
        <v>141</v>
      </c>
      <c r="K40" s="87">
        <v>0</v>
      </c>
      <c r="L40" s="87" t="s">
        <v>171</v>
      </c>
      <c r="M40" s="87" t="s">
        <v>840</v>
      </c>
      <c r="N40" s="80">
        <v>2</v>
      </c>
      <c r="O40" s="91">
        <v>4.6296296296296293E-4</v>
      </c>
    </row>
    <row r="41" spans="1:15" s="109" customFormat="1" ht="54" customHeight="1" thickTop="1" thickBot="1" x14ac:dyDescent="0.25">
      <c r="A41" s="78"/>
      <c r="B41" s="90" t="s">
        <v>13</v>
      </c>
      <c r="C41" s="80" t="s">
        <v>182</v>
      </c>
      <c r="D41" s="80" t="s">
        <v>173</v>
      </c>
      <c r="E41" s="81" t="s">
        <v>11</v>
      </c>
      <c r="F41" s="81" t="s">
        <v>24</v>
      </c>
      <c r="G41" s="81" t="s">
        <v>145</v>
      </c>
      <c r="H41" s="84">
        <v>45041</v>
      </c>
      <c r="I41" s="87" t="s">
        <v>62</v>
      </c>
      <c r="J41" s="87" t="s">
        <v>141</v>
      </c>
      <c r="K41" s="87">
        <v>0</v>
      </c>
      <c r="L41" s="87" t="s">
        <v>171</v>
      </c>
      <c r="M41" s="87" t="s">
        <v>840</v>
      </c>
      <c r="N41" s="80">
        <v>2</v>
      </c>
      <c r="O41" s="91">
        <v>4.6296296296296293E-4</v>
      </c>
    </row>
    <row r="42" spans="1:15" s="109" customFormat="1" ht="54" customHeight="1" thickTop="1" thickBot="1" x14ac:dyDescent="0.25">
      <c r="A42" s="78"/>
      <c r="B42" s="90" t="s">
        <v>13</v>
      </c>
      <c r="C42" s="80" t="s">
        <v>183</v>
      </c>
      <c r="D42" s="80" t="s">
        <v>184</v>
      </c>
      <c r="E42" s="81" t="s">
        <v>11</v>
      </c>
      <c r="F42" s="81" t="s">
        <v>24</v>
      </c>
      <c r="G42" s="81" t="s">
        <v>185</v>
      </c>
      <c r="H42" s="82">
        <v>45773</v>
      </c>
      <c r="I42" s="87" t="s">
        <v>94</v>
      </c>
      <c r="J42" s="87" t="s">
        <v>63</v>
      </c>
      <c r="K42" s="87">
        <v>0</v>
      </c>
      <c r="L42" s="87" t="s">
        <v>186</v>
      </c>
      <c r="M42" s="87" t="s">
        <v>838</v>
      </c>
      <c r="N42" s="80">
        <v>1</v>
      </c>
      <c r="O42" s="91">
        <v>6.9444444444444447E-4</v>
      </c>
    </row>
    <row r="43" spans="1:15" s="109" customFormat="1" ht="54" customHeight="1" thickTop="1" thickBot="1" x14ac:dyDescent="0.25">
      <c r="B43" s="120" t="s">
        <v>13</v>
      </c>
      <c r="C43" s="121" t="s">
        <v>187</v>
      </c>
      <c r="D43" s="121" t="s">
        <v>188</v>
      </c>
      <c r="E43" s="122" t="s">
        <v>24</v>
      </c>
      <c r="F43" s="122"/>
      <c r="G43" s="122"/>
      <c r="H43" s="126"/>
      <c r="I43" s="87" t="s">
        <v>62</v>
      </c>
      <c r="J43" s="87" t="s">
        <v>63</v>
      </c>
      <c r="K43" s="87">
        <v>0</v>
      </c>
      <c r="L43" s="87" t="s">
        <v>189</v>
      </c>
      <c r="M43" s="87" t="s">
        <v>839</v>
      </c>
      <c r="N43" s="121">
        <v>2</v>
      </c>
      <c r="O43" s="123">
        <v>6.9444444444444447E-4</v>
      </c>
    </row>
    <row r="44" spans="1:15" s="109" customFormat="1" ht="54" customHeight="1" thickTop="1" thickBot="1" x14ac:dyDescent="0.25">
      <c r="B44" s="110" t="s">
        <v>16</v>
      </c>
      <c r="C44" s="111" t="s">
        <v>190</v>
      </c>
      <c r="D44" s="111" t="s">
        <v>191</v>
      </c>
      <c r="E44" s="112" t="s">
        <v>24</v>
      </c>
      <c r="F44" s="112"/>
      <c r="G44" s="112"/>
      <c r="H44" s="113"/>
      <c r="I44" s="87" t="s">
        <v>140</v>
      </c>
      <c r="J44" s="87" t="s">
        <v>63</v>
      </c>
      <c r="K44" s="87">
        <v>0</v>
      </c>
      <c r="L44" s="87" t="s">
        <v>192</v>
      </c>
      <c r="M44" s="87" t="s">
        <v>841</v>
      </c>
      <c r="N44" s="111">
        <v>2</v>
      </c>
      <c r="O44" s="114">
        <v>1.0416666666666667E-3</v>
      </c>
    </row>
    <row r="45" spans="1:15" s="109" customFormat="1" ht="54" customHeight="1" thickTop="1" thickBot="1" x14ac:dyDescent="0.25">
      <c r="A45" s="78"/>
      <c r="B45" s="90" t="s">
        <v>16</v>
      </c>
      <c r="C45" s="80" t="s">
        <v>193</v>
      </c>
      <c r="D45" s="80" t="s">
        <v>194</v>
      </c>
      <c r="E45" s="81" t="s">
        <v>11</v>
      </c>
      <c r="F45" s="81" t="s">
        <v>24</v>
      </c>
      <c r="G45" s="81" t="s">
        <v>163</v>
      </c>
      <c r="H45" s="82">
        <v>45772</v>
      </c>
      <c r="I45" s="87" t="s">
        <v>140</v>
      </c>
      <c r="J45" s="87" t="s">
        <v>63</v>
      </c>
      <c r="K45" s="87">
        <v>0</v>
      </c>
      <c r="L45" s="87" t="s">
        <v>195</v>
      </c>
      <c r="M45" s="87" t="s">
        <v>839</v>
      </c>
      <c r="N45" s="80">
        <v>2</v>
      </c>
      <c r="O45" s="91">
        <v>1.5624999999999999E-3</v>
      </c>
    </row>
    <row r="46" spans="1:15" s="109" customFormat="1" ht="54" customHeight="1" thickTop="1" thickBot="1" x14ac:dyDescent="0.25">
      <c r="A46" s="78"/>
      <c r="B46" s="90" t="s">
        <v>16</v>
      </c>
      <c r="C46" s="80" t="s">
        <v>196</v>
      </c>
      <c r="D46" s="80" t="s">
        <v>197</v>
      </c>
      <c r="E46" s="81" t="s">
        <v>11</v>
      </c>
      <c r="F46" s="81" t="s">
        <v>24</v>
      </c>
      <c r="G46" s="81" t="s">
        <v>198</v>
      </c>
      <c r="H46" s="82">
        <v>45778</v>
      </c>
      <c r="I46" s="87" t="s">
        <v>140</v>
      </c>
      <c r="J46" s="87" t="s">
        <v>63</v>
      </c>
      <c r="K46" s="87">
        <v>0</v>
      </c>
      <c r="L46" s="87" t="s">
        <v>199</v>
      </c>
      <c r="M46" s="87" t="s">
        <v>839</v>
      </c>
      <c r="N46" s="80">
        <v>2</v>
      </c>
      <c r="O46" s="91">
        <v>6.9444444444444447E-4</v>
      </c>
    </row>
    <row r="47" spans="1:15" s="109" customFormat="1" ht="54" customHeight="1" thickTop="1" thickBot="1" x14ac:dyDescent="0.25">
      <c r="A47" s="78"/>
      <c r="B47" s="90" t="s">
        <v>16</v>
      </c>
      <c r="C47" s="80" t="s">
        <v>200</v>
      </c>
      <c r="D47" s="80" t="s">
        <v>201</v>
      </c>
      <c r="E47" s="81" t="s">
        <v>11</v>
      </c>
      <c r="F47" s="81" t="s">
        <v>24</v>
      </c>
      <c r="G47" s="81" t="s">
        <v>198</v>
      </c>
      <c r="H47" s="82">
        <v>45778</v>
      </c>
      <c r="I47" s="87" t="s">
        <v>140</v>
      </c>
      <c r="J47" s="87" t="s">
        <v>63</v>
      </c>
      <c r="K47" s="87">
        <v>0</v>
      </c>
      <c r="L47" s="87" t="s">
        <v>202</v>
      </c>
      <c r="M47" s="87" t="s">
        <v>839</v>
      </c>
      <c r="N47" s="80">
        <v>2</v>
      </c>
      <c r="O47" s="91">
        <v>6.9444444444444447E-4</v>
      </c>
    </row>
    <row r="48" spans="1:15" s="109" customFormat="1" ht="54" customHeight="1" thickTop="1" thickBot="1" x14ac:dyDescent="0.25">
      <c r="A48" s="78"/>
      <c r="B48" s="90" t="s">
        <v>16</v>
      </c>
      <c r="C48" s="80" t="s">
        <v>203</v>
      </c>
      <c r="D48" s="80" t="s">
        <v>204</v>
      </c>
      <c r="E48" s="81" t="s">
        <v>11</v>
      </c>
      <c r="F48" s="81" t="s">
        <v>24</v>
      </c>
      <c r="G48" s="81" t="s">
        <v>163</v>
      </c>
      <c r="H48" s="82">
        <v>45772</v>
      </c>
      <c r="I48" s="87" t="s">
        <v>140</v>
      </c>
      <c r="J48" s="87" t="s">
        <v>141</v>
      </c>
      <c r="K48" s="87">
        <v>0</v>
      </c>
      <c r="L48" s="87" t="s">
        <v>205</v>
      </c>
      <c r="M48" s="87" t="s">
        <v>839</v>
      </c>
      <c r="N48" s="80">
        <v>2</v>
      </c>
      <c r="O48" s="91">
        <v>5.2083333333333333E-4</v>
      </c>
    </row>
    <row r="49" spans="1:15" s="109" customFormat="1" ht="54" customHeight="1" thickTop="1" thickBot="1" x14ac:dyDescent="0.25">
      <c r="A49" s="78"/>
      <c r="B49" s="90" t="s">
        <v>16</v>
      </c>
      <c r="C49" s="80" t="s">
        <v>206</v>
      </c>
      <c r="D49" s="80" t="s">
        <v>207</v>
      </c>
      <c r="E49" s="81" t="s">
        <v>11</v>
      </c>
      <c r="F49" s="81" t="s">
        <v>24</v>
      </c>
      <c r="G49" s="81" t="s">
        <v>208</v>
      </c>
      <c r="H49" s="82">
        <v>45772</v>
      </c>
      <c r="I49" s="87" t="s">
        <v>140</v>
      </c>
      <c r="J49" s="87" t="s">
        <v>63</v>
      </c>
      <c r="K49" s="87">
        <v>0</v>
      </c>
      <c r="L49" s="87" t="s">
        <v>209</v>
      </c>
      <c r="M49" s="87" t="s">
        <v>842</v>
      </c>
      <c r="N49" s="80">
        <v>2</v>
      </c>
      <c r="O49" s="91">
        <v>6.9444444444444447E-4</v>
      </c>
    </row>
    <row r="50" spans="1:15" s="109" customFormat="1" ht="54" customHeight="1" thickTop="1" thickBot="1" x14ac:dyDescent="0.25">
      <c r="A50" s="78"/>
      <c r="B50" s="90" t="s">
        <v>16</v>
      </c>
      <c r="C50" s="80" t="s">
        <v>210</v>
      </c>
      <c r="D50" s="80" t="s">
        <v>211</v>
      </c>
      <c r="E50" s="81" t="s">
        <v>11</v>
      </c>
      <c r="F50" s="81" t="s">
        <v>24</v>
      </c>
      <c r="G50" s="81" t="s">
        <v>212</v>
      </c>
      <c r="H50" s="82">
        <v>45776</v>
      </c>
      <c r="I50" s="87" t="s">
        <v>140</v>
      </c>
      <c r="J50" s="87" t="s">
        <v>141</v>
      </c>
      <c r="K50" s="87">
        <v>0</v>
      </c>
      <c r="L50" s="87" t="s">
        <v>213</v>
      </c>
      <c r="M50" s="87" t="s">
        <v>842</v>
      </c>
      <c r="N50" s="80">
        <v>1</v>
      </c>
      <c r="O50" s="91">
        <v>3.4722222222222224E-4</v>
      </c>
    </row>
    <row r="51" spans="1:15" s="109" customFormat="1" ht="54" customHeight="1" thickTop="1" thickBot="1" x14ac:dyDescent="0.25">
      <c r="A51" s="78"/>
      <c r="B51" s="90" t="s">
        <v>16</v>
      </c>
      <c r="C51" s="80" t="s">
        <v>214</v>
      </c>
      <c r="D51" s="80" t="s">
        <v>211</v>
      </c>
      <c r="E51" s="81" t="s">
        <v>11</v>
      </c>
      <c r="F51" s="81" t="s">
        <v>24</v>
      </c>
      <c r="G51" s="81" t="s">
        <v>212</v>
      </c>
      <c r="H51" s="82">
        <v>45776</v>
      </c>
      <c r="I51" s="87" t="s">
        <v>140</v>
      </c>
      <c r="J51" s="87" t="s">
        <v>141</v>
      </c>
      <c r="K51" s="87">
        <v>0</v>
      </c>
      <c r="L51" s="87" t="s">
        <v>213</v>
      </c>
      <c r="M51" s="87" t="s">
        <v>842</v>
      </c>
      <c r="N51" s="80">
        <v>1</v>
      </c>
      <c r="O51" s="91">
        <v>3.4722222222222224E-4</v>
      </c>
    </row>
    <row r="52" spans="1:15" s="109" customFormat="1" ht="54" customHeight="1" thickTop="1" thickBot="1" x14ac:dyDescent="0.25">
      <c r="A52" s="78"/>
      <c r="B52" s="90" t="s">
        <v>16</v>
      </c>
      <c r="C52" s="80" t="s">
        <v>215</v>
      </c>
      <c r="D52" s="80" t="s">
        <v>216</v>
      </c>
      <c r="E52" s="81" t="s">
        <v>11</v>
      </c>
      <c r="F52" s="81" t="s">
        <v>24</v>
      </c>
      <c r="G52" s="81" t="s">
        <v>217</v>
      </c>
      <c r="H52" s="82">
        <v>45775</v>
      </c>
      <c r="I52" s="87" t="s">
        <v>94</v>
      </c>
      <c r="J52" s="87" t="s">
        <v>141</v>
      </c>
      <c r="K52" s="87">
        <v>0</v>
      </c>
      <c r="L52" s="87" t="s">
        <v>218</v>
      </c>
      <c r="M52" s="87" t="s">
        <v>850</v>
      </c>
      <c r="N52" s="80">
        <v>1</v>
      </c>
      <c r="O52" s="91">
        <v>3.4722222222222224E-4</v>
      </c>
    </row>
    <row r="53" spans="1:15" s="109" customFormat="1" ht="54" customHeight="1" thickTop="1" thickBot="1" x14ac:dyDescent="0.25">
      <c r="B53" s="115" t="s">
        <v>16</v>
      </c>
      <c r="C53" s="108" t="s">
        <v>219</v>
      </c>
      <c r="D53" s="108" t="s">
        <v>220</v>
      </c>
      <c r="E53" s="116" t="s">
        <v>24</v>
      </c>
      <c r="F53" s="116"/>
      <c r="G53" s="116"/>
      <c r="H53" s="117"/>
      <c r="I53" s="87" t="s">
        <v>140</v>
      </c>
      <c r="J53" s="87" t="s">
        <v>141</v>
      </c>
      <c r="K53" s="87">
        <v>0</v>
      </c>
      <c r="L53" s="87" t="s">
        <v>221</v>
      </c>
      <c r="M53" s="87" t="s">
        <v>842</v>
      </c>
      <c r="N53" s="108">
        <v>1</v>
      </c>
      <c r="O53" s="118">
        <v>5.7870370370370378E-4</v>
      </c>
    </row>
    <row r="54" spans="1:15" s="109" customFormat="1" ht="54" customHeight="1" thickTop="1" thickBot="1" x14ac:dyDescent="0.25">
      <c r="B54" s="115" t="s">
        <v>16</v>
      </c>
      <c r="C54" s="108" t="s">
        <v>222</v>
      </c>
      <c r="D54" s="108" t="s">
        <v>223</v>
      </c>
      <c r="E54" s="116" t="s">
        <v>24</v>
      </c>
      <c r="F54" s="116"/>
      <c r="G54" s="116"/>
      <c r="H54" s="117"/>
      <c r="I54" s="87" t="s">
        <v>140</v>
      </c>
      <c r="J54" s="87" t="s">
        <v>141</v>
      </c>
      <c r="K54" s="87">
        <v>0</v>
      </c>
      <c r="L54" s="87" t="s">
        <v>224</v>
      </c>
      <c r="M54" s="87" t="s">
        <v>842</v>
      </c>
      <c r="N54" s="108">
        <v>2</v>
      </c>
      <c r="O54" s="118">
        <v>6.9444444444444447E-4</v>
      </c>
    </row>
    <row r="55" spans="1:15" s="109" customFormat="1" ht="54" customHeight="1" thickTop="1" thickBot="1" x14ac:dyDescent="0.25">
      <c r="A55" s="78"/>
      <c r="B55" s="90" t="s">
        <v>16</v>
      </c>
      <c r="C55" s="80" t="s">
        <v>225</v>
      </c>
      <c r="D55" s="80" t="s">
        <v>226</v>
      </c>
      <c r="E55" s="80" t="s">
        <v>11</v>
      </c>
      <c r="F55" s="80" t="s">
        <v>24</v>
      </c>
      <c r="G55" s="81" t="s">
        <v>227</v>
      </c>
      <c r="H55" s="82">
        <v>45774</v>
      </c>
      <c r="I55" s="87" t="s">
        <v>62</v>
      </c>
      <c r="J55" s="87" t="s">
        <v>141</v>
      </c>
      <c r="K55" s="87">
        <v>0</v>
      </c>
      <c r="L55" s="87" t="s">
        <v>228</v>
      </c>
      <c r="M55" s="87" t="s">
        <v>842</v>
      </c>
      <c r="N55" s="80">
        <v>1</v>
      </c>
      <c r="O55" s="91">
        <v>3.4722222222222224E-4</v>
      </c>
    </row>
    <row r="56" spans="1:15" s="109" customFormat="1" ht="54" customHeight="1" thickTop="1" thickBot="1" x14ac:dyDescent="0.25">
      <c r="B56" s="115" t="s">
        <v>16</v>
      </c>
      <c r="C56" s="108" t="s">
        <v>229</v>
      </c>
      <c r="D56" s="108" t="s">
        <v>230</v>
      </c>
      <c r="E56" s="116" t="s">
        <v>24</v>
      </c>
      <c r="F56" s="116"/>
      <c r="G56" s="116"/>
      <c r="H56" s="117"/>
      <c r="I56" s="87" t="s">
        <v>140</v>
      </c>
      <c r="J56" s="87" t="s">
        <v>63</v>
      </c>
      <c r="K56" s="87">
        <v>0</v>
      </c>
      <c r="L56" s="87" t="s">
        <v>221</v>
      </c>
      <c r="M56" s="87" t="s">
        <v>842</v>
      </c>
      <c r="N56" s="108">
        <v>1</v>
      </c>
      <c r="O56" s="118">
        <v>1.0416666666666667E-3</v>
      </c>
    </row>
    <row r="57" spans="1:15" s="109" customFormat="1" ht="54" customHeight="1" thickTop="1" thickBot="1" x14ac:dyDescent="0.25">
      <c r="A57" s="78"/>
      <c r="B57" s="90" t="s">
        <v>16</v>
      </c>
      <c r="C57" s="80" t="s">
        <v>231</v>
      </c>
      <c r="D57" s="80" t="s">
        <v>232</v>
      </c>
      <c r="E57" s="81" t="s">
        <v>11</v>
      </c>
      <c r="F57" s="81" t="s">
        <v>24</v>
      </c>
      <c r="G57" s="81" t="s">
        <v>233</v>
      </c>
      <c r="H57" s="82">
        <v>45776</v>
      </c>
      <c r="I57" s="87" t="s">
        <v>140</v>
      </c>
      <c r="J57" s="87" t="s">
        <v>141</v>
      </c>
      <c r="K57" s="87">
        <v>0</v>
      </c>
      <c r="L57" s="87" t="s">
        <v>234</v>
      </c>
      <c r="M57" s="87" t="s">
        <v>842</v>
      </c>
      <c r="N57" s="80">
        <v>1</v>
      </c>
      <c r="O57" s="91">
        <v>1.1574074074074073E-4</v>
      </c>
    </row>
    <row r="58" spans="1:15" s="109" customFormat="1" ht="54" customHeight="1" thickTop="1" thickBot="1" x14ac:dyDescent="0.25">
      <c r="A58" s="78"/>
      <c r="B58" s="90" t="s">
        <v>16</v>
      </c>
      <c r="C58" s="80" t="s">
        <v>235</v>
      </c>
      <c r="D58" s="80" t="s">
        <v>236</v>
      </c>
      <c r="E58" s="80" t="s">
        <v>11</v>
      </c>
      <c r="F58" s="80" t="s">
        <v>24</v>
      </c>
      <c r="G58" s="81" t="s">
        <v>237</v>
      </c>
      <c r="H58" s="82">
        <v>45775</v>
      </c>
      <c r="I58" s="87" t="s">
        <v>140</v>
      </c>
      <c r="J58" s="87" t="s">
        <v>141</v>
      </c>
      <c r="K58" s="87">
        <v>0</v>
      </c>
      <c r="L58" s="87" t="s">
        <v>238</v>
      </c>
      <c r="M58" s="87" t="s">
        <v>843</v>
      </c>
      <c r="N58" s="80">
        <v>2</v>
      </c>
      <c r="O58" s="91">
        <v>3.4722222222222224E-4</v>
      </c>
    </row>
    <row r="59" spans="1:15" s="109" customFormat="1" ht="54" customHeight="1" thickTop="1" thickBot="1" x14ac:dyDescent="0.25">
      <c r="A59" s="78"/>
      <c r="B59" s="90" t="s">
        <v>16</v>
      </c>
      <c r="C59" s="80" t="s">
        <v>239</v>
      </c>
      <c r="D59" s="80" t="s">
        <v>240</v>
      </c>
      <c r="E59" s="80" t="s">
        <v>11</v>
      </c>
      <c r="F59" s="80" t="s">
        <v>24</v>
      </c>
      <c r="G59" s="81" t="s">
        <v>241</v>
      </c>
      <c r="H59" s="82">
        <v>45772</v>
      </c>
      <c r="I59" s="87" t="s">
        <v>140</v>
      </c>
      <c r="J59" s="87" t="s">
        <v>141</v>
      </c>
      <c r="K59" s="87">
        <v>0</v>
      </c>
      <c r="L59" s="87" t="s">
        <v>242</v>
      </c>
      <c r="M59" s="87" t="s">
        <v>842</v>
      </c>
      <c r="N59" s="80">
        <v>2</v>
      </c>
      <c r="O59" s="91">
        <v>6.9444444444444447E-4</v>
      </c>
    </row>
    <row r="60" spans="1:15" s="109" customFormat="1" ht="54" customHeight="1" thickTop="1" thickBot="1" x14ac:dyDescent="0.25">
      <c r="A60" s="134"/>
      <c r="B60" s="135" t="s">
        <v>16</v>
      </c>
      <c r="C60" s="136" t="s">
        <v>243</v>
      </c>
      <c r="D60" s="136" t="s">
        <v>244</v>
      </c>
      <c r="E60" s="137" t="s">
        <v>11</v>
      </c>
      <c r="F60" s="137" t="s">
        <v>245</v>
      </c>
      <c r="G60" s="137" t="s">
        <v>246</v>
      </c>
      <c r="H60" s="138">
        <v>45776</v>
      </c>
      <c r="I60" s="87" t="s">
        <v>140</v>
      </c>
      <c r="J60" s="87" t="s">
        <v>141</v>
      </c>
      <c r="K60" s="87">
        <v>0</v>
      </c>
      <c r="L60" s="87" t="s">
        <v>247</v>
      </c>
      <c r="M60" s="87" t="s">
        <v>842</v>
      </c>
      <c r="N60" s="136">
        <v>1</v>
      </c>
      <c r="O60" s="139">
        <v>6.9444444444444447E-4</v>
      </c>
    </row>
    <row r="61" spans="1:15" s="109" customFormat="1" ht="54" customHeight="1" thickTop="1" thickBot="1" x14ac:dyDescent="0.25">
      <c r="A61" s="78"/>
      <c r="B61" s="90" t="s">
        <v>16</v>
      </c>
      <c r="C61" s="80" t="s">
        <v>248</v>
      </c>
      <c r="D61" s="80" t="s">
        <v>249</v>
      </c>
      <c r="E61" s="80" t="s">
        <v>11</v>
      </c>
      <c r="F61" s="80" t="s">
        <v>24</v>
      </c>
      <c r="G61" s="81" t="s">
        <v>250</v>
      </c>
      <c r="H61" s="82">
        <v>45775</v>
      </c>
      <c r="I61" s="87" t="s">
        <v>140</v>
      </c>
      <c r="J61" s="87" t="s">
        <v>141</v>
      </c>
      <c r="K61" s="87">
        <v>0</v>
      </c>
      <c r="L61" s="87" t="s">
        <v>251</v>
      </c>
      <c r="M61" s="87" t="s">
        <v>843</v>
      </c>
      <c r="N61" s="80">
        <v>1</v>
      </c>
      <c r="O61" s="91">
        <v>6.9444444444444447E-4</v>
      </c>
    </row>
    <row r="62" spans="1:15" s="109" customFormat="1" ht="54" customHeight="1" thickTop="1" x14ac:dyDescent="0.2">
      <c r="A62" s="78"/>
      <c r="B62" s="90" t="s">
        <v>16</v>
      </c>
      <c r="C62" s="80" t="s">
        <v>252</v>
      </c>
      <c r="D62" s="80" t="s">
        <v>253</v>
      </c>
      <c r="E62" s="80" t="s">
        <v>11</v>
      </c>
      <c r="F62" s="80" t="s">
        <v>24</v>
      </c>
      <c r="G62" s="81" t="s">
        <v>254</v>
      </c>
      <c r="H62" s="82">
        <v>45774</v>
      </c>
      <c r="I62" s="87" t="s">
        <v>62</v>
      </c>
      <c r="J62" s="87" t="s">
        <v>141</v>
      </c>
      <c r="K62" s="87">
        <v>0</v>
      </c>
      <c r="L62" s="87" t="s">
        <v>255</v>
      </c>
      <c r="M62" s="87" t="s">
        <v>842</v>
      </c>
      <c r="N62" s="80">
        <v>1</v>
      </c>
      <c r="O62" s="91">
        <v>3.4722222222222224E-4</v>
      </c>
    </row>
    <row r="63" spans="1:15" s="109" customFormat="1" ht="54" customHeight="1" thickBot="1" x14ac:dyDescent="0.25">
      <c r="A63" s="78"/>
      <c r="B63" s="90" t="s">
        <v>16</v>
      </c>
      <c r="C63" s="80" t="s">
        <v>256</v>
      </c>
      <c r="D63" s="80" t="s">
        <v>257</v>
      </c>
      <c r="E63" s="80" t="s">
        <v>11</v>
      </c>
      <c r="F63" s="80" t="s">
        <v>24</v>
      </c>
      <c r="G63" s="80" t="s">
        <v>258</v>
      </c>
      <c r="H63" s="84">
        <v>45774</v>
      </c>
      <c r="I63" s="81" t="s">
        <v>62</v>
      </c>
      <c r="J63" s="80" t="s">
        <v>141</v>
      </c>
      <c r="K63" s="81"/>
      <c r="L63" s="80" t="s">
        <v>259</v>
      </c>
      <c r="M63" s="80" t="s">
        <v>842</v>
      </c>
      <c r="N63" s="80">
        <v>2</v>
      </c>
      <c r="O63" s="91">
        <v>3.4722222222222224E-4</v>
      </c>
    </row>
    <row r="64" spans="1:15" s="109" customFormat="1" ht="54" customHeight="1" thickTop="1" thickBot="1" x14ac:dyDescent="0.25">
      <c r="A64" s="78"/>
      <c r="B64" s="90" t="s">
        <v>16</v>
      </c>
      <c r="C64" s="80" t="s">
        <v>260</v>
      </c>
      <c r="D64" s="80" t="s">
        <v>261</v>
      </c>
      <c r="E64" s="80" t="s">
        <v>11</v>
      </c>
      <c r="F64" s="80" t="s">
        <v>24</v>
      </c>
      <c r="G64" s="81" t="s">
        <v>262</v>
      </c>
      <c r="H64" s="82">
        <v>45775</v>
      </c>
      <c r="I64" s="87" t="s">
        <v>62</v>
      </c>
      <c r="J64" s="87" t="s">
        <v>141</v>
      </c>
      <c r="K64" s="87">
        <v>0</v>
      </c>
      <c r="L64" s="87" t="s">
        <v>263</v>
      </c>
      <c r="M64" s="87" t="s">
        <v>842</v>
      </c>
      <c r="N64" s="80">
        <v>1</v>
      </c>
      <c r="O64" s="91">
        <v>3.4722222222222224E-4</v>
      </c>
    </row>
    <row r="65" spans="1:15" s="109" customFormat="1" ht="54" customHeight="1" thickTop="1" thickBot="1" x14ac:dyDescent="0.25">
      <c r="A65" s="78"/>
      <c r="B65" s="90" t="s">
        <v>16</v>
      </c>
      <c r="C65" s="80" t="s">
        <v>264</v>
      </c>
      <c r="D65" s="80" t="s">
        <v>265</v>
      </c>
      <c r="E65" s="80" t="s">
        <v>11</v>
      </c>
      <c r="F65" s="80" t="s">
        <v>24</v>
      </c>
      <c r="G65" s="80" t="s">
        <v>266</v>
      </c>
      <c r="H65" s="84">
        <v>45774</v>
      </c>
      <c r="I65" s="87" t="s">
        <v>62</v>
      </c>
      <c r="J65" s="87" t="s">
        <v>141</v>
      </c>
      <c r="K65" s="87">
        <v>0</v>
      </c>
      <c r="L65" s="87" t="s">
        <v>267</v>
      </c>
      <c r="M65" s="87" t="s">
        <v>842</v>
      </c>
      <c r="N65" s="80">
        <v>1</v>
      </c>
      <c r="O65" s="91">
        <v>3.4722222222222224E-4</v>
      </c>
    </row>
    <row r="66" spans="1:15" s="109" customFormat="1" ht="54" customHeight="1" thickTop="1" thickBot="1" x14ac:dyDescent="0.25">
      <c r="A66" s="78"/>
      <c r="B66" s="90" t="s">
        <v>16</v>
      </c>
      <c r="C66" s="80" t="s">
        <v>268</v>
      </c>
      <c r="D66" s="80" t="s">
        <v>269</v>
      </c>
      <c r="E66" s="80" t="s">
        <v>11</v>
      </c>
      <c r="F66" s="80" t="s">
        <v>24</v>
      </c>
      <c r="G66" s="80" t="s">
        <v>266</v>
      </c>
      <c r="H66" s="84">
        <v>45774</v>
      </c>
      <c r="I66" s="87" t="s">
        <v>62</v>
      </c>
      <c r="J66" s="87" t="s">
        <v>141</v>
      </c>
      <c r="K66" s="87">
        <v>0</v>
      </c>
      <c r="L66" s="87" t="s">
        <v>270</v>
      </c>
      <c r="M66" s="87" t="s">
        <v>842</v>
      </c>
      <c r="N66" s="80">
        <v>1</v>
      </c>
      <c r="O66" s="91">
        <v>3.4722222222222224E-4</v>
      </c>
    </row>
    <row r="67" spans="1:15" s="109" customFormat="1" ht="54" customHeight="1" thickTop="1" thickBot="1" x14ac:dyDescent="0.25">
      <c r="A67" s="78"/>
      <c r="B67" s="90" t="s">
        <v>16</v>
      </c>
      <c r="C67" s="80" t="s">
        <v>271</v>
      </c>
      <c r="D67" s="80" t="s">
        <v>272</v>
      </c>
      <c r="E67" s="81" t="s">
        <v>11</v>
      </c>
      <c r="F67" s="81" t="s">
        <v>24</v>
      </c>
      <c r="G67" s="81" t="s">
        <v>273</v>
      </c>
      <c r="H67" s="82">
        <v>45775</v>
      </c>
      <c r="I67" s="87" t="s">
        <v>62</v>
      </c>
      <c r="J67" s="87" t="s">
        <v>141</v>
      </c>
      <c r="K67" s="87">
        <v>0</v>
      </c>
      <c r="L67" s="87" t="s">
        <v>274</v>
      </c>
      <c r="M67" s="87" t="s">
        <v>842</v>
      </c>
      <c r="N67" s="80">
        <v>1</v>
      </c>
      <c r="O67" s="91">
        <v>3.4722222222222224E-4</v>
      </c>
    </row>
    <row r="68" spans="1:15" s="109" customFormat="1" ht="54" customHeight="1" thickTop="1" thickBot="1" x14ac:dyDescent="0.25">
      <c r="A68" s="78"/>
      <c r="B68" s="90" t="s">
        <v>16</v>
      </c>
      <c r="C68" s="80" t="s">
        <v>275</v>
      </c>
      <c r="D68" s="80" t="s">
        <v>276</v>
      </c>
      <c r="E68" s="81" t="s">
        <v>11</v>
      </c>
      <c r="F68" s="81" t="s">
        <v>24</v>
      </c>
      <c r="G68" s="81" t="s">
        <v>217</v>
      </c>
      <c r="H68" s="82">
        <v>45775</v>
      </c>
      <c r="I68" s="87" t="s">
        <v>94</v>
      </c>
      <c r="J68" s="87" t="s">
        <v>141</v>
      </c>
      <c r="K68" s="87">
        <v>0</v>
      </c>
      <c r="L68" s="87" t="s">
        <v>277</v>
      </c>
      <c r="M68" s="87" t="s">
        <v>850</v>
      </c>
      <c r="N68" s="80">
        <v>1</v>
      </c>
      <c r="O68" s="91">
        <v>3.4722222222222224E-4</v>
      </c>
    </row>
    <row r="69" spans="1:15" s="109" customFormat="1" ht="54" customHeight="1" thickTop="1" thickBot="1" x14ac:dyDescent="0.25">
      <c r="A69" s="78"/>
      <c r="B69" s="90" t="s">
        <v>16</v>
      </c>
      <c r="C69" s="80" t="s">
        <v>278</v>
      </c>
      <c r="D69" s="80" t="s">
        <v>279</v>
      </c>
      <c r="E69" s="81" t="s">
        <v>11</v>
      </c>
      <c r="F69" s="81" t="s">
        <v>24</v>
      </c>
      <c r="G69" s="81" t="s">
        <v>217</v>
      </c>
      <c r="H69" s="82">
        <v>45775</v>
      </c>
      <c r="I69" s="87" t="s">
        <v>94</v>
      </c>
      <c r="J69" s="87" t="s">
        <v>141</v>
      </c>
      <c r="K69" s="87">
        <v>0</v>
      </c>
      <c r="L69" s="87" t="s">
        <v>280</v>
      </c>
      <c r="M69" s="87" t="s">
        <v>850</v>
      </c>
      <c r="N69" s="80">
        <v>1</v>
      </c>
      <c r="O69" s="91">
        <v>5.2083333333333333E-4</v>
      </c>
    </row>
    <row r="70" spans="1:15" s="109" customFormat="1" ht="54" customHeight="1" thickTop="1" thickBot="1" x14ac:dyDescent="0.25">
      <c r="A70" s="78"/>
      <c r="B70" s="90" t="s">
        <v>16</v>
      </c>
      <c r="C70" s="80" t="s">
        <v>281</v>
      </c>
      <c r="D70" s="80" t="s">
        <v>282</v>
      </c>
      <c r="E70" s="81" t="s">
        <v>11</v>
      </c>
      <c r="F70" s="81" t="s">
        <v>24</v>
      </c>
      <c r="G70" s="81" t="s">
        <v>217</v>
      </c>
      <c r="H70" s="82">
        <v>45775</v>
      </c>
      <c r="I70" s="87" t="s">
        <v>94</v>
      </c>
      <c r="J70" s="87" t="s">
        <v>141</v>
      </c>
      <c r="K70" s="87">
        <v>0</v>
      </c>
      <c r="L70" s="87" t="s">
        <v>283</v>
      </c>
      <c r="M70" s="87" t="s">
        <v>850</v>
      </c>
      <c r="N70" s="80">
        <v>1</v>
      </c>
      <c r="O70" s="91">
        <v>6.9444444444444447E-4</v>
      </c>
    </row>
    <row r="71" spans="1:15" s="109" customFormat="1" ht="54" customHeight="1" thickTop="1" thickBot="1" x14ac:dyDescent="0.25">
      <c r="A71" s="78"/>
      <c r="B71" s="90" t="s">
        <v>16</v>
      </c>
      <c r="C71" s="80" t="s">
        <v>284</v>
      </c>
      <c r="D71" s="80" t="s">
        <v>285</v>
      </c>
      <c r="E71" s="81" t="s">
        <v>11</v>
      </c>
      <c r="F71" s="81" t="s">
        <v>24</v>
      </c>
      <c r="G71" s="81" t="s">
        <v>286</v>
      </c>
      <c r="H71" s="82">
        <v>45775</v>
      </c>
      <c r="I71" s="87" t="s">
        <v>62</v>
      </c>
      <c r="J71" s="87" t="s">
        <v>141</v>
      </c>
      <c r="K71" s="87">
        <v>0</v>
      </c>
      <c r="L71" s="87" t="s">
        <v>287</v>
      </c>
      <c r="M71" s="87" t="s">
        <v>842</v>
      </c>
      <c r="N71" s="80">
        <v>1</v>
      </c>
      <c r="O71" s="91">
        <v>3.4722222222222224E-4</v>
      </c>
    </row>
    <row r="72" spans="1:15" s="109" customFormat="1" ht="54" customHeight="1" thickTop="1" thickBot="1" x14ac:dyDescent="0.25">
      <c r="A72" s="78"/>
      <c r="B72" s="90" t="s">
        <v>16</v>
      </c>
      <c r="C72" s="80" t="s">
        <v>288</v>
      </c>
      <c r="D72" s="80" t="s">
        <v>289</v>
      </c>
      <c r="E72" s="81" t="s">
        <v>11</v>
      </c>
      <c r="F72" s="81" t="s">
        <v>24</v>
      </c>
      <c r="G72" s="81" t="s">
        <v>290</v>
      </c>
      <c r="H72" s="82">
        <v>45772</v>
      </c>
      <c r="I72" s="87" t="s">
        <v>140</v>
      </c>
      <c r="J72" s="87" t="s">
        <v>141</v>
      </c>
      <c r="K72" s="87">
        <v>0</v>
      </c>
      <c r="L72" s="87" t="s">
        <v>291</v>
      </c>
      <c r="M72" s="87" t="s">
        <v>842</v>
      </c>
      <c r="N72" s="80">
        <v>1</v>
      </c>
      <c r="O72" s="91">
        <v>6.9444444444444447E-4</v>
      </c>
    </row>
    <row r="73" spans="1:15" s="109" customFormat="1" ht="54" customHeight="1" thickTop="1" thickBot="1" x14ac:dyDescent="0.25">
      <c r="A73" s="78"/>
      <c r="B73" s="90" t="s">
        <v>16</v>
      </c>
      <c r="C73" s="80" t="s">
        <v>292</v>
      </c>
      <c r="D73" s="80" t="s">
        <v>293</v>
      </c>
      <c r="E73" s="81" t="s">
        <v>11</v>
      </c>
      <c r="F73" s="81" t="s">
        <v>24</v>
      </c>
      <c r="G73" s="81" t="s">
        <v>294</v>
      </c>
      <c r="H73" s="82">
        <v>45775</v>
      </c>
      <c r="I73" s="87" t="s">
        <v>62</v>
      </c>
      <c r="J73" s="87" t="s">
        <v>141</v>
      </c>
      <c r="K73" s="87">
        <v>0</v>
      </c>
      <c r="L73" s="87" t="s">
        <v>295</v>
      </c>
      <c r="M73" s="87" t="s">
        <v>842</v>
      </c>
      <c r="N73" s="80">
        <v>1</v>
      </c>
      <c r="O73" s="91">
        <v>1.3888888888888889E-3</v>
      </c>
    </row>
    <row r="74" spans="1:15" s="109" customFormat="1" ht="54" customHeight="1" thickTop="1" thickBot="1" x14ac:dyDescent="0.25">
      <c r="A74" s="78"/>
      <c r="B74" s="90" t="s">
        <v>16</v>
      </c>
      <c r="C74" s="80" t="s">
        <v>296</v>
      </c>
      <c r="D74" s="80" t="s">
        <v>297</v>
      </c>
      <c r="E74" s="81" t="s">
        <v>11</v>
      </c>
      <c r="F74" s="81" t="s">
        <v>24</v>
      </c>
      <c r="G74" s="81" t="s">
        <v>290</v>
      </c>
      <c r="H74" s="82">
        <v>45772</v>
      </c>
      <c r="I74" s="87" t="s">
        <v>140</v>
      </c>
      <c r="J74" s="87" t="s">
        <v>141</v>
      </c>
      <c r="K74" s="87">
        <v>0</v>
      </c>
      <c r="L74" s="87" t="s">
        <v>298</v>
      </c>
      <c r="M74" s="87" t="s">
        <v>842</v>
      </c>
      <c r="N74" s="80">
        <v>1</v>
      </c>
      <c r="O74" s="91">
        <v>3.4722222222222224E-4</v>
      </c>
    </row>
    <row r="75" spans="1:15" s="109" customFormat="1" ht="54" customHeight="1" thickTop="1" thickBot="1" x14ac:dyDescent="0.25">
      <c r="A75" s="78"/>
      <c r="B75" s="90" t="s">
        <v>16</v>
      </c>
      <c r="C75" s="80" t="s">
        <v>299</v>
      </c>
      <c r="D75" s="80" t="s">
        <v>300</v>
      </c>
      <c r="E75" s="81" t="s">
        <v>11</v>
      </c>
      <c r="F75" s="81" t="s">
        <v>24</v>
      </c>
      <c r="G75" s="81" t="s">
        <v>290</v>
      </c>
      <c r="H75" s="82">
        <v>45772</v>
      </c>
      <c r="I75" s="87" t="s">
        <v>140</v>
      </c>
      <c r="J75" s="87" t="s">
        <v>141</v>
      </c>
      <c r="K75" s="87">
        <v>0</v>
      </c>
      <c r="L75" s="87" t="s">
        <v>298</v>
      </c>
      <c r="M75" s="87" t="s">
        <v>842</v>
      </c>
      <c r="N75" s="80">
        <v>1</v>
      </c>
      <c r="O75" s="91">
        <v>3.4722222222222224E-4</v>
      </c>
    </row>
    <row r="76" spans="1:15" s="109" customFormat="1" ht="54" customHeight="1" thickTop="1" thickBot="1" x14ac:dyDescent="0.25">
      <c r="A76" s="78"/>
      <c r="B76" s="90" t="s">
        <v>16</v>
      </c>
      <c r="C76" s="80" t="s">
        <v>301</v>
      </c>
      <c r="D76" s="80" t="s">
        <v>302</v>
      </c>
      <c r="E76" s="81" t="s">
        <v>11</v>
      </c>
      <c r="F76" s="81" t="s">
        <v>24</v>
      </c>
      <c r="G76" s="81" t="s">
        <v>290</v>
      </c>
      <c r="H76" s="82">
        <v>45772</v>
      </c>
      <c r="I76" s="87" t="s">
        <v>140</v>
      </c>
      <c r="J76" s="87" t="s">
        <v>141</v>
      </c>
      <c r="K76" s="87">
        <v>0</v>
      </c>
      <c r="L76" s="87" t="s">
        <v>298</v>
      </c>
      <c r="M76" s="87" t="s">
        <v>842</v>
      </c>
      <c r="N76" s="80">
        <v>1</v>
      </c>
      <c r="O76" s="91">
        <v>3.4722222222222224E-4</v>
      </c>
    </row>
    <row r="77" spans="1:15" s="109" customFormat="1" ht="54" customHeight="1" thickTop="1" thickBot="1" x14ac:dyDescent="0.25">
      <c r="A77" s="78"/>
      <c r="B77" s="90" t="s">
        <v>16</v>
      </c>
      <c r="C77" s="80" t="s">
        <v>303</v>
      </c>
      <c r="D77" s="80" t="s">
        <v>304</v>
      </c>
      <c r="E77" s="80" t="s">
        <v>11</v>
      </c>
      <c r="F77" s="80" t="s">
        <v>24</v>
      </c>
      <c r="G77" s="81" t="s">
        <v>254</v>
      </c>
      <c r="H77" s="82">
        <v>45774</v>
      </c>
      <c r="I77" s="87" t="s">
        <v>62</v>
      </c>
      <c r="J77" s="87" t="s">
        <v>141</v>
      </c>
      <c r="K77" s="87">
        <v>0</v>
      </c>
      <c r="L77" s="87" t="s">
        <v>305</v>
      </c>
      <c r="M77" s="87" t="s">
        <v>842</v>
      </c>
      <c r="N77" s="80">
        <v>1</v>
      </c>
      <c r="O77" s="91">
        <v>6.9444444444444447E-4</v>
      </c>
    </row>
    <row r="78" spans="1:15" s="109" customFormat="1" ht="54" customHeight="1" thickTop="1" thickBot="1" x14ac:dyDescent="0.25">
      <c r="A78" s="78"/>
      <c r="B78" s="90" t="s">
        <v>16</v>
      </c>
      <c r="C78" s="80" t="s">
        <v>306</v>
      </c>
      <c r="D78" s="80" t="s">
        <v>307</v>
      </c>
      <c r="E78" s="81" t="s">
        <v>11</v>
      </c>
      <c r="F78" s="81" t="s">
        <v>24</v>
      </c>
      <c r="G78" s="81" t="s">
        <v>217</v>
      </c>
      <c r="H78" s="82">
        <v>45775</v>
      </c>
      <c r="I78" s="87" t="s">
        <v>94</v>
      </c>
      <c r="J78" s="87" t="s">
        <v>141</v>
      </c>
      <c r="K78" s="87">
        <v>0</v>
      </c>
      <c r="L78" s="87" t="s">
        <v>218</v>
      </c>
      <c r="M78" s="87" t="s">
        <v>850</v>
      </c>
      <c r="N78" s="80">
        <v>1</v>
      </c>
      <c r="O78" s="91">
        <v>3.4722222222222224E-4</v>
      </c>
    </row>
    <row r="79" spans="1:15" s="109" customFormat="1" ht="54" customHeight="1" thickTop="1" thickBot="1" x14ac:dyDescent="0.25">
      <c r="A79" s="78"/>
      <c r="B79" s="90" t="s">
        <v>16</v>
      </c>
      <c r="C79" s="80" t="s">
        <v>308</v>
      </c>
      <c r="D79" s="80" t="s">
        <v>309</v>
      </c>
      <c r="E79" s="81" t="s">
        <v>11</v>
      </c>
      <c r="F79" s="81" t="s">
        <v>24</v>
      </c>
      <c r="G79" s="81" t="s">
        <v>310</v>
      </c>
      <c r="H79" s="82">
        <v>45775</v>
      </c>
      <c r="I79" s="87" t="s">
        <v>62</v>
      </c>
      <c r="J79" s="87" t="s">
        <v>141</v>
      </c>
      <c r="K79" s="87">
        <v>0</v>
      </c>
      <c r="L79" s="87" t="s">
        <v>311</v>
      </c>
      <c r="M79" s="87" t="s">
        <v>842</v>
      </c>
      <c r="N79" s="80">
        <v>1</v>
      </c>
      <c r="O79" s="91">
        <v>8.6805555555555551E-4</v>
      </c>
    </row>
    <row r="80" spans="1:15" s="109" customFormat="1" ht="54" customHeight="1" thickTop="1" thickBot="1" x14ac:dyDescent="0.25">
      <c r="A80" s="78"/>
      <c r="B80" s="90" t="s">
        <v>16</v>
      </c>
      <c r="C80" s="80" t="s">
        <v>312</v>
      </c>
      <c r="D80" s="80" t="s">
        <v>313</v>
      </c>
      <c r="E80" s="81" t="s">
        <v>11</v>
      </c>
      <c r="F80" s="81" t="s">
        <v>24</v>
      </c>
      <c r="G80" s="81" t="s">
        <v>314</v>
      </c>
      <c r="H80" s="82">
        <v>45776</v>
      </c>
      <c r="I80" s="87" t="s">
        <v>140</v>
      </c>
      <c r="J80" s="87" t="s">
        <v>141</v>
      </c>
      <c r="K80" s="87">
        <v>0</v>
      </c>
      <c r="L80" s="87" t="s">
        <v>315</v>
      </c>
      <c r="M80" s="87" t="s">
        <v>842</v>
      </c>
      <c r="N80" s="80">
        <v>1</v>
      </c>
      <c r="O80" s="91">
        <v>6.9444444444444447E-4</v>
      </c>
    </row>
    <row r="81" spans="1:15" s="109" customFormat="1" ht="54" customHeight="1" thickTop="1" thickBot="1" x14ac:dyDescent="0.25">
      <c r="A81" s="78"/>
      <c r="B81" s="90" t="s">
        <v>16</v>
      </c>
      <c r="C81" s="80" t="s">
        <v>316</v>
      </c>
      <c r="D81" s="80" t="s">
        <v>317</v>
      </c>
      <c r="E81" s="80" t="s">
        <v>11</v>
      </c>
      <c r="F81" s="80" t="s">
        <v>24</v>
      </c>
      <c r="G81" s="80" t="s">
        <v>258</v>
      </c>
      <c r="H81" s="84">
        <v>45774</v>
      </c>
      <c r="I81" s="87" t="s">
        <v>62</v>
      </c>
      <c r="J81" s="87" t="s">
        <v>141</v>
      </c>
      <c r="K81" s="87">
        <v>0</v>
      </c>
      <c r="L81" s="87" t="s">
        <v>318</v>
      </c>
      <c r="M81" s="87" t="s">
        <v>842</v>
      </c>
      <c r="N81" s="80">
        <v>1</v>
      </c>
      <c r="O81" s="91">
        <v>6.9444444444444447E-4</v>
      </c>
    </row>
    <row r="82" spans="1:15" s="109" customFormat="1" ht="54" customHeight="1" thickTop="1" thickBot="1" x14ac:dyDescent="0.25">
      <c r="A82" s="78"/>
      <c r="B82" s="90" t="s">
        <v>16</v>
      </c>
      <c r="C82" s="80" t="s">
        <v>319</v>
      </c>
      <c r="D82" s="80" t="s">
        <v>320</v>
      </c>
      <c r="E82" s="81" t="s">
        <v>11</v>
      </c>
      <c r="F82" s="81" t="s">
        <v>24</v>
      </c>
      <c r="G82" s="81" t="s">
        <v>314</v>
      </c>
      <c r="H82" s="82">
        <v>45776</v>
      </c>
      <c r="I82" s="87" t="s">
        <v>140</v>
      </c>
      <c r="J82" s="87" t="s">
        <v>141</v>
      </c>
      <c r="K82" s="87">
        <v>0</v>
      </c>
      <c r="L82" s="87" t="s">
        <v>315</v>
      </c>
      <c r="M82" s="87" t="s">
        <v>842</v>
      </c>
      <c r="N82" s="80">
        <v>1</v>
      </c>
      <c r="O82" s="91">
        <v>6.9444444444444447E-4</v>
      </c>
    </row>
    <row r="83" spans="1:15" s="109" customFormat="1" ht="54" customHeight="1" thickTop="1" thickBot="1" x14ac:dyDescent="0.25">
      <c r="A83" s="78"/>
      <c r="B83" s="90" t="s">
        <v>16</v>
      </c>
      <c r="C83" s="80" t="s">
        <v>321</v>
      </c>
      <c r="D83" s="80" t="s">
        <v>322</v>
      </c>
      <c r="E83" s="80" t="s">
        <v>11</v>
      </c>
      <c r="F83" s="80" t="s">
        <v>24</v>
      </c>
      <c r="G83" s="80" t="s">
        <v>323</v>
      </c>
      <c r="H83" s="84">
        <v>45772</v>
      </c>
      <c r="I83" s="87" t="s">
        <v>62</v>
      </c>
      <c r="J83" s="87" t="s">
        <v>63</v>
      </c>
      <c r="K83" s="87">
        <v>0</v>
      </c>
      <c r="L83" s="87" t="s">
        <v>324</v>
      </c>
      <c r="M83" s="87" t="s">
        <v>839</v>
      </c>
      <c r="N83" s="80">
        <v>1</v>
      </c>
      <c r="O83" s="91">
        <v>1.7361111111111112E-4</v>
      </c>
    </row>
    <row r="84" spans="1:15" s="109" customFormat="1" ht="54" customHeight="1" thickTop="1" thickBot="1" x14ac:dyDescent="0.25">
      <c r="B84" s="115" t="s">
        <v>16</v>
      </c>
      <c r="C84" s="108" t="s">
        <v>325</v>
      </c>
      <c r="D84" s="108" t="s">
        <v>326</v>
      </c>
      <c r="E84" s="116" t="s">
        <v>24</v>
      </c>
      <c r="F84" s="116"/>
      <c r="G84" s="116"/>
      <c r="H84" s="117"/>
      <c r="I84" s="87" t="s">
        <v>62</v>
      </c>
      <c r="J84" s="87" t="s">
        <v>141</v>
      </c>
      <c r="K84" s="87">
        <v>0</v>
      </c>
      <c r="L84" s="87" t="s">
        <v>327</v>
      </c>
      <c r="M84" s="87" t="s">
        <v>843</v>
      </c>
      <c r="N84" s="108">
        <v>2</v>
      </c>
      <c r="O84" s="118">
        <v>5.2083333333333333E-4</v>
      </c>
    </row>
    <row r="85" spans="1:15" s="109" customFormat="1" ht="54" customHeight="1" thickTop="1" thickBot="1" x14ac:dyDescent="0.25">
      <c r="A85" s="79"/>
      <c r="B85" s="90" t="s">
        <v>16</v>
      </c>
      <c r="C85" s="80" t="s">
        <v>328</v>
      </c>
      <c r="D85" s="80" t="s">
        <v>329</v>
      </c>
      <c r="E85" s="80" t="s">
        <v>11</v>
      </c>
      <c r="F85" s="80" t="s">
        <v>24</v>
      </c>
      <c r="G85" s="81" t="s">
        <v>330</v>
      </c>
      <c r="H85" s="82">
        <v>45772</v>
      </c>
      <c r="I85" s="87" t="s">
        <v>62</v>
      </c>
      <c r="J85" s="87" t="s">
        <v>63</v>
      </c>
      <c r="K85" s="87">
        <v>0</v>
      </c>
      <c r="L85" s="87">
        <v>0</v>
      </c>
      <c r="M85" s="87" t="s">
        <v>839</v>
      </c>
      <c r="N85" s="80">
        <v>3</v>
      </c>
      <c r="O85" s="91">
        <v>5.2083333333333333E-4</v>
      </c>
    </row>
    <row r="86" spans="1:15" s="109" customFormat="1" ht="54" customHeight="1" thickTop="1" thickBot="1" x14ac:dyDescent="0.25">
      <c r="A86" s="78"/>
      <c r="B86" s="90" t="s">
        <v>16</v>
      </c>
      <c r="C86" s="80" t="s">
        <v>331</v>
      </c>
      <c r="D86" s="80" t="s">
        <v>332</v>
      </c>
      <c r="E86" s="80" t="s">
        <v>11</v>
      </c>
      <c r="F86" s="80" t="s">
        <v>24</v>
      </c>
      <c r="G86" s="81" t="s">
        <v>333</v>
      </c>
      <c r="H86" s="82">
        <v>45772</v>
      </c>
      <c r="I86" s="87" t="s">
        <v>62</v>
      </c>
      <c r="J86" s="87" t="s">
        <v>63</v>
      </c>
      <c r="K86" s="87">
        <v>0</v>
      </c>
      <c r="L86" s="87">
        <v>0</v>
      </c>
      <c r="M86" s="87" t="s">
        <v>839</v>
      </c>
      <c r="N86" s="80">
        <v>4</v>
      </c>
      <c r="O86" s="91">
        <v>5.2083333333333333E-4</v>
      </c>
    </row>
    <row r="87" spans="1:15" s="109" customFormat="1" ht="54" customHeight="1" thickTop="1" thickBot="1" x14ac:dyDescent="0.25">
      <c r="A87" s="78"/>
      <c r="B87" s="93" t="s">
        <v>16</v>
      </c>
      <c r="C87" s="94" t="s">
        <v>334</v>
      </c>
      <c r="D87" s="94" t="s">
        <v>335</v>
      </c>
      <c r="E87" s="94" t="s">
        <v>11</v>
      </c>
      <c r="F87" s="94" t="s">
        <v>24</v>
      </c>
      <c r="G87" s="95" t="s">
        <v>254</v>
      </c>
      <c r="H87" s="143">
        <v>45774</v>
      </c>
      <c r="I87" s="87" t="s">
        <v>62</v>
      </c>
      <c r="J87" s="87" t="s">
        <v>141</v>
      </c>
      <c r="K87" s="87">
        <v>0</v>
      </c>
      <c r="L87" s="87" t="s">
        <v>259</v>
      </c>
      <c r="M87" s="87" t="s">
        <v>842</v>
      </c>
      <c r="N87" s="94">
        <v>2</v>
      </c>
      <c r="O87" s="96">
        <v>3.4722222222222224E-4</v>
      </c>
    </row>
    <row r="88" spans="1:15" s="109" customFormat="1" ht="66" customHeight="1" thickTop="1" thickBot="1" x14ac:dyDescent="0.25">
      <c r="B88" s="110" t="s">
        <v>20</v>
      </c>
      <c r="C88" s="111" t="s">
        <v>336</v>
      </c>
      <c r="D88" s="111" t="s">
        <v>337</v>
      </c>
      <c r="E88" s="112" t="s">
        <v>24</v>
      </c>
      <c r="F88" s="112"/>
      <c r="G88" s="112"/>
      <c r="H88" s="113"/>
      <c r="I88" s="87" t="s">
        <v>140</v>
      </c>
      <c r="J88" s="87" t="s">
        <v>141</v>
      </c>
      <c r="K88" s="87">
        <v>0</v>
      </c>
      <c r="L88" s="87" t="s">
        <v>338</v>
      </c>
      <c r="M88" s="87" t="s">
        <v>844</v>
      </c>
      <c r="N88" s="111">
        <v>4</v>
      </c>
      <c r="O88" s="114" t="s">
        <v>339</v>
      </c>
    </row>
    <row r="89" spans="1:15" s="109" customFormat="1" ht="54" customHeight="1" thickTop="1" thickBot="1" x14ac:dyDescent="0.25">
      <c r="B89" s="115" t="s">
        <v>20</v>
      </c>
      <c r="C89" s="108" t="s">
        <v>340</v>
      </c>
      <c r="D89" s="108" t="s">
        <v>341</v>
      </c>
      <c r="E89" s="116" t="s">
        <v>24</v>
      </c>
      <c r="F89" s="116"/>
      <c r="G89" s="116"/>
      <c r="H89" s="117"/>
      <c r="I89" s="87" t="s">
        <v>140</v>
      </c>
      <c r="J89" s="87" t="s">
        <v>141</v>
      </c>
      <c r="K89" s="87">
        <v>0</v>
      </c>
      <c r="L89" s="87" t="s">
        <v>342</v>
      </c>
      <c r="M89" s="87" t="s">
        <v>844</v>
      </c>
      <c r="N89" s="108">
        <v>4</v>
      </c>
      <c r="O89" s="118">
        <v>1.3888888888888889E-3</v>
      </c>
    </row>
    <row r="90" spans="1:15" s="109" customFormat="1" ht="54" customHeight="1" thickTop="1" thickBot="1" x14ac:dyDescent="0.25">
      <c r="B90" s="115" t="s">
        <v>20</v>
      </c>
      <c r="C90" s="108" t="s">
        <v>343</v>
      </c>
      <c r="D90" s="108" t="s">
        <v>344</v>
      </c>
      <c r="E90" s="116" t="s">
        <v>24</v>
      </c>
      <c r="F90" s="116"/>
      <c r="G90" s="116"/>
      <c r="H90" s="117"/>
      <c r="I90" s="87" t="s">
        <v>140</v>
      </c>
      <c r="J90" s="87" t="s">
        <v>141</v>
      </c>
      <c r="K90" s="87">
        <v>0</v>
      </c>
      <c r="L90" s="87" t="s">
        <v>345</v>
      </c>
      <c r="M90" s="87" t="s">
        <v>845</v>
      </c>
      <c r="N90" s="108">
        <v>2</v>
      </c>
      <c r="O90" s="118">
        <v>2.0833333333333333E-3</v>
      </c>
    </row>
    <row r="91" spans="1:15" s="109" customFormat="1" ht="54" customHeight="1" thickTop="1" thickBot="1" x14ac:dyDescent="0.25">
      <c r="B91" s="115" t="s">
        <v>20</v>
      </c>
      <c r="C91" s="108" t="s">
        <v>346</v>
      </c>
      <c r="D91" s="108" t="s">
        <v>347</v>
      </c>
      <c r="E91" s="116" t="s">
        <v>24</v>
      </c>
      <c r="F91" s="116"/>
      <c r="G91" s="116"/>
      <c r="H91" s="117"/>
      <c r="I91" s="87" t="s">
        <v>140</v>
      </c>
      <c r="J91" s="87" t="s">
        <v>141</v>
      </c>
      <c r="K91" s="87">
        <v>0</v>
      </c>
      <c r="L91" s="87" t="s">
        <v>348</v>
      </c>
      <c r="M91" s="87" t="s">
        <v>845</v>
      </c>
      <c r="N91" s="108">
        <v>2</v>
      </c>
      <c r="O91" s="118">
        <v>2.0833333333333333E-3</v>
      </c>
    </row>
    <row r="92" spans="1:15" s="109" customFormat="1" ht="54" customHeight="1" thickTop="1" thickBot="1" x14ac:dyDescent="0.25">
      <c r="A92" s="78"/>
      <c r="B92" s="90" t="s">
        <v>20</v>
      </c>
      <c r="C92" s="80" t="s">
        <v>349</v>
      </c>
      <c r="D92" s="80" t="s">
        <v>350</v>
      </c>
      <c r="E92" s="80" t="s">
        <v>11</v>
      </c>
      <c r="F92" s="80" t="s">
        <v>24</v>
      </c>
      <c r="G92" s="80" t="s">
        <v>323</v>
      </c>
      <c r="H92" s="84">
        <v>45772</v>
      </c>
      <c r="I92" s="87" t="s">
        <v>62</v>
      </c>
      <c r="J92" s="87" t="s">
        <v>63</v>
      </c>
      <c r="K92" s="87">
        <v>0</v>
      </c>
      <c r="L92" s="87" t="s">
        <v>351</v>
      </c>
      <c r="M92" s="87" t="s">
        <v>839</v>
      </c>
      <c r="N92" s="80">
        <v>2</v>
      </c>
      <c r="O92" s="91">
        <v>6.9444444444444447E-4</v>
      </c>
    </row>
    <row r="93" spans="1:15" s="109" customFormat="1" ht="54" customHeight="1" thickTop="1" thickBot="1" x14ac:dyDescent="0.25">
      <c r="B93" s="115" t="s">
        <v>20</v>
      </c>
      <c r="C93" s="108" t="s">
        <v>352</v>
      </c>
      <c r="D93" s="108" t="s">
        <v>353</v>
      </c>
      <c r="E93" s="116" t="s">
        <v>24</v>
      </c>
      <c r="F93" s="116"/>
      <c r="G93" s="116"/>
      <c r="H93" s="117"/>
      <c r="I93" s="87" t="s">
        <v>140</v>
      </c>
      <c r="J93" s="87" t="s">
        <v>141</v>
      </c>
      <c r="K93" s="87">
        <v>0</v>
      </c>
      <c r="L93" s="87" t="s">
        <v>354</v>
      </c>
      <c r="M93" s="87" t="s">
        <v>846</v>
      </c>
      <c r="N93" s="108">
        <v>1</v>
      </c>
      <c r="O93" s="118">
        <v>1.2152777777777778E-3</v>
      </c>
    </row>
    <row r="94" spans="1:15" s="109" customFormat="1" ht="54" customHeight="1" thickTop="1" thickBot="1" x14ac:dyDescent="0.25">
      <c r="B94" s="115" t="s">
        <v>20</v>
      </c>
      <c r="C94" s="108" t="s">
        <v>355</v>
      </c>
      <c r="D94" s="108" t="s">
        <v>356</v>
      </c>
      <c r="E94" s="116" t="s">
        <v>24</v>
      </c>
      <c r="F94" s="116"/>
      <c r="G94" s="116"/>
      <c r="H94" s="117"/>
      <c r="I94" s="87" t="s">
        <v>140</v>
      </c>
      <c r="J94" s="87" t="s">
        <v>141</v>
      </c>
      <c r="K94" s="87">
        <v>0</v>
      </c>
      <c r="L94" s="87" t="s">
        <v>357</v>
      </c>
      <c r="M94" s="87" t="s">
        <v>846</v>
      </c>
      <c r="N94" s="108">
        <v>2</v>
      </c>
      <c r="O94" s="118">
        <v>2.7777777777777779E-3</v>
      </c>
    </row>
    <row r="95" spans="1:15" s="109" customFormat="1" ht="54" customHeight="1" thickTop="1" thickBot="1" x14ac:dyDescent="0.25">
      <c r="B95" s="115" t="s">
        <v>20</v>
      </c>
      <c r="C95" s="108" t="s">
        <v>358</v>
      </c>
      <c r="D95" s="108" t="s">
        <v>359</v>
      </c>
      <c r="E95" s="116" t="s">
        <v>24</v>
      </c>
      <c r="F95" s="116"/>
      <c r="G95" s="116"/>
      <c r="H95" s="117"/>
      <c r="I95" s="87" t="s">
        <v>140</v>
      </c>
      <c r="J95" s="87" t="s">
        <v>141</v>
      </c>
      <c r="K95" s="87">
        <v>0</v>
      </c>
      <c r="L95" s="87" t="s">
        <v>360</v>
      </c>
      <c r="M95" s="87" t="s">
        <v>846</v>
      </c>
      <c r="N95" s="108">
        <v>2</v>
      </c>
      <c r="O95" s="118">
        <v>6.9444444444444447E-4</v>
      </c>
    </row>
    <row r="96" spans="1:15" s="109" customFormat="1" ht="54" customHeight="1" thickTop="1" thickBot="1" x14ac:dyDescent="0.25">
      <c r="B96" s="115" t="s">
        <v>20</v>
      </c>
      <c r="C96" s="108" t="s">
        <v>361</v>
      </c>
      <c r="D96" s="108" t="s">
        <v>362</v>
      </c>
      <c r="E96" s="116" t="s">
        <v>24</v>
      </c>
      <c r="F96" s="116"/>
      <c r="G96" s="116"/>
      <c r="H96" s="117"/>
      <c r="I96" s="87" t="s">
        <v>140</v>
      </c>
      <c r="J96" s="87" t="s">
        <v>141</v>
      </c>
      <c r="K96" s="87">
        <v>0</v>
      </c>
      <c r="L96" s="87" t="s">
        <v>363</v>
      </c>
      <c r="M96" s="87" t="s">
        <v>842</v>
      </c>
      <c r="N96" s="108">
        <v>2</v>
      </c>
      <c r="O96" s="118">
        <v>1.736111111111111E-3</v>
      </c>
    </row>
    <row r="97" spans="1:15" s="109" customFormat="1" ht="54" customHeight="1" thickTop="1" thickBot="1" x14ac:dyDescent="0.25">
      <c r="B97" s="115" t="s">
        <v>20</v>
      </c>
      <c r="C97" s="108" t="s">
        <v>364</v>
      </c>
      <c r="D97" s="108" t="s">
        <v>365</v>
      </c>
      <c r="E97" s="116" t="s">
        <v>24</v>
      </c>
      <c r="F97" s="116"/>
      <c r="G97" s="116"/>
      <c r="H97" s="117"/>
      <c r="I97" s="87" t="s">
        <v>62</v>
      </c>
      <c r="J97" s="87" t="s">
        <v>141</v>
      </c>
      <c r="K97" s="87">
        <v>0</v>
      </c>
      <c r="L97" s="87" t="s">
        <v>366</v>
      </c>
      <c r="M97" s="87" t="s">
        <v>840</v>
      </c>
      <c r="N97" s="108">
        <v>2</v>
      </c>
      <c r="O97" s="118">
        <v>5.2083333333333333E-4</v>
      </c>
    </row>
    <row r="98" spans="1:15" s="109" customFormat="1" ht="54" customHeight="1" thickTop="1" thickBot="1" x14ac:dyDescent="0.25">
      <c r="B98" s="115" t="s">
        <v>20</v>
      </c>
      <c r="C98" s="108" t="s">
        <v>367</v>
      </c>
      <c r="D98" s="108" t="s">
        <v>368</v>
      </c>
      <c r="E98" s="116" t="s">
        <v>24</v>
      </c>
      <c r="F98" s="116"/>
      <c r="G98" s="116"/>
      <c r="H98" s="117"/>
      <c r="I98" s="87" t="s">
        <v>62</v>
      </c>
      <c r="J98" s="87" t="s">
        <v>141</v>
      </c>
      <c r="K98" s="87">
        <v>0</v>
      </c>
      <c r="L98" s="87" t="s">
        <v>369</v>
      </c>
      <c r="M98" s="87" t="s">
        <v>840</v>
      </c>
      <c r="N98" s="108">
        <v>1</v>
      </c>
      <c r="O98" s="118">
        <v>9.2592592592592585E-4</v>
      </c>
    </row>
    <row r="99" spans="1:15" s="109" customFormat="1" ht="54" customHeight="1" thickTop="1" thickBot="1" x14ac:dyDescent="0.25">
      <c r="B99" s="115" t="s">
        <v>20</v>
      </c>
      <c r="C99" s="108" t="s">
        <v>370</v>
      </c>
      <c r="D99" s="108" t="s">
        <v>371</v>
      </c>
      <c r="E99" s="116" t="s">
        <v>24</v>
      </c>
      <c r="F99" s="116"/>
      <c r="G99" s="116"/>
      <c r="H99" s="117"/>
      <c r="I99" s="87" t="s">
        <v>62</v>
      </c>
      <c r="J99" s="87" t="s">
        <v>63</v>
      </c>
      <c r="K99" s="87">
        <v>0</v>
      </c>
      <c r="L99" s="87" t="s">
        <v>372</v>
      </c>
      <c r="M99" s="87" t="s">
        <v>846</v>
      </c>
      <c r="N99" s="108">
        <v>1</v>
      </c>
      <c r="O99" s="118">
        <v>1.1574074074074073E-4</v>
      </c>
    </row>
    <row r="100" spans="1:15" s="109" customFormat="1" ht="54" customHeight="1" thickTop="1" thickBot="1" x14ac:dyDescent="0.25">
      <c r="B100" s="115" t="s">
        <v>20</v>
      </c>
      <c r="C100" s="108" t="s">
        <v>373</v>
      </c>
      <c r="D100" s="108" t="s">
        <v>374</v>
      </c>
      <c r="E100" s="116" t="s">
        <v>24</v>
      </c>
      <c r="F100" s="116"/>
      <c r="G100" s="116"/>
      <c r="H100" s="117"/>
      <c r="I100" s="87" t="s">
        <v>94</v>
      </c>
      <c r="J100" s="87" t="s">
        <v>63</v>
      </c>
      <c r="K100" s="87">
        <v>0</v>
      </c>
      <c r="L100" s="87" t="s">
        <v>375</v>
      </c>
      <c r="M100" s="87" t="s">
        <v>849</v>
      </c>
      <c r="N100" s="108">
        <v>1</v>
      </c>
      <c r="O100" s="118">
        <v>6.9444444444444447E-4</v>
      </c>
    </row>
    <row r="101" spans="1:15" s="109" customFormat="1" ht="54" customHeight="1" thickTop="1" thickBot="1" x14ac:dyDescent="0.25">
      <c r="B101" s="115" t="s">
        <v>20</v>
      </c>
      <c r="C101" s="108" t="s">
        <v>376</v>
      </c>
      <c r="D101" s="108" t="s">
        <v>377</v>
      </c>
      <c r="E101" s="116" t="s">
        <v>24</v>
      </c>
      <c r="F101" s="116"/>
      <c r="G101" s="116"/>
      <c r="H101" s="117"/>
      <c r="I101" s="87" t="s">
        <v>62</v>
      </c>
      <c r="J101" s="87" t="s">
        <v>141</v>
      </c>
      <c r="K101" s="87">
        <v>0</v>
      </c>
      <c r="L101" s="87" t="s">
        <v>378</v>
      </c>
      <c r="M101" s="87" t="s">
        <v>838</v>
      </c>
      <c r="N101" s="108">
        <v>1</v>
      </c>
      <c r="O101" s="118">
        <v>6.9444444444444447E-4</v>
      </c>
    </row>
    <row r="102" spans="1:15" s="109" customFormat="1" ht="54" customHeight="1" thickTop="1" thickBot="1" x14ac:dyDescent="0.25">
      <c r="B102" s="115" t="s">
        <v>20</v>
      </c>
      <c r="C102" s="108" t="s">
        <v>379</v>
      </c>
      <c r="D102" s="108" t="s">
        <v>380</v>
      </c>
      <c r="E102" s="116" t="s">
        <v>24</v>
      </c>
      <c r="F102" s="116"/>
      <c r="G102" s="116"/>
      <c r="H102" s="117"/>
      <c r="I102" s="87" t="s">
        <v>62</v>
      </c>
      <c r="J102" s="87" t="s">
        <v>141</v>
      </c>
      <c r="K102" s="87">
        <v>0</v>
      </c>
      <c r="L102" s="87" t="s">
        <v>381</v>
      </c>
      <c r="M102" s="87" t="s">
        <v>838</v>
      </c>
      <c r="N102" s="108">
        <v>1</v>
      </c>
      <c r="O102" s="118">
        <v>4.0509259259259258E-4</v>
      </c>
    </row>
    <row r="103" spans="1:15" s="109" customFormat="1" ht="54" customHeight="1" thickTop="1" thickBot="1" x14ac:dyDescent="0.25">
      <c r="B103" s="115" t="s">
        <v>20</v>
      </c>
      <c r="C103" s="108" t="s">
        <v>382</v>
      </c>
      <c r="D103" s="108" t="s">
        <v>383</v>
      </c>
      <c r="E103" s="116" t="s">
        <v>24</v>
      </c>
      <c r="F103" s="116"/>
      <c r="G103" s="116"/>
      <c r="H103" s="117"/>
      <c r="I103" s="87" t="s">
        <v>140</v>
      </c>
      <c r="J103" s="87" t="s">
        <v>63</v>
      </c>
      <c r="K103" s="87">
        <v>0</v>
      </c>
      <c r="L103" s="87" t="s">
        <v>384</v>
      </c>
      <c r="M103" s="87" t="s">
        <v>839</v>
      </c>
      <c r="N103" s="108">
        <v>2</v>
      </c>
      <c r="O103" s="118">
        <v>1.3888888888888889E-3</v>
      </c>
    </row>
    <row r="104" spans="1:15" s="109" customFormat="1" ht="54" customHeight="1" thickTop="1" thickBot="1" x14ac:dyDescent="0.25">
      <c r="B104" s="115" t="s">
        <v>20</v>
      </c>
      <c r="C104" s="108" t="s">
        <v>385</v>
      </c>
      <c r="D104" s="108" t="s">
        <v>386</v>
      </c>
      <c r="E104" s="116" t="s">
        <v>24</v>
      </c>
      <c r="F104" s="116"/>
      <c r="G104" s="116"/>
      <c r="H104" s="117"/>
      <c r="I104" s="87" t="s">
        <v>140</v>
      </c>
      <c r="J104" s="87" t="s">
        <v>63</v>
      </c>
      <c r="K104" s="87">
        <v>0</v>
      </c>
      <c r="L104" s="87" t="s">
        <v>387</v>
      </c>
      <c r="M104" s="87" t="s">
        <v>851</v>
      </c>
      <c r="N104" s="108">
        <v>2</v>
      </c>
      <c r="O104" s="118">
        <v>1.736111111111111E-3</v>
      </c>
    </row>
    <row r="105" spans="1:15" s="109" customFormat="1" ht="54" customHeight="1" thickTop="1" thickBot="1" x14ac:dyDescent="0.25">
      <c r="A105" s="78"/>
      <c r="B105" s="90" t="s">
        <v>20</v>
      </c>
      <c r="C105" s="80" t="s">
        <v>388</v>
      </c>
      <c r="D105" s="80" t="s">
        <v>389</v>
      </c>
      <c r="E105" s="80" t="s">
        <v>11</v>
      </c>
      <c r="F105" s="80" t="s">
        <v>24</v>
      </c>
      <c r="G105" s="81" t="s">
        <v>390</v>
      </c>
      <c r="H105" s="82">
        <v>45778</v>
      </c>
      <c r="I105" s="87" t="s">
        <v>62</v>
      </c>
      <c r="J105" s="87" t="s">
        <v>63</v>
      </c>
      <c r="K105" s="87">
        <v>0</v>
      </c>
      <c r="L105" s="87" t="s">
        <v>391</v>
      </c>
      <c r="M105" s="87" t="s">
        <v>839</v>
      </c>
      <c r="N105" s="80">
        <v>1</v>
      </c>
      <c r="O105" s="91">
        <v>6.9444444444444447E-4</v>
      </c>
    </row>
    <row r="106" spans="1:15" s="109" customFormat="1" ht="54" customHeight="1" thickTop="1" thickBot="1" x14ac:dyDescent="0.25">
      <c r="B106" s="115" t="s">
        <v>20</v>
      </c>
      <c r="C106" s="108" t="s">
        <v>392</v>
      </c>
      <c r="D106" s="175" t="s">
        <v>847</v>
      </c>
      <c r="E106" s="116" t="s">
        <v>24</v>
      </c>
      <c r="F106" s="116"/>
      <c r="G106" s="116"/>
      <c r="H106" s="117"/>
      <c r="I106" s="87" t="s">
        <v>62</v>
      </c>
      <c r="J106" s="87" t="s">
        <v>63</v>
      </c>
      <c r="K106" s="87">
        <v>0</v>
      </c>
      <c r="L106" s="87" t="s">
        <v>393</v>
      </c>
      <c r="M106" s="87" t="s">
        <v>839</v>
      </c>
      <c r="N106" s="108">
        <v>2</v>
      </c>
      <c r="O106" s="118">
        <v>3.4722222222222224E-4</v>
      </c>
    </row>
    <row r="107" spans="1:15" s="109" customFormat="1" ht="54" customHeight="1" thickTop="1" thickBot="1" x14ac:dyDescent="0.25">
      <c r="B107" s="115" t="s">
        <v>20</v>
      </c>
      <c r="C107" s="108" t="s">
        <v>394</v>
      </c>
      <c r="D107" s="108" t="s">
        <v>395</v>
      </c>
      <c r="E107" s="116" t="s">
        <v>24</v>
      </c>
      <c r="F107" s="116"/>
      <c r="G107" s="116"/>
      <c r="H107" s="117"/>
      <c r="I107" s="87" t="s">
        <v>94</v>
      </c>
      <c r="J107" s="87" t="s">
        <v>63</v>
      </c>
      <c r="K107" s="87">
        <v>0</v>
      </c>
      <c r="L107" s="87" t="s">
        <v>396</v>
      </c>
      <c r="M107" s="87" t="s">
        <v>849</v>
      </c>
      <c r="N107" s="108">
        <v>2</v>
      </c>
      <c r="O107" s="118">
        <v>6.9444444444444447E-4</v>
      </c>
    </row>
    <row r="108" spans="1:15" s="109" customFormat="1" ht="54" customHeight="1" thickTop="1" thickBot="1" x14ac:dyDescent="0.25">
      <c r="A108" s="78"/>
      <c r="B108" s="90" t="s">
        <v>20</v>
      </c>
      <c r="C108" s="80" t="s">
        <v>397</v>
      </c>
      <c r="D108" s="80" t="s">
        <v>398</v>
      </c>
      <c r="E108" s="80" t="s">
        <v>11</v>
      </c>
      <c r="F108" s="80" t="s">
        <v>24</v>
      </c>
      <c r="G108" s="81" t="s">
        <v>399</v>
      </c>
      <c r="H108" s="82">
        <v>45772</v>
      </c>
      <c r="I108" s="87" t="s">
        <v>62</v>
      </c>
      <c r="J108" s="87" t="s">
        <v>63</v>
      </c>
      <c r="K108" s="87">
        <v>0</v>
      </c>
      <c r="L108" s="87" t="s">
        <v>400</v>
      </c>
      <c r="M108" s="87" t="s">
        <v>839</v>
      </c>
      <c r="N108" s="80">
        <v>2</v>
      </c>
      <c r="O108" s="91">
        <v>6.9444444444444447E-4</v>
      </c>
    </row>
    <row r="109" spans="1:15" s="109" customFormat="1" ht="54" customHeight="1" thickTop="1" thickBot="1" x14ac:dyDescent="0.25">
      <c r="B109" s="115" t="s">
        <v>20</v>
      </c>
      <c r="C109" s="108" t="s">
        <v>401</v>
      </c>
      <c r="D109" s="108" t="s">
        <v>402</v>
      </c>
      <c r="E109" s="116" t="s">
        <v>24</v>
      </c>
      <c r="F109" s="116"/>
      <c r="G109" s="116"/>
      <c r="H109" s="117"/>
      <c r="I109" s="87" t="s">
        <v>94</v>
      </c>
      <c r="J109" s="87" t="s">
        <v>63</v>
      </c>
      <c r="K109" s="87">
        <v>0</v>
      </c>
      <c r="L109" s="87" t="s">
        <v>403</v>
      </c>
      <c r="M109" s="87" t="s">
        <v>838</v>
      </c>
      <c r="N109" s="108">
        <v>4</v>
      </c>
      <c r="O109" s="118">
        <v>2.0833333333333333E-3</v>
      </c>
    </row>
    <row r="110" spans="1:15" s="109" customFormat="1" ht="54" customHeight="1" thickTop="1" thickBot="1" x14ac:dyDescent="0.25">
      <c r="B110" s="115" t="s">
        <v>20</v>
      </c>
      <c r="C110" s="108" t="s">
        <v>404</v>
      </c>
      <c r="D110" s="108" t="s">
        <v>405</v>
      </c>
      <c r="E110" s="116" t="s">
        <v>24</v>
      </c>
      <c r="F110" s="116"/>
      <c r="G110" s="116"/>
      <c r="H110" s="117"/>
      <c r="I110" s="87" t="s">
        <v>62</v>
      </c>
      <c r="J110" s="87" t="s">
        <v>63</v>
      </c>
      <c r="K110" s="87">
        <v>0</v>
      </c>
      <c r="L110" s="87" t="s">
        <v>406</v>
      </c>
      <c r="M110" s="87" t="s">
        <v>838</v>
      </c>
      <c r="N110" s="108">
        <v>2</v>
      </c>
      <c r="O110" s="118">
        <v>6.9444444444444447E-4</v>
      </c>
    </row>
    <row r="111" spans="1:15" s="109" customFormat="1" ht="54" customHeight="1" thickTop="1" thickBot="1" x14ac:dyDescent="0.25">
      <c r="A111" s="78"/>
      <c r="B111" s="90" t="s">
        <v>20</v>
      </c>
      <c r="C111" s="80" t="s">
        <v>407</v>
      </c>
      <c r="D111" s="80" t="s">
        <v>408</v>
      </c>
      <c r="E111" s="80" t="s">
        <v>11</v>
      </c>
      <c r="F111" s="80" t="s">
        <v>24</v>
      </c>
      <c r="G111" s="81" t="s">
        <v>399</v>
      </c>
      <c r="H111" s="82">
        <v>45772</v>
      </c>
      <c r="I111" s="87" t="s">
        <v>62</v>
      </c>
      <c r="J111" s="87" t="s">
        <v>63</v>
      </c>
      <c r="K111" s="87">
        <v>0</v>
      </c>
      <c r="L111" s="87" t="s">
        <v>409</v>
      </c>
      <c r="M111" s="87" t="s">
        <v>839</v>
      </c>
      <c r="N111" s="80">
        <v>2</v>
      </c>
      <c r="O111" s="91">
        <v>6.9444444444444447E-4</v>
      </c>
    </row>
    <row r="112" spans="1:15" s="109" customFormat="1" ht="54" customHeight="1" thickTop="1" thickBot="1" x14ac:dyDescent="0.25">
      <c r="B112" s="115" t="s">
        <v>20</v>
      </c>
      <c r="C112" s="108" t="s">
        <v>410</v>
      </c>
      <c r="D112" s="108" t="s">
        <v>411</v>
      </c>
      <c r="E112" s="116" t="s">
        <v>24</v>
      </c>
      <c r="F112" s="116"/>
      <c r="G112" s="116"/>
      <c r="H112" s="117"/>
      <c r="I112" s="87" t="s">
        <v>94</v>
      </c>
      <c r="J112" s="87" t="s">
        <v>141</v>
      </c>
      <c r="K112" s="87">
        <v>0</v>
      </c>
      <c r="L112" s="87" t="s">
        <v>412</v>
      </c>
      <c r="M112" s="87" t="s">
        <v>838</v>
      </c>
      <c r="N112" s="108">
        <v>2</v>
      </c>
      <c r="O112" s="118">
        <v>1.3888888888888889E-3</v>
      </c>
    </row>
    <row r="113" spans="1:15" s="109" customFormat="1" ht="54" customHeight="1" thickTop="1" thickBot="1" x14ac:dyDescent="0.25">
      <c r="B113" s="120" t="s">
        <v>20</v>
      </c>
      <c r="C113" s="121" t="s">
        <v>413</v>
      </c>
      <c r="D113" s="121" t="s">
        <v>414</v>
      </c>
      <c r="E113" s="122" t="s">
        <v>24</v>
      </c>
      <c r="F113" s="122"/>
      <c r="G113" s="122"/>
      <c r="H113" s="126"/>
      <c r="I113" s="87" t="s">
        <v>94</v>
      </c>
      <c r="J113" s="87" t="s">
        <v>63</v>
      </c>
      <c r="K113" s="87">
        <v>0</v>
      </c>
      <c r="L113" s="87" t="s">
        <v>415</v>
      </c>
      <c r="M113" s="87" t="s">
        <v>838</v>
      </c>
      <c r="N113" s="121">
        <v>2</v>
      </c>
      <c r="O113" s="123">
        <v>6.9444444444444447E-4</v>
      </c>
    </row>
    <row r="114" spans="1:15" s="109" customFormat="1" ht="54" customHeight="1" thickTop="1" thickBot="1" x14ac:dyDescent="0.25">
      <c r="A114" s="119"/>
      <c r="B114" s="110" t="s">
        <v>23</v>
      </c>
      <c r="C114" s="111" t="s">
        <v>416</v>
      </c>
      <c r="D114" s="111" t="s">
        <v>417</v>
      </c>
      <c r="E114" s="112" t="s">
        <v>24</v>
      </c>
      <c r="F114" s="112"/>
      <c r="G114" s="112"/>
      <c r="H114" s="113"/>
      <c r="I114" s="87" t="s">
        <v>140</v>
      </c>
      <c r="J114" s="87" t="s">
        <v>63</v>
      </c>
      <c r="K114" s="87">
        <v>0</v>
      </c>
      <c r="L114" s="87" t="s">
        <v>418</v>
      </c>
      <c r="M114" s="87" t="s">
        <v>838</v>
      </c>
      <c r="N114" s="111">
        <v>1</v>
      </c>
      <c r="O114" s="114">
        <v>6.9444444444444447E-4</v>
      </c>
    </row>
    <row r="115" spans="1:15" s="109" customFormat="1" ht="54" customHeight="1" thickTop="1" thickBot="1" x14ac:dyDescent="0.25">
      <c r="B115" s="115" t="s">
        <v>23</v>
      </c>
      <c r="C115" s="108" t="s">
        <v>419</v>
      </c>
      <c r="D115" s="108" t="s">
        <v>420</v>
      </c>
      <c r="E115" s="116" t="s">
        <v>24</v>
      </c>
      <c r="F115" s="116"/>
      <c r="G115" s="116"/>
      <c r="H115" s="117"/>
      <c r="I115" s="87" t="s">
        <v>140</v>
      </c>
      <c r="J115" s="87" t="s">
        <v>63</v>
      </c>
      <c r="K115" s="87">
        <v>0</v>
      </c>
      <c r="L115" s="87" t="s">
        <v>421</v>
      </c>
      <c r="M115" s="87" t="s">
        <v>843</v>
      </c>
      <c r="N115" s="108">
        <v>1</v>
      </c>
      <c r="O115" s="118">
        <v>4.6296296296296293E-4</v>
      </c>
    </row>
    <row r="116" spans="1:15" s="109" customFormat="1" ht="54" customHeight="1" thickTop="1" thickBot="1" x14ac:dyDescent="0.25">
      <c r="B116" s="115" t="s">
        <v>23</v>
      </c>
      <c r="C116" s="108" t="s">
        <v>422</v>
      </c>
      <c r="D116" s="108" t="s">
        <v>423</v>
      </c>
      <c r="E116" s="116" t="s">
        <v>24</v>
      </c>
      <c r="F116" s="116"/>
      <c r="G116" s="116"/>
      <c r="H116" s="117"/>
      <c r="I116" s="87" t="s">
        <v>140</v>
      </c>
      <c r="J116" s="87" t="s">
        <v>63</v>
      </c>
      <c r="K116" s="87">
        <v>0</v>
      </c>
      <c r="L116" s="87" t="s">
        <v>424</v>
      </c>
      <c r="M116" s="87" t="s">
        <v>843</v>
      </c>
      <c r="N116" s="108">
        <v>1</v>
      </c>
      <c r="O116" s="118">
        <v>6.9444444444444447E-4</v>
      </c>
    </row>
    <row r="117" spans="1:15" s="109" customFormat="1" ht="54" customHeight="1" thickTop="1" thickBot="1" x14ac:dyDescent="0.25">
      <c r="B117" s="115" t="s">
        <v>23</v>
      </c>
      <c r="C117" s="108" t="s">
        <v>425</v>
      </c>
      <c r="D117" s="108" t="s">
        <v>426</v>
      </c>
      <c r="E117" s="116" t="s">
        <v>24</v>
      </c>
      <c r="F117" s="116"/>
      <c r="G117" s="116"/>
      <c r="H117" s="117"/>
      <c r="I117" s="87" t="s">
        <v>140</v>
      </c>
      <c r="J117" s="87" t="s">
        <v>63</v>
      </c>
      <c r="K117" s="87">
        <v>0</v>
      </c>
      <c r="L117" s="87" t="s">
        <v>427</v>
      </c>
      <c r="M117" s="87" t="s">
        <v>852</v>
      </c>
      <c r="N117" s="108">
        <v>1</v>
      </c>
      <c r="O117" s="118">
        <v>6.9444444444444447E-4</v>
      </c>
    </row>
    <row r="118" spans="1:15" s="109" customFormat="1" ht="54" customHeight="1" thickTop="1" thickBot="1" x14ac:dyDescent="0.25">
      <c r="B118" s="115" t="s">
        <v>23</v>
      </c>
      <c r="C118" s="108" t="s">
        <v>428</v>
      </c>
      <c r="D118" s="108" t="s">
        <v>429</v>
      </c>
      <c r="E118" s="116" t="s">
        <v>24</v>
      </c>
      <c r="F118" s="116"/>
      <c r="G118" s="116"/>
      <c r="H118" s="117"/>
      <c r="I118" s="87" t="s">
        <v>140</v>
      </c>
      <c r="J118" s="87" t="s">
        <v>63</v>
      </c>
      <c r="K118" s="87">
        <v>0</v>
      </c>
      <c r="L118" s="87" t="s">
        <v>430</v>
      </c>
      <c r="M118" s="87" t="s">
        <v>852</v>
      </c>
      <c r="N118" s="108">
        <v>1</v>
      </c>
      <c r="O118" s="118">
        <v>6.9444444444444447E-4</v>
      </c>
    </row>
    <row r="119" spans="1:15" s="109" customFormat="1" ht="54" customHeight="1" thickTop="1" thickBot="1" x14ac:dyDescent="0.25">
      <c r="B119" s="115" t="s">
        <v>23</v>
      </c>
      <c r="C119" s="108" t="s">
        <v>431</v>
      </c>
      <c r="D119" s="108" t="s">
        <v>432</v>
      </c>
      <c r="E119" s="116" t="s">
        <v>24</v>
      </c>
      <c r="F119" s="116"/>
      <c r="G119" s="116"/>
      <c r="H119" s="117"/>
      <c r="I119" s="87" t="s">
        <v>140</v>
      </c>
      <c r="J119" s="87" t="s">
        <v>63</v>
      </c>
      <c r="K119" s="87">
        <v>0</v>
      </c>
      <c r="L119" s="87" t="s">
        <v>433</v>
      </c>
      <c r="M119" s="87" t="s">
        <v>852</v>
      </c>
      <c r="N119" s="108">
        <v>1</v>
      </c>
      <c r="O119" s="118">
        <v>3.4722222222222224E-4</v>
      </c>
    </row>
    <row r="120" spans="1:15" s="109" customFormat="1" ht="54" customHeight="1" thickTop="1" thickBot="1" x14ac:dyDescent="0.25">
      <c r="B120" s="115" t="s">
        <v>23</v>
      </c>
      <c r="C120" s="108" t="s">
        <v>434</v>
      </c>
      <c r="D120" s="108" t="s">
        <v>435</v>
      </c>
      <c r="E120" s="116" t="s">
        <v>24</v>
      </c>
      <c r="F120" s="116"/>
      <c r="G120" s="116"/>
      <c r="H120" s="117"/>
      <c r="I120" s="87" t="s">
        <v>140</v>
      </c>
      <c r="J120" s="87" t="s">
        <v>63</v>
      </c>
      <c r="K120" s="87">
        <v>0</v>
      </c>
      <c r="L120" s="87" t="s">
        <v>436</v>
      </c>
      <c r="M120" s="87" t="s">
        <v>843</v>
      </c>
      <c r="N120" s="108">
        <v>1</v>
      </c>
      <c r="O120" s="118">
        <v>6.9444444444444447E-4</v>
      </c>
    </row>
    <row r="121" spans="1:15" s="109" customFormat="1" ht="54" customHeight="1" thickTop="1" thickBot="1" x14ac:dyDescent="0.25">
      <c r="B121" s="115" t="s">
        <v>23</v>
      </c>
      <c r="C121" s="108" t="s">
        <v>437</v>
      </c>
      <c r="D121" s="108" t="s">
        <v>438</v>
      </c>
      <c r="E121" s="116" t="s">
        <v>24</v>
      </c>
      <c r="F121" s="116"/>
      <c r="G121" s="116"/>
      <c r="H121" s="117"/>
      <c r="I121" s="87" t="s">
        <v>140</v>
      </c>
      <c r="J121" s="87" t="s">
        <v>63</v>
      </c>
      <c r="K121" s="87">
        <v>0</v>
      </c>
      <c r="L121" s="87" t="s">
        <v>439</v>
      </c>
      <c r="M121" s="87" t="s">
        <v>843</v>
      </c>
      <c r="N121" s="108">
        <v>2</v>
      </c>
      <c r="O121" s="118">
        <v>1.0416666666666667E-3</v>
      </c>
    </row>
    <row r="122" spans="1:15" s="109" customFormat="1" ht="54" customHeight="1" thickTop="1" thickBot="1" x14ac:dyDescent="0.25">
      <c r="B122" s="115" t="s">
        <v>23</v>
      </c>
      <c r="C122" s="108" t="s">
        <v>440</v>
      </c>
      <c r="D122" s="108" t="s">
        <v>441</v>
      </c>
      <c r="E122" s="116" t="s">
        <v>24</v>
      </c>
      <c r="F122" s="116"/>
      <c r="G122" s="116"/>
      <c r="H122" s="117"/>
      <c r="I122" s="87" t="s">
        <v>140</v>
      </c>
      <c r="J122" s="87" t="s">
        <v>63</v>
      </c>
      <c r="K122" s="87">
        <v>0</v>
      </c>
      <c r="L122" s="87" t="s">
        <v>442</v>
      </c>
      <c r="M122" s="87" t="s">
        <v>843</v>
      </c>
      <c r="N122" s="108">
        <v>1</v>
      </c>
      <c r="O122" s="118">
        <v>1.0416666666666667E-3</v>
      </c>
    </row>
    <row r="123" spans="1:15" s="109" customFormat="1" ht="54" customHeight="1" thickTop="1" thickBot="1" x14ac:dyDescent="0.25">
      <c r="B123" s="115" t="s">
        <v>23</v>
      </c>
      <c r="C123" s="108" t="s">
        <v>443</v>
      </c>
      <c r="D123" s="108" t="s">
        <v>444</v>
      </c>
      <c r="E123" s="116" t="s">
        <v>24</v>
      </c>
      <c r="F123" s="116"/>
      <c r="G123" s="116"/>
      <c r="H123" s="117"/>
      <c r="I123" s="87" t="s">
        <v>140</v>
      </c>
      <c r="J123" s="87" t="s">
        <v>63</v>
      </c>
      <c r="K123" s="87">
        <v>0</v>
      </c>
      <c r="L123" s="87" t="s">
        <v>445</v>
      </c>
      <c r="M123" s="87" t="s">
        <v>839</v>
      </c>
      <c r="N123" s="108">
        <v>1</v>
      </c>
      <c r="O123" s="118">
        <v>1.0416666666666667E-3</v>
      </c>
    </row>
    <row r="124" spans="1:15" s="109" customFormat="1" ht="54" customHeight="1" thickTop="1" thickBot="1" x14ac:dyDescent="0.25">
      <c r="B124" s="115" t="s">
        <v>23</v>
      </c>
      <c r="C124" s="108" t="s">
        <v>446</v>
      </c>
      <c r="D124" s="108" t="s">
        <v>447</v>
      </c>
      <c r="E124" s="116" t="s">
        <v>24</v>
      </c>
      <c r="F124" s="116"/>
      <c r="G124" s="116"/>
      <c r="H124" s="117"/>
      <c r="I124" s="87" t="s">
        <v>94</v>
      </c>
      <c r="J124" s="87" t="s">
        <v>63</v>
      </c>
      <c r="K124" s="87">
        <v>0</v>
      </c>
      <c r="L124" s="87" t="s">
        <v>448</v>
      </c>
      <c r="M124" s="87" t="s">
        <v>853</v>
      </c>
      <c r="N124" s="108">
        <v>2</v>
      </c>
      <c r="O124" s="118">
        <v>6.9444444444444447E-4</v>
      </c>
    </row>
    <row r="125" spans="1:15" s="109" customFormat="1" ht="54" customHeight="1" thickTop="1" thickBot="1" x14ac:dyDescent="0.25">
      <c r="B125" s="115" t="s">
        <v>23</v>
      </c>
      <c r="C125" s="108" t="s">
        <v>449</v>
      </c>
      <c r="D125" s="108" t="s">
        <v>450</v>
      </c>
      <c r="E125" s="116" t="s">
        <v>24</v>
      </c>
      <c r="F125" s="116"/>
      <c r="G125" s="116"/>
      <c r="H125" s="117"/>
      <c r="I125" s="87" t="s">
        <v>94</v>
      </c>
      <c r="J125" s="87" t="s">
        <v>141</v>
      </c>
      <c r="K125" s="87">
        <v>0</v>
      </c>
      <c r="L125" s="87" t="s">
        <v>381</v>
      </c>
      <c r="M125" s="87" t="s">
        <v>838</v>
      </c>
      <c r="N125" s="108">
        <v>3</v>
      </c>
      <c r="O125" s="118">
        <v>1.736111111111111E-3</v>
      </c>
    </row>
    <row r="126" spans="1:15" s="109" customFormat="1" ht="54" customHeight="1" thickTop="1" thickBot="1" x14ac:dyDescent="0.25">
      <c r="B126" s="115" t="s">
        <v>23</v>
      </c>
      <c r="C126" s="108" t="s">
        <v>451</v>
      </c>
      <c r="D126" s="108" t="s">
        <v>452</v>
      </c>
      <c r="E126" s="116" t="s">
        <v>24</v>
      </c>
      <c r="F126" s="116"/>
      <c r="G126" s="116"/>
      <c r="H126" s="117"/>
      <c r="I126" s="87" t="s">
        <v>62</v>
      </c>
      <c r="J126" s="87" t="s">
        <v>63</v>
      </c>
      <c r="K126" s="87">
        <v>0</v>
      </c>
      <c r="L126" s="87">
        <v>0</v>
      </c>
      <c r="M126" s="87" t="s">
        <v>839</v>
      </c>
      <c r="N126" s="108">
        <v>2</v>
      </c>
      <c r="O126" s="118">
        <v>6.9444444444444447E-4</v>
      </c>
    </row>
    <row r="127" spans="1:15" s="109" customFormat="1" ht="54" customHeight="1" thickTop="1" thickBot="1" x14ac:dyDescent="0.25">
      <c r="B127" s="120" t="s">
        <v>23</v>
      </c>
      <c r="C127" s="121" t="s">
        <v>453</v>
      </c>
      <c r="D127" s="121" t="s">
        <v>454</v>
      </c>
      <c r="E127" s="122" t="s">
        <v>24</v>
      </c>
      <c r="F127" s="122"/>
      <c r="G127" s="122"/>
      <c r="H127" s="126"/>
      <c r="I127" s="87" t="s">
        <v>62</v>
      </c>
      <c r="J127" s="87" t="s">
        <v>63</v>
      </c>
      <c r="K127" s="87">
        <v>0</v>
      </c>
      <c r="L127" s="87" t="s">
        <v>455</v>
      </c>
      <c r="M127" s="87" t="s">
        <v>854</v>
      </c>
      <c r="N127" s="121">
        <v>2</v>
      </c>
      <c r="O127" s="123">
        <v>6.9444444444444447E-4</v>
      </c>
    </row>
    <row r="128" spans="1:15" s="109" customFormat="1" ht="66" customHeight="1" thickTop="1" thickBot="1" x14ac:dyDescent="0.3">
      <c r="A128" s="127"/>
      <c r="B128" s="128" t="s">
        <v>456</v>
      </c>
      <c r="C128" s="129" t="s">
        <v>457</v>
      </c>
      <c r="D128" s="129" t="s">
        <v>458</v>
      </c>
      <c r="E128" s="129" t="s">
        <v>24</v>
      </c>
      <c r="F128" s="129"/>
      <c r="G128" s="129"/>
      <c r="H128" s="129"/>
      <c r="I128" s="87" t="s">
        <v>94</v>
      </c>
      <c r="J128" s="87">
        <v>0</v>
      </c>
      <c r="K128" s="87">
        <v>0</v>
      </c>
      <c r="L128" s="87" t="s">
        <v>459</v>
      </c>
      <c r="M128" s="87" t="s">
        <v>855</v>
      </c>
      <c r="N128" s="130">
        <v>2</v>
      </c>
      <c r="O128" s="131">
        <v>2.0013888888888891</v>
      </c>
    </row>
    <row r="129" spans="2:15" s="109" customFormat="1" x14ac:dyDescent="0.2">
      <c r="B129" s="132"/>
      <c r="I129" s="132"/>
      <c r="O129" s="133"/>
    </row>
    <row r="130" spans="2:15" s="109" customFormat="1" x14ac:dyDescent="0.2">
      <c r="B130" s="132"/>
      <c r="I130" s="132"/>
      <c r="O130" s="133"/>
    </row>
    <row r="131" spans="2:15" s="109" customFormat="1" x14ac:dyDescent="0.2">
      <c r="B131" s="132"/>
      <c r="I131" s="132"/>
      <c r="O131" s="133"/>
    </row>
    <row r="132" spans="2:15" s="109" customFormat="1" x14ac:dyDescent="0.2">
      <c r="B132" s="132"/>
      <c r="I132" s="132"/>
      <c r="O132" s="133"/>
    </row>
    <row r="133" spans="2:15" s="109" customFormat="1" x14ac:dyDescent="0.2">
      <c r="B133" s="132"/>
      <c r="I133" s="132"/>
      <c r="O133" s="133"/>
    </row>
    <row r="134" spans="2:15" s="109" customFormat="1" x14ac:dyDescent="0.2">
      <c r="B134" s="132"/>
      <c r="I134" s="132"/>
      <c r="O134" s="133"/>
    </row>
    <row r="135" spans="2:15" s="109" customFormat="1" x14ac:dyDescent="0.2">
      <c r="B135" s="132"/>
      <c r="I135" s="132"/>
      <c r="O135" s="133"/>
    </row>
    <row r="136" spans="2:15" s="109" customFormat="1" x14ac:dyDescent="0.2">
      <c r="B136" s="132"/>
      <c r="I136" s="132"/>
      <c r="O136" s="133"/>
    </row>
    <row r="137" spans="2:15" s="109" customFormat="1" x14ac:dyDescent="0.2">
      <c r="B137" s="132"/>
      <c r="I137" s="132"/>
      <c r="O137" s="133"/>
    </row>
    <row r="138" spans="2:15" s="109" customFormat="1" x14ac:dyDescent="0.2">
      <c r="B138" s="132"/>
      <c r="I138" s="132"/>
      <c r="O138" s="133"/>
    </row>
    <row r="139" spans="2:15" s="109" customFormat="1" x14ac:dyDescent="0.2">
      <c r="B139" s="132"/>
      <c r="I139" s="132"/>
      <c r="O139" s="133"/>
    </row>
    <row r="140" spans="2:15" s="109" customFormat="1" x14ac:dyDescent="0.2">
      <c r="B140" s="132"/>
      <c r="I140" s="132"/>
      <c r="O140" s="133"/>
    </row>
    <row r="141" spans="2:15" s="109" customFormat="1" x14ac:dyDescent="0.2">
      <c r="B141" s="132"/>
      <c r="I141" s="132"/>
      <c r="O141" s="133"/>
    </row>
    <row r="142" spans="2:15" s="109" customFormat="1" x14ac:dyDescent="0.2">
      <c r="B142" s="132"/>
      <c r="I142" s="132"/>
      <c r="O142" s="133"/>
    </row>
    <row r="143" spans="2:15" s="109" customFormat="1" x14ac:dyDescent="0.2">
      <c r="B143" s="132"/>
      <c r="I143" s="132"/>
      <c r="O143" s="133"/>
    </row>
    <row r="144" spans="2:15" s="109" customFormat="1" x14ac:dyDescent="0.2">
      <c r="B144" s="132"/>
      <c r="I144" s="132"/>
      <c r="O144" s="133"/>
    </row>
    <row r="145" spans="2:15" s="109" customFormat="1" x14ac:dyDescent="0.2">
      <c r="B145" s="132"/>
      <c r="I145" s="132"/>
      <c r="O145" s="133"/>
    </row>
    <row r="146" spans="2:15" s="109" customFormat="1" x14ac:dyDescent="0.2">
      <c r="B146" s="132"/>
      <c r="I146" s="132"/>
      <c r="O146" s="133"/>
    </row>
    <row r="147" spans="2:15" s="109" customFormat="1" x14ac:dyDescent="0.2">
      <c r="B147" s="132"/>
      <c r="I147" s="132"/>
      <c r="O147" s="133"/>
    </row>
    <row r="148" spans="2:15" s="109" customFormat="1" x14ac:dyDescent="0.2">
      <c r="B148" s="132"/>
      <c r="I148" s="132"/>
      <c r="O148" s="133"/>
    </row>
    <row r="149" spans="2:15" s="109" customFormat="1" x14ac:dyDescent="0.2">
      <c r="B149" s="132"/>
      <c r="I149" s="132"/>
      <c r="O149" s="133"/>
    </row>
    <row r="150" spans="2:15" s="109" customFormat="1" x14ac:dyDescent="0.2">
      <c r="B150" s="132"/>
      <c r="I150" s="132"/>
      <c r="O150" s="133"/>
    </row>
    <row r="151" spans="2:15" s="109" customFormat="1" x14ac:dyDescent="0.2">
      <c r="B151" s="132"/>
      <c r="I151" s="132"/>
      <c r="O151" s="133"/>
    </row>
    <row r="152" spans="2:15" s="109" customFormat="1" x14ac:dyDescent="0.2">
      <c r="B152" s="132"/>
      <c r="I152" s="132"/>
      <c r="O152" s="133"/>
    </row>
    <row r="153" spans="2:15" s="109" customFormat="1" x14ac:dyDescent="0.2">
      <c r="B153" s="132"/>
      <c r="I153" s="132"/>
      <c r="O153" s="133"/>
    </row>
    <row r="154" spans="2:15" s="109" customFormat="1" x14ac:dyDescent="0.2">
      <c r="B154" s="132"/>
      <c r="I154" s="132"/>
      <c r="O154" s="133"/>
    </row>
    <row r="155" spans="2:15" s="109" customFormat="1" x14ac:dyDescent="0.2">
      <c r="B155" s="132"/>
      <c r="I155" s="132"/>
      <c r="O155" s="133"/>
    </row>
    <row r="156" spans="2:15" s="109" customFormat="1" x14ac:dyDescent="0.2">
      <c r="B156" s="132"/>
      <c r="I156" s="132"/>
      <c r="O156" s="133"/>
    </row>
    <row r="157" spans="2:15" s="109" customFormat="1" x14ac:dyDescent="0.2">
      <c r="B157" s="132"/>
      <c r="I157" s="132"/>
      <c r="O157" s="133"/>
    </row>
    <row r="158" spans="2:15" s="109" customFormat="1" x14ac:dyDescent="0.2">
      <c r="B158" s="132"/>
      <c r="I158" s="132"/>
      <c r="O158" s="133"/>
    </row>
    <row r="159" spans="2:15" s="109" customFormat="1" x14ac:dyDescent="0.2">
      <c r="B159" s="132"/>
      <c r="I159" s="132"/>
      <c r="O159" s="133"/>
    </row>
    <row r="160" spans="2:15" s="109" customFormat="1" x14ac:dyDescent="0.2">
      <c r="B160" s="132"/>
      <c r="I160" s="132"/>
      <c r="O160" s="133"/>
    </row>
    <row r="161" spans="2:15" s="109" customFormat="1" x14ac:dyDescent="0.2">
      <c r="B161" s="132"/>
      <c r="I161" s="132"/>
      <c r="O161" s="133"/>
    </row>
    <row r="162" spans="2:15" s="109" customFormat="1" x14ac:dyDescent="0.2">
      <c r="B162" s="132"/>
      <c r="I162" s="132"/>
      <c r="O162" s="133"/>
    </row>
    <row r="163" spans="2:15" s="109" customFormat="1" x14ac:dyDescent="0.2">
      <c r="B163" s="132"/>
      <c r="I163" s="132"/>
      <c r="O163" s="133"/>
    </row>
    <row r="164" spans="2:15" s="109" customFormat="1" x14ac:dyDescent="0.2">
      <c r="B164" s="132"/>
      <c r="I164" s="132"/>
      <c r="O164" s="133"/>
    </row>
    <row r="165" spans="2:15" s="109" customFormat="1" x14ac:dyDescent="0.2">
      <c r="B165" s="132"/>
      <c r="I165" s="132"/>
      <c r="O165" s="133"/>
    </row>
    <row r="166" spans="2:15" s="109" customFormat="1" x14ac:dyDescent="0.2">
      <c r="B166" s="132"/>
      <c r="I166" s="132"/>
      <c r="O166" s="133"/>
    </row>
    <row r="167" spans="2:15" s="109" customFormat="1" x14ac:dyDescent="0.2">
      <c r="B167" s="132"/>
      <c r="I167" s="132"/>
      <c r="O167" s="133"/>
    </row>
    <row r="168" spans="2:15" s="109" customFormat="1" x14ac:dyDescent="0.2">
      <c r="B168" s="132"/>
      <c r="I168" s="132"/>
      <c r="O168" s="133"/>
    </row>
    <row r="169" spans="2:15" s="109" customFormat="1" x14ac:dyDescent="0.2">
      <c r="B169" s="132"/>
      <c r="I169" s="132"/>
      <c r="O169" s="133"/>
    </row>
    <row r="170" spans="2:15" s="109" customFormat="1" x14ac:dyDescent="0.2">
      <c r="B170" s="132"/>
      <c r="I170" s="132"/>
      <c r="O170" s="133"/>
    </row>
    <row r="171" spans="2:15" s="109" customFormat="1" x14ac:dyDescent="0.2">
      <c r="B171" s="132"/>
      <c r="I171" s="132"/>
      <c r="O171" s="133"/>
    </row>
    <row r="172" spans="2:15" s="109" customFormat="1" x14ac:dyDescent="0.2">
      <c r="B172" s="132"/>
      <c r="I172" s="132"/>
      <c r="O172" s="133"/>
    </row>
    <row r="173" spans="2:15" s="109" customFormat="1" x14ac:dyDescent="0.2">
      <c r="B173" s="132"/>
      <c r="I173" s="132"/>
      <c r="O173" s="133"/>
    </row>
    <row r="174" spans="2:15" s="109" customFormat="1" x14ac:dyDescent="0.2">
      <c r="B174" s="132"/>
      <c r="I174" s="132"/>
      <c r="O174" s="133"/>
    </row>
    <row r="175" spans="2:15" s="109" customFormat="1" x14ac:dyDescent="0.2">
      <c r="B175" s="132"/>
      <c r="I175" s="132"/>
      <c r="O175" s="133"/>
    </row>
    <row r="176" spans="2:15" s="109" customFormat="1" x14ac:dyDescent="0.2">
      <c r="B176" s="132"/>
      <c r="I176" s="132"/>
      <c r="O176" s="133"/>
    </row>
    <row r="177" spans="2:15" s="109" customFormat="1" x14ac:dyDescent="0.2">
      <c r="B177" s="132"/>
      <c r="I177" s="132"/>
      <c r="O177" s="133"/>
    </row>
    <row r="178" spans="2:15" s="109" customFormat="1" x14ac:dyDescent="0.2">
      <c r="B178" s="132"/>
      <c r="I178" s="132"/>
      <c r="O178" s="133"/>
    </row>
    <row r="179" spans="2:15" s="109" customFormat="1" x14ac:dyDescent="0.2">
      <c r="B179" s="132"/>
      <c r="I179" s="132"/>
      <c r="O179" s="133"/>
    </row>
    <row r="180" spans="2:15" s="109" customFormat="1" x14ac:dyDescent="0.2">
      <c r="B180" s="132"/>
      <c r="I180" s="132"/>
      <c r="O180" s="133"/>
    </row>
  </sheetData>
  <autoFilter ref="A2:O128" xr:uid="{F9976FA7-4D4F-48EE-A7BD-4E9E5B149848}"/>
  <phoneticPr fontId="7" type="noConversion"/>
  <conditionalFormatting sqref="G26:G27 G29 E32:H32 C41:G41 E35:G40 N48:O124 N21:O25 C4:H24 C84:H84 C83:D83 C93:H104 C92:D92 C88:H91 C109:H110 C108:D108 G108:H108 C112:H127 C111:D111 G111:H111 C56:H57 C55:D55 G55:H55 C81:D81 C77:D77 G77:H77 C61:D66 G61:H62 G64:H64 C78:H80 C85:D87 G85:H87 C60:H60 C82:H82 C58:D59 G58:H59 C67:H76 C42:H45 C48:H54 C46:D47 E34:H34 H33 E26:F32 C107:H107 C105:D105 G105:H105 C3:M3 I4:M62 I64:M128 C106 E106:H106">
    <cfRule type="expression" dxfId="280" priority="45">
      <formula>AND(OR($E3="No",$E3=""), $D3= "Yes",$F3&lt;&gt;"",$G3&lt;&gt;"")</formula>
    </cfRule>
  </conditionalFormatting>
  <conditionalFormatting sqref="C26:D27 C29:D29 C31:D40">
    <cfRule type="expression" dxfId="279" priority="46">
      <formula>AND(OR($E27="No",$E27=""), $D26= "Yes",$F26&lt;&gt;"",$G26&lt;&gt;"")</formula>
    </cfRule>
  </conditionalFormatting>
  <conditionalFormatting sqref="C28:D28">
    <cfRule type="expression" dxfId="278" priority="188">
      <formula>AND(OR($E29="No",$E29=""), $D28= "Yes",$F28&lt;&gt;"",$G30&lt;&gt;"")</formula>
    </cfRule>
  </conditionalFormatting>
  <conditionalFormatting sqref="C30:D30">
    <cfRule type="expression" dxfId="277" priority="189">
      <formula>AND(OR($E31="No",$E31=""), $D30= "Yes",$F30&lt;&gt;"",#REF!&lt;&gt;"")</formula>
    </cfRule>
  </conditionalFormatting>
  <conditionalFormatting sqref="G30:G31">
    <cfRule type="expression" dxfId="276" priority="196">
      <formula>AND(OR($F28="No",$F28=""), $E28= "Yes",$G30&lt;&gt;"",$H28&lt;&gt;"")</formula>
    </cfRule>
  </conditionalFormatting>
  <conditionalFormatting sqref="H26:H31">
    <cfRule type="expression" dxfId="275" priority="40">
      <formula>AND(OR($F26="No",$F26=""), $E26= "Yes",$G26&lt;&gt;"",$H26&lt;&gt;"")</formula>
    </cfRule>
  </conditionalFormatting>
  <conditionalFormatting sqref="N41:O41 N127:O127 O125:O126 N43:O46">
    <cfRule type="expression" dxfId="274" priority="36">
      <formula>AND(OR($E41="No",$E41=""), $D41= "Yes",$F41&lt;&gt;"",$G41&lt;&gt;"")</formula>
    </cfRule>
  </conditionalFormatting>
  <conditionalFormatting sqref="N3:O19 N20">
    <cfRule type="expression" dxfId="273" priority="34">
      <formula>AND(OR($E3="No",$E3=""), $D3= "Yes",$F3&lt;&gt;"",$G3&lt;&gt;"")</formula>
    </cfRule>
  </conditionalFormatting>
  <conditionalFormatting sqref="N26:O40">
    <cfRule type="expression" dxfId="272" priority="35">
      <formula>AND(OR($E27="No",$E27=""), $D26= "Yes",$F26&lt;&gt;"",$G26&lt;&gt;"")</formula>
    </cfRule>
  </conditionalFormatting>
  <conditionalFormatting sqref="N126">
    <cfRule type="expression" dxfId="271" priority="37">
      <formula>AND(OR($E125="No",$E125=""), $D125= "Yes",$F125&lt;&gt;"",$G125&lt;&gt;"")</formula>
    </cfRule>
  </conditionalFormatting>
  <conditionalFormatting sqref="O20">
    <cfRule type="expression" dxfId="270" priority="33">
      <formula>AND(OR($E20="No",$E20=""), $D20= "Yes",$F20&lt;&gt;"",$G20&lt;&gt;"")</formula>
    </cfRule>
  </conditionalFormatting>
  <conditionalFormatting sqref="N125">
    <cfRule type="expression" dxfId="269" priority="32">
      <formula>AND(OR($E125="No",$E125=""), $D125= "Yes",$F125&lt;&gt;"",$G125&lt;&gt;"")</formula>
    </cfRule>
  </conditionalFormatting>
  <conditionalFormatting sqref="N42:O42">
    <cfRule type="expression" dxfId="268" priority="31">
      <formula>AND(OR($F42="No",$F42=""), $E42= "Yes",$G42&lt;&gt;"",$H42&lt;&gt;"")</formula>
    </cfRule>
  </conditionalFormatting>
  <conditionalFormatting sqref="H40:H41">
    <cfRule type="expression" dxfId="267" priority="30">
      <formula>AND(OR($F40="No",$F40=""), $E40= "Yes",$G40&lt;&gt;"",$H40&lt;&gt;"")</formula>
    </cfRule>
  </conditionalFormatting>
  <conditionalFormatting sqref="H35:H39">
    <cfRule type="expression" dxfId="266" priority="29">
      <formula>AND(OR($F35="No",$F35=""), $E35= "Yes",$G35&lt;&gt;"",$H35&lt;&gt;"")</formula>
    </cfRule>
  </conditionalFormatting>
  <conditionalFormatting sqref="C25:D25">
    <cfRule type="expression" dxfId="265" priority="28">
      <formula>AND(OR($E25="No",$E25=""), $D25= "Yes",$F25&lt;&gt;"",$G25&lt;&gt;"")</formula>
    </cfRule>
  </conditionalFormatting>
  <conditionalFormatting sqref="E83:H83">
    <cfRule type="expression" dxfId="264" priority="27">
      <formula>AND(OR($F83="No",$F83=""), $E83= "Yes",$G83&lt;&gt;"",$H83&lt;&gt;"")</formula>
    </cfRule>
  </conditionalFormatting>
  <conditionalFormatting sqref="E92:H92">
    <cfRule type="expression" dxfId="263" priority="26">
      <formula>AND(OR($F92="No",$F92=""), $E92= "Yes",$G92&lt;&gt;"",$H92&lt;&gt;"")</formula>
    </cfRule>
  </conditionalFormatting>
  <conditionalFormatting sqref="E86:F86">
    <cfRule type="expression" dxfId="262" priority="25">
      <formula>AND(OR($F86="No",$F86=""), $E86= "Yes",$G86&lt;&gt;"",$H86&lt;&gt;"")</formula>
    </cfRule>
  </conditionalFormatting>
  <conditionalFormatting sqref="E108:F108">
    <cfRule type="expression" dxfId="261" priority="24">
      <formula>AND(OR($F108="No",$F108=""), $E108= "Yes",$G108&lt;&gt;"",$H108&lt;&gt;"")</formula>
    </cfRule>
  </conditionalFormatting>
  <conditionalFormatting sqref="E111:F111">
    <cfRule type="expression" dxfId="260" priority="23">
      <formula>AND(OR($F111="No",$F111=""), $E111= "Yes",$G111&lt;&gt;"",$H111&lt;&gt;"")</formula>
    </cfRule>
  </conditionalFormatting>
  <conditionalFormatting sqref="E66:H66">
    <cfRule type="expression" dxfId="259" priority="22">
      <formula>AND(OR($F66="No",$F66=""), $E66= "Yes",$G66&lt;&gt;"",$H66&lt;&gt;"")</formula>
    </cfRule>
  </conditionalFormatting>
  <conditionalFormatting sqref="E65:H65">
    <cfRule type="expression" dxfId="258" priority="21">
      <formula>AND(OR($F65="No",$F65=""), $E65= "Yes",$G65&lt;&gt;"",$H65&lt;&gt;"")</formula>
    </cfRule>
  </conditionalFormatting>
  <conditionalFormatting sqref="E62:F62">
    <cfRule type="expression" dxfId="257" priority="20">
      <formula>AND(OR($F62="No",$F62=""), $E62= "Yes",$G62&lt;&gt;"",$H62&lt;&gt;"")</formula>
    </cfRule>
  </conditionalFormatting>
  <conditionalFormatting sqref="E87:F87">
    <cfRule type="expression" dxfId="256" priority="19">
      <formula>AND(OR($F87="No",$F87=""), $E87= "Yes",$G87&lt;&gt;"",$H87&lt;&gt;"")</formula>
    </cfRule>
  </conditionalFormatting>
  <conditionalFormatting sqref="E55:F55">
    <cfRule type="expression" dxfId="255" priority="18">
      <formula>AND(OR($F55="No",$F55=""), $E55= "Yes",$G55&lt;&gt;"",$H55&lt;&gt;"")</formula>
    </cfRule>
  </conditionalFormatting>
  <conditionalFormatting sqref="E63:H63">
    <cfRule type="expression" dxfId="254" priority="17">
      <formula>AND(OR($F63="No",$F63=""), $E63= "Yes",$G63&lt;&gt;"",$H63&lt;&gt;"")</formula>
    </cfRule>
  </conditionalFormatting>
  <conditionalFormatting sqref="E81:H81">
    <cfRule type="expression" dxfId="253" priority="16">
      <formula>AND(OR($F81="No",$F81=""), $E81= "Yes",$G81&lt;&gt;"",$H81&lt;&gt;"")</formula>
    </cfRule>
  </conditionalFormatting>
  <conditionalFormatting sqref="E77:F77">
    <cfRule type="expression" dxfId="252" priority="15">
      <formula>AND(OR($F77="No",$F77=""), $E77= "Yes",$G77&lt;&gt;"",$H77&lt;&gt;"")</formula>
    </cfRule>
  </conditionalFormatting>
  <conditionalFormatting sqref="E61:F61">
    <cfRule type="expression" dxfId="251" priority="14">
      <formula>AND(OR($F61="No",$F61=""), $E61= "Yes",$G61&lt;&gt;"",$H61&lt;&gt;"")</formula>
    </cfRule>
  </conditionalFormatting>
  <conditionalFormatting sqref="E64:F64">
    <cfRule type="expression" dxfId="250" priority="13">
      <formula>AND(OR($F64="No",$F64=""), $E64= "Yes",$G64&lt;&gt;"",$H64&lt;&gt;"")</formula>
    </cfRule>
  </conditionalFormatting>
  <conditionalFormatting sqref="E85:F85">
    <cfRule type="expression" dxfId="249" priority="12">
      <formula>AND(OR($F85="No",$F85=""), $E85= "Yes",$G85&lt;&gt;"",$H85&lt;&gt;"")</formula>
    </cfRule>
  </conditionalFormatting>
  <conditionalFormatting sqref="E58:F58">
    <cfRule type="expression" dxfId="248" priority="11">
      <formula>AND(OR($F58="No",$F58=""), $E58= "Yes",$G58&lt;&gt;"",$H58&lt;&gt;"")</formula>
    </cfRule>
  </conditionalFormatting>
  <conditionalFormatting sqref="E59:F59">
    <cfRule type="expression" dxfId="247" priority="10">
      <formula>AND(OR($F59="No",$F59=""), $E59= "Yes",$G59&lt;&gt;"",$H59&lt;&gt;"")</formula>
    </cfRule>
  </conditionalFormatting>
  <conditionalFormatting sqref="G46:H46">
    <cfRule type="expression" dxfId="246" priority="9">
      <formula>AND(OR($E46="No",$E46=""), $D46= "Yes",$F46&lt;&gt;"",$G46&lt;&gt;"")</formula>
    </cfRule>
  </conditionalFormatting>
  <conditionalFormatting sqref="G47:H47">
    <cfRule type="expression" dxfId="245" priority="8">
      <formula>AND(OR($E47="No",$E47=""), $D47= "Yes",$F47&lt;&gt;"",$G47&lt;&gt;"")</formula>
    </cfRule>
  </conditionalFormatting>
  <conditionalFormatting sqref="E33:G33">
    <cfRule type="expression" dxfId="244" priority="7">
      <formula>AND(OR($E33="No",$E33=""), $D33= "Yes",$F33&lt;&gt;"",$G33&lt;&gt;"")</formula>
    </cfRule>
  </conditionalFormatting>
  <conditionalFormatting sqref="E46:F47">
    <cfRule type="expression" dxfId="243" priority="6">
      <formula>AND(OR($E46="No",$E46=""), $D46= "Yes",$F46&lt;&gt;"",$G46&lt;&gt;"")</formula>
    </cfRule>
  </conditionalFormatting>
  <conditionalFormatting sqref="E105:F105">
    <cfRule type="expression" dxfId="242" priority="5">
      <formula>AND(OR($F105="No",$F105=""), $E105= "Yes",$G105&lt;&gt;"",$H105&lt;&gt;"")</formula>
    </cfRule>
  </conditionalFormatting>
  <conditionalFormatting sqref="J63:L63">
    <cfRule type="expression" dxfId="241" priority="4">
      <formula>AND(OR($F63="No",$F63=""), $E63= "Yes",$G63&lt;&gt;"",$H63&lt;&gt;"")</formula>
    </cfRule>
  </conditionalFormatting>
  <conditionalFormatting sqref="I63">
    <cfRule type="expression" dxfId="240" priority="3">
      <formula>AND(OR($E63="No",$E63=""), $D63= "Yes",$F63&lt;&gt;"",$G63&lt;&gt;"")</formula>
    </cfRule>
  </conditionalFormatting>
  <conditionalFormatting sqref="M63">
    <cfRule type="expression" dxfId="239" priority="2">
      <formula>AND(OR($F63="No",$F63=""), $E63= "Yes",$G63&lt;&gt;"",$H63&lt;&gt;"")</formula>
    </cfRule>
  </conditionalFormatting>
  <conditionalFormatting sqref="D106">
    <cfRule type="expression" dxfId="238" priority="1">
      <formula>AND(OR($F106="No",$F106=""), $E106= "Yes",$G106&lt;&gt;"",$H106&lt;&gt;"")</formula>
    </cfRule>
  </conditionalFormatting>
  <dataValidations count="1">
    <dataValidation type="list" allowBlank="1" showInputMessage="1" showErrorMessage="1" sqref="K1:K2 E1:F24 E111 E83 E92 E88:F91 E58:E59 E26:F54 E108 E109:F110 E112:F127 E61:E66 E84:F84 E85:E87 E55 E82:F82 E77 E81 E78:F80 E60:F60 E56:F57 E67:F76 E93:F104 E106:F107 E105" xr:uid="{459544E2-9136-4FFF-AD79-5FB115C5BAB9}">
      <formula1>"Yes, No"</formula1>
    </dataValidation>
  </dataValidations>
  <pageMargins left="0.2" right="0.2" top="0.2" bottom="0.2" header="0.3" footer="0.3"/>
  <pageSetup paperSize="8" scale="79" fitToHeight="0" orientation="landscape"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pageSetUpPr fitToPage="1"/>
  </sheetPr>
  <dimension ref="A1:Q180"/>
  <sheetViews>
    <sheetView zoomScale="60" zoomScaleNormal="60" workbookViewId="0">
      <pane ySplit="2" topLeftCell="A44" activePane="bottomLeft" state="frozen"/>
      <selection pane="bottomLeft" activeCell="D49" sqref="D49"/>
    </sheetView>
  </sheetViews>
  <sheetFormatPr defaultColWidth="8.88671875" defaultRowHeight="15" x14ac:dyDescent="0.2"/>
  <cols>
    <col min="1" max="1" width="7.6640625" style="3" customWidth="1"/>
    <col min="2" max="2" width="7.77734375" style="22" customWidth="1"/>
    <col min="3" max="3" width="60.77734375" style="49" customWidth="1"/>
    <col min="4" max="4" width="38.77734375" style="49" customWidth="1"/>
    <col min="5" max="6" width="7.6640625" style="3" customWidth="1"/>
    <col min="7" max="7" width="38.77734375" style="3" customWidth="1"/>
    <col min="8" max="8" width="14.77734375" style="3" customWidth="1"/>
    <col min="9" max="10" width="10.33203125" style="22" customWidth="1"/>
    <col min="11" max="11" width="10.5546875" style="3" customWidth="1"/>
    <col min="12" max="12" width="14.5546875" style="3" customWidth="1"/>
    <col min="13" max="13" width="27.33203125" style="3" customWidth="1"/>
    <col min="14" max="14" width="10.21875" style="3" customWidth="1"/>
    <col min="15" max="17" width="8.88671875" style="3" customWidth="1"/>
    <col min="18" max="16384" width="8.88671875" style="3"/>
  </cols>
  <sheetData>
    <row r="1" spans="1:17" ht="21" customHeight="1" thickBot="1" x14ac:dyDescent="0.25">
      <c r="A1" s="25"/>
      <c r="B1" s="107" t="s">
        <v>47</v>
      </c>
      <c r="C1" s="64" t="s">
        <v>460</v>
      </c>
      <c r="D1" s="48"/>
      <c r="E1" s="9"/>
      <c r="F1" s="9"/>
      <c r="G1" s="9"/>
      <c r="H1" s="9"/>
      <c r="I1" s="23"/>
      <c r="J1" s="23"/>
      <c r="K1" s="9"/>
      <c r="L1" s="9"/>
    </row>
    <row r="2" spans="1:17" s="10" customFormat="1" ht="87.95" customHeight="1" thickBot="1" x14ac:dyDescent="0.25">
      <c r="A2" s="54" t="s">
        <v>41</v>
      </c>
      <c r="B2" s="54" t="s">
        <v>42</v>
      </c>
      <c r="C2" s="55" t="s">
        <v>43</v>
      </c>
      <c r="D2" s="56" t="s">
        <v>44</v>
      </c>
      <c r="E2" s="57" t="s">
        <v>22</v>
      </c>
      <c r="F2" s="57" t="s">
        <v>19</v>
      </c>
      <c r="G2" s="58" t="s">
        <v>45</v>
      </c>
      <c r="H2" s="58" t="s">
        <v>46</v>
      </c>
      <c r="I2" s="59" t="s">
        <v>49</v>
      </c>
      <c r="J2" s="59" t="s">
        <v>50</v>
      </c>
      <c r="K2" s="59" t="s">
        <v>51</v>
      </c>
      <c r="L2" s="59" t="s">
        <v>52</v>
      </c>
      <c r="M2" s="59" t="s">
        <v>53</v>
      </c>
      <c r="N2" s="72" t="s">
        <v>54</v>
      </c>
      <c r="O2" s="72" t="s">
        <v>55</v>
      </c>
      <c r="P2" s="59" t="s">
        <v>56</v>
      </c>
      <c r="Q2" s="59" t="s">
        <v>57</v>
      </c>
    </row>
    <row r="3" spans="1:17" s="109" customFormat="1" ht="54" customHeight="1" thickTop="1" thickBot="1" x14ac:dyDescent="0.25">
      <c r="A3" s="98"/>
      <c r="B3" s="85" t="s">
        <v>10</v>
      </c>
      <c r="C3" s="86" t="s">
        <v>461</v>
      </c>
      <c r="D3" s="86" t="s">
        <v>462</v>
      </c>
      <c r="E3" s="86" t="s">
        <v>11</v>
      </c>
      <c r="F3" s="86" t="s">
        <v>24</v>
      </c>
      <c r="G3" s="86" t="s">
        <v>463</v>
      </c>
      <c r="H3" s="97">
        <v>44739</v>
      </c>
      <c r="I3" s="86" t="s">
        <v>62</v>
      </c>
      <c r="J3" s="86" t="s">
        <v>63</v>
      </c>
      <c r="K3" s="86">
        <v>0</v>
      </c>
      <c r="L3" s="86" t="s">
        <v>464</v>
      </c>
      <c r="M3" s="86" t="s">
        <v>835</v>
      </c>
      <c r="N3" s="86">
        <v>2</v>
      </c>
      <c r="O3" s="89">
        <v>5.2083333333333333E-4</v>
      </c>
    </row>
    <row r="4" spans="1:17" s="109" customFormat="1" ht="54" customHeight="1" thickTop="1" thickBot="1" x14ac:dyDescent="0.25">
      <c r="A4" s="99"/>
      <c r="B4" s="90" t="s">
        <v>10</v>
      </c>
      <c r="C4" s="80" t="s">
        <v>465</v>
      </c>
      <c r="D4" s="80" t="s">
        <v>466</v>
      </c>
      <c r="E4" s="80" t="s">
        <v>11</v>
      </c>
      <c r="F4" s="80" t="s">
        <v>24</v>
      </c>
      <c r="G4" s="80" t="s">
        <v>467</v>
      </c>
      <c r="H4" s="84">
        <v>44739</v>
      </c>
      <c r="I4" s="86" t="s">
        <v>62</v>
      </c>
      <c r="J4" s="86" t="s">
        <v>63</v>
      </c>
      <c r="K4" s="86">
        <v>0</v>
      </c>
      <c r="L4" s="86" t="s">
        <v>68</v>
      </c>
      <c r="M4" s="86" t="s">
        <v>836</v>
      </c>
      <c r="N4" s="80">
        <v>1</v>
      </c>
      <c r="O4" s="91">
        <v>1.3888888888888889E-3</v>
      </c>
    </row>
    <row r="5" spans="1:17" s="109" customFormat="1" ht="54" customHeight="1" thickTop="1" thickBot="1" x14ac:dyDescent="0.25">
      <c r="A5" s="99"/>
      <c r="B5" s="90" t="s">
        <v>10</v>
      </c>
      <c r="C5" s="80" t="s">
        <v>468</v>
      </c>
      <c r="D5" s="80" t="s">
        <v>469</v>
      </c>
      <c r="E5" s="80" t="s">
        <v>11</v>
      </c>
      <c r="F5" s="80" t="s">
        <v>24</v>
      </c>
      <c r="G5" s="80" t="s">
        <v>79</v>
      </c>
      <c r="H5" s="84">
        <v>44739</v>
      </c>
      <c r="I5" s="86" t="s">
        <v>62</v>
      </c>
      <c r="J5" s="86" t="s">
        <v>63</v>
      </c>
      <c r="K5" s="86">
        <v>0</v>
      </c>
      <c r="L5" s="86" t="s">
        <v>100</v>
      </c>
      <c r="M5" s="86" t="s">
        <v>835</v>
      </c>
      <c r="N5" s="80">
        <v>1</v>
      </c>
      <c r="O5" s="91">
        <v>2.0833333333333333E-3</v>
      </c>
    </row>
    <row r="6" spans="1:17" s="109" customFormat="1" ht="54" customHeight="1" thickTop="1" thickBot="1" x14ac:dyDescent="0.25">
      <c r="A6" s="100"/>
      <c r="B6" s="93" t="s">
        <v>10</v>
      </c>
      <c r="C6" s="94" t="s">
        <v>470</v>
      </c>
      <c r="D6" s="94" t="s">
        <v>471</v>
      </c>
      <c r="E6" s="94" t="s">
        <v>11</v>
      </c>
      <c r="F6" s="94" t="s">
        <v>24</v>
      </c>
      <c r="G6" s="94" t="s">
        <v>106</v>
      </c>
      <c r="H6" s="101">
        <v>44739</v>
      </c>
      <c r="I6" s="86" t="s">
        <v>62</v>
      </c>
      <c r="J6" s="86" t="s">
        <v>63</v>
      </c>
      <c r="K6" s="86">
        <v>0</v>
      </c>
      <c r="L6" s="86" t="s">
        <v>107</v>
      </c>
      <c r="M6" s="86" t="s">
        <v>835</v>
      </c>
      <c r="N6" s="94">
        <v>1</v>
      </c>
      <c r="O6" s="96">
        <v>1.0416666666666667E-3</v>
      </c>
    </row>
    <row r="7" spans="1:17" s="109" customFormat="1" ht="54" customHeight="1" thickTop="1" thickBot="1" x14ac:dyDescent="0.25">
      <c r="A7" s="99"/>
      <c r="B7" s="85" t="s">
        <v>13</v>
      </c>
      <c r="C7" s="86" t="s">
        <v>472</v>
      </c>
      <c r="D7" s="86" t="s">
        <v>473</v>
      </c>
      <c r="E7" s="86" t="s">
        <v>11</v>
      </c>
      <c r="F7" s="86" t="s">
        <v>24</v>
      </c>
      <c r="G7" s="86" t="s">
        <v>474</v>
      </c>
      <c r="H7" s="97">
        <v>45041</v>
      </c>
      <c r="I7" s="86" t="s">
        <v>140</v>
      </c>
      <c r="J7" s="86" t="s">
        <v>141</v>
      </c>
      <c r="K7" s="86">
        <v>0</v>
      </c>
      <c r="L7" s="86" t="s">
        <v>142</v>
      </c>
      <c r="M7" s="86" t="s">
        <v>838</v>
      </c>
      <c r="N7" s="86">
        <v>4</v>
      </c>
      <c r="O7" s="89">
        <v>1.736111111111111E-3</v>
      </c>
    </row>
    <row r="8" spans="1:17" s="109" customFormat="1" ht="54" customHeight="1" thickTop="1" thickBot="1" x14ac:dyDescent="0.25">
      <c r="A8" s="99"/>
      <c r="B8" s="90" t="s">
        <v>13</v>
      </c>
      <c r="C8" s="80" t="s">
        <v>475</v>
      </c>
      <c r="D8" s="80" t="s">
        <v>476</v>
      </c>
      <c r="E8" s="80" t="s">
        <v>11</v>
      </c>
      <c r="F8" s="80" t="s">
        <v>24</v>
      </c>
      <c r="G8" s="80" t="s">
        <v>477</v>
      </c>
      <c r="H8" s="84">
        <v>45041</v>
      </c>
      <c r="I8" s="86" t="s">
        <v>140</v>
      </c>
      <c r="J8" s="86" t="s">
        <v>141</v>
      </c>
      <c r="K8" s="86">
        <v>0</v>
      </c>
      <c r="L8" s="86" t="s">
        <v>142</v>
      </c>
      <c r="M8" s="86" t="s">
        <v>838</v>
      </c>
      <c r="N8" s="80">
        <v>4</v>
      </c>
      <c r="O8" s="91">
        <v>1.736111111111111E-3</v>
      </c>
    </row>
    <row r="9" spans="1:17" s="109" customFormat="1" ht="54" customHeight="1" thickTop="1" thickBot="1" x14ac:dyDescent="0.25">
      <c r="A9" s="99"/>
      <c r="B9" s="90" t="s">
        <v>13</v>
      </c>
      <c r="C9" s="80" t="s">
        <v>478</v>
      </c>
      <c r="D9" s="80" t="s">
        <v>479</v>
      </c>
      <c r="E9" s="80" t="s">
        <v>11</v>
      </c>
      <c r="F9" s="80" t="s">
        <v>24</v>
      </c>
      <c r="G9" s="80" t="s">
        <v>141</v>
      </c>
      <c r="H9" s="84">
        <v>45041</v>
      </c>
      <c r="I9" s="86" t="s">
        <v>140</v>
      </c>
      <c r="J9" s="86" t="s">
        <v>141</v>
      </c>
      <c r="K9" s="86">
        <v>0</v>
      </c>
      <c r="L9" s="86" t="s">
        <v>142</v>
      </c>
      <c r="M9" s="86" t="s">
        <v>838</v>
      </c>
      <c r="N9" s="80">
        <v>4</v>
      </c>
      <c r="O9" s="91">
        <v>1.736111111111111E-3</v>
      </c>
    </row>
    <row r="10" spans="1:17" s="109" customFormat="1" ht="54" customHeight="1" thickTop="1" thickBot="1" x14ac:dyDescent="0.25">
      <c r="A10" s="99"/>
      <c r="B10" s="90" t="s">
        <v>13</v>
      </c>
      <c r="C10" s="80" t="s">
        <v>480</v>
      </c>
      <c r="D10" s="80" t="s">
        <v>481</v>
      </c>
      <c r="E10" s="80" t="s">
        <v>11</v>
      </c>
      <c r="F10" s="80" t="s">
        <v>24</v>
      </c>
      <c r="G10" s="80" t="s">
        <v>477</v>
      </c>
      <c r="H10" s="84">
        <v>45041</v>
      </c>
      <c r="I10" s="86" t="s">
        <v>140</v>
      </c>
      <c r="J10" s="86" t="s">
        <v>141</v>
      </c>
      <c r="K10" s="86">
        <v>0</v>
      </c>
      <c r="L10" s="86" t="s">
        <v>142</v>
      </c>
      <c r="M10" s="86" t="s">
        <v>838</v>
      </c>
      <c r="N10" s="80">
        <v>4</v>
      </c>
      <c r="O10" s="91">
        <v>1.736111111111111E-3</v>
      </c>
    </row>
    <row r="11" spans="1:17" s="109" customFormat="1" ht="54" customHeight="1" thickTop="1" thickBot="1" x14ac:dyDescent="0.25">
      <c r="A11" s="99"/>
      <c r="B11" s="90" t="s">
        <v>13</v>
      </c>
      <c r="C11" s="80" t="s">
        <v>482</v>
      </c>
      <c r="D11" s="80" t="s">
        <v>483</v>
      </c>
      <c r="E11" s="81" t="s">
        <v>11</v>
      </c>
      <c r="F11" s="81" t="s">
        <v>24</v>
      </c>
      <c r="G11" s="81" t="s">
        <v>163</v>
      </c>
      <c r="H11" s="82">
        <v>45778</v>
      </c>
      <c r="I11" s="86" t="s">
        <v>140</v>
      </c>
      <c r="J11" s="86" t="s">
        <v>63</v>
      </c>
      <c r="K11" s="86">
        <v>0</v>
      </c>
      <c r="L11" s="86" t="s">
        <v>484</v>
      </c>
      <c r="M11" s="86" t="s">
        <v>839</v>
      </c>
      <c r="N11" s="80">
        <v>1</v>
      </c>
      <c r="O11" s="91">
        <v>6.9444444444444447E-4</v>
      </c>
    </row>
    <row r="12" spans="1:17" s="109" customFormat="1" ht="54" customHeight="1" thickTop="1" thickBot="1" x14ac:dyDescent="0.25">
      <c r="A12" s="99"/>
      <c r="B12" s="90" t="s">
        <v>13</v>
      </c>
      <c r="C12" s="80" t="s">
        <v>485</v>
      </c>
      <c r="D12" s="80" t="s">
        <v>486</v>
      </c>
      <c r="E12" s="80" t="s">
        <v>11</v>
      </c>
      <c r="F12" s="80" t="s">
        <v>24</v>
      </c>
      <c r="G12" s="80" t="s">
        <v>477</v>
      </c>
      <c r="H12" s="84">
        <v>45041</v>
      </c>
      <c r="I12" s="86" t="s">
        <v>62</v>
      </c>
      <c r="J12" s="86" t="s">
        <v>141</v>
      </c>
      <c r="K12" s="86">
        <v>0</v>
      </c>
      <c r="L12" s="86" t="s">
        <v>171</v>
      </c>
      <c r="M12" s="86" t="s">
        <v>840</v>
      </c>
      <c r="N12" s="80">
        <v>2</v>
      </c>
      <c r="O12" s="91">
        <v>4.6296296296296293E-4</v>
      </c>
    </row>
    <row r="13" spans="1:17" s="109" customFormat="1" ht="54" customHeight="1" thickTop="1" thickBot="1" x14ac:dyDescent="0.25">
      <c r="A13" s="99"/>
      <c r="B13" s="90" t="s">
        <v>13</v>
      </c>
      <c r="C13" s="80" t="s">
        <v>487</v>
      </c>
      <c r="D13" s="80" t="s">
        <v>488</v>
      </c>
      <c r="E13" s="80" t="s">
        <v>11</v>
      </c>
      <c r="F13" s="80" t="s">
        <v>24</v>
      </c>
      <c r="G13" s="80" t="s">
        <v>477</v>
      </c>
      <c r="H13" s="84">
        <v>45041</v>
      </c>
      <c r="I13" s="86" t="s">
        <v>62</v>
      </c>
      <c r="J13" s="86" t="s">
        <v>141</v>
      </c>
      <c r="K13" s="86">
        <v>0</v>
      </c>
      <c r="L13" s="86" t="s">
        <v>171</v>
      </c>
      <c r="M13" s="86" t="s">
        <v>840</v>
      </c>
      <c r="N13" s="80">
        <v>2</v>
      </c>
      <c r="O13" s="91">
        <v>4.6296296296296293E-4</v>
      </c>
    </row>
    <row r="14" spans="1:17" s="109" customFormat="1" ht="54" customHeight="1" thickTop="1" thickBot="1" x14ac:dyDescent="0.25">
      <c r="A14" s="100"/>
      <c r="B14" s="93" t="s">
        <v>13</v>
      </c>
      <c r="C14" s="94" t="s">
        <v>489</v>
      </c>
      <c r="D14" s="94" t="s">
        <v>490</v>
      </c>
      <c r="E14" s="95" t="s">
        <v>11</v>
      </c>
      <c r="F14" s="95" t="s">
        <v>24</v>
      </c>
      <c r="G14" s="95" t="s">
        <v>185</v>
      </c>
      <c r="H14" s="143">
        <v>45773</v>
      </c>
      <c r="I14" s="86" t="s">
        <v>94</v>
      </c>
      <c r="J14" s="86" t="s">
        <v>63</v>
      </c>
      <c r="K14" s="86">
        <v>0</v>
      </c>
      <c r="L14" s="86" t="s">
        <v>491</v>
      </c>
      <c r="M14" s="86" t="s">
        <v>838</v>
      </c>
      <c r="N14" s="94">
        <v>1</v>
      </c>
      <c r="O14" s="96">
        <v>6.9444444444444447E-4</v>
      </c>
    </row>
    <row r="15" spans="1:17" s="109" customFormat="1" ht="54" customHeight="1" thickTop="1" thickBot="1" x14ac:dyDescent="0.25">
      <c r="A15" s="99"/>
      <c r="B15" s="85" t="s">
        <v>16</v>
      </c>
      <c r="C15" s="86" t="s">
        <v>492</v>
      </c>
      <c r="D15" s="86" t="s">
        <v>211</v>
      </c>
      <c r="E15" s="87" t="s">
        <v>11</v>
      </c>
      <c r="F15" s="87" t="s">
        <v>24</v>
      </c>
      <c r="G15" s="87" t="s">
        <v>212</v>
      </c>
      <c r="H15" s="88">
        <v>45776</v>
      </c>
      <c r="I15" s="86" t="s">
        <v>140</v>
      </c>
      <c r="J15" s="86" t="s">
        <v>141</v>
      </c>
      <c r="K15" s="86">
        <v>0</v>
      </c>
      <c r="L15" s="86" t="s">
        <v>213</v>
      </c>
      <c r="M15" s="86" t="s">
        <v>842</v>
      </c>
      <c r="N15" s="86">
        <v>1</v>
      </c>
      <c r="O15" s="89">
        <v>3.4722222222222224E-4</v>
      </c>
    </row>
    <row r="16" spans="1:17" s="109" customFormat="1" ht="54" customHeight="1" thickTop="1" x14ac:dyDescent="0.2">
      <c r="A16" s="99"/>
      <c r="B16" s="90" t="s">
        <v>16</v>
      </c>
      <c r="C16" s="80" t="s">
        <v>493</v>
      </c>
      <c r="D16" s="80" t="s">
        <v>211</v>
      </c>
      <c r="E16" s="81" t="s">
        <v>11</v>
      </c>
      <c r="F16" s="81" t="s">
        <v>24</v>
      </c>
      <c r="G16" s="81" t="s">
        <v>212</v>
      </c>
      <c r="H16" s="82">
        <v>45776</v>
      </c>
      <c r="I16" s="86" t="s">
        <v>140</v>
      </c>
      <c r="J16" s="86" t="s">
        <v>141</v>
      </c>
      <c r="K16" s="86">
        <v>0</v>
      </c>
      <c r="L16" s="86" t="s">
        <v>213</v>
      </c>
      <c r="M16" s="86" t="s">
        <v>842</v>
      </c>
      <c r="N16" s="80">
        <v>1</v>
      </c>
      <c r="O16" s="91">
        <v>3.4722222222222224E-4</v>
      </c>
    </row>
    <row r="17" spans="1:15" s="109" customFormat="1" ht="54" customHeight="1" thickBot="1" x14ac:dyDescent="0.3">
      <c r="A17" s="99"/>
      <c r="B17" s="90" t="s">
        <v>16</v>
      </c>
      <c r="C17" s="80" t="s">
        <v>494</v>
      </c>
      <c r="D17" s="80" t="s">
        <v>495</v>
      </c>
      <c r="E17" s="80" t="s">
        <v>245</v>
      </c>
      <c r="F17" s="80" t="s">
        <v>24</v>
      </c>
      <c r="G17" s="80" t="s">
        <v>217</v>
      </c>
      <c r="H17" s="84">
        <v>45775</v>
      </c>
      <c r="I17" s="175" t="s">
        <v>94</v>
      </c>
      <c r="J17" s="175" t="s">
        <v>141</v>
      </c>
      <c r="K17" s="175"/>
      <c r="L17" s="175" t="s">
        <v>565</v>
      </c>
      <c r="M17" s="176" t="s">
        <v>850</v>
      </c>
      <c r="N17" s="80">
        <v>1</v>
      </c>
      <c r="O17" s="91">
        <v>3.4722222222222224E-4</v>
      </c>
    </row>
    <row r="18" spans="1:15" s="109" customFormat="1" ht="54" customHeight="1" thickTop="1" thickBot="1" x14ac:dyDescent="0.25">
      <c r="A18" s="145"/>
      <c r="B18" s="115" t="s">
        <v>16</v>
      </c>
      <c r="C18" s="108" t="s">
        <v>496</v>
      </c>
      <c r="D18" s="108" t="s">
        <v>220</v>
      </c>
      <c r="E18" s="108" t="s">
        <v>24</v>
      </c>
      <c r="F18" s="108"/>
      <c r="G18" s="108"/>
      <c r="H18" s="108"/>
      <c r="I18" s="86" t="s">
        <v>140</v>
      </c>
      <c r="J18" s="86" t="s">
        <v>141</v>
      </c>
      <c r="K18" s="86">
        <v>0</v>
      </c>
      <c r="L18" s="86" t="s">
        <v>221</v>
      </c>
      <c r="M18" s="86" t="s">
        <v>842</v>
      </c>
      <c r="N18" s="108">
        <v>1</v>
      </c>
      <c r="O18" s="118">
        <v>5.7870370370370378E-4</v>
      </c>
    </row>
    <row r="19" spans="1:15" s="109" customFormat="1" ht="54" customHeight="1" thickTop="1" thickBot="1" x14ac:dyDescent="0.25">
      <c r="A19" s="145"/>
      <c r="B19" s="115" t="s">
        <v>16</v>
      </c>
      <c r="C19" s="108" t="s">
        <v>497</v>
      </c>
      <c r="D19" s="108" t="s">
        <v>223</v>
      </c>
      <c r="E19" s="108" t="s">
        <v>24</v>
      </c>
      <c r="F19" s="108"/>
      <c r="G19" s="108"/>
      <c r="H19" s="108"/>
      <c r="I19" s="86" t="s">
        <v>140</v>
      </c>
      <c r="J19" s="86" t="s">
        <v>141</v>
      </c>
      <c r="K19" s="86">
        <v>0</v>
      </c>
      <c r="L19" s="86" t="s">
        <v>224</v>
      </c>
      <c r="M19" s="86" t="s">
        <v>842</v>
      </c>
      <c r="N19" s="108">
        <v>2</v>
      </c>
      <c r="O19" s="118">
        <v>6.9444444444444447E-4</v>
      </c>
    </row>
    <row r="20" spans="1:15" s="109" customFormat="1" ht="54" customHeight="1" thickTop="1" thickBot="1" x14ac:dyDescent="0.25">
      <c r="A20" s="99"/>
      <c r="B20" s="90" t="s">
        <v>16</v>
      </c>
      <c r="C20" s="80" t="s">
        <v>498</v>
      </c>
      <c r="D20" s="80" t="s">
        <v>226</v>
      </c>
      <c r="E20" s="80" t="s">
        <v>11</v>
      </c>
      <c r="F20" s="80" t="s">
        <v>24</v>
      </c>
      <c r="G20" s="81" t="s">
        <v>227</v>
      </c>
      <c r="H20" s="82">
        <v>45774</v>
      </c>
      <c r="I20" s="86" t="s">
        <v>62</v>
      </c>
      <c r="J20" s="86" t="s">
        <v>141</v>
      </c>
      <c r="K20" s="86">
        <v>0</v>
      </c>
      <c r="L20" s="86" t="s">
        <v>228</v>
      </c>
      <c r="M20" s="86" t="s">
        <v>842</v>
      </c>
      <c r="N20" s="80">
        <v>1</v>
      </c>
      <c r="O20" s="91">
        <v>3.4722222222222224E-4</v>
      </c>
    </row>
    <row r="21" spans="1:15" s="109" customFormat="1" ht="54" customHeight="1" thickTop="1" thickBot="1" x14ac:dyDescent="0.25">
      <c r="A21" s="145"/>
      <c r="B21" s="115" t="s">
        <v>16</v>
      </c>
      <c r="C21" s="108" t="s">
        <v>499</v>
      </c>
      <c r="D21" s="108" t="s">
        <v>230</v>
      </c>
      <c r="E21" s="108" t="s">
        <v>24</v>
      </c>
      <c r="F21" s="108"/>
      <c r="G21" s="108"/>
      <c r="H21" s="108"/>
      <c r="I21" s="86" t="s">
        <v>140</v>
      </c>
      <c r="J21" s="86" t="s">
        <v>63</v>
      </c>
      <c r="K21" s="86">
        <v>0</v>
      </c>
      <c r="L21" s="86" t="s">
        <v>221</v>
      </c>
      <c r="M21" s="86" t="s">
        <v>842</v>
      </c>
      <c r="N21" s="108">
        <v>1</v>
      </c>
      <c r="O21" s="118">
        <v>1.0416666666666667E-3</v>
      </c>
    </row>
    <row r="22" spans="1:15" s="109" customFormat="1" ht="54" customHeight="1" thickTop="1" thickBot="1" x14ac:dyDescent="0.25">
      <c r="A22" s="99"/>
      <c r="B22" s="90" t="s">
        <v>16</v>
      </c>
      <c r="C22" s="80" t="s">
        <v>500</v>
      </c>
      <c r="D22" s="80" t="s">
        <v>232</v>
      </c>
      <c r="E22" s="81" t="s">
        <v>11</v>
      </c>
      <c r="F22" s="81" t="s">
        <v>24</v>
      </c>
      <c r="G22" s="81" t="s">
        <v>233</v>
      </c>
      <c r="H22" s="82">
        <v>45776</v>
      </c>
      <c r="I22" s="86" t="s">
        <v>140</v>
      </c>
      <c r="J22" s="86" t="s">
        <v>141</v>
      </c>
      <c r="K22" s="86">
        <v>0</v>
      </c>
      <c r="L22" s="86" t="s">
        <v>234</v>
      </c>
      <c r="M22" s="86" t="s">
        <v>842</v>
      </c>
      <c r="N22" s="80">
        <v>1</v>
      </c>
      <c r="O22" s="91">
        <v>1.1574074074074073E-4</v>
      </c>
    </row>
    <row r="23" spans="1:15" s="109" customFormat="1" ht="54" customHeight="1" thickTop="1" thickBot="1" x14ac:dyDescent="0.25">
      <c r="A23" s="99"/>
      <c r="B23" s="90" t="s">
        <v>16</v>
      </c>
      <c r="C23" s="80" t="s">
        <v>501</v>
      </c>
      <c r="D23" s="80" t="s">
        <v>502</v>
      </c>
      <c r="E23" s="80" t="s">
        <v>245</v>
      </c>
      <c r="F23" s="80" t="s">
        <v>24</v>
      </c>
      <c r="G23" s="80" t="s">
        <v>217</v>
      </c>
      <c r="H23" s="84">
        <v>45775</v>
      </c>
      <c r="I23" s="86" t="s">
        <v>94</v>
      </c>
      <c r="J23" s="86" t="s">
        <v>141</v>
      </c>
      <c r="K23" s="86">
        <v>0</v>
      </c>
      <c r="L23" s="86" t="s">
        <v>503</v>
      </c>
      <c r="M23" s="86" t="s">
        <v>850</v>
      </c>
      <c r="N23" s="80">
        <v>1</v>
      </c>
      <c r="O23" s="91">
        <v>3.4722222222222224E-4</v>
      </c>
    </row>
    <row r="24" spans="1:15" s="109" customFormat="1" ht="54" customHeight="1" thickTop="1" thickBot="1" x14ac:dyDescent="0.25">
      <c r="A24" s="158"/>
      <c r="B24" s="135" t="s">
        <v>16</v>
      </c>
      <c r="C24" s="136" t="s">
        <v>504</v>
      </c>
      <c r="D24" s="136" t="s">
        <v>244</v>
      </c>
      <c r="E24" s="137" t="s">
        <v>11</v>
      </c>
      <c r="F24" s="137" t="s">
        <v>245</v>
      </c>
      <c r="G24" s="137" t="s">
        <v>246</v>
      </c>
      <c r="H24" s="138">
        <v>45776</v>
      </c>
      <c r="I24" s="86" t="s">
        <v>140</v>
      </c>
      <c r="J24" s="86" t="s">
        <v>141</v>
      </c>
      <c r="K24" s="86">
        <v>0</v>
      </c>
      <c r="L24" s="86" t="s">
        <v>247</v>
      </c>
      <c r="M24" s="86" t="s">
        <v>842</v>
      </c>
      <c r="N24" s="136">
        <v>1</v>
      </c>
      <c r="O24" s="139">
        <v>6.9444444444444447E-4</v>
      </c>
    </row>
    <row r="25" spans="1:15" s="109" customFormat="1" ht="54" customHeight="1" thickTop="1" thickBot="1" x14ac:dyDescent="0.25">
      <c r="A25" s="99"/>
      <c r="B25" s="90" t="s">
        <v>16</v>
      </c>
      <c r="C25" s="80" t="s">
        <v>505</v>
      </c>
      <c r="D25" s="80" t="s">
        <v>269</v>
      </c>
      <c r="E25" s="80" t="s">
        <v>11</v>
      </c>
      <c r="F25" s="80" t="s">
        <v>24</v>
      </c>
      <c r="G25" s="80" t="s">
        <v>266</v>
      </c>
      <c r="H25" s="84">
        <v>45774</v>
      </c>
      <c r="I25" s="86" t="s">
        <v>62</v>
      </c>
      <c r="J25" s="86" t="s">
        <v>141</v>
      </c>
      <c r="K25" s="86">
        <v>0</v>
      </c>
      <c r="L25" s="86" t="s">
        <v>270</v>
      </c>
      <c r="M25" s="86" t="s">
        <v>842</v>
      </c>
      <c r="N25" s="80">
        <v>1</v>
      </c>
      <c r="O25" s="91">
        <v>3.4722222222222224E-4</v>
      </c>
    </row>
    <row r="26" spans="1:15" s="109" customFormat="1" ht="54" customHeight="1" thickTop="1" thickBot="1" x14ac:dyDescent="0.25">
      <c r="A26" s="99"/>
      <c r="B26" s="90" t="s">
        <v>16</v>
      </c>
      <c r="C26" s="80" t="s">
        <v>506</v>
      </c>
      <c r="D26" s="80" t="s">
        <v>507</v>
      </c>
      <c r="E26" s="80" t="s">
        <v>11</v>
      </c>
      <c r="F26" s="80" t="s">
        <v>24</v>
      </c>
      <c r="G26" s="80" t="s">
        <v>103</v>
      </c>
      <c r="H26" s="84">
        <v>45774</v>
      </c>
      <c r="I26" s="86" t="s">
        <v>62</v>
      </c>
      <c r="J26" s="86" t="s">
        <v>141</v>
      </c>
      <c r="K26" s="86">
        <v>0</v>
      </c>
      <c r="L26" s="86" t="s">
        <v>508</v>
      </c>
      <c r="M26" s="86" t="s">
        <v>842</v>
      </c>
      <c r="N26" s="80">
        <v>2</v>
      </c>
      <c r="O26" s="91">
        <v>2.3148148148148146E-4</v>
      </c>
    </row>
    <row r="27" spans="1:15" s="109" customFormat="1" ht="54" customHeight="1" thickTop="1" thickBot="1" x14ac:dyDescent="0.25">
      <c r="A27" s="99"/>
      <c r="B27" s="90" t="s">
        <v>16</v>
      </c>
      <c r="C27" s="80" t="s">
        <v>509</v>
      </c>
      <c r="D27" s="80" t="s">
        <v>510</v>
      </c>
      <c r="E27" s="80" t="s">
        <v>245</v>
      </c>
      <c r="F27" s="80" t="s">
        <v>24</v>
      </c>
      <c r="G27" s="80" t="s">
        <v>217</v>
      </c>
      <c r="H27" s="84">
        <v>45775</v>
      </c>
      <c r="I27" s="86" t="s">
        <v>94</v>
      </c>
      <c r="J27" s="86" t="s">
        <v>141</v>
      </c>
      <c r="K27" s="86">
        <v>0</v>
      </c>
      <c r="L27" s="86" t="s">
        <v>511</v>
      </c>
      <c r="M27" s="86" t="s">
        <v>850</v>
      </c>
      <c r="N27" s="80">
        <v>1</v>
      </c>
      <c r="O27" s="91">
        <v>3.4722222222222224E-4</v>
      </c>
    </row>
    <row r="28" spans="1:15" s="109" customFormat="1" ht="54" customHeight="1" thickTop="1" thickBot="1" x14ac:dyDescent="0.25">
      <c r="A28" s="99"/>
      <c r="B28" s="90" t="s">
        <v>16</v>
      </c>
      <c r="C28" s="80" t="s">
        <v>512</v>
      </c>
      <c r="D28" s="80" t="s">
        <v>513</v>
      </c>
      <c r="E28" s="80" t="s">
        <v>11</v>
      </c>
      <c r="F28" s="80" t="s">
        <v>24</v>
      </c>
      <c r="G28" s="80" t="s">
        <v>103</v>
      </c>
      <c r="H28" s="84">
        <v>45774</v>
      </c>
      <c r="I28" s="86" t="s">
        <v>62</v>
      </c>
      <c r="J28" s="86" t="s">
        <v>141</v>
      </c>
      <c r="K28" s="86">
        <v>0</v>
      </c>
      <c r="L28" s="86" t="s">
        <v>514</v>
      </c>
      <c r="M28" s="86" t="s">
        <v>842</v>
      </c>
      <c r="N28" s="80">
        <v>1</v>
      </c>
      <c r="O28" s="91">
        <v>4.6296296296296293E-4</v>
      </c>
    </row>
    <row r="29" spans="1:15" s="109" customFormat="1" ht="54" customHeight="1" thickTop="1" thickBot="1" x14ac:dyDescent="0.25">
      <c r="A29" s="145"/>
      <c r="B29" s="115" t="s">
        <v>16</v>
      </c>
      <c r="C29" s="108" t="s">
        <v>515</v>
      </c>
      <c r="D29" s="108" t="s">
        <v>516</v>
      </c>
      <c r="E29" s="108" t="s">
        <v>24</v>
      </c>
      <c r="F29" s="108"/>
      <c r="G29" s="108"/>
      <c r="H29" s="108"/>
      <c r="I29" s="86" t="s">
        <v>62</v>
      </c>
      <c r="J29" s="86" t="s">
        <v>63</v>
      </c>
      <c r="K29" s="86">
        <v>0</v>
      </c>
      <c r="L29" s="86" t="s">
        <v>517</v>
      </c>
      <c r="M29" s="86" t="s">
        <v>842</v>
      </c>
      <c r="N29" s="108">
        <v>1</v>
      </c>
      <c r="O29" s="118">
        <v>6.9444444444444447E-4</v>
      </c>
    </row>
    <row r="30" spans="1:15" s="109" customFormat="1" ht="54" customHeight="1" thickTop="1" thickBot="1" x14ac:dyDescent="0.25">
      <c r="A30" s="99"/>
      <c r="B30" s="90" t="s">
        <v>16</v>
      </c>
      <c r="C30" s="80" t="s">
        <v>518</v>
      </c>
      <c r="D30" s="80" t="s">
        <v>519</v>
      </c>
      <c r="E30" s="80" t="s">
        <v>245</v>
      </c>
      <c r="F30" s="80" t="s">
        <v>24</v>
      </c>
      <c r="G30" s="80" t="s">
        <v>217</v>
      </c>
      <c r="H30" s="84">
        <v>45775</v>
      </c>
      <c r="I30" s="86" t="s">
        <v>94</v>
      </c>
      <c r="J30" s="86" t="s">
        <v>141</v>
      </c>
      <c r="K30" s="86">
        <v>0</v>
      </c>
      <c r="L30" s="86" t="s">
        <v>277</v>
      </c>
      <c r="M30" s="86" t="s">
        <v>850</v>
      </c>
      <c r="N30" s="80">
        <v>1</v>
      </c>
      <c r="O30" s="91">
        <v>3.4722222222222224E-4</v>
      </c>
    </row>
    <row r="31" spans="1:15" s="109" customFormat="1" ht="54" customHeight="1" thickTop="1" thickBot="1" x14ac:dyDescent="0.25">
      <c r="A31" s="99"/>
      <c r="B31" s="90" t="s">
        <v>16</v>
      </c>
      <c r="C31" s="80" t="s">
        <v>520</v>
      </c>
      <c r="D31" s="80" t="s">
        <v>521</v>
      </c>
      <c r="E31" s="80" t="s">
        <v>245</v>
      </c>
      <c r="F31" s="80" t="s">
        <v>24</v>
      </c>
      <c r="G31" s="80" t="s">
        <v>217</v>
      </c>
      <c r="H31" s="84">
        <v>45775</v>
      </c>
      <c r="I31" s="86" t="s">
        <v>94</v>
      </c>
      <c r="J31" s="86" t="s">
        <v>141</v>
      </c>
      <c r="K31" s="86">
        <v>0</v>
      </c>
      <c r="L31" s="86" t="s">
        <v>283</v>
      </c>
      <c r="M31" s="86" t="s">
        <v>850</v>
      </c>
      <c r="N31" s="80">
        <v>1</v>
      </c>
      <c r="O31" s="91">
        <v>6.9444444444444447E-4</v>
      </c>
    </row>
    <row r="32" spans="1:15" s="109" customFormat="1" ht="54" customHeight="1" thickTop="1" thickBot="1" x14ac:dyDescent="0.25">
      <c r="A32" s="99"/>
      <c r="B32" s="90" t="s">
        <v>16</v>
      </c>
      <c r="C32" s="80" t="s">
        <v>522</v>
      </c>
      <c r="D32" s="80" t="s">
        <v>285</v>
      </c>
      <c r="E32" s="80" t="s">
        <v>245</v>
      </c>
      <c r="F32" s="80" t="s">
        <v>24</v>
      </c>
      <c r="G32" s="80" t="s">
        <v>523</v>
      </c>
      <c r="H32" s="84">
        <v>45775</v>
      </c>
      <c r="I32" s="86" t="s">
        <v>62</v>
      </c>
      <c r="J32" s="86" t="s">
        <v>141</v>
      </c>
      <c r="K32" s="86">
        <v>0</v>
      </c>
      <c r="L32" s="86" t="s">
        <v>287</v>
      </c>
      <c r="M32" s="86" t="s">
        <v>842</v>
      </c>
      <c r="N32" s="80">
        <v>1</v>
      </c>
      <c r="O32" s="91">
        <v>3.4722222222222224E-4</v>
      </c>
    </row>
    <row r="33" spans="1:15" s="109" customFormat="1" ht="54" customHeight="1" thickTop="1" thickBot="1" x14ac:dyDescent="0.25">
      <c r="A33" s="145"/>
      <c r="B33" s="115" t="s">
        <v>16</v>
      </c>
      <c r="C33" s="108" t="s">
        <v>524</v>
      </c>
      <c r="D33" s="108" t="s">
        <v>525</v>
      </c>
      <c r="E33" s="108" t="s">
        <v>24</v>
      </c>
      <c r="F33" s="108"/>
      <c r="G33" s="108"/>
      <c r="H33" s="108"/>
      <c r="I33" s="86" t="s">
        <v>62</v>
      </c>
      <c r="J33" s="86" t="s">
        <v>141</v>
      </c>
      <c r="K33" s="86">
        <v>0</v>
      </c>
      <c r="L33" s="86" t="s">
        <v>526</v>
      </c>
      <c r="M33" s="86" t="s">
        <v>842</v>
      </c>
      <c r="N33" s="108">
        <v>1</v>
      </c>
      <c r="O33" s="118">
        <v>5.7870370370370378E-4</v>
      </c>
    </row>
    <row r="34" spans="1:15" s="109" customFormat="1" ht="54" customHeight="1" thickTop="1" thickBot="1" x14ac:dyDescent="0.25">
      <c r="A34" s="99"/>
      <c r="B34" s="90" t="s">
        <v>16</v>
      </c>
      <c r="C34" s="80" t="s">
        <v>527</v>
      </c>
      <c r="D34" s="80" t="s">
        <v>528</v>
      </c>
      <c r="E34" s="80" t="s">
        <v>11</v>
      </c>
      <c r="F34" s="80" t="s">
        <v>24</v>
      </c>
      <c r="G34" s="80" t="s">
        <v>103</v>
      </c>
      <c r="H34" s="84">
        <v>45774</v>
      </c>
      <c r="I34" s="86" t="s">
        <v>62</v>
      </c>
      <c r="J34" s="86" t="s">
        <v>141</v>
      </c>
      <c r="K34" s="86">
        <v>0</v>
      </c>
      <c r="L34" s="86" t="s">
        <v>529</v>
      </c>
      <c r="M34" s="86" t="s">
        <v>842</v>
      </c>
      <c r="N34" s="80">
        <v>1</v>
      </c>
      <c r="O34" s="91">
        <v>2.3148148148148146E-4</v>
      </c>
    </row>
    <row r="35" spans="1:15" s="109" customFormat="1" ht="54" customHeight="1" thickTop="1" thickBot="1" x14ac:dyDescent="0.25">
      <c r="A35" s="99"/>
      <c r="B35" s="90" t="s">
        <v>16</v>
      </c>
      <c r="C35" s="80" t="s">
        <v>530</v>
      </c>
      <c r="D35" s="80" t="s">
        <v>289</v>
      </c>
      <c r="E35" s="81" t="s">
        <v>11</v>
      </c>
      <c r="F35" s="81" t="s">
        <v>24</v>
      </c>
      <c r="G35" s="81" t="s">
        <v>290</v>
      </c>
      <c r="H35" s="84">
        <v>45772</v>
      </c>
      <c r="I35" s="86" t="s">
        <v>140</v>
      </c>
      <c r="J35" s="86" t="s">
        <v>141</v>
      </c>
      <c r="K35" s="86">
        <v>0</v>
      </c>
      <c r="L35" s="86" t="s">
        <v>291</v>
      </c>
      <c r="M35" s="86" t="s">
        <v>842</v>
      </c>
      <c r="N35" s="80">
        <v>1</v>
      </c>
      <c r="O35" s="91">
        <v>6.9444444444444447E-4</v>
      </c>
    </row>
    <row r="36" spans="1:15" s="109" customFormat="1" ht="54" customHeight="1" thickTop="1" thickBot="1" x14ac:dyDescent="0.25">
      <c r="A36" s="99"/>
      <c r="B36" s="90" t="s">
        <v>16</v>
      </c>
      <c r="C36" s="80" t="s">
        <v>531</v>
      </c>
      <c r="D36" s="80" t="s">
        <v>532</v>
      </c>
      <c r="E36" s="80" t="s">
        <v>245</v>
      </c>
      <c r="F36" s="80" t="s">
        <v>24</v>
      </c>
      <c r="G36" s="80" t="s">
        <v>533</v>
      </c>
      <c r="H36" s="84">
        <v>45775</v>
      </c>
      <c r="I36" s="86" t="s">
        <v>62</v>
      </c>
      <c r="J36" s="86" t="s">
        <v>141</v>
      </c>
      <c r="K36" s="86">
        <v>0</v>
      </c>
      <c r="L36" s="86" t="s">
        <v>311</v>
      </c>
      <c r="M36" s="86" t="s">
        <v>842</v>
      </c>
      <c r="N36" s="80">
        <v>1</v>
      </c>
      <c r="O36" s="91">
        <v>8.6805555555555551E-4</v>
      </c>
    </row>
    <row r="37" spans="1:15" s="109" customFormat="1" ht="54" customHeight="1" thickTop="1" thickBot="1" x14ac:dyDescent="0.25">
      <c r="A37" s="99"/>
      <c r="B37" s="90" t="s">
        <v>16</v>
      </c>
      <c r="C37" s="80" t="s">
        <v>534</v>
      </c>
      <c r="D37" s="80" t="s">
        <v>535</v>
      </c>
      <c r="E37" s="81" t="s">
        <v>11</v>
      </c>
      <c r="F37" s="81" t="s">
        <v>24</v>
      </c>
      <c r="G37" s="81" t="s">
        <v>314</v>
      </c>
      <c r="H37" s="82">
        <v>45776</v>
      </c>
      <c r="I37" s="86" t="s">
        <v>140</v>
      </c>
      <c r="J37" s="86" t="s">
        <v>141</v>
      </c>
      <c r="K37" s="86">
        <v>0</v>
      </c>
      <c r="L37" s="86" t="s">
        <v>315</v>
      </c>
      <c r="M37" s="86" t="s">
        <v>842</v>
      </c>
      <c r="N37" s="80">
        <v>1</v>
      </c>
      <c r="O37" s="91">
        <v>6.9444444444444447E-4</v>
      </c>
    </row>
    <row r="38" spans="1:15" s="109" customFormat="1" ht="54" customHeight="1" thickTop="1" thickBot="1" x14ac:dyDescent="0.25">
      <c r="A38" s="99"/>
      <c r="B38" s="90" t="s">
        <v>16</v>
      </c>
      <c r="C38" s="80" t="s">
        <v>536</v>
      </c>
      <c r="D38" s="80" t="s">
        <v>537</v>
      </c>
      <c r="E38" s="81" t="s">
        <v>11</v>
      </c>
      <c r="F38" s="81" t="s">
        <v>24</v>
      </c>
      <c r="G38" s="81" t="s">
        <v>314</v>
      </c>
      <c r="H38" s="82">
        <v>45776</v>
      </c>
      <c r="I38" s="86" t="s">
        <v>140</v>
      </c>
      <c r="J38" s="86" t="s">
        <v>141</v>
      </c>
      <c r="K38" s="86">
        <v>0</v>
      </c>
      <c r="L38" s="86" t="s">
        <v>315</v>
      </c>
      <c r="M38" s="86" t="s">
        <v>842</v>
      </c>
      <c r="N38" s="80">
        <v>1</v>
      </c>
      <c r="O38" s="91">
        <v>6.9444444444444447E-4</v>
      </c>
    </row>
    <row r="39" spans="1:15" s="109" customFormat="1" ht="54" customHeight="1" thickTop="1" thickBot="1" x14ac:dyDescent="0.25">
      <c r="A39" s="100"/>
      <c r="B39" s="93" t="s">
        <v>16</v>
      </c>
      <c r="C39" s="94" t="s">
        <v>538</v>
      </c>
      <c r="D39" s="94" t="s">
        <v>539</v>
      </c>
      <c r="E39" s="94" t="s">
        <v>11</v>
      </c>
      <c r="F39" s="94" t="s">
        <v>24</v>
      </c>
      <c r="G39" s="94" t="s">
        <v>540</v>
      </c>
      <c r="H39" s="101">
        <v>45773</v>
      </c>
      <c r="I39" s="86" t="s">
        <v>62</v>
      </c>
      <c r="J39" s="86" t="s">
        <v>63</v>
      </c>
      <c r="K39" s="86">
        <v>0</v>
      </c>
      <c r="L39" s="86" t="s">
        <v>541</v>
      </c>
      <c r="M39" s="86" t="s">
        <v>839</v>
      </c>
      <c r="N39" s="94">
        <v>2</v>
      </c>
      <c r="O39" s="96">
        <v>4.6296296296296293E-4</v>
      </c>
    </row>
    <row r="40" spans="1:15" s="109" customFormat="1" ht="54" customHeight="1" thickTop="1" thickBot="1" x14ac:dyDescent="0.25">
      <c r="A40" s="145"/>
      <c r="B40" s="110" t="s">
        <v>20</v>
      </c>
      <c r="C40" s="111" t="s">
        <v>542</v>
      </c>
      <c r="D40" s="111" t="s">
        <v>543</v>
      </c>
      <c r="E40" s="111" t="s">
        <v>24</v>
      </c>
      <c r="F40" s="111"/>
      <c r="G40" s="111"/>
      <c r="H40" s="111"/>
      <c r="I40" s="86" t="s">
        <v>140</v>
      </c>
      <c r="J40" s="86" t="s">
        <v>141</v>
      </c>
      <c r="K40" s="86">
        <v>0</v>
      </c>
      <c r="L40" s="86" t="s">
        <v>348</v>
      </c>
      <c r="M40" s="86" t="s">
        <v>845</v>
      </c>
      <c r="N40" s="111">
        <v>2</v>
      </c>
      <c r="O40" s="114">
        <v>2.0833333333333333E-3</v>
      </c>
    </row>
    <row r="41" spans="1:15" s="109" customFormat="1" ht="54" customHeight="1" thickTop="1" thickBot="1" x14ac:dyDescent="0.25">
      <c r="A41" s="145"/>
      <c r="B41" s="115" t="s">
        <v>20</v>
      </c>
      <c r="C41" s="108" t="s">
        <v>830</v>
      </c>
      <c r="D41" s="108" t="s">
        <v>544</v>
      </c>
      <c r="E41" s="108" t="str">
        <f>'DM 3 Car'!E89</f>
        <v>No</v>
      </c>
      <c r="F41" s="108">
        <f>'DM 3 Car'!F89</f>
        <v>0</v>
      </c>
      <c r="G41" s="108">
        <f>'DM 3 Car'!G89</f>
        <v>0</v>
      </c>
      <c r="H41" s="108">
        <f>'DM 3 Car'!H89</f>
        <v>0</v>
      </c>
      <c r="I41" s="86" t="s">
        <v>140</v>
      </c>
      <c r="J41" s="86" t="s">
        <v>141</v>
      </c>
      <c r="K41" s="86">
        <v>0</v>
      </c>
      <c r="L41" s="86" t="s">
        <v>342</v>
      </c>
      <c r="M41" s="86" t="s">
        <v>844</v>
      </c>
      <c r="N41" s="108">
        <v>4</v>
      </c>
      <c r="O41" s="118">
        <v>5.208333333333333E-3</v>
      </c>
    </row>
    <row r="42" spans="1:15" s="109" customFormat="1" ht="54" customHeight="1" thickTop="1" thickBot="1" x14ac:dyDescent="0.25">
      <c r="A42" s="145"/>
      <c r="B42" s="115" t="s">
        <v>20</v>
      </c>
      <c r="C42" s="108" t="s">
        <v>545</v>
      </c>
      <c r="D42" s="108" t="s">
        <v>546</v>
      </c>
      <c r="E42" s="108" t="s">
        <v>24</v>
      </c>
      <c r="F42" s="108"/>
      <c r="G42" s="108"/>
      <c r="H42" s="108"/>
      <c r="I42" s="86" t="s">
        <v>140</v>
      </c>
      <c r="J42" s="86" t="s">
        <v>141</v>
      </c>
      <c r="K42" s="86">
        <v>0</v>
      </c>
      <c r="L42" s="86" t="s">
        <v>348</v>
      </c>
      <c r="M42" s="86" t="s">
        <v>845</v>
      </c>
      <c r="N42" s="108">
        <v>2</v>
      </c>
      <c r="O42" s="118">
        <v>2.0833333333333333E-3</v>
      </c>
    </row>
    <row r="43" spans="1:15" s="109" customFormat="1" ht="54" customHeight="1" thickTop="1" thickBot="1" x14ac:dyDescent="0.25">
      <c r="A43" s="145"/>
      <c r="B43" s="115" t="s">
        <v>20</v>
      </c>
      <c r="C43" s="108" t="s">
        <v>831</v>
      </c>
      <c r="D43" s="108" t="s">
        <v>548</v>
      </c>
      <c r="E43" s="108" t="str">
        <f>'UNDM 3 Car'!E66</f>
        <v>No</v>
      </c>
      <c r="F43" s="108">
        <f>'UNDM 3 Car'!F66</f>
        <v>0</v>
      </c>
      <c r="G43" s="108">
        <f>'UNDM 3 Car'!G66</f>
        <v>0</v>
      </c>
      <c r="H43" s="108">
        <f>'UNDM 3 Car'!H66</f>
        <v>0</v>
      </c>
      <c r="I43" s="86" t="s">
        <v>140</v>
      </c>
      <c r="J43" s="86" t="s">
        <v>141</v>
      </c>
      <c r="K43" s="86">
        <v>0</v>
      </c>
      <c r="L43" s="86" t="s">
        <v>342</v>
      </c>
      <c r="M43" s="86" t="s">
        <v>844</v>
      </c>
      <c r="N43" s="108">
        <v>4</v>
      </c>
      <c r="O43" s="118">
        <v>5.208333333333333E-3</v>
      </c>
    </row>
    <row r="44" spans="1:15" s="109" customFormat="1" ht="54" customHeight="1" thickTop="1" thickBot="1" x14ac:dyDescent="0.25">
      <c r="A44" s="145"/>
      <c r="B44" s="115" t="s">
        <v>20</v>
      </c>
      <c r="C44" s="108" t="s">
        <v>549</v>
      </c>
      <c r="D44" s="108" t="s">
        <v>550</v>
      </c>
      <c r="E44" s="108" t="s">
        <v>24</v>
      </c>
      <c r="F44" s="108"/>
      <c r="G44" s="108"/>
      <c r="H44" s="108"/>
      <c r="I44" s="86" t="s">
        <v>140</v>
      </c>
      <c r="J44" s="86" t="s">
        <v>141</v>
      </c>
      <c r="K44" s="86">
        <v>0</v>
      </c>
      <c r="L44" s="86" t="s">
        <v>551</v>
      </c>
      <c r="M44" s="86" t="s">
        <v>842</v>
      </c>
      <c r="N44" s="108">
        <v>2</v>
      </c>
      <c r="O44" s="118">
        <v>2.0833333333333333E-3</v>
      </c>
    </row>
    <row r="45" spans="1:15" s="109" customFormat="1" ht="54" customHeight="1" thickTop="1" thickBot="1" x14ac:dyDescent="0.25">
      <c r="A45" s="145"/>
      <c r="B45" s="115" t="s">
        <v>20</v>
      </c>
      <c r="C45" s="108" t="s">
        <v>552</v>
      </c>
      <c r="D45" s="108" t="s">
        <v>362</v>
      </c>
      <c r="E45" s="108" t="s">
        <v>24</v>
      </c>
      <c r="F45" s="108"/>
      <c r="G45" s="108"/>
      <c r="H45" s="108"/>
      <c r="I45" s="86" t="s">
        <v>140</v>
      </c>
      <c r="J45" s="86" t="s">
        <v>141</v>
      </c>
      <c r="K45" s="86">
        <v>0</v>
      </c>
      <c r="L45" s="86" t="s">
        <v>363</v>
      </c>
      <c r="M45" s="86" t="s">
        <v>842</v>
      </c>
      <c r="N45" s="108">
        <v>2</v>
      </c>
      <c r="O45" s="118">
        <v>3.4722222222222224E-4</v>
      </c>
    </row>
    <row r="46" spans="1:15" s="109" customFormat="1" ht="54" customHeight="1" thickTop="1" thickBot="1" x14ac:dyDescent="0.25">
      <c r="A46" s="145"/>
      <c r="B46" s="115" t="s">
        <v>20</v>
      </c>
      <c r="C46" s="108" t="s">
        <v>553</v>
      </c>
      <c r="D46" s="108" t="s">
        <v>554</v>
      </c>
      <c r="E46" s="108" t="s">
        <v>24</v>
      </c>
      <c r="F46" s="108"/>
      <c r="G46" s="108"/>
      <c r="H46" s="108"/>
      <c r="I46" s="86" t="s">
        <v>62</v>
      </c>
      <c r="J46" s="86" t="s">
        <v>141</v>
      </c>
      <c r="K46" s="86">
        <v>0</v>
      </c>
      <c r="L46" s="86" t="s">
        <v>366</v>
      </c>
      <c r="M46" s="86" t="s">
        <v>840</v>
      </c>
      <c r="N46" s="108">
        <v>2</v>
      </c>
      <c r="O46" s="118">
        <v>4.6296296296296293E-4</v>
      </c>
    </row>
    <row r="47" spans="1:15" s="109" customFormat="1" ht="54" customHeight="1" thickTop="1" thickBot="1" x14ac:dyDescent="0.25">
      <c r="A47" s="145"/>
      <c r="B47" s="115" t="s">
        <v>20</v>
      </c>
      <c r="C47" s="108" t="s">
        <v>555</v>
      </c>
      <c r="D47" s="108" t="s">
        <v>556</v>
      </c>
      <c r="E47" s="108" t="s">
        <v>24</v>
      </c>
      <c r="F47" s="108"/>
      <c r="G47" s="108"/>
      <c r="H47" s="108"/>
      <c r="I47" s="86" t="s">
        <v>140</v>
      </c>
      <c r="J47" s="86" t="s">
        <v>141</v>
      </c>
      <c r="K47" s="86">
        <v>0</v>
      </c>
      <c r="L47" s="86" t="s">
        <v>557</v>
      </c>
      <c r="M47" s="86" t="s">
        <v>842</v>
      </c>
      <c r="N47" s="108">
        <v>1</v>
      </c>
      <c r="O47" s="118">
        <v>6.9444444444444447E-4</v>
      </c>
    </row>
    <row r="48" spans="1:15" s="109" customFormat="1" ht="54" customHeight="1" thickTop="1" x14ac:dyDescent="0.2">
      <c r="A48" s="99"/>
      <c r="B48" s="90" t="s">
        <v>20</v>
      </c>
      <c r="C48" s="80" t="s">
        <v>558</v>
      </c>
      <c r="D48" s="80" t="s">
        <v>559</v>
      </c>
      <c r="E48" s="80" t="s">
        <v>11</v>
      </c>
      <c r="F48" s="80" t="s">
        <v>24</v>
      </c>
      <c r="G48" s="80" t="s">
        <v>560</v>
      </c>
      <c r="H48" s="84">
        <v>45774</v>
      </c>
      <c r="I48" s="86" t="s">
        <v>140</v>
      </c>
      <c r="J48" s="86" t="s">
        <v>141</v>
      </c>
      <c r="K48" s="86">
        <v>0</v>
      </c>
      <c r="L48" s="86" t="s">
        <v>561</v>
      </c>
      <c r="M48" s="86" t="s">
        <v>843</v>
      </c>
      <c r="N48" s="80">
        <v>1</v>
      </c>
      <c r="O48" s="91">
        <v>3.4722222222222224E-4</v>
      </c>
    </row>
    <row r="49" spans="1:15" s="109" customFormat="1" ht="54" customHeight="1" thickBot="1" x14ac:dyDescent="0.3">
      <c r="A49" s="99"/>
      <c r="B49" s="90" t="s">
        <v>20</v>
      </c>
      <c r="C49" s="80" t="s">
        <v>562</v>
      </c>
      <c r="D49" s="80" t="s">
        <v>563</v>
      </c>
      <c r="E49" s="80" t="s">
        <v>11</v>
      </c>
      <c r="F49" s="80" t="s">
        <v>24</v>
      </c>
      <c r="G49" s="80" t="s">
        <v>564</v>
      </c>
      <c r="H49" s="84">
        <v>45775</v>
      </c>
      <c r="I49" s="175" t="s">
        <v>94</v>
      </c>
      <c r="J49" s="175" t="s">
        <v>141</v>
      </c>
      <c r="K49" s="175"/>
      <c r="L49" s="175" t="s">
        <v>565</v>
      </c>
      <c r="M49" s="176" t="s">
        <v>850</v>
      </c>
      <c r="N49" s="80">
        <v>1</v>
      </c>
      <c r="O49" s="91">
        <v>6.9444444444444447E-4</v>
      </c>
    </row>
    <row r="50" spans="1:15" s="109" customFormat="1" ht="54" customHeight="1" thickTop="1" thickBot="1" x14ac:dyDescent="0.25">
      <c r="A50" s="99"/>
      <c r="B50" s="90" t="s">
        <v>20</v>
      </c>
      <c r="C50" s="80" t="s">
        <v>566</v>
      </c>
      <c r="D50" s="80" t="s">
        <v>567</v>
      </c>
      <c r="E50" s="80" t="s">
        <v>11</v>
      </c>
      <c r="F50" s="80" t="s">
        <v>24</v>
      </c>
      <c r="G50" s="80" t="s">
        <v>540</v>
      </c>
      <c r="H50" s="84">
        <v>45773</v>
      </c>
      <c r="I50" s="86" t="s">
        <v>62</v>
      </c>
      <c r="J50" s="86" t="s">
        <v>63</v>
      </c>
      <c r="K50" s="86">
        <v>0</v>
      </c>
      <c r="L50" s="86" t="s">
        <v>568</v>
      </c>
      <c r="M50" s="86" t="s">
        <v>839</v>
      </c>
      <c r="N50" s="80">
        <v>2</v>
      </c>
      <c r="O50" s="91">
        <v>2.0833333333333333E-3</v>
      </c>
    </row>
    <row r="51" spans="1:15" s="109" customFormat="1" ht="54" customHeight="1" thickTop="1" thickBot="1" x14ac:dyDescent="0.25">
      <c r="A51" s="99"/>
      <c r="B51" s="90" t="s">
        <v>20</v>
      </c>
      <c r="C51" s="80" t="s">
        <v>569</v>
      </c>
      <c r="D51" s="80" t="s">
        <v>570</v>
      </c>
      <c r="E51" s="80" t="s">
        <v>11</v>
      </c>
      <c r="F51" s="80" t="s">
        <v>24</v>
      </c>
      <c r="G51" s="80" t="s">
        <v>540</v>
      </c>
      <c r="H51" s="84">
        <v>45773</v>
      </c>
      <c r="I51" s="86" t="s">
        <v>62</v>
      </c>
      <c r="J51" s="86" t="s">
        <v>63</v>
      </c>
      <c r="K51" s="86">
        <v>0</v>
      </c>
      <c r="L51" s="86" t="s">
        <v>571</v>
      </c>
      <c r="M51" s="86" t="s">
        <v>839</v>
      </c>
      <c r="N51" s="80">
        <v>2</v>
      </c>
      <c r="O51" s="91">
        <v>6.9444444444444447E-4</v>
      </c>
    </row>
    <row r="52" spans="1:15" s="109" customFormat="1" ht="54" customHeight="1" thickTop="1" thickBot="1" x14ac:dyDescent="0.25">
      <c r="A52" s="145"/>
      <c r="B52" s="115" t="s">
        <v>20</v>
      </c>
      <c r="C52" s="108" t="s">
        <v>572</v>
      </c>
      <c r="D52" s="108" t="s">
        <v>573</v>
      </c>
      <c r="E52" s="148" t="s">
        <v>24</v>
      </c>
      <c r="F52" s="148"/>
      <c r="G52" s="108"/>
      <c r="H52" s="125"/>
      <c r="I52" s="86" t="s">
        <v>62</v>
      </c>
      <c r="J52" s="86" t="s">
        <v>63</v>
      </c>
      <c r="K52" s="86">
        <v>0</v>
      </c>
      <c r="L52" s="86" t="s">
        <v>574</v>
      </c>
      <c r="M52" s="86" t="s">
        <v>835</v>
      </c>
      <c r="N52" s="108">
        <v>2</v>
      </c>
      <c r="O52" s="118">
        <v>6.9444444444444447E-4</v>
      </c>
    </row>
    <row r="53" spans="1:15" s="109" customFormat="1" ht="54" customHeight="1" thickTop="1" thickBot="1" x14ac:dyDescent="0.25">
      <c r="A53" s="99"/>
      <c r="B53" s="90" t="s">
        <v>20</v>
      </c>
      <c r="C53" s="80" t="s">
        <v>575</v>
      </c>
      <c r="D53" s="80" t="s">
        <v>576</v>
      </c>
      <c r="E53" s="80" t="s">
        <v>11</v>
      </c>
      <c r="F53" s="80" t="s">
        <v>24</v>
      </c>
      <c r="G53" s="80" t="s">
        <v>540</v>
      </c>
      <c r="H53" s="84">
        <v>45773</v>
      </c>
      <c r="I53" s="86" t="s">
        <v>62</v>
      </c>
      <c r="J53" s="86" t="s">
        <v>63</v>
      </c>
      <c r="K53" s="86">
        <v>0</v>
      </c>
      <c r="L53" s="86" t="s">
        <v>577</v>
      </c>
      <c r="M53" s="86" t="s">
        <v>839</v>
      </c>
      <c r="N53" s="80">
        <v>2</v>
      </c>
      <c r="O53" s="91">
        <v>6.9444444444444447E-4</v>
      </c>
    </row>
    <row r="54" spans="1:15" s="109" customFormat="1" ht="54" customHeight="1" thickTop="1" thickBot="1" x14ac:dyDescent="0.25">
      <c r="A54" s="145"/>
      <c r="B54" s="115" t="s">
        <v>20</v>
      </c>
      <c r="C54" s="108" t="s">
        <v>578</v>
      </c>
      <c r="D54" s="108" t="s">
        <v>402</v>
      </c>
      <c r="E54" s="108" t="s">
        <v>24</v>
      </c>
      <c r="F54" s="108"/>
      <c r="G54" s="108"/>
      <c r="H54" s="108"/>
      <c r="I54" s="86" t="s">
        <v>94</v>
      </c>
      <c r="J54" s="86" t="s">
        <v>63</v>
      </c>
      <c r="K54" s="86">
        <v>0</v>
      </c>
      <c r="L54" s="86" t="s">
        <v>403</v>
      </c>
      <c r="M54" s="86" t="s">
        <v>838</v>
      </c>
      <c r="N54" s="108">
        <v>4</v>
      </c>
      <c r="O54" s="118">
        <v>2.0833333333333333E-3</v>
      </c>
    </row>
    <row r="55" spans="1:15" s="109" customFormat="1" ht="54" customHeight="1" thickTop="1" thickBot="1" x14ac:dyDescent="0.25">
      <c r="A55" s="146"/>
      <c r="B55" s="120" t="s">
        <v>20</v>
      </c>
      <c r="C55" s="121" t="s">
        <v>579</v>
      </c>
      <c r="D55" s="121" t="s">
        <v>414</v>
      </c>
      <c r="E55" s="121" t="s">
        <v>24</v>
      </c>
      <c r="F55" s="121"/>
      <c r="G55" s="121"/>
      <c r="H55" s="121"/>
      <c r="I55" s="86" t="s">
        <v>62</v>
      </c>
      <c r="J55" s="86" t="s">
        <v>63</v>
      </c>
      <c r="K55" s="86">
        <v>0</v>
      </c>
      <c r="L55" s="86" t="s">
        <v>415</v>
      </c>
      <c r="M55" s="86" t="s">
        <v>838</v>
      </c>
      <c r="N55" s="121">
        <v>2</v>
      </c>
      <c r="O55" s="123">
        <v>6.9444444444444447E-4</v>
      </c>
    </row>
    <row r="56" spans="1:15" s="109" customFormat="1" ht="54" customHeight="1" thickTop="1" thickBot="1" x14ac:dyDescent="0.25">
      <c r="A56" s="145"/>
      <c r="B56" s="110" t="s">
        <v>23</v>
      </c>
      <c r="C56" s="111" t="s">
        <v>580</v>
      </c>
      <c r="D56" s="111" t="s">
        <v>423</v>
      </c>
      <c r="E56" s="111" t="s">
        <v>24</v>
      </c>
      <c r="F56" s="111"/>
      <c r="G56" s="111"/>
      <c r="H56" s="111"/>
      <c r="I56" s="86" t="s">
        <v>140</v>
      </c>
      <c r="J56" s="86" t="s">
        <v>63</v>
      </c>
      <c r="K56" s="86">
        <v>0</v>
      </c>
      <c r="L56" s="86" t="s">
        <v>424</v>
      </c>
      <c r="M56" s="86" t="s">
        <v>843</v>
      </c>
      <c r="N56" s="111">
        <v>1</v>
      </c>
      <c r="O56" s="114">
        <v>6.9444444444444447E-4</v>
      </c>
    </row>
    <row r="57" spans="1:15" s="109" customFormat="1" ht="54" customHeight="1" thickTop="1" thickBot="1" x14ac:dyDescent="0.25">
      <c r="A57" s="145"/>
      <c r="B57" s="115" t="s">
        <v>23</v>
      </c>
      <c r="C57" s="108" t="s">
        <v>581</v>
      </c>
      <c r="D57" s="108" t="s">
        <v>582</v>
      </c>
      <c r="E57" s="108" t="s">
        <v>24</v>
      </c>
      <c r="F57" s="108"/>
      <c r="G57" s="108"/>
      <c r="H57" s="108"/>
      <c r="I57" s="86" t="s">
        <v>140</v>
      </c>
      <c r="J57" s="86" t="s">
        <v>63</v>
      </c>
      <c r="K57" s="86">
        <v>0</v>
      </c>
      <c r="L57" s="86">
        <v>0</v>
      </c>
      <c r="M57" s="86" t="s">
        <v>852</v>
      </c>
      <c r="N57" s="108">
        <v>1</v>
      </c>
      <c r="O57" s="118">
        <v>3.4722222222222224E-4</v>
      </c>
    </row>
    <row r="58" spans="1:15" s="109" customFormat="1" ht="54" customHeight="1" thickTop="1" thickBot="1" x14ac:dyDescent="0.25">
      <c r="A58" s="146"/>
      <c r="B58" s="115" t="s">
        <v>23</v>
      </c>
      <c r="C58" s="108" t="s">
        <v>583</v>
      </c>
      <c r="D58" s="108" t="s">
        <v>584</v>
      </c>
      <c r="E58" s="108" t="s">
        <v>24</v>
      </c>
      <c r="F58" s="108"/>
      <c r="G58" s="108"/>
      <c r="H58" s="108"/>
      <c r="I58" s="86" t="s">
        <v>62</v>
      </c>
      <c r="J58" s="86" t="s">
        <v>63</v>
      </c>
      <c r="K58" s="86">
        <v>0</v>
      </c>
      <c r="L58" s="86" t="s">
        <v>412</v>
      </c>
      <c r="M58" s="86" t="s">
        <v>838</v>
      </c>
      <c r="N58" s="108">
        <v>1</v>
      </c>
      <c r="O58" s="118">
        <v>1.0416666666666667E-3</v>
      </c>
    </row>
    <row r="59" spans="1:15" s="109" customFormat="1" x14ac:dyDescent="0.2">
      <c r="B59" s="149"/>
      <c r="C59" s="150"/>
      <c r="D59" s="150"/>
      <c r="E59" s="151"/>
      <c r="F59" s="151"/>
      <c r="G59" s="151"/>
      <c r="H59" s="151"/>
      <c r="I59" s="116"/>
      <c r="J59" s="116"/>
      <c r="K59" s="151"/>
      <c r="L59" s="151"/>
      <c r="M59" s="151"/>
      <c r="N59" s="151"/>
      <c r="O59" s="152"/>
    </row>
    <row r="60" spans="1:15" s="109" customFormat="1" ht="15.75" thickBot="1" x14ac:dyDescent="0.25">
      <c r="B60" s="153"/>
      <c r="C60" s="154"/>
      <c r="D60" s="154"/>
      <c r="E60" s="155"/>
      <c r="F60" s="155"/>
      <c r="G60" s="155"/>
      <c r="H60" s="155"/>
      <c r="I60" s="122"/>
      <c r="J60" s="122"/>
      <c r="K60" s="155"/>
      <c r="L60" s="155"/>
      <c r="M60" s="155"/>
      <c r="N60" s="155"/>
      <c r="O60" s="156"/>
    </row>
    <row r="61" spans="1:15" s="109" customFormat="1" ht="15.75" thickTop="1" x14ac:dyDescent="0.2">
      <c r="B61" s="141"/>
      <c r="C61" s="160"/>
      <c r="D61" s="160"/>
      <c r="E61" s="161"/>
      <c r="F61" s="161"/>
      <c r="G61" s="161"/>
      <c r="H61" s="161"/>
      <c r="I61" s="141"/>
      <c r="J61" s="141"/>
      <c r="K61" s="161"/>
      <c r="L61" s="161"/>
      <c r="M61" s="161"/>
      <c r="N61" s="161"/>
      <c r="O61" s="161"/>
    </row>
    <row r="62" spans="1:15" s="109" customFormat="1" x14ac:dyDescent="0.2">
      <c r="B62" s="141"/>
      <c r="C62" s="160"/>
      <c r="D62" s="160"/>
      <c r="E62" s="161"/>
      <c r="F62" s="161"/>
      <c r="G62" s="161"/>
      <c r="H62" s="161"/>
      <c r="I62" s="141"/>
      <c r="J62" s="141"/>
      <c r="K62" s="161"/>
      <c r="L62" s="161"/>
      <c r="M62" s="161"/>
      <c r="N62" s="161"/>
      <c r="O62" s="161"/>
    </row>
    <row r="63" spans="1:15" s="109" customFormat="1" x14ac:dyDescent="0.2">
      <c r="B63" s="141"/>
      <c r="C63" s="160"/>
      <c r="D63" s="160"/>
      <c r="E63" s="161"/>
      <c r="F63" s="161"/>
      <c r="G63" s="161"/>
      <c r="H63" s="161"/>
      <c r="I63" s="141"/>
      <c r="J63" s="141"/>
      <c r="K63" s="161"/>
      <c r="L63" s="161"/>
      <c r="M63" s="161"/>
      <c r="N63" s="161"/>
      <c r="O63" s="161"/>
    </row>
    <row r="64" spans="1:15" s="109" customFormat="1" x14ac:dyDescent="0.2">
      <c r="B64" s="141"/>
      <c r="C64" s="160"/>
      <c r="D64" s="160"/>
      <c r="E64" s="161"/>
      <c r="F64" s="161"/>
      <c r="G64" s="161"/>
      <c r="H64" s="161"/>
      <c r="I64" s="141"/>
      <c r="J64" s="141"/>
      <c r="K64" s="161"/>
      <c r="L64" s="161"/>
      <c r="M64" s="161"/>
      <c r="N64" s="161"/>
      <c r="O64" s="161"/>
    </row>
    <row r="65" spans="2:15" s="109" customFormat="1" x14ac:dyDescent="0.2">
      <c r="B65" s="141"/>
      <c r="C65" s="160"/>
      <c r="D65" s="160"/>
      <c r="E65" s="161"/>
      <c r="F65" s="161"/>
      <c r="G65" s="161"/>
      <c r="H65" s="161"/>
      <c r="I65" s="141"/>
      <c r="J65" s="141"/>
      <c r="K65" s="161"/>
      <c r="L65" s="161"/>
      <c r="M65" s="161"/>
      <c r="N65" s="161"/>
      <c r="O65" s="161"/>
    </row>
    <row r="66" spans="2:15" s="109" customFormat="1" x14ac:dyDescent="0.2">
      <c r="B66" s="141"/>
      <c r="C66" s="160"/>
      <c r="D66" s="160"/>
      <c r="E66" s="161"/>
      <c r="F66" s="161"/>
      <c r="G66" s="161"/>
      <c r="H66" s="161"/>
      <c r="I66" s="141"/>
      <c r="J66" s="141"/>
      <c r="K66" s="161"/>
      <c r="L66" s="161"/>
      <c r="M66" s="161"/>
      <c r="N66" s="161"/>
      <c r="O66" s="161"/>
    </row>
    <row r="67" spans="2:15" s="109" customFormat="1" x14ac:dyDescent="0.2">
      <c r="B67" s="141"/>
      <c r="C67" s="160"/>
      <c r="D67" s="160"/>
      <c r="E67" s="161"/>
      <c r="F67" s="161"/>
      <c r="G67" s="161"/>
      <c r="H67" s="161"/>
      <c r="I67" s="141"/>
      <c r="J67" s="141"/>
      <c r="K67" s="161"/>
      <c r="L67" s="161"/>
      <c r="M67" s="161"/>
      <c r="N67" s="161"/>
      <c r="O67" s="161"/>
    </row>
    <row r="68" spans="2:15" s="109" customFormat="1" x14ac:dyDescent="0.2">
      <c r="B68" s="141"/>
      <c r="C68" s="160"/>
      <c r="D68" s="160"/>
      <c r="E68" s="161"/>
      <c r="F68" s="161"/>
      <c r="G68" s="161"/>
      <c r="H68" s="161"/>
      <c r="I68" s="141"/>
      <c r="J68" s="141"/>
      <c r="K68" s="161"/>
      <c r="L68" s="161"/>
      <c r="M68" s="161"/>
      <c r="N68" s="161"/>
      <c r="O68" s="161"/>
    </row>
    <row r="69" spans="2:15" s="109" customFormat="1" x14ac:dyDescent="0.2">
      <c r="B69" s="141"/>
      <c r="C69" s="160"/>
      <c r="D69" s="160"/>
      <c r="E69" s="161"/>
      <c r="F69" s="161"/>
      <c r="G69" s="161"/>
      <c r="H69" s="161"/>
      <c r="I69" s="141"/>
      <c r="J69" s="141"/>
      <c r="K69" s="161"/>
      <c r="L69" s="161"/>
      <c r="M69" s="161"/>
      <c r="N69" s="161"/>
      <c r="O69" s="161"/>
    </row>
    <row r="70" spans="2:15" s="109" customFormat="1" x14ac:dyDescent="0.2">
      <c r="B70" s="141"/>
      <c r="C70" s="160"/>
      <c r="D70" s="160"/>
      <c r="E70" s="161"/>
      <c r="F70" s="161"/>
      <c r="G70" s="161"/>
      <c r="H70" s="161"/>
      <c r="I70" s="141"/>
      <c r="J70" s="141"/>
      <c r="K70" s="161"/>
      <c r="L70" s="161"/>
      <c r="M70" s="161"/>
      <c r="N70" s="161"/>
      <c r="O70" s="161"/>
    </row>
    <row r="71" spans="2:15" s="109" customFormat="1" x14ac:dyDescent="0.2">
      <c r="B71" s="141"/>
      <c r="C71" s="160"/>
      <c r="D71" s="160"/>
      <c r="E71" s="161"/>
      <c r="F71" s="161"/>
      <c r="G71" s="161"/>
      <c r="H71" s="161"/>
      <c r="I71" s="141"/>
      <c r="J71" s="141"/>
      <c r="K71" s="161"/>
      <c r="L71" s="161"/>
      <c r="M71" s="161"/>
      <c r="N71" s="161"/>
      <c r="O71" s="161"/>
    </row>
    <row r="72" spans="2:15" s="109" customFormat="1" x14ac:dyDescent="0.2">
      <c r="B72" s="141"/>
      <c r="C72" s="160"/>
      <c r="D72" s="160"/>
      <c r="E72" s="161"/>
      <c r="F72" s="161"/>
      <c r="G72" s="161"/>
      <c r="H72" s="161"/>
      <c r="I72" s="141"/>
      <c r="J72" s="141"/>
      <c r="K72" s="161"/>
      <c r="L72" s="161"/>
      <c r="M72" s="161"/>
      <c r="N72" s="161"/>
      <c r="O72" s="161"/>
    </row>
    <row r="73" spans="2:15" s="109" customFormat="1" x14ac:dyDescent="0.2">
      <c r="B73" s="141"/>
      <c r="C73" s="160"/>
      <c r="D73" s="160"/>
      <c r="E73" s="161"/>
      <c r="F73" s="161"/>
      <c r="G73" s="161"/>
      <c r="H73" s="161"/>
      <c r="I73" s="141"/>
      <c r="J73" s="141"/>
      <c r="K73" s="161"/>
      <c r="L73" s="161"/>
      <c r="M73" s="161"/>
      <c r="N73" s="161"/>
      <c r="O73" s="161"/>
    </row>
    <row r="74" spans="2:15" s="109" customFormat="1" x14ac:dyDescent="0.2">
      <c r="B74" s="141"/>
      <c r="C74" s="160"/>
      <c r="D74" s="160"/>
      <c r="E74" s="161"/>
      <c r="F74" s="161"/>
      <c r="G74" s="161"/>
      <c r="H74" s="161"/>
      <c r="I74" s="141"/>
      <c r="J74" s="141"/>
      <c r="K74" s="161"/>
      <c r="L74" s="161"/>
      <c r="M74" s="161"/>
      <c r="N74" s="161"/>
      <c r="O74" s="161"/>
    </row>
    <row r="75" spans="2:15" s="109" customFormat="1" x14ac:dyDescent="0.2">
      <c r="B75" s="141"/>
      <c r="C75" s="160"/>
      <c r="D75" s="160"/>
      <c r="E75" s="161"/>
      <c r="F75" s="161"/>
      <c r="G75" s="161"/>
      <c r="H75" s="161"/>
      <c r="I75" s="141"/>
      <c r="J75" s="141"/>
      <c r="K75" s="161"/>
      <c r="L75" s="161"/>
      <c r="M75" s="161"/>
      <c r="N75" s="161"/>
      <c r="O75" s="161"/>
    </row>
    <row r="76" spans="2:15" s="109" customFormat="1" x14ac:dyDescent="0.2">
      <c r="B76" s="141"/>
      <c r="C76" s="160"/>
      <c r="D76" s="160"/>
      <c r="E76" s="161"/>
      <c r="F76" s="161"/>
      <c r="G76" s="161"/>
      <c r="H76" s="161"/>
      <c r="I76" s="141"/>
      <c r="J76" s="141"/>
      <c r="K76" s="161"/>
      <c r="L76" s="161"/>
      <c r="M76" s="161"/>
      <c r="N76" s="161"/>
      <c r="O76" s="161"/>
    </row>
    <row r="77" spans="2:15" s="109" customFormat="1" x14ac:dyDescent="0.2">
      <c r="B77" s="141"/>
      <c r="C77" s="160"/>
      <c r="D77" s="160"/>
      <c r="E77" s="161"/>
      <c r="F77" s="161"/>
      <c r="G77" s="161"/>
      <c r="H77" s="161"/>
      <c r="I77" s="141"/>
      <c r="J77" s="141"/>
      <c r="K77" s="161"/>
      <c r="L77" s="161"/>
      <c r="M77" s="161"/>
      <c r="N77" s="161"/>
      <c r="O77" s="161"/>
    </row>
    <row r="78" spans="2:15" s="109" customFormat="1" x14ac:dyDescent="0.2">
      <c r="B78" s="141"/>
      <c r="C78" s="160"/>
      <c r="D78" s="160"/>
      <c r="E78" s="161"/>
      <c r="F78" s="161"/>
      <c r="G78" s="161"/>
      <c r="H78" s="161"/>
      <c r="I78" s="141"/>
      <c r="J78" s="141"/>
      <c r="K78" s="161"/>
      <c r="L78" s="161"/>
      <c r="M78" s="161"/>
      <c r="N78" s="161"/>
      <c r="O78" s="161"/>
    </row>
    <row r="79" spans="2:15" s="109" customFormat="1" x14ac:dyDescent="0.2">
      <c r="B79" s="141"/>
      <c r="C79" s="160"/>
      <c r="D79" s="160"/>
      <c r="E79" s="161"/>
      <c r="F79" s="161"/>
      <c r="G79" s="161"/>
      <c r="H79" s="161"/>
      <c r="I79" s="141"/>
      <c r="J79" s="141"/>
      <c r="K79" s="161"/>
      <c r="L79" s="161"/>
      <c r="M79" s="161"/>
      <c r="N79" s="161"/>
      <c r="O79" s="161"/>
    </row>
    <row r="80" spans="2:15" s="109" customFormat="1" x14ac:dyDescent="0.2">
      <c r="B80" s="141"/>
      <c r="C80" s="160"/>
      <c r="D80" s="160"/>
      <c r="E80" s="161"/>
      <c r="F80" s="161"/>
      <c r="G80" s="161"/>
      <c r="H80" s="161"/>
      <c r="I80" s="141"/>
      <c r="J80" s="141"/>
      <c r="K80" s="161"/>
      <c r="L80" s="161"/>
      <c r="M80" s="161"/>
      <c r="N80" s="161"/>
      <c r="O80" s="161"/>
    </row>
    <row r="81" spans="2:15" s="109" customFormat="1" x14ac:dyDescent="0.2">
      <c r="B81" s="141"/>
      <c r="C81" s="160"/>
      <c r="D81" s="160"/>
      <c r="E81" s="161"/>
      <c r="F81" s="161"/>
      <c r="G81" s="161"/>
      <c r="H81" s="161"/>
      <c r="I81" s="141"/>
      <c r="J81" s="141"/>
      <c r="K81" s="161"/>
      <c r="L81" s="161"/>
      <c r="M81" s="161"/>
      <c r="N81" s="161"/>
      <c r="O81" s="161"/>
    </row>
    <row r="82" spans="2:15" s="109" customFormat="1" x14ac:dyDescent="0.2">
      <c r="B82" s="141"/>
      <c r="C82" s="160"/>
      <c r="D82" s="160"/>
      <c r="E82" s="161"/>
      <c r="F82" s="161"/>
      <c r="G82" s="161"/>
      <c r="H82" s="161"/>
      <c r="I82" s="141"/>
      <c r="J82" s="141"/>
      <c r="K82" s="161"/>
      <c r="L82" s="161"/>
      <c r="M82" s="161"/>
      <c r="N82" s="161"/>
      <c r="O82" s="161"/>
    </row>
    <row r="83" spans="2:15" s="109" customFormat="1" x14ac:dyDescent="0.2">
      <c r="B83" s="141"/>
      <c r="C83" s="160"/>
      <c r="D83" s="160"/>
      <c r="E83" s="161"/>
      <c r="F83" s="161"/>
      <c r="G83" s="161"/>
      <c r="H83" s="161"/>
      <c r="I83" s="141"/>
      <c r="J83" s="141"/>
      <c r="K83" s="161"/>
      <c r="L83" s="161"/>
      <c r="M83" s="161"/>
      <c r="N83" s="161"/>
      <c r="O83" s="161"/>
    </row>
    <row r="84" spans="2:15" s="109" customFormat="1" x14ac:dyDescent="0.2">
      <c r="B84" s="141"/>
      <c r="C84" s="160"/>
      <c r="D84" s="160"/>
      <c r="E84" s="161"/>
      <c r="F84" s="161"/>
      <c r="G84" s="161"/>
      <c r="H84" s="161"/>
      <c r="I84" s="141"/>
      <c r="J84" s="141"/>
      <c r="K84" s="161"/>
      <c r="L84" s="161"/>
      <c r="M84" s="161"/>
      <c r="N84" s="161"/>
      <c r="O84" s="161"/>
    </row>
    <row r="85" spans="2:15" s="109" customFormat="1" x14ac:dyDescent="0.2">
      <c r="B85" s="141"/>
      <c r="C85" s="160"/>
      <c r="D85" s="160"/>
      <c r="E85" s="161"/>
      <c r="F85" s="161"/>
      <c r="G85" s="161"/>
      <c r="H85" s="161"/>
      <c r="I85" s="141"/>
      <c r="J85" s="141"/>
      <c r="K85" s="161"/>
      <c r="L85" s="161"/>
      <c r="M85" s="161"/>
      <c r="N85" s="161"/>
      <c r="O85" s="161"/>
    </row>
    <row r="86" spans="2:15" s="109" customFormat="1" x14ac:dyDescent="0.2">
      <c r="B86" s="141"/>
      <c r="C86" s="160"/>
      <c r="D86" s="160"/>
      <c r="E86" s="161"/>
      <c r="F86" s="161"/>
      <c r="G86" s="161"/>
      <c r="H86" s="161"/>
      <c r="I86" s="141"/>
      <c r="J86" s="141"/>
      <c r="K86" s="161"/>
      <c r="L86" s="161"/>
      <c r="M86" s="161"/>
      <c r="N86" s="161"/>
      <c r="O86" s="161"/>
    </row>
    <row r="87" spans="2:15" s="109" customFormat="1" x14ac:dyDescent="0.2">
      <c r="B87" s="141"/>
      <c r="C87" s="160"/>
      <c r="D87" s="160"/>
      <c r="E87" s="161"/>
      <c r="F87" s="161"/>
      <c r="G87" s="161"/>
      <c r="H87" s="161"/>
      <c r="I87" s="141"/>
      <c r="J87" s="141"/>
      <c r="K87" s="161"/>
      <c r="L87" s="161"/>
      <c r="M87" s="161"/>
      <c r="N87" s="161"/>
      <c r="O87" s="161"/>
    </row>
    <row r="88" spans="2:15" s="109" customFormat="1" ht="66" customHeight="1" x14ac:dyDescent="0.2">
      <c r="B88" s="141"/>
      <c r="C88" s="160"/>
      <c r="D88" s="160"/>
      <c r="E88" s="161"/>
      <c r="F88" s="161"/>
      <c r="G88" s="161"/>
      <c r="H88" s="161"/>
      <c r="I88" s="141"/>
      <c r="J88" s="141"/>
      <c r="K88" s="161"/>
      <c r="L88" s="161"/>
      <c r="M88" s="161"/>
      <c r="N88" s="161"/>
      <c r="O88" s="161"/>
    </row>
    <row r="89" spans="2:15" s="109" customFormat="1" x14ac:dyDescent="0.2">
      <c r="B89" s="141"/>
      <c r="C89" s="160"/>
      <c r="D89" s="160"/>
      <c r="E89" s="161"/>
      <c r="F89" s="161"/>
      <c r="G89" s="161"/>
      <c r="H89" s="161"/>
      <c r="I89" s="141"/>
      <c r="J89" s="141"/>
      <c r="K89" s="161"/>
      <c r="L89" s="161"/>
      <c r="M89" s="161"/>
      <c r="N89" s="161"/>
      <c r="O89" s="161"/>
    </row>
    <row r="90" spans="2:15" s="109" customFormat="1" x14ac:dyDescent="0.2">
      <c r="B90" s="141"/>
      <c r="C90" s="160"/>
      <c r="D90" s="160"/>
      <c r="E90" s="161"/>
      <c r="F90" s="161"/>
      <c r="G90" s="161"/>
      <c r="H90" s="161"/>
      <c r="I90" s="141"/>
      <c r="J90" s="141"/>
      <c r="K90" s="161"/>
      <c r="L90" s="161"/>
      <c r="M90" s="161"/>
      <c r="N90" s="161"/>
      <c r="O90" s="161"/>
    </row>
    <row r="91" spans="2:15" s="109" customFormat="1" x14ac:dyDescent="0.2">
      <c r="B91" s="141"/>
      <c r="C91" s="160"/>
      <c r="D91" s="160"/>
      <c r="E91" s="161"/>
      <c r="F91" s="161"/>
      <c r="G91" s="161"/>
      <c r="H91" s="161"/>
      <c r="I91" s="141"/>
      <c r="J91" s="141"/>
      <c r="K91" s="161"/>
      <c r="L91" s="161"/>
      <c r="M91" s="161"/>
      <c r="N91" s="161"/>
      <c r="O91" s="161"/>
    </row>
    <row r="92" spans="2:15" s="109" customFormat="1" x14ac:dyDescent="0.2">
      <c r="B92" s="141"/>
      <c r="C92" s="160"/>
      <c r="D92" s="160"/>
      <c r="E92" s="161"/>
      <c r="F92" s="161"/>
      <c r="G92" s="161"/>
      <c r="H92" s="161"/>
      <c r="I92" s="141"/>
      <c r="J92" s="141"/>
      <c r="K92" s="161"/>
      <c r="L92" s="161"/>
      <c r="M92" s="161"/>
      <c r="N92" s="161"/>
      <c r="O92" s="161"/>
    </row>
    <row r="93" spans="2:15" s="109" customFormat="1" x14ac:dyDescent="0.2">
      <c r="B93" s="141"/>
      <c r="C93" s="160"/>
      <c r="D93" s="160"/>
      <c r="E93" s="161"/>
      <c r="F93" s="161"/>
      <c r="G93" s="161"/>
      <c r="H93" s="161"/>
      <c r="I93" s="141"/>
      <c r="J93" s="141"/>
      <c r="K93" s="161"/>
      <c r="L93" s="161"/>
      <c r="M93" s="161"/>
      <c r="N93" s="161"/>
      <c r="O93" s="161"/>
    </row>
    <row r="94" spans="2:15" s="109" customFormat="1" x14ac:dyDescent="0.2">
      <c r="B94" s="141"/>
      <c r="C94" s="160"/>
      <c r="D94" s="160"/>
      <c r="E94" s="161"/>
      <c r="F94" s="161"/>
      <c r="G94" s="161"/>
      <c r="H94" s="161"/>
      <c r="I94" s="141"/>
      <c r="J94" s="141"/>
      <c r="K94" s="161"/>
      <c r="L94" s="161"/>
      <c r="M94" s="161"/>
      <c r="N94" s="161"/>
      <c r="O94" s="161"/>
    </row>
    <row r="95" spans="2:15" s="109" customFormat="1" x14ac:dyDescent="0.2">
      <c r="B95" s="141"/>
      <c r="C95" s="160"/>
      <c r="D95" s="160"/>
      <c r="E95" s="161"/>
      <c r="F95" s="161"/>
      <c r="G95" s="161"/>
      <c r="H95" s="161"/>
      <c r="I95" s="141"/>
      <c r="J95" s="141"/>
      <c r="K95" s="161"/>
      <c r="L95" s="161"/>
      <c r="M95" s="161"/>
      <c r="N95" s="161"/>
      <c r="O95" s="161"/>
    </row>
    <row r="96" spans="2:15" s="109" customFormat="1" x14ac:dyDescent="0.2">
      <c r="B96" s="141"/>
      <c r="C96" s="160"/>
      <c r="D96" s="160"/>
      <c r="E96" s="161"/>
      <c r="F96" s="161"/>
      <c r="G96" s="161"/>
      <c r="H96" s="161"/>
      <c r="I96" s="141"/>
      <c r="J96" s="141"/>
      <c r="K96" s="161"/>
      <c r="L96" s="161"/>
      <c r="M96" s="161"/>
      <c r="N96" s="161"/>
      <c r="O96" s="161"/>
    </row>
    <row r="97" spans="2:15" s="109" customFormat="1" x14ac:dyDescent="0.2">
      <c r="B97" s="141"/>
      <c r="C97" s="160"/>
      <c r="D97" s="160"/>
      <c r="E97" s="161"/>
      <c r="F97" s="161"/>
      <c r="G97" s="161"/>
      <c r="H97" s="161"/>
      <c r="I97" s="141"/>
      <c r="J97" s="141"/>
      <c r="K97" s="161"/>
      <c r="L97" s="161"/>
      <c r="M97" s="161"/>
      <c r="N97" s="161"/>
      <c r="O97" s="161"/>
    </row>
    <row r="98" spans="2:15" s="109" customFormat="1" x14ac:dyDescent="0.2">
      <c r="B98" s="141"/>
      <c r="C98" s="160"/>
      <c r="D98" s="160"/>
      <c r="E98" s="161"/>
      <c r="F98" s="161"/>
      <c r="G98" s="161"/>
      <c r="H98" s="161"/>
      <c r="I98" s="141"/>
      <c r="J98" s="141"/>
      <c r="K98" s="161"/>
      <c r="L98" s="161"/>
      <c r="M98" s="161"/>
      <c r="N98" s="161"/>
      <c r="O98" s="161"/>
    </row>
    <row r="99" spans="2:15" s="109" customFormat="1" x14ac:dyDescent="0.2">
      <c r="B99" s="141"/>
      <c r="C99" s="160"/>
      <c r="D99" s="160"/>
      <c r="E99" s="161"/>
      <c r="F99" s="161"/>
      <c r="G99" s="161"/>
      <c r="H99" s="161"/>
      <c r="I99" s="141"/>
      <c r="J99" s="141"/>
      <c r="K99" s="161"/>
      <c r="L99" s="161"/>
      <c r="M99" s="161"/>
      <c r="N99" s="161"/>
      <c r="O99" s="161"/>
    </row>
    <row r="100" spans="2:15" s="109" customFormat="1" x14ac:dyDescent="0.2">
      <c r="B100" s="141"/>
      <c r="C100" s="160"/>
      <c r="D100" s="160"/>
      <c r="E100" s="161"/>
      <c r="F100" s="161"/>
      <c r="G100" s="161"/>
      <c r="H100" s="161"/>
      <c r="I100" s="141"/>
      <c r="J100" s="141"/>
      <c r="K100" s="161"/>
      <c r="L100" s="161"/>
      <c r="M100" s="161"/>
      <c r="N100" s="161"/>
      <c r="O100" s="161"/>
    </row>
    <row r="101" spans="2:15" s="109" customFormat="1" x14ac:dyDescent="0.2">
      <c r="B101" s="141"/>
      <c r="C101" s="160"/>
      <c r="D101" s="160"/>
      <c r="E101" s="161"/>
      <c r="F101" s="161"/>
      <c r="G101" s="161"/>
      <c r="H101" s="161"/>
      <c r="I101" s="141"/>
      <c r="J101" s="141"/>
      <c r="K101" s="161"/>
      <c r="L101" s="161"/>
      <c r="M101" s="161"/>
      <c r="N101" s="161"/>
      <c r="O101" s="161"/>
    </row>
    <row r="102" spans="2:15" s="109" customFormat="1" x14ac:dyDescent="0.2">
      <c r="B102" s="141"/>
      <c r="C102" s="160"/>
      <c r="D102" s="160"/>
      <c r="E102" s="161"/>
      <c r="F102" s="161"/>
      <c r="G102" s="161"/>
      <c r="H102" s="161"/>
      <c r="I102" s="141"/>
      <c r="J102" s="141"/>
      <c r="K102" s="161"/>
      <c r="L102" s="161"/>
      <c r="M102" s="161"/>
      <c r="N102" s="161"/>
      <c r="O102" s="161"/>
    </row>
    <row r="103" spans="2:15" s="109" customFormat="1" x14ac:dyDescent="0.2">
      <c r="B103" s="141"/>
      <c r="C103" s="160"/>
      <c r="D103" s="160"/>
      <c r="E103" s="161"/>
      <c r="F103" s="161"/>
      <c r="G103" s="161"/>
      <c r="H103" s="161"/>
      <c r="I103" s="141"/>
      <c r="J103" s="141"/>
      <c r="K103" s="161"/>
      <c r="L103" s="161"/>
      <c r="M103" s="161"/>
      <c r="N103" s="161"/>
      <c r="O103" s="161"/>
    </row>
    <row r="104" spans="2:15" s="109" customFormat="1" x14ac:dyDescent="0.2">
      <c r="B104" s="141"/>
      <c r="C104" s="160"/>
      <c r="D104" s="160"/>
      <c r="E104" s="161"/>
      <c r="F104" s="161"/>
      <c r="G104" s="161"/>
      <c r="H104" s="161"/>
      <c r="I104" s="141"/>
      <c r="J104" s="141"/>
      <c r="K104" s="161"/>
      <c r="L104" s="161"/>
      <c r="M104" s="161"/>
      <c r="N104" s="161"/>
      <c r="O104" s="161"/>
    </row>
    <row r="105" spans="2:15" s="109" customFormat="1" x14ac:dyDescent="0.2">
      <c r="B105" s="141"/>
      <c r="C105" s="160"/>
      <c r="D105" s="160"/>
      <c r="E105" s="161"/>
      <c r="F105" s="161"/>
      <c r="G105" s="161"/>
      <c r="H105" s="161"/>
      <c r="I105" s="141"/>
      <c r="J105" s="141"/>
      <c r="K105" s="161"/>
      <c r="L105" s="161"/>
      <c r="M105" s="161"/>
      <c r="N105" s="161"/>
      <c r="O105" s="161"/>
    </row>
    <row r="106" spans="2:15" s="109" customFormat="1" x14ac:dyDescent="0.2">
      <c r="B106" s="141"/>
      <c r="C106" s="160"/>
      <c r="D106" s="160"/>
      <c r="E106" s="161"/>
      <c r="F106" s="161"/>
      <c r="G106" s="161"/>
      <c r="H106" s="161"/>
      <c r="I106" s="141"/>
      <c r="J106" s="141"/>
      <c r="K106" s="161"/>
      <c r="L106" s="161"/>
      <c r="M106" s="161"/>
      <c r="N106" s="161"/>
      <c r="O106" s="161"/>
    </row>
    <row r="107" spans="2:15" s="109" customFormat="1" x14ac:dyDescent="0.2">
      <c r="B107" s="141"/>
      <c r="C107" s="160"/>
      <c r="D107" s="160"/>
      <c r="E107" s="161"/>
      <c r="F107" s="161"/>
      <c r="G107" s="161"/>
      <c r="H107" s="161"/>
      <c r="I107" s="141"/>
      <c r="J107" s="141"/>
      <c r="K107" s="161"/>
      <c r="L107" s="161"/>
      <c r="M107" s="161"/>
      <c r="N107" s="161"/>
      <c r="O107" s="161"/>
    </row>
    <row r="108" spans="2:15" s="109" customFormat="1" x14ac:dyDescent="0.2">
      <c r="B108" s="141"/>
      <c r="C108" s="160"/>
      <c r="D108" s="160"/>
      <c r="E108" s="161"/>
      <c r="F108" s="161"/>
      <c r="G108" s="161"/>
      <c r="H108" s="161"/>
      <c r="I108" s="141"/>
      <c r="J108" s="141"/>
      <c r="K108" s="161"/>
      <c r="L108" s="161"/>
      <c r="M108" s="161"/>
      <c r="N108" s="161"/>
      <c r="O108" s="161"/>
    </row>
    <row r="109" spans="2:15" s="109" customFormat="1" x14ac:dyDescent="0.2">
      <c r="B109" s="141"/>
      <c r="C109" s="160"/>
      <c r="D109" s="160"/>
      <c r="E109" s="161"/>
      <c r="F109" s="161"/>
      <c r="G109" s="161"/>
      <c r="H109" s="161"/>
      <c r="I109" s="141"/>
      <c r="J109" s="141"/>
      <c r="K109" s="161"/>
      <c r="L109" s="161"/>
      <c r="M109" s="161"/>
      <c r="N109" s="161"/>
      <c r="O109" s="161"/>
    </row>
    <row r="110" spans="2:15" s="109" customFormat="1" x14ac:dyDescent="0.2">
      <c r="B110" s="141"/>
      <c r="C110" s="160"/>
      <c r="D110" s="160"/>
      <c r="E110" s="161"/>
      <c r="F110" s="161"/>
      <c r="G110" s="161"/>
      <c r="H110" s="161"/>
      <c r="I110" s="141"/>
      <c r="J110" s="141"/>
      <c r="K110" s="161"/>
      <c r="L110" s="161"/>
      <c r="M110" s="161"/>
      <c r="N110" s="161"/>
      <c r="O110" s="161"/>
    </row>
    <row r="111" spans="2:15" s="109" customFormat="1" x14ac:dyDescent="0.2">
      <c r="B111" s="141"/>
      <c r="C111" s="160"/>
      <c r="D111" s="160"/>
      <c r="E111" s="161"/>
      <c r="F111" s="161"/>
      <c r="G111" s="161"/>
      <c r="H111" s="161"/>
      <c r="I111" s="141"/>
      <c r="J111" s="141"/>
      <c r="K111" s="161"/>
      <c r="L111" s="161"/>
      <c r="M111" s="161"/>
      <c r="N111" s="161"/>
      <c r="O111" s="161"/>
    </row>
    <row r="112" spans="2:15" s="109" customFormat="1" x14ac:dyDescent="0.2">
      <c r="B112" s="141"/>
      <c r="C112" s="160"/>
      <c r="D112" s="160"/>
      <c r="E112" s="161"/>
      <c r="F112" s="161"/>
      <c r="G112" s="161"/>
      <c r="H112" s="161"/>
      <c r="I112" s="141"/>
      <c r="J112" s="141"/>
      <c r="K112" s="161"/>
      <c r="L112" s="161"/>
      <c r="M112" s="161"/>
      <c r="N112" s="161"/>
      <c r="O112" s="161"/>
    </row>
    <row r="113" spans="2:15" s="109" customFormat="1" x14ac:dyDescent="0.2">
      <c r="B113" s="141"/>
      <c r="C113" s="160"/>
      <c r="D113" s="160"/>
      <c r="E113" s="161"/>
      <c r="F113" s="161"/>
      <c r="G113" s="161"/>
      <c r="H113" s="161"/>
      <c r="I113" s="141"/>
      <c r="J113" s="141"/>
      <c r="K113" s="161"/>
      <c r="L113" s="161"/>
      <c r="M113" s="161"/>
      <c r="N113" s="161"/>
      <c r="O113" s="161"/>
    </row>
    <row r="114" spans="2:15" s="109" customFormat="1" x14ac:dyDescent="0.2">
      <c r="B114" s="141"/>
      <c r="C114" s="160"/>
      <c r="D114" s="160"/>
      <c r="E114" s="161"/>
      <c r="F114" s="161"/>
      <c r="G114" s="161"/>
      <c r="H114" s="161"/>
      <c r="I114" s="141"/>
      <c r="J114" s="141"/>
      <c r="K114" s="161"/>
      <c r="L114" s="161"/>
      <c r="M114" s="161"/>
      <c r="N114" s="161"/>
      <c r="O114" s="161"/>
    </row>
    <row r="115" spans="2:15" s="109" customFormat="1" x14ac:dyDescent="0.2">
      <c r="B115" s="141"/>
      <c r="C115" s="160"/>
      <c r="D115" s="160"/>
      <c r="E115" s="161"/>
      <c r="F115" s="161"/>
      <c r="G115" s="161"/>
      <c r="H115" s="161"/>
      <c r="I115" s="141"/>
      <c r="J115" s="141"/>
      <c r="K115" s="161"/>
      <c r="L115" s="161"/>
      <c r="M115" s="161"/>
      <c r="N115" s="161"/>
      <c r="O115" s="161"/>
    </row>
    <row r="116" spans="2:15" s="109" customFormat="1" x14ac:dyDescent="0.2">
      <c r="B116" s="141"/>
      <c r="C116" s="160"/>
      <c r="D116" s="160"/>
      <c r="E116" s="161"/>
      <c r="F116" s="161"/>
      <c r="G116" s="161"/>
      <c r="H116" s="161"/>
      <c r="I116" s="141"/>
      <c r="J116" s="141"/>
      <c r="K116" s="161"/>
      <c r="L116" s="161"/>
      <c r="M116" s="161"/>
      <c r="N116" s="161"/>
      <c r="O116" s="161"/>
    </row>
    <row r="117" spans="2:15" s="109" customFormat="1" x14ac:dyDescent="0.2">
      <c r="B117" s="141"/>
      <c r="C117" s="160"/>
      <c r="D117" s="160"/>
      <c r="E117" s="161"/>
      <c r="F117" s="161"/>
      <c r="G117" s="161"/>
      <c r="H117" s="161"/>
      <c r="I117" s="141"/>
      <c r="J117" s="141"/>
      <c r="K117" s="161"/>
      <c r="L117" s="161"/>
      <c r="M117" s="161"/>
      <c r="N117" s="161"/>
      <c r="O117" s="161"/>
    </row>
    <row r="118" spans="2:15" s="109" customFormat="1" x14ac:dyDescent="0.2">
      <c r="B118" s="141"/>
      <c r="C118" s="160"/>
      <c r="D118" s="160"/>
      <c r="E118" s="161"/>
      <c r="F118" s="161"/>
      <c r="G118" s="161"/>
      <c r="H118" s="161"/>
      <c r="I118" s="141"/>
      <c r="J118" s="141"/>
      <c r="K118" s="161"/>
      <c r="L118" s="161"/>
      <c r="M118" s="161"/>
      <c r="N118" s="161"/>
      <c r="O118" s="161"/>
    </row>
    <row r="119" spans="2:15" s="109" customFormat="1" x14ac:dyDescent="0.2">
      <c r="B119" s="141"/>
      <c r="C119" s="160"/>
      <c r="D119" s="160"/>
      <c r="E119" s="161"/>
      <c r="F119" s="161"/>
      <c r="G119" s="161"/>
      <c r="H119" s="161"/>
      <c r="I119" s="141"/>
      <c r="J119" s="141"/>
      <c r="K119" s="161"/>
      <c r="L119" s="161"/>
      <c r="M119" s="161"/>
      <c r="N119" s="161"/>
      <c r="O119" s="161"/>
    </row>
    <row r="120" spans="2:15" s="109" customFormat="1" x14ac:dyDescent="0.2">
      <c r="B120" s="141"/>
      <c r="C120" s="160"/>
      <c r="D120" s="160"/>
      <c r="E120" s="161"/>
      <c r="F120" s="161"/>
      <c r="G120" s="161"/>
      <c r="H120" s="161"/>
      <c r="I120" s="141"/>
      <c r="J120" s="141"/>
      <c r="K120" s="161"/>
      <c r="L120" s="161"/>
      <c r="M120" s="161"/>
      <c r="N120" s="161"/>
      <c r="O120" s="161"/>
    </row>
    <row r="121" spans="2:15" s="109" customFormat="1" x14ac:dyDescent="0.2">
      <c r="B121" s="141"/>
      <c r="C121" s="160"/>
      <c r="D121" s="160"/>
      <c r="E121" s="161"/>
      <c r="F121" s="161"/>
      <c r="G121" s="161"/>
      <c r="H121" s="161"/>
      <c r="I121" s="141"/>
      <c r="J121" s="141"/>
      <c r="K121" s="161"/>
      <c r="L121" s="161"/>
      <c r="M121" s="161"/>
      <c r="N121" s="161"/>
      <c r="O121" s="161"/>
    </row>
    <row r="122" spans="2:15" s="109" customFormat="1" x14ac:dyDescent="0.2">
      <c r="B122" s="141"/>
      <c r="C122" s="160"/>
      <c r="D122" s="160"/>
      <c r="E122" s="161"/>
      <c r="F122" s="161"/>
      <c r="G122" s="161"/>
      <c r="H122" s="161"/>
      <c r="I122" s="141"/>
      <c r="J122" s="141"/>
      <c r="K122" s="161"/>
      <c r="L122" s="161"/>
      <c r="M122" s="161"/>
      <c r="N122" s="161"/>
      <c r="O122" s="161"/>
    </row>
    <row r="123" spans="2:15" s="109" customFormat="1" x14ac:dyDescent="0.2">
      <c r="B123" s="141"/>
      <c r="C123" s="160"/>
      <c r="D123" s="160"/>
      <c r="E123" s="161"/>
      <c r="F123" s="161"/>
      <c r="G123" s="161"/>
      <c r="H123" s="161"/>
      <c r="I123" s="141"/>
      <c r="J123" s="141"/>
      <c r="K123" s="161"/>
      <c r="L123" s="161"/>
      <c r="M123" s="161"/>
      <c r="N123" s="161"/>
      <c r="O123" s="161"/>
    </row>
    <row r="124" spans="2:15" s="109" customFormat="1" x14ac:dyDescent="0.2">
      <c r="B124" s="141"/>
      <c r="C124" s="160"/>
      <c r="D124" s="160"/>
      <c r="E124" s="161"/>
      <c r="F124" s="161"/>
      <c r="G124" s="161"/>
      <c r="H124" s="161"/>
      <c r="I124" s="141"/>
      <c r="J124" s="141"/>
      <c r="K124" s="161"/>
      <c r="L124" s="161"/>
      <c r="M124" s="161"/>
      <c r="N124" s="161"/>
      <c r="O124" s="161"/>
    </row>
    <row r="125" spans="2:15" s="109" customFormat="1" x14ac:dyDescent="0.2">
      <c r="B125" s="141"/>
      <c r="C125" s="160"/>
      <c r="D125" s="160"/>
      <c r="E125" s="161"/>
      <c r="F125" s="161"/>
      <c r="G125" s="161"/>
      <c r="H125" s="161"/>
      <c r="I125" s="141"/>
      <c r="J125" s="141"/>
      <c r="K125" s="161"/>
      <c r="L125" s="161"/>
      <c r="M125" s="161"/>
      <c r="N125" s="161"/>
      <c r="O125" s="161"/>
    </row>
    <row r="126" spans="2:15" s="109" customFormat="1" x14ac:dyDescent="0.2">
      <c r="B126" s="141"/>
      <c r="C126" s="160"/>
      <c r="D126" s="160"/>
      <c r="E126" s="161"/>
      <c r="F126" s="161"/>
      <c r="G126" s="161"/>
      <c r="H126" s="161"/>
      <c r="I126" s="141"/>
      <c r="J126" s="141"/>
      <c r="K126" s="161"/>
      <c r="L126" s="161"/>
      <c r="M126" s="161"/>
      <c r="N126" s="161"/>
      <c r="O126" s="161"/>
    </row>
    <row r="127" spans="2:15" s="109" customFormat="1" ht="54" customHeight="1" x14ac:dyDescent="0.2">
      <c r="B127" s="141"/>
      <c r="C127" s="160"/>
      <c r="D127" s="160"/>
      <c r="E127" s="161"/>
      <c r="F127" s="161"/>
      <c r="G127" s="161"/>
      <c r="H127" s="161"/>
      <c r="I127" s="141"/>
      <c r="J127" s="141"/>
      <c r="K127" s="161"/>
      <c r="L127" s="161"/>
      <c r="M127" s="161"/>
      <c r="N127" s="161"/>
      <c r="O127" s="161"/>
    </row>
    <row r="128" spans="2:15" s="109" customFormat="1" ht="66" customHeight="1" x14ac:dyDescent="0.2">
      <c r="B128" s="141"/>
      <c r="C128" s="160"/>
      <c r="D128" s="160"/>
      <c r="E128" s="161"/>
      <c r="F128" s="161"/>
      <c r="G128" s="161"/>
      <c r="H128" s="161"/>
      <c r="I128" s="141"/>
      <c r="J128" s="141"/>
      <c r="K128" s="161"/>
      <c r="L128" s="161"/>
      <c r="M128" s="161"/>
      <c r="N128" s="161"/>
      <c r="O128" s="161"/>
    </row>
    <row r="129" spans="2:10" s="109" customFormat="1" x14ac:dyDescent="0.2">
      <c r="B129" s="132"/>
      <c r="C129" s="157"/>
      <c r="D129" s="157"/>
      <c r="I129" s="132"/>
      <c r="J129" s="132"/>
    </row>
    <row r="130" spans="2:10" s="109" customFormat="1" x14ac:dyDescent="0.2">
      <c r="B130" s="132"/>
      <c r="C130" s="157"/>
      <c r="D130" s="157"/>
      <c r="I130" s="132"/>
      <c r="J130" s="132"/>
    </row>
    <row r="131" spans="2:10" s="109" customFormat="1" x14ac:dyDescent="0.2">
      <c r="B131" s="132"/>
      <c r="C131" s="157"/>
      <c r="D131" s="157"/>
      <c r="I131" s="132"/>
      <c r="J131" s="132"/>
    </row>
    <row r="132" spans="2:10" s="109" customFormat="1" x14ac:dyDescent="0.2">
      <c r="B132" s="132"/>
      <c r="C132" s="157"/>
      <c r="D132" s="157"/>
      <c r="I132" s="132"/>
      <c r="J132" s="132"/>
    </row>
    <row r="133" spans="2:10" s="109" customFormat="1" x14ac:dyDescent="0.2">
      <c r="B133" s="132"/>
      <c r="C133" s="157"/>
      <c r="D133" s="157"/>
      <c r="I133" s="132"/>
      <c r="J133" s="132"/>
    </row>
    <row r="134" spans="2:10" s="109" customFormat="1" x14ac:dyDescent="0.2">
      <c r="B134" s="132"/>
      <c r="C134" s="157"/>
      <c r="D134" s="157"/>
      <c r="I134" s="132"/>
      <c r="J134" s="132"/>
    </row>
    <row r="135" spans="2:10" s="109" customFormat="1" x14ac:dyDescent="0.2">
      <c r="B135" s="132"/>
      <c r="C135" s="157"/>
      <c r="D135" s="157"/>
      <c r="I135" s="132"/>
      <c r="J135" s="132"/>
    </row>
    <row r="136" spans="2:10" s="109" customFormat="1" x14ac:dyDescent="0.2">
      <c r="B136" s="132"/>
      <c r="C136" s="157"/>
      <c r="D136" s="157"/>
      <c r="I136" s="132"/>
      <c r="J136" s="132"/>
    </row>
    <row r="137" spans="2:10" s="109" customFormat="1" x14ac:dyDescent="0.2">
      <c r="B137" s="132"/>
      <c r="C137" s="157"/>
      <c r="D137" s="157"/>
      <c r="I137" s="132"/>
      <c r="J137" s="132"/>
    </row>
    <row r="138" spans="2:10" s="109" customFormat="1" x14ac:dyDescent="0.2">
      <c r="B138" s="132"/>
      <c r="C138" s="157"/>
      <c r="D138" s="157"/>
      <c r="I138" s="132"/>
      <c r="J138" s="132"/>
    </row>
    <row r="139" spans="2:10" s="109" customFormat="1" x14ac:dyDescent="0.2">
      <c r="B139" s="132"/>
      <c r="C139" s="157"/>
      <c r="D139" s="157"/>
      <c r="I139" s="132"/>
      <c r="J139" s="132"/>
    </row>
    <row r="140" spans="2:10" s="109" customFormat="1" x14ac:dyDescent="0.2">
      <c r="B140" s="132"/>
      <c r="C140" s="157"/>
      <c r="D140" s="157"/>
      <c r="I140" s="132"/>
      <c r="J140" s="132"/>
    </row>
    <row r="141" spans="2:10" s="109" customFormat="1" x14ac:dyDescent="0.2">
      <c r="B141" s="132"/>
      <c r="C141" s="157"/>
      <c r="D141" s="157"/>
      <c r="I141" s="132"/>
      <c r="J141" s="132"/>
    </row>
    <row r="142" spans="2:10" s="109" customFormat="1" x14ac:dyDescent="0.2">
      <c r="B142" s="132"/>
      <c r="C142" s="157"/>
      <c r="D142" s="157"/>
      <c r="I142" s="132"/>
      <c r="J142" s="132"/>
    </row>
    <row r="143" spans="2:10" s="109" customFormat="1" x14ac:dyDescent="0.2">
      <c r="B143" s="132"/>
      <c r="C143" s="157"/>
      <c r="D143" s="157"/>
      <c r="I143" s="132"/>
      <c r="J143" s="132"/>
    </row>
    <row r="144" spans="2:10" s="109" customFormat="1" x14ac:dyDescent="0.2">
      <c r="B144" s="132"/>
      <c r="C144" s="157"/>
      <c r="D144" s="157"/>
      <c r="I144" s="132"/>
      <c r="J144" s="132"/>
    </row>
    <row r="145" spans="2:10" s="109" customFormat="1" x14ac:dyDescent="0.2">
      <c r="B145" s="132"/>
      <c r="C145" s="157"/>
      <c r="D145" s="157"/>
      <c r="I145" s="132"/>
      <c r="J145" s="132"/>
    </row>
    <row r="146" spans="2:10" s="109" customFormat="1" x14ac:dyDescent="0.2">
      <c r="B146" s="132"/>
      <c r="C146" s="157"/>
      <c r="D146" s="157"/>
      <c r="I146" s="132"/>
      <c r="J146" s="132"/>
    </row>
    <row r="147" spans="2:10" s="109" customFormat="1" x14ac:dyDescent="0.2">
      <c r="B147" s="132"/>
      <c r="C147" s="157"/>
      <c r="D147" s="157"/>
      <c r="I147" s="132"/>
      <c r="J147" s="132"/>
    </row>
    <row r="148" spans="2:10" s="109" customFormat="1" x14ac:dyDescent="0.2">
      <c r="B148" s="132"/>
      <c r="C148" s="157"/>
      <c r="D148" s="157"/>
      <c r="I148" s="132"/>
      <c r="J148" s="132"/>
    </row>
    <row r="149" spans="2:10" s="109" customFormat="1" x14ac:dyDescent="0.2">
      <c r="B149" s="132"/>
      <c r="C149" s="157"/>
      <c r="D149" s="157"/>
      <c r="I149" s="132"/>
      <c r="J149" s="132"/>
    </row>
    <row r="150" spans="2:10" s="109" customFormat="1" x14ac:dyDescent="0.2">
      <c r="B150" s="132"/>
      <c r="C150" s="157"/>
      <c r="D150" s="157"/>
      <c r="I150" s="132"/>
      <c r="J150" s="132"/>
    </row>
    <row r="151" spans="2:10" s="109" customFormat="1" x14ac:dyDescent="0.2">
      <c r="B151" s="132"/>
      <c r="C151" s="157"/>
      <c r="D151" s="157"/>
      <c r="I151" s="132"/>
      <c r="J151" s="132"/>
    </row>
    <row r="152" spans="2:10" s="109" customFormat="1" x14ac:dyDescent="0.2">
      <c r="B152" s="132"/>
      <c r="C152" s="157"/>
      <c r="D152" s="157"/>
      <c r="I152" s="132"/>
      <c r="J152" s="132"/>
    </row>
    <row r="153" spans="2:10" s="109" customFormat="1" x14ac:dyDescent="0.2">
      <c r="B153" s="132"/>
      <c r="C153" s="157"/>
      <c r="D153" s="157"/>
      <c r="I153" s="132"/>
      <c r="J153" s="132"/>
    </row>
    <row r="154" spans="2:10" s="109" customFormat="1" x14ac:dyDescent="0.2">
      <c r="B154" s="132"/>
      <c r="C154" s="157"/>
      <c r="D154" s="157"/>
      <c r="I154" s="132"/>
      <c r="J154" s="132"/>
    </row>
    <row r="155" spans="2:10" s="109" customFormat="1" x14ac:dyDescent="0.2">
      <c r="B155" s="132"/>
      <c r="C155" s="157"/>
      <c r="D155" s="157"/>
      <c r="I155" s="132"/>
      <c r="J155" s="132"/>
    </row>
    <row r="156" spans="2:10" s="109" customFormat="1" x14ac:dyDescent="0.2">
      <c r="B156" s="132"/>
      <c r="C156" s="157"/>
      <c r="D156" s="157"/>
      <c r="I156" s="132"/>
      <c r="J156" s="132"/>
    </row>
    <row r="157" spans="2:10" s="109" customFormat="1" x14ac:dyDescent="0.2">
      <c r="B157" s="132"/>
      <c r="C157" s="157"/>
      <c r="D157" s="157"/>
      <c r="I157" s="132"/>
      <c r="J157" s="132"/>
    </row>
    <row r="158" spans="2:10" s="109" customFormat="1" x14ac:dyDescent="0.2">
      <c r="B158" s="132"/>
      <c r="C158" s="157"/>
      <c r="D158" s="157"/>
      <c r="I158" s="132"/>
      <c r="J158" s="132"/>
    </row>
    <row r="159" spans="2:10" s="109" customFormat="1" x14ac:dyDescent="0.2">
      <c r="B159" s="132"/>
      <c r="C159" s="157"/>
      <c r="D159" s="157"/>
      <c r="I159" s="132"/>
      <c r="J159" s="132"/>
    </row>
    <row r="160" spans="2:10" s="109" customFormat="1" x14ac:dyDescent="0.2">
      <c r="B160" s="132"/>
      <c r="C160" s="157"/>
      <c r="D160" s="157"/>
      <c r="I160" s="132"/>
      <c r="J160" s="132"/>
    </row>
    <row r="161" spans="2:10" s="109" customFormat="1" x14ac:dyDescent="0.2">
      <c r="B161" s="132"/>
      <c r="C161" s="157"/>
      <c r="D161" s="157"/>
      <c r="I161" s="132"/>
      <c r="J161" s="132"/>
    </row>
    <row r="162" spans="2:10" s="109" customFormat="1" x14ac:dyDescent="0.2">
      <c r="B162" s="132"/>
      <c r="C162" s="157"/>
      <c r="D162" s="157"/>
      <c r="I162" s="132"/>
      <c r="J162" s="132"/>
    </row>
    <row r="163" spans="2:10" s="109" customFormat="1" x14ac:dyDescent="0.2">
      <c r="B163" s="132"/>
      <c r="C163" s="157"/>
      <c r="D163" s="157"/>
      <c r="I163" s="132"/>
      <c r="J163" s="132"/>
    </row>
    <row r="164" spans="2:10" s="109" customFormat="1" x14ac:dyDescent="0.2">
      <c r="B164" s="132"/>
      <c r="C164" s="157"/>
      <c r="D164" s="157"/>
      <c r="I164" s="132"/>
      <c r="J164" s="132"/>
    </row>
    <row r="165" spans="2:10" s="109" customFormat="1" x14ac:dyDescent="0.2">
      <c r="B165" s="132"/>
      <c r="C165" s="157"/>
      <c r="D165" s="157"/>
      <c r="I165" s="132"/>
      <c r="J165" s="132"/>
    </row>
    <row r="166" spans="2:10" s="109" customFormat="1" x14ac:dyDescent="0.2">
      <c r="B166" s="132"/>
      <c r="C166" s="157"/>
      <c r="D166" s="157"/>
      <c r="I166" s="132"/>
      <c r="J166" s="132"/>
    </row>
    <row r="167" spans="2:10" s="109" customFormat="1" x14ac:dyDescent="0.2">
      <c r="B167" s="132"/>
      <c r="C167" s="157"/>
      <c r="D167" s="157"/>
      <c r="I167" s="132"/>
      <c r="J167" s="132"/>
    </row>
    <row r="168" spans="2:10" s="109" customFormat="1" x14ac:dyDescent="0.2">
      <c r="B168" s="132"/>
      <c r="C168" s="157"/>
      <c r="D168" s="157"/>
      <c r="I168" s="132"/>
      <c r="J168" s="132"/>
    </row>
    <row r="169" spans="2:10" s="109" customFormat="1" x14ac:dyDescent="0.2">
      <c r="B169" s="132"/>
      <c r="C169" s="157"/>
      <c r="D169" s="157"/>
      <c r="I169" s="132"/>
      <c r="J169" s="132"/>
    </row>
    <row r="170" spans="2:10" s="109" customFormat="1" x14ac:dyDescent="0.2">
      <c r="B170" s="132"/>
      <c r="C170" s="157"/>
      <c r="D170" s="157"/>
      <c r="I170" s="132"/>
      <c r="J170" s="132"/>
    </row>
    <row r="171" spans="2:10" s="109" customFormat="1" x14ac:dyDescent="0.2">
      <c r="B171" s="132"/>
      <c r="C171" s="157"/>
      <c r="D171" s="157"/>
      <c r="I171" s="132"/>
      <c r="J171" s="132"/>
    </row>
    <row r="172" spans="2:10" s="109" customFormat="1" x14ac:dyDescent="0.2">
      <c r="B172" s="132"/>
      <c r="C172" s="157"/>
      <c r="D172" s="157"/>
      <c r="I172" s="132"/>
      <c r="J172" s="132"/>
    </row>
    <row r="173" spans="2:10" s="109" customFormat="1" x14ac:dyDescent="0.2">
      <c r="B173" s="132"/>
      <c r="C173" s="157"/>
      <c r="D173" s="157"/>
      <c r="I173" s="132"/>
      <c r="J173" s="132"/>
    </row>
    <row r="174" spans="2:10" s="109" customFormat="1" x14ac:dyDescent="0.2">
      <c r="B174" s="132"/>
      <c r="C174" s="157"/>
      <c r="D174" s="157"/>
      <c r="I174" s="132"/>
      <c r="J174" s="132"/>
    </row>
    <row r="175" spans="2:10" s="109" customFormat="1" x14ac:dyDescent="0.2">
      <c r="B175" s="132"/>
      <c r="C175" s="157"/>
      <c r="D175" s="157"/>
      <c r="I175" s="132"/>
      <c r="J175" s="132"/>
    </row>
    <row r="176" spans="2:10" s="109" customFormat="1" x14ac:dyDescent="0.2">
      <c r="B176" s="132"/>
      <c r="C176" s="157"/>
      <c r="D176" s="157"/>
      <c r="I176" s="132"/>
      <c r="J176" s="132"/>
    </row>
    <row r="177" spans="2:10" s="109" customFormat="1" x14ac:dyDescent="0.2">
      <c r="B177" s="132"/>
      <c r="C177" s="157"/>
      <c r="D177" s="157"/>
      <c r="I177" s="132"/>
      <c r="J177" s="132"/>
    </row>
    <row r="178" spans="2:10" s="109" customFormat="1" x14ac:dyDescent="0.2">
      <c r="B178" s="132"/>
      <c r="C178" s="157"/>
      <c r="D178" s="157"/>
      <c r="I178" s="132"/>
      <c r="J178" s="132"/>
    </row>
    <row r="179" spans="2:10" s="109" customFormat="1" x14ac:dyDescent="0.2">
      <c r="B179" s="132"/>
      <c r="C179" s="157"/>
      <c r="D179" s="157"/>
      <c r="I179" s="132"/>
      <c r="J179" s="132"/>
    </row>
    <row r="180" spans="2:10" s="109" customFormat="1" x14ac:dyDescent="0.2">
      <c r="B180" s="132"/>
      <c r="C180" s="157"/>
      <c r="D180" s="157"/>
      <c r="I180" s="132"/>
      <c r="J180" s="132"/>
    </row>
  </sheetData>
  <autoFilter ref="A2:O58" xr:uid="{2BDE6E76-94FA-42DA-9D7A-8C55E4DD00DF}"/>
  <conditionalFormatting sqref="C3:G10 C12:G13 C11:D11 C53:H58 C52:D52 C17:H19 C27:H27 C21:H21 C20:D20 C29:H33 C28:D28 C36:H36 C23:H23 C22:D22 C24:D26 C39:H40 C37:D38 C14:D16 C34:D35 H35 C44:H51 C42:H42 D41:H41 D43:H43 I3:M16 I50:M58 I18:M48">
    <cfRule type="expression" dxfId="237" priority="38">
      <formula>AND(OR($F3="No",$F3=""), $E3= "Yes",$G3&lt;&gt;"",$H3&lt;&gt;"")</formula>
    </cfRule>
  </conditionalFormatting>
  <conditionalFormatting sqref="H3:H10 H12:H13">
    <cfRule type="expression" dxfId="236" priority="28">
      <formula>AND(OR($F3="No",$F3=""), $E3= "Yes",$G3&lt;&gt;"",$H3&lt;&gt;"")</formula>
    </cfRule>
  </conditionalFormatting>
  <conditionalFormatting sqref="N57:N58 N15:O56">
    <cfRule type="expression" dxfId="235" priority="27">
      <formula>AND(OR($F15="No",$F15=""), $E15= "Yes",$G15&lt;&gt;"",$H15&lt;&gt;"")</formula>
    </cfRule>
  </conditionalFormatting>
  <conditionalFormatting sqref="N3:O13">
    <cfRule type="expression" dxfId="234" priority="26">
      <formula>AND(OR($F3="No",$F3=""), $E3= "Yes",$G3&lt;&gt;"",$H3&lt;&gt;"")</formula>
    </cfRule>
  </conditionalFormatting>
  <conditionalFormatting sqref="O57:O58">
    <cfRule type="expression" dxfId="233" priority="25">
      <formula>AND(OR($F57="No",$F57=""), $E57= "Yes",$G57&lt;&gt;"",$H57&lt;&gt;"")</formula>
    </cfRule>
  </conditionalFormatting>
  <conditionalFormatting sqref="N14:O14">
    <cfRule type="expression" dxfId="232" priority="24">
      <formula>AND(OR($F14="No",$F14=""), $E14= "Yes",$G14&lt;&gt;"",$H14&lt;&gt;"")</formula>
    </cfRule>
  </conditionalFormatting>
  <conditionalFormatting sqref="E52:H52">
    <cfRule type="expression" dxfId="231" priority="22">
      <formula>AND(OR($F52="No",$F52=""), $E52= "Yes",$G52&lt;&gt;"",$H52&lt;&gt;"")</formula>
    </cfRule>
  </conditionalFormatting>
  <conditionalFormatting sqref="E14:H14">
    <cfRule type="expression" dxfId="230" priority="21">
      <formula>AND(OR($E14="No",$E14=""), $D14= "Yes",$F14&lt;&gt;"",$G14&lt;&gt;"")</formula>
    </cfRule>
  </conditionalFormatting>
  <conditionalFormatting sqref="E25:H25">
    <cfRule type="expression" dxfId="229" priority="20">
      <formula>AND(OR($F25="No",$F25=""), $E25= "Yes",$G25&lt;&gt;"",$H25&lt;&gt;"")</formula>
    </cfRule>
  </conditionalFormatting>
  <conditionalFormatting sqref="G20:H20">
    <cfRule type="expression" dxfId="228" priority="19">
      <formula>AND(OR($E20="No",$E20=""), $D20= "Yes",$F20&lt;&gt;"",$G20&lt;&gt;"")</formula>
    </cfRule>
  </conditionalFormatting>
  <conditionalFormatting sqref="E20:F20">
    <cfRule type="expression" dxfId="227" priority="18">
      <formula>AND(OR($F20="No",$F20=""), $E20= "Yes",$G20&lt;&gt;"",$H20&lt;&gt;"")</formula>
    </cfRule>
  </conditionalFormatting>
  <conditionalFormatting sqref="E26:H26">
    <cfRule type="expression" dxfId="226" priority="17">
      <formula>AND(OR($F26="No",$F26=""), $E26= "Yes",$G26&lt;&gt;"",$H26&lt;&gt;"")</formula>
    </cfRule>
  </conditionalFormatting>
  <conditionalFormatting sqref="E28:H28">
    <cfRule type="expression" dxfId="225" priority="16">
      <formula>AND(OR($F28="No",$F28=""), $E28= "Yes",$G28&lt;&gt;"",$H28&lt;&gt;"")</formula>
    </cfRule>
  </conditionalFormatting>
  <conditionalFormatting sqref="E34:H34">
    <cfRule type="expression" dxfId="224" priority="15">
      <formula>AND(OR($F34="No",$F34=""), $E34= "Yes",$G34&lt;&gt;"",$H34&lt;&gt;"")</formula>
    </cfRule>
  </conditionalFormatting>
  <conditionalFormatting sqref="E22:H22">
    <cfRule type="expression" dxfId="223" priority="14">
      <formula>AND(OR($E22="No",$E22=""), $D22= "Yes",$F22&lt;&gt;"",$G22&lt;&gt;"")</formula>
    </cfRule>
  </conditionalFormatting>
  <conditionalFormatting sqref="E24:H24">
    <cfRule type="expression" dxfId="222" priority="13">
      <formula>AND(OR($E24="No",$E24=""), $D24= "Yes",$F24&lt;&gt;"",$G24&lt;&gt;"")</formula>
    </cfRule>
  </conditionalFormatting>
  <conditionalFormatting sqref="E37:H38">
    <cfRule type="expression" dxfId="221" priority="12">
      <formula>AND(OR($E37="No",$E37=""), $D37= "Yes",$F37&lt;&gt;"",$G37&lt;&gt;"")</formula>
    </cfRule>
  </conditionalFormatting>
  <conditionalFormatting sqref="E15:H16">
    <cfRule type="expression" dxfId="220" priority="11">
      <formula>AND(OR($E15="No",$E15=""), $D15= "Yes",$F15&lt;&gt;"",$G15&lt;&gt;"")</formula>
    </cfRule>
  </conditionalFormatting>
  <conditionalFormatting sqref="E35:G35">
    <cfRule type="expression" dxfId="219" priority="10">
      <formula>AND(OR($E35="No",$E35=""), $D35= "Yes",$F35&lt;&gt;"",$G35&lt;&gt;"")</formula>
    </cfRule>
  </conditionalFormatting>
  <conditionalFormatting sqref="E11:H11">
    <cfRule type="expression" dxfId="218" priority="9">
      <formula>AND(OR($E11="No",$E11=""), $D11= "Yes",$F11&lt;&gt;"",$G11&lt;&gt;"")</formula>
    </cfRule>
  </conditionalFormatting>
  <conditionalFormatting sqref="C41">
    <cfRule type="expression" dxfId="217" priority="8">
      <formula>AND(OR($F41="No",$F41=""), $E41= "Yes",$G41&lt;&gt;"",$H41&lt;&gt;"")</formula>
    </cfRule>
  </conditionalFormatting>
  <conditionalFormatting sqref="C43">
    <cfRule type="expression" dxfId="216" priority="7">
      <formula>AND(OR($F43="No",$F43=""), $E43= "Yes",$G43&lt;&gt;"",$H43&lt;&gt;"")</formula>
    </cfRule>
  </conditionalFormatting>
  <conditionalFormatting sqref="J49:L49">
    <cfRule type="expression" dxfId="215" priority="6">
      <formula>AND(OR($F49="No",$F49=""), $E49= "Yes",$G49&lt;&gt;"",$H49&lt;&gt;"")</formula>
    </cfRule>
  </conditionalFormatting>
  <conditionalFormatting sqref="I49">
    <cfRule type="expression" dxfId="214" priority="5">
      <formula>AND(OR($F49="No",$F49=""), $E49= "Yes",$G49&lt;&gt;"",$H49&lt;&gt;"")</formula>
    </cfRule>
  </conditionalFormatting>
  <conditionalFormatting sqref="M49">
    <cfRule type="expression" dxfId="213" priority="4">
      <formula>AND(OR($F49="No",$F49=""), $E49= "Yes",$G49&lt;&gt;"",$H49&lt;&gt;"")</formula>
    </cfRule>
  </conditionalFormatting>
  <conditionalFormatting sqref="J17:L17">
    <cfRule type="expression" dxfId="212" priority="3">
      <formula>AND(OR($F17="No",$F17=""), $E17= "Yes",$G17&lt;&gt;"",$H17&lt;&gt;"")</formula>
    </cfRule>
  </conditionalFormatting>
  <conditionalFormatting sqref="I17">
    <cfRule type="expression" dxfId="211" priority="2">
      <formula>AND(OR($F17="No",$F17=""), $E17= "Yes",$G17&lt;&gt;"",$H17&lt;&gt;"")</formula>
    </cfRule>
  </conditionalFormatting>
  <conditionalFormatting sqref="M17">
    <cfRule type="expression" dxfId="210" priority="1">
      <formula>AND(OR($F17="No",$F17=""), $E17= "Yes",$G17&lt;&gt;"",$H17&lt;&gt;"")</formula>
    </cfRule>
  </conditionalFormatting>
  <dataValidations count="1">
    <dataValidation type="list" allowBlank="1" showInputMessage="1" showErrorMessage="1" sqref="K1:K2 E3:F6 E7:E10 E12:E13 E39 E14:F16 E48:E53 E25:E26 E20 E28 E34 E22:F22 E24:F24 E37:F38 E35:F35 E11:F11" xr:uid="{6361FEAB-AAE8-4802-B012-814A505453F1}">
      <formula1>"Yes, No"</formula1>
    </dataValidation>
  </dataValidations>
  <pageMargins left="0.2" right="0.2" top="0.2" bottom="0.2" header="0.3" footer="0.3"/>
  <pageSetup paperSize="8" scale="87" fitToHeight="0"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Q180"/>
  <sheetViews>
    <sheetView zoomScale="60" zoomScaleNormal="60" workbookViewId="0">
      <pane ySplit="2" topLeftCell="A64" activePane="bottomLeft" state="frozen"/>
      <selection pane="bottomLeft" activeCell="D75" sqref="D75"/>
    </sheetView>
  </sheetViews>
  <sheetFormatPr defaultColWidth="9.21875" defaultRowHeight="15" x14ac:dyDescent="0.2"/>
  <cols>
    <col min="1" max="1" width="9.21875" style="3" customWidth="1"/>
    <col min="2" max="2" width="7.77734375" style="22" customWidth="1"/>
    <col min="3" max="3" width="60.77734375" style="3" customWidth="1"/>
    <col min="4" max="4" width="38.77734375" style="3" customWidth="1"/>
    <col min="5" max="5" width="11.6640625" style="3" customWidth="1"/>
    <col min="6" max="6" width="11.77734375" style="3" customWidth="1"/>
    <col min="7" max="7" width="38.77734375" style="3" customWidth="1"/>
    <col min="8" max="8" width="14.77734375" style="3" customWidth="1"/>
    <col min="9" max="9" width="10.33203125" style="22" customWidth="1"/>
    <col min="10" max="10" width="10.33203125" style="3" customWidth="1"/>
    <col min="11" max="11" width="10.5546875" style="3" customWidth="1"/>
    <col min="12" max="12" width="15.77734375" style="3" customWidth="1"/>
    <col min="13" max="13" width="27.33203125" style="3" customWidth="1"/>
    <col min="14" max="14" width="9.77734375" style="3" customWidth="1"/>
    <col min="15" max="17" width="9.21875" style="3" customWidth="1"/>
    <col min="18" max="16384" width="9.21875" style="3"/>
  </cols>
  <sheetData>
    <row r="1" spans="1:17" ht="21" customHeight="1" thickBot="1" x14ac:dyDescent="0.3">
      <c r="A1" s="25"/>
      <c r="B1" s="107" t="s">
        <v>47</v>
      </c>
      <c r="C1" s="63" t="s">
        <v>585</v>
      </c>
      <c r="D1" s="9"/>
      <c r="E1" s="9"/>
      <c r="F1" s="9"/>
      <c r="G1" s="9"/>
      <c r="H1" s="9"/>
      <c r="I1" s="23"/>
      <c r="J1" s="9"/>
      <c r="K1" s="9"/>
      <c r="L1" s="9"/>
    </row>
    <row r="2" spans="1:17" s="10" customFormat="1" ht="87.95" customHeight="1" thickBot="1" x14ac:dyDescent="0.25">
      <c r="A2" s="74" t="s">
        <v>41</v>
      </c>
      <c r="B2" s="74" t="s">
        <v>42</v>
      </c>
      <c r="C2" s="68" t="s">
        <v>43</v>
      </c>
      <c r="D2" s="69" t="s">
        <v>44</v>
      </c>
      <c r="E2" s="70" t="s">
        <v>22</v>
      </c>
      <c r="F2" s="70" t="s">
        <v>19</v>
      </c>
      <c r="G2" s="71" t="s">
        <v>45</v>
      </c>
      <c r="H2" s="71" t="s">
        <v>46</v>
      </c>
      <c r="I2" s="72" t="s">
        <v>49</v>
      </c>
      <c r="J2" s="72" t="s">
        <v>50</v>
      </c>
      <c r="K2" s="72" t="s">
        <v>51</v>
      </c>
      <c r="L2" s="72" t="s">
        <v>52</v>
      </c>
      <c r="M2" s="72" t="s">
        <v>53</v>
      </c>
      <c r="N2" s="72" t="s">
        <v>54</v>
      </c>
      <c r="O2" s="72" t="s">
        <v>55</v>
      </c>
      <c r="P2" s="59" t="s">
        <v>56</v>
      </c>
      <c r="Q2" s="59" t="s">
        <v>57</v>
      </c>
    </row>
    <row r="3" spans="1:17" s="109" customFormat="1" ht="54" customHeight="1" thickTop="1" thickBot="1" x14ac:dyDescent="0.25">
      <c r="A3" s="98"/>
      <c r="B3" s="85" t="s">
        <v>10</v>
      </c>
      <c r="C3" s="86" t="s">
        <v>586</v>
      </c>
      <c r="D3" s="86" t="s">
        <v>587</v>
      </c>
      <c r="E3" s="86" t="s">
        <v>11</v>
      </c>
      <c r="F3" s="86" t="s">
        <v>24</v>
      </c>
      <c r="G3" s="86" t="s">
        <v>463</v>
      </c>
      <c r="H3" s="97">
        <v>44739</v>
      </c>
      <c r="I3" s="86" t="s">
        <v>62</v>
      </c>
      <c r="J3" s="86" t="s">
        <v>63</v>
      </c>
      <c r="K3" s="86">
        <v>0</v>
      </c>
      <c r="L3" s="86" t="s">
        <v>464</v>
      </c>
      <c r="M3" s="86" t="s">
        <v>835</v>
      </c>
      <c r="N3" s="86">
        <v>2</v>
      </c>
      <c r="O3" s="89">
        <v>5.2083333333333333E-4</v>
      </c>
    </row>
    <row r="4" spans="1:17" s="109" customFormat="1" ht="54" customHeight="1" thickTop="1" thickBot="1" x14ac:dyDescent="0.25">
      <c r="A4" s="99"/>
      <c r="B4" s="90" t="s">
        <v>10</v>
      </c>
      <c r="C4" s="80" t="s">
        <v>588</v>
      </c>
      <c r="D4" s="80" t="s">
        <v>589</v>
      </c>
      <c r="E4" s="80" t="s">
        <v>11</v>
      </c>
      <c r="F4" s="80" t="s">
        <v>24</v>
      </c>
      <c r="G4" s="80" t="s">
        <v>590</v>
      </c>
      <c r="H4" s="84">
        <v>44739</v>
      </c>
      <c r="I4" s="86" t="s">
        <v>62</v>
      </c>
      <c r="J4" s="86" t="s">
        <v>63</v>
      </c>
      <c r="K4" s="86">
        <v>0</v>
      </c>
      <c r="L4" s="86" t="s">
        <v>64</v>
      </c>
      <c r="M4" s="86" t="s">
        <v>835</v>
      </c>
      <c r="N4" s="80">
        <v>1</v>
      </c>
      <c r="O4" s="91">
        <v>2.4305555555555556E-3</v>
      </c>
    </row>
    <row r="5" spans="1:17" s="109" customFormat="1" ht="54" customHeight="1" thickTop="1" thickBot="1" x14ac:dyDescent="0.25">
      <c r="A5" s="99"/>
      <c r="B5" s="90" t="s">
        <v>10</v>
      </c>
      <c r="C5" s="80" t="s">
        <v>591</v>
      </c>
      <c r="D5" s="80" t="s">
        <v>466</v>
      </c>
      <c r="E5" s="80" t="s">
        <v>11</v>
      </c>
      <c r="F5" s="80" t="s">
        <v>24</v>
      </c>
      <c r="G5" s="80" t="s">
        <v>467</v>
      </c>
      <c r="H5" s="84">
        <v>44739</v>
      </c>
      <c r="I5" s="86" t="s">
        <v>62</v>
      </c>
      <c r="J5" s="86" t="s">
        <v>63</v>
      </c>
      <c r="K5" s="86">
        <v>0</v>
      </c>
      <c r="L5" s="86" t="s">
        <v>68</v>
      </c>
      <c r="M5" s="86" t="s">
        <v>836</v>
      </c>
      <c r="N5" s="80">
        <v>1</v>
      </c>
      <c r="O5" s="91">
        <v>1.3888888888888889E-3</v>
      </c>
    </row>
    <row r="6" spans="1:17" s="109" customFormat="1" ht="54" customHeight="1" thickTop="1" thickBot="1" x14ac:dyDescent="0.25">
      <c r="A6" s="99"/>
      <c r="B6" s="90" t="s">
        <v>10</v>
      </c>
      <c r="C6" s="80" t="s">
        <v>592</v>
      </c>
      <c r="D6" s="80" t="s">
        <v>111</v>
      </c>
      <c r="E6" s="80" t="s">
        <v>11</v>
      </c>
      <c r="F6" s="80" t="s">
        <v>24</v>
      </c>
      <c r="G6" s="80" t="s">
        <v>593</v>
      </c>
      <c r="H6" s="84">
        <v>44739</v>
      </c>
      <c r="I6" s="86" t="s">
        <v>62</v>
      </c>
      <c r="J6" s="86" t="s">
        <v>63</v>
      </c>
      <c r="K6" s="86">
        <v>0</v>
      </c>
      <c r="L6" s="86" t="s">
        <v>76</v>
      </c>
      <c r="M6" s="86" t="s">
        <v>837</v>
      </c>
      <c r="N6" s="80">
        <v>1</v>
      </c>
      <c r="O6" s="91">
        <v>3.4722222222222224E-4</v>
      </c>
    </row>
    <row r="7" spans="1:17" s="109" customFormat="1" ht="54" customHeight="1" thickTop="1" thickBot="1" x14ac:dyDescent="0.25">
      <c r="A7" s="99"/>
      <c r="B7" s="90" t="s">
        <v>10</v>
      </c>
      <c r="C7" s="80" t="s">
        <v>594</v>
      </c>
      <c r="D7" s="80" t="s">
        <v>595</v>
      </c>
      <c r="E7" s="80" t="s">
        <v>11</v>
      </c>
      <c r="F7" s="80" t="s">
        <v>24</v>
      </c>
      <c r="G7" s="80" t="s">
        <v>593</v>
      </c>
      <c r="H7" s="84">
        <v>44739</v>
      </c>
      <c r="I7" s="86" t="s">
        <v>62</v>
      </c>
      <c r="J7" s="86" t="s">
        <v>63</v>
      </c>
      <c r="K7" s="86">
        <v>0</v>
      </c>
      <c r="L7" s="86" t="s">
        <v>100</v>
      </c>
      <c r="M7" s="86" t="s">
        <v>835</v>
      </c>
      <c r="N7" s="80">
        <v>1</v>
      </c>
      <c r="O7" s="91">
        <v>3.1249999999999997E-3</v>
      </c>
    </row>
    <row r="8" spans="1:17" s="109" customFormat="1" ht="54" customHeight="1" thickTop="1" thickBot="1" x14ac:dyDescent="0.25">
      <c r="A8" s="99"/>
      <c r="B8" s="90" t="s">
        <v>10</v>
      </c>
      <c r="C8" s="80" t="s">
        <v>596</v>
      </c>
      <c r="D8" s="80" t="s">
        <v>597</v>
      </c>
      <c r="E8" s="80" t="s">
        <v>11</v>
      </c>
      <c r="F8" s="80" t="s">
        <v>24</v>
      </c>
      <c r="G8" s="80" t="s">
        <v>106</v>
      </c>
      <c r="H8" s="84">
        <v>44739</v>
      </c>
      <c r="I8" s="86" t="s">
        <v>62</v>
      </c>
      <c r="J8" s="86" t="s">
        <v>63</v>
      </c>
      <c r="K8" s="86">
        <v>0</v>
      </c>
      <c r="L8" s="86" t="s">
        <v>107</v>
      </c>
      <c r="M8" s="86" t="s">
        <v>835</v>
      </c>
      <c r="N8" s="80">
        <v>1</v>
      </c>
      <c r="O8" s="91">
        <v>8.1018518518518516E-4</v>
      </c>
    </row>
    <row r="9" spans="1:17" s="109" customFormat="1" ht="54" customHeight="1" thickTop="1" thickBot="1" x14ac:dyDescent="0.25">
      <c r="A9" s="99"/>
      <c r="B9" s="90" t="s">
        <v>10</v>
      </c>
      <c r="C9" s="80" t="s">
        <v>598</v>
      </c>
      <c r="D9" s="80" t="s">
        <v>113</v>
      </c>
      <c r="E9" s="80" t="s">
        <v>11</v>
      </c>
      <c r="F9" s="80" t="s">
        <v>24</v>
      </c>
      <c r="G9" s="80" t="s">
        <v>114</v>
      </c>
      <c r="H9" s="84">
        <v>44739</v>
      </c>
      <c r="I9" s="86" t="s">
        <v>94</v>
      </c>
      <c r="J9" s="86" t="s">
        <v>63</v>
      </c>
      <c r="K9" s="86">
        <v>0</v>
      </c>
      <c r="L9" s="86" t="s">
        <v>119</v>
      </c>
      <c r="M9" s="86" t="s">
        <v>838</v>
      </c>
      <c r="N9" s="80">
        <v>1</v>
      </c>
      <c r="O9" s="91">
        <v>6.9444444444444447E-4</v>
      </c>
    </row>
    <row r="10" spans="1:17" s="109" customFormat="1" ht="54" customHeight="1" thickTop="1" thickBot="1" x14ac:dyDescent="0.25">
      <c r="A10" s="99"/>
      <c r="B10" s="90" t="s">
        <v>10</v>
      </c>
      <c r="C10" s="80" t="s">
        <v>599</v>
      </c>
      <c r="D10" s="80" t="s">
        <v>117</v>
      </c>
      <c r="E10" s="80" t="s">
        <v>11</v>
      </c>
      <c r="F10" s="80" t="s">
        <v>24</v>
      </c>
      <c r="G10" s="80" t="s">
        <v>600</v>
      </c>
      <c r="H10" s="84">
        <v>44739</v>
      </c>
      <c r="I10" s="86" t="s">
        <v>94</v>
      </c>
      <c r="J10" s="86" t="s">
        <v>63</v>
      </c>
      <c r="K10" s="86">
        <v>0</v>
      </c>
      <c r="L10" s="86" t="s">
        <v>115</v>
      </c>
      <c r="M10" s="86" t="s">
        <v>838</v>
      </c>
      <c r="N10" s="80">
        <v>1</v>
      </c>
      <c r="O10" s="91">
        <v>6.9444444444444447E-4</v>
      </c>
    </row>
    <row r="11" spans="1:17" s="109" customFormat="1" ht="54" customHeight="1" thickTop="1" thickBot="1" x14ac:dyDescent="0.25">
      <c r="A11" s="99"/>
      <c r="B11" s="90" t="s">
        <v>10</v>
      </c>
      <c r="C11" s="80" t="s">
        <v>601</v>
      </c>
      <c r="D11" s="80" t="s">
        <v>127</v>
      </c>
      <c r="E11" s="80" t="s">
        <v>11</v>
      </c>
      <c r="F11" s="80" t="s">
        <v>24</v>
      </c>
      <c r="G11" s="80" t="s">
        <v>93</v>
      </c>
      <c r="H11" s="84" t="s">
        <v>61</v>
      </c>
      <c r="I11" s="86" t="s">
        <v>94</v>
      </c>
      <c r="J11" s="86" t="s">
        <v>63</v>
      </c>
      <c r="K11" s="86">
        <v>0</v>
      </c>
      <c r="L11" s="86" t="s">
        <v>142</v>
      </c>
      <c r="M11" s="86" t="s">
        <v>838</v>
      </c>
      <c r="N11" s="80">
        <v>2</v>
      </c>
      <c r="O11" s="91">
        <v>45.042187499999997</v>
      </c>
    </row>
    <row r="12" spans="1:17" s="109" customFormat="1" ht="54" customHeight="1" thickTop="1" thickBot="1" x14ac:dyDescent="0.25">
      <c r="A12" s="100"/>
      <c r="B12" s="90" t="s">
        <v>10</v>
      </c>
      <c r="C12" s="80" t="s">
        <v>602</v>
      </c>
      <c r="D12" s="80" t="s">
        <v>123</v>
      </c>
      <c r="E12" s="80" t="s">
        <v>11</v>
      </c>
      <c r="F12" s="80" t="s">
        <v>24</v>
      </c>
      <c r="G12" s="80" t="s">
        <v>93</v>
      </c>
      <c r="H12" s="84" t="s">
        <v>61</v>
      </c>
      <c r="I12" s="86" t="s">
        <v>94</v>
      </c>
      <c r="J12" s="86" t="s">
        <v>63</v>
      </c>
      <c r="K12" s="86">
        <v>0</v>
      </c>
      <c r="L12" s="86" t="s">
        <v>142</v>
      </c>
      <c r="M12" s="86" t="s">
        <v>838</v>
      </c>
      <c r="N12" s="80">
        <v>2</v>
      </c>
      <c r="O12" s="91">
        <v>45.000520833333333</v>
      </c>
    </row>
    <row r="13" spans="1:17" s="109" customFormat="1" ht="54" customHeight="1" thickTop="1" thickBot="1" x14ac:dyDescent="0.25">
      <c r="A13" s="103"/>
      <c r="B13" s="90" t="s">
        <v>20</v>
      </c>
      <c r="C13" s="80" t="s">
        <v>603</v>
      </c>
      <c r="D13" s="80" t="s">
        <v>133</v>
      </c>
      <c r="E13" s="80" t="s">
        <v>11</v>
      </c>
      <c r="F13" s="80" t="s">
        <v>24</v>
      </c>
      <c r="G13" s="80" t="s">
        <v>93</v>
      </c>
      <c r="H13" s="84" t="s">
        <v>61</v>
      </c>
      <c r="I13" s="86" t="s">
        <v>94</v>
      </c>
      <c r="J13" s="86" t="s">
        <v>63</v>
      </c>
      <c r="K13" s="86">
        <v>0</v>
      </c>
      <c r="L13" s="86" t="s">
        <v>134</v>
      </c>
      <c r="M13" s="86" t="s">
        <v>849</v>
      </c>
      <c r="N13" s="80">
        <v>2</v>
      </c>
      <c r="O13" s="91">
        <v>6.9444444444444447E-4</v>
      </c>
      <c r="P13" s="163"/>
    </row>
    <row r="14" spans="1:17" s="109" customFormat="1" ht="54" customHeight="1" thickTop="1" thickBot="1" x14ac:dyDescent="0.25">
      <c r="A14" s="103"/>
      <c r="B14" s="93" t="s">
        <v>20</v>
      </c>
      <c r="C14" s="94" t="s">
        <v>604</v>
      </c>
      <c r="D14" s="94" t="s">
        <v>130</v>
      </c>
      <c r="E14" s="94" t="s">
        <v>11</v>
      </c>
      <c r="F14" s="94" t="s">
        <v>24</v>
      </c>
      <c r="G14" s="94" t="s">
        <v>605</v>
      </c>
      <c r="H14" s="101">
        <v>44788</v>
      </c>
      <c r="I14" s="86" t="s">
        <v>94</v>
      </c>
      <c r="J14" s="86" t="s">
        <v>63</v>
      </c>
      <c r="K14" s="86">
        <v>0</v>
      </c>
      <c r="L14" s="86" t="s">
        <v>131</v>
      </c>
      <c r="M14" s="86" t="s">
        <v>849</v>
      </c>
      <c r="N14" s="94">
        <v>1</v>
      </c>
      <c r="O14" s="96">
        <v>5.2083333333333333E-4</v>
      </c>
      <c r="P14" s="163"/>
    </row>
    <row r="15" spans="1:17" s="109" customFormat="1" ht="54" customHeight="1" thickTop="1" thickBot="1" x14ac:dyDescent="0.25">
      <c r="A15" s="102"/>
      <c r="B15" s="85" t="s">
        <v>13</v>
      </c>
      <c r="C15" s="86" t="s">
        <v>606</v>
      </c>
      <c r="D15" s="86" t="s">
        <v>607</v>
      </c>
      <c r="E15" s="86" t="s">
        <v>11</v>
      </c>
      <c r="F15" s="86" t="s">
        <v>24</v>
      </c>
      <c r="G15" s="86" t="s">
        <v>608</v>
      </c>
      <c r="H15" s="97">
        <v>45041</v>
      </c>
      <c r="I15" s="86" t="s">
        <v>140</v>
      </c>
      <c r="J15" s="86" t="s">
        <v>141</v>
      </c>
      <c r="K15" s="86">
        <v>0</v>
      </c>
      <c r="L15" s="86" t="s">
        <v>142</v>
      </c>
      <c r="M15" s="86" t="s">
        <v>838</v>
      </c>
      <c r="N15" s="86">
        <v>4</v>
      </c>
      <c r="O15" s="89">
        <v>1.736111111111111E-3</v>
      </c>
    </row>
    <row r="16" spans="1:17" s="109" customFormat="1" ht="54" customHeight="1" thickTop="1" thickBot="1" x14ac:dyDescent="0.25">
      <c r="A16" s="103"/>
      <c r="B16" s="90" t="s">
        <v>13</v>
      </c>
      <c r="C16" s="80" t="s">
        <v>609</v>
      </c>
      <c r="D16" s="80" t="s">
        <v>610</v>
      </c>
      <c r="E16" s="80" t="s">
        <v>11</v>
      </c>
      <c r="F16" s="80" t="s">
        <v>24</v>
      </c>
      <c r="G16" s="80" t="s">
        <v>611</v>
      </c>
      <c r="H16" s="84">
        <v>45041</v>
      </c>
      <c r="I16" s="86" t="s">
        <v>140</v>
      </c>
      <c r="J16" s="86" t="s">
        <v>141</v>
      </c>
      <c r="K16" s="86">
        <v>0</v>
      </c>
      <c r="L16" s="86" t="s">
        <v>142</v>
      </c>
      <c r="M16" s="86" t="s">
        <v>838</v>
      </c>
      <c r="N16" s="80">
        <v>4</v>
      </c>
      <c r="O16" s="91">
        <v>1.736111111111111E-3</v>
      </c>
    </row>
    <row r="17" spans="1:15" s="109" customFormat="1" ht="54" customHeight="1" thickTop="1" thickBot="1" x14ac:dyDescent="0.25">
      <c r="A17" s="103"/>
      <c r="B17" s="90" t="s">
        <v>13</v>
      </c>
      <c r="C17" s="80" t="s">
        <v>612</v>
      </c>
      <c r="D17" s="80" t="s">
        <v>613</v>
      </c>
      <c r="E17" s="80" t="s">
        <v>11</v>
      </c>
      <c r="F17" s="80" t="s">
        <v>24</v>
      </c>
      <c r="G17" s="80" t="s">
        <v>614</v>
      </c>
      <c r="H17" s="84">
        <v>45041</v>
      </c>
      <c r="I17" s="86" t="s">
        <v>140</v>
      </c>
      <c r="J17" s="86" t="s">
        <v>141</v>
      </c>
      <c r="K17" s="86">
        <v>0</v>
      </c>
      <c r="L17" s="86" t="s">
        <v>154</v>
      </c>
      <c r="M17" s="86" t="s">
        <v>838</v>
      </c>
      <c r="N17" s="80">
        <v>4</v>
      </c>
      <c r="O17" s="91">
        <v>1.736111111111111E-3</v>
      </c>
    </row>
    <row r="18" spans="1:15" s="109" customFormat="1" ht="54" customHeight="1" thickTop="1" thickBot="1" x14ac:dyDescent="0.25">
      <c r="A18" s="103"/>
      <c r="B18" s="90" t="s">
        <v>13</v>
      </c>
      <c r="C18" s="80" t="s">
        <v>615</v>
      </c>
      <c r="D18" s="80" t="s">
        <v>616</v>
      </c>
      <c r="E18" s="80" t="s">
        <v>11</v>
      </c>
      <c r="F18" s="80" t="s">
        <v>24</v>
      </c>
      <c r="G18" s="80" t="s">
        <v>611</v>
      </c>
      <c r="H18" s="84">
        <v>45041</v>
      </c>
      <c r="I18" s="86" t="s">
        <v>140</v>
      </c>
      <c r="J18" s="86" t="s">
        <v>141</v>
      </c>
      <c r="K18" s="86">
        <v>0</v>
      </c>
      <c r="L18" s="86" t="s">
        <v>154</v>
      </c>
      <c r="M18" s="86" t="s">
        <v>838</v>
      </c>
      <c r="N18" s="80">
        <v>4</v>
      </c>
      <c r="O18" s="91">
        <v>1.736111111111111E-3</v>
      </c>
    </row>
    <row r="19" spans="1:15" s="109" customFormat="1" ht="54" customHeight="1" thickTop="1" thickBot="1" x14ac:dyDescent="0.25">
      <c r="A19" s="103"/>
      <c r="B19" s="90" t="s">
        <v>13</v>
      </c>
      <c r="C19" s="80" t="s">
        <v>617</v>
      </c>
      <c r="D19" s="80" t="s">
        <v>152</v>
      </c>
      <c r="E19" s="80" t="s">
        <v>11</v>
      </c>
      <c r="F19" s="80" t="s">
        <v>24</v>
      </c>
      <c r="G19" s="80" t="s">
        <v>156</v>
      </c>
      <c r="H19" s="84">
        <v>45041</v>
      </c>
      <c r="I19" s="86" t="s">
        <v>140</v>
      </c>
      <c r="J19" s="86" t="s">
        <v>63</v>
      </c>
      <c r="K19" s="86">
        <v>0</v>
      </c>
      <c r="L19" s="86" t="s">
        <v>160</v>
      </c>
      <c r="M19" s="86" t="s">
        <v>839</v>
      </c>
      <c r="N19" s="80">
        <v>2</v>
      </c>
      <c r="O19" s="91">
        <v>5.2083333333333333E-4</v>
      </c>
    </row>
    <row r="20" spans="1:15" s="109" customFormat="1" ht="54" customHeight="1" thickTop="1" thickBot="1" x14ac:dyDescent="0.25">
      <c r="A20" s="103"/>
      <c r="B20" s="90" t="s">
        <v>13</v>
      </c>
      <c r="C20" s="80" t="s">
        <v>618</v>
      </c>
      <c r="D20" s="80" t="s">
        <v>152</v>
      </c>
      <c r="E20" s="80" t="s">
        <v>11</v>
      </c>
      <c r="F20" s="80" t="s">
        <v>24</v>
      </c>
      <c r="G20" s="80" t="s">
        <v>156</v>
      </c>
      <c r="H20" s="84">
        <v>45041</v>
      </c>
      <c r="I20" s="86" t="s">
        <v>140</v>
      </c>
      <c r="J20" s="86" t="s">
        <v>63</v>
      </c>
      <c r="K20" s="86">
        <v>0</v>
      </c>
      <c r="L20" s="86" t="s">
        <v>160</v>
      </c>
      <c r="M20" s="86" t="s">
        <v>839</v>
      </c>
      <c r="N20" s="80">
        <v>2</v>
      </c>
      <c r="O20" s="91">
        <v>5.2083333333333333E-4</v>
      </c>
    </row>
    <row r="21" spans="1:15" s="109" customFormat="1" ht="54" customHeight="1" thickTop="1" thickBot="1" x14ac:dyDescent="0.25">
      <c r="A21" s="103"/>
      <c r="B21" s="90" t="s">
        <v>13</v>
      </c>
      <c r="C21" s="80" t="s">
        <v>619</v>
      </c>
      <c r="D21" s="80" t="s">
        <v>158</v>
      </c>
      <c r="E21" s="80" t="s">
        <v>11</v>
      </c>
      <c r="F21" s="80" t="s">
        <v>24</v>
      </c>
      <c r="G21" s="81" t="s">
        <v>159</v>
      </c>
      <c r="H21" s="84">
        <v>45778</v>
      </c>
      <c r="I21" s="86" t="s">
        <v>140</v>
      </c>
      <c r="J21" s="86" t="s">
        <v>63</v>
      </c>
      <c r="K21" s="86">
        <v>0</v>
      </c>
      <c r="L21" s="86" t="s">
        <v>171</v>
      </c>
      <c r="M21" s="86" t="s">
        <v>839</v>
      </c>
      <c r="N21" s="80">
        <v>1</v>
      </c>
      <c r="O21" s="91">
        <v>2.3148148148148146E-4</v>
      </c>
    </row>
    <row r="22" spans="1:15" s="109" customFormat="1" ht="54" customHeight="1" thickTop="1" thickBot="1" x14ac:dyDescent="0.25">
      <c r="A22" s="103"/>
      <c r="B22" s="90" t="s">
        <v>13</v>
      </c>
      <c r="C22" s="80" t="s">
        <v>620</v>
      </c>
      <c r="D22" s="80" t="s">
        <v>162</v>
      </c>
      <c r="E22" s="81" t="s">
        <v>11</v>
      </c>
      <c r="F22" s="81" t="s">
        <v>24</v>
      </c>
      <c r="G22" s="81" t="s">
        <v>163</v>
      </c>
      <c r="H22" s="84">
        <v>45772</v>
      </c>
      <c r="I22" s="86" t="s">
        <v>140</v>
      </c>
      <c r="J22" s="86" t="s">
        <v>63</v>
      </c>
      <c r="K22" s="86">
        <v>0</v>
      </c>
      <c r="L22" s="86" t="s">
        <v>171</v>
      </c>
      <c r="M22" s="86" t="s">
        <v>839</v>
      </c>
      <c r="N22" s="80">
        <v>2</v>
      </c>
      <c r="O22" s="91">
        <v>2.3148148148148146E-4</v>
      </c>
    </row>
    <row r="23" spans="1:15" s="109" customFormat="1" ht="54" customHeight="1" thickTop="1" thickBot="1" x14ac:dyDescent="0.25">
      <c r="A23" s="103"/>
      <c r="B23" s="90" t="s">
        <v>13</v>
      </c>
      <c r="C23" s="80" t="s">
        <v>621</v>
      </c>
      <c r="D23" s="80" t="s">
        <v>486</v>
      </c>
      <c r="E23" s="80" t="s">
        <v>11</v>
      </c>
      <c r="F23" s="80" t="s">
        <v>24</v>
      </c>
      <c r="G23" s="80" t="s">
        <v>611</v>
      </c>
      <c r="H23" s="84">
        <v>45041</v>
      </c>
      <c r="I23" s="86" t="s">
        <v>62</v>
      </c>
      <c r="J23" s="86" t="s">
        <v>141</v>
      </c>
      <c r="K23" s="86">
        <v>0</v>
      </c>
      <c r="L23" s="86" t="s">
        <v>171</v>
      </c>
      <c r="M23" s="86" t="s">
        <v>840</v>
      </c>
      <c r="N23" s="80">
        <v>2</v>
      </c>
      <c r="O23" s="91">
        <v>4.6296296296296293E-4</v>
      </c>
    </row>
    <row r="24" spans="1:15" s="109" customFormat="1" ht="54" customHeight="1" thickTop="1" thickBot="1" x14ac:dyDescent="0.25">
      <c r="A24" s="103"/>
      <c r="B24" s="90" t="s">
        <v>13</v>
      </c>
      <c r="C24" s="80" t="s">
        <v>622</v>
      </c>
      <c r="D24" s="80" t="s">
        <v>623</v>
      </c>
      <c r="E24" s="80" t="s">
        <v>11</v>
      </c>
      <c r="F24" s="80" t="s">
        <v>24</v>
      </c>
      <c r="G24" s="80" t="s">
        <v>611</v>
      </c>
      <c r="H24" s="84">
        <v>45041</v>
      </c>
      <c r="I24" s="86" t="s">
        <v>62</v>
      </c>
      <c r="J24" s="86" t="s">
        <v>141</v>
      </c>
      <c r="K24" s="86">
        <v>0</v>
      </c>
      <c r="L24" s="86" t="s">
        <v>171</v>
      </c>
      <c r="M24" s="86" t="s">
        <v>840</v>
      </c>
      <c r="N24" s="80">
        <v>2</v>
      </c>
      <c r="O24" s="91">
        <v>4.6296296296296293E-4</v>
      </c>
    </row>
    <row r="25" spans="1:15" s="109" customFormat="1" ht="54" customHeight="1" thickTop="1" thickBot="1" x14ac:dyDescent="0.25">
      <c r="A25" s="103"/>
      <c r="B25" s="90" t="s">
        <v>13</v>
      </c>
      <c r="C25" s="80" t="s">
        <v>624</v>
      </c>
      <c r="D25" s="80" t="s">
        <v>488</v>
      </c>
      <c r="E25" s="80" t="s">
        <v>11</v>
      </c>
      <c r="F25" s="80" t="s">
        <v>24</v>
      </c>
      <c r="G25" s="80" t="s">
        <v>611</v>
      </c>
      <c r="H25" s="84">
        <v>45041</v>
      </c>
      <c r="I25" s="86" t="s">
        <v>62</v>
      </c>
      <c r="J25" s="86" t="s">
        <v>141</v>
      </c>
      <c r="K25" s="86">
        <v>0</v>
      </c>
      <c r="L25" s="86" t="s">
        <v>189</v>
      </c>
      <c r="M25" s="86" t="s">
        <v>840</v>
      </c>
      <c r="N25" s="80">
        <v>2</v>
      </c>
      <c r="O25" s="91">
        <v>4.6296296296296293E-4</v>
      </c>
    </row>
    <row r="26" spans="1:15" s="109" customFormat="1" ht="54" customHeight="1" thickTop="1" thickBot="1" x14ac:dyDescent="0.25">
      <c r="A26" s="103"/>
      <c r="B26" s="90" t="s">
        <v>13</v>
      </c>
      <c r="C26" s="80" t="s">
        <v>625</v>
      </c>
      <c r="D26" s="80" t="s">
        <v>626</v>
      </c>
      <c r="E26" s="80" t="s">
        <v>11</v>
      </c>
      <c r="F26" s="80" t="s">
        <v>24</v>
      </c>
      <c r="G26" s="80" t="s">
        <v>611</v>
      </c>
      <c r="H26" s="84">
        <v>45041</v>
      </c>
      <c r="I26" s="86" t="s">
        <v>62</v>
      </c>
      <c r="J26" s="86" t="s">
        <v>141</v>
      </c>
      <c r="K26" s="86">
        <v>0</v>
      </c>
      <c r="L26" s="86" t="s">
        <v>186</v>
      </c>
      <c r="M26" s="86" t="s">
        <v>840</v>
      </c>
      <c r="N26" s="80">
        <v>2</v>
      </c>
      <c r="O26" s="91">
        <v>4.6296296296296293E-4</v>
      </c>
    </row>
    <row r="27" spans="1:15" s="109" customFormat="1" ht="54" customHeight="1" thickTop="1" thickBot="1" x14ac:dyDescent="0.25">
      <c r="A27" s="162"/>
      <c r="B27" s="115" t="s">
        <v>13</v>
      </c>
      <c r="C27" s="108" t="s">
        <v>627</v>
      </c>
      <c r="D27" s="108" t="s">
        <v>188</v>
      </c>
      <c r="E27" s="108" t="s">
        <v>24</v>
      </c>
      <c r="F27" s="108"/>
      <c r="G27" s="108"/>
      <c r="H27" s="108"/>
      <c r="I27" s="86" t="s">
        <v>62</v>
      </c>
      <c r="J27" s="86" t="s">
        <v>63</v>
      </c>
      <c r="K27" s="86">
        <v>0</v>
      </c>
      <c r="L27" s="86" t="s">
        <v>630</v>
      </c>
      <c r="M27" s="86" t="s">
        <v>839</v>
      </c>
      <c r="N27" s="108">
        <v>2</v>
      </c>
      <c r="O27" s="118">
        <v>6.9444444444444447E-4</v>
      </c>
    </row>
    <row r="28" spans="1:15" s="109" customFormat="1" ht="54" customHeight="1" thickTop="1" thickBot="1" x14ac:dyDescent="0.25">
      <c r="A28" s="170"/>
      <c r="B28" s="93" t="s">
        <v>13</v>
      </c>
      <c r="C28" s="94" t="s">
        <v>628</v>
      </c>
      <c r="D28" s="94" t="s">
        <v>184</v>
      </c>
      <c r="E28" s="95" t="s">
        <v>11</v>
      </c>
      <c r="F28" s="95" t="s">
        <v>24</v>
      </c>
      <c r="G28" s="95" t="s">
        <v>185</v>
      </c>
      <c r="H28" s="143">
        <v>45773</v>
      </c>
      <c r="I28" s="86" t="s">
        <v>94</v>
      </c>
      <c r="J28" s="86" t="s">
        <v>63</v>
      </c>
      <c r="K28" s="86">
        <v>0</v>
      </c>
      <c r="L28" s="86" t="s">
        <v>195</v>
      </c>
      <c r="M28" s="86" t="s">
        <v>838</v>
      </c>
      <c r="N28" s="94">
        <v>1</v>
      </c>
      <c r="O28" s="96">
        <v>6.9444444444444447E-4</v>
      </c>
    </row>
    <row r="29" spans="1:15" s="109" customFormat="1" ht="54" customHeight="1" thickTop="1" thickBot="1" x14ac:dyDescent="0.25">
      <c r="A29" s="165"/>
      <c r="B29" s="110" t="s">
        <v>16</v>
      </c>
      <c r="C29" s="111" t="s">
        <v>629</v>
      </c>
      <c r="D29" s="111" t="s">
        <v>191</v>
      </c>
      <c r="E29" s="111" t="s">
        <v>24</v>
      </c>
      <c r="F29" s="111"/>
      <c r="G29" s="111"/>
      <c r="H29" s="111"/>
      <c r="I29" s="86" t="s">
        <v>140</v>
      </c>
      <c r="J29" s="86" t="s">
        <v>63</v>
      </c>
      <c r="K29" s="86">
        <v>0</v>
      </c>
      <c r="L29" s="86" t="s">
        <v>634</v>
      </c>
      <c r="M29" s="86" t="s">
        <v>841</v>
      </c>
      <c r="N29" s="111">
        <v>2</v>
      </c>
      <c r="O29" s="114">
        <v>1.0416666666666667E-3</v>
      </c>
    </row>
    <row r="30" spans="1:15" s="109" customFormat="1" ht="54" customHeight="1" thickTop="1" thickBot="1" x14ac:dyDescent="0.25">
      <c r="A30" s="103"/>
      <c r="B30" s="90" t="s">
        <v>16</v>
      </c>
      <c r="C30" s="80" t="s">
        <v>631</v>
      </c>
      <c r="D30" s="80" t="s">
        <v>194</v>
      </c>
      <c r="E30" s="81" t="s">
        <v>11</v>
      </c>
      <c r="F30" s="81" t="s">
        <v>24</v>
      </c>
      <c r="G30" s="81" t="s">
        <v>163</v>
      </c>
      <c r="H30" s="82">
        <v>45772</v>
      </c>
      <c r="I30" s="86" t="s">
        <v>140</v>
      </c>
      <c r="J30" s="86" t="s">
        <v>63</v>
      </c>
      <c r="K30" s="86">
        <v>0</v>
      </c>
      <c r="L30" s="86" t="s">
        <v>637</v>
      </c>
      <c r="M30" s="86" t="s">
        <v>839</v>
      </c>
      <c r="N30" s="80">
        <v>2</v>
      </c>
      <c r="O30" s="91">
        <v>1.5624999999999999E-3</v>
      </c>
    </row>
    <row r="31" spans="1:15" s="109" customFormat="1" ht="54" customHeight="1" thickTop="1" thickBot="1" x14ac:dyDescent="0.25">
      <c r="A31" s="103"/>
      <c r="B31" s="90" t="s">
        <v>16</v>
      </c>
      <c r="C31" s="80" t="s">
        <v>632</v>
      </c>
      <c r="D31" s="80" t="s">
        <v>633</v>
      </c>
      <c r="E31" s="81" t="s">
        <v>11</v>
      </c>
      <c r="F31" s="81" t="s">
        <v>24</v>
      </c>
      <c r="G31" s="81" t="s">
        <v>163</v>
      </c>
      <c r="H31" s="82">
        <v>45772</v>
      </c>
      <c r="I31" s="86" t="s">
        <v>140</v>
      </c>
      <c r="J31" s="86" t="s">
        <v>141</v>
      </c>
      <c r="K31" s="86">
        <v>0</v>
      </c>
      <c r="L31" s="86" t="s">
        <v>199</v>
      </c>
      <c r="M31" s="86" t="s">
        <v>839</v>
      </c>
      <c r="N31" s="80">
        <v>2</v>
      </c>
      <c r="O31" s="91">
        <v>5.2083333333333333E-4</v>
      </c>
    </row>
    <row r="32" spans="1:15" s="109" customFormat="1" ht="54" customHeight="1" thickTop="1" thickBot="1" x14ac:dyDescent="0.25">
      <c r="A32" s="103"/>
      <c r="B32" s="90" t="s">
        <v>16</v>
      </c>
      <c r="C32" s="80" t="s">
        <v>635</v>
      </c>
      <c r="D32" s="80" t="s">
        <v>636</v>
      </c>
      <c r="E32" s="81" t="s">
        <v>11</v>
      </c>
      <c r="F32" s="81" t="s">
        <v>24</v>
      </c>
      <c r="G32" s="81" t="s">
        <v>198</v>
      </c>
      <c r="H32" s="82">
        <v>45778</v>
      </c>
      <c r="I32" s="86" t="s">
        <v>140</v>
      </c>
      <c r="J32" s="86" t="s">
        <v>63</v>
      </c>
      <c r="K32" s="86">
        <v>0</v>
      </c>
      <c r="L32" s="86" t="s">
        <v>213</v>
      </c>
      <c r="M32" s="86" t="s">
        <v>839</v>
      </c>
      <c r="N32" s="80">
        <v>2</v>
      </c>
      <c r="O32" s="91">
        <v>6.9444444444444447E-4</v>
      </c>
    </row>
    <row r="33" spans="1:15" s="109" customFormat="1" ht="54" customHeight="1" thickTop="1" thickBot="1" x14ac:dyDescent="0.25">
      <c r="A33" s="103"/>
      <c r="B33" s="90" t="s">
        <v>16</v>
      </c>
      <c r="C33" s="80" t="s">
        <v>638</v>
      </c>
      <c r="D33" s="80" t="s">
        <v>639</v>
      </c>
      <c r="E33" s="81" t="s">
        <v>11</v>
      </c>
      <c r="F33" s="81" t="s">
        <v>24</v>
      </c>
      <c r="G33" s="81" t="s">
        <v>198</v>
      </c>
      <c r="H33" s="82">
        <v>45778</v>
      </c>
      <c r="I33" s="86" t="s">
        <v>140</v>
      </c>
      <c r="J33" s="86" t="s">
        <v>63</v>
      </c>
      <c r="K33" s="86">
        <v>0</v>
      </c>
      <c r="L33" s="86" t="s">
        <v>213</v>
      </c>
      <c r="M33" s="86" t="s">
        <v>839</v>
      </c>
      <c r="N33" s="80">
        <v>2</v>
      </c>
      <c r="O33" s="91">
        <v>6.9444444444444447E-4</v>
      </c>
    </row>
    <row r="34" spans="1:15" s="109" customFormat="1" ht="54" customHeight="1" thickTop="1" thickBot="1" x14ac:dyDescent="0.25">
      <c r="A34" s="103"/>
      <c r="B34" s="90" t="s">
        <v>16</v>
      </c>
      <c r="C34" s="80" t="s">
        <v>640</v>
      </c>
      <c r="D34" s="80" t="s">
        <v>211</v>
      </c>
      <c r="E34" s="81" t="s">
        <v>11</v>
      </c>
      <c r="F34" s="81" t="s">
        <v>24</v>
      </c>
      <c r="G34" s="81" t="s">
        <v>212</v>
      </c>
      <c r="H34" s="82">
        <v>45776</v>
      </c>
      <c r="I34" s="86" t="s">
        <v>140</v>
      </c>
      <c r="J34" s="86" t="s">
        <v>141</v>
      </c>
      <c r="K34" s="86">
        <v>0</v>
      </c>
      <c r="L34" s="86" t="s">
        <v>218</v>
      </c>
      <c r="M34" s="86" t="s">
        <v>842</v>
      </c>
      <c r="N34" s="80">
        <v>1</v>
      </c>
      <c r="O34" s="91">
        <v>3.4722222222222224E-4</v>
      </c>
    </row>
    <row r="35" spans="1:15" s="109" customFormat="1" ht="54" customHeight="1" thickTop="1" thickBot="1" x14ac:dyDescent="0.25">
      <c r="A35" s="103"/>
      <c r="B35" s="90" t="s">
        <v>16</v>
      </c>
      <c r="C35" s="80" t="s">
        <v>641</v>
      </c>
      <c r="D35" s="80" t="s">
        <v>211</v>
      </c>
      <c r="E35" s="81" t="s">
        <v>11</v>
      </c>
      <c r="F35" s="81" t="s">
        <v>24</v>
      </c>
      <c r="G35" s="81" t="s">
        <v>212</v>
      </c>
      <c r="H35" s="82">
        <v>45776</v>
      </c>
      <c r="I35" s="86" t="s">
        <v>140</v>
      </c>
      <c r="J35" s="86" t="s">
        <v>141</v>
      </c>
      <c r="K35" s="86">
        <v>0</v>
      </c>
      <c r="L35" s="86" t="s">
        <v>218</v>
      </c>
      <c r="M35" s="86" t="s">
        <v>842</v>
      </c>
      <c r="N35" s="80">
        <v>1</v>
      </c>
      <c r="O35" s="91">
        <v>3.4722222222222224E-4</v>
      </c>
    </row>
    <row r="36" spans="1:15" s="109" customFormat="1" ht="54" customHeight="1" thickTop="1" thickBot="1" x14ac:dyDescent="0.25">
      <c r="A36" s="103"/>
      <c r="B36" s="90" t="s">
        <v>16</v>
      </c>
      <c r="C36" s="80" t="s">
        <v>642</v>
      </c>
      <c r="D36" s="175" t="s">
        <v>216</v>
      </c>
      <c r="E36" s="80" t="s">
        <v>245</v>
      </c>
      <c r="F36" s="80" t="s">
        <v>24</v>
      </c>
      <c r="G36" s="80" t="s">
        <v>217</v>
      </c>
      <c r="H36" s="84">
        <v>45775</v>
      </c>
      <c r="I36" s="86" t="s">
        <v>94</v>
      </c>
      <c r="J36" s="86" t="s">
        <v>141</v>
      </c>
      <c r="K36" s="86">
        <v>0</v>
      </c>
      <c r="L36" s="86">
        <v>0</v>
      </c>
      <c r="M36" s="86" t="s">
        <v>850</v>
      </c>
      <c r="N36" s="80">
        <v>1</v>
      </c>
      <c r="O36" s="91">
        <v>3.4722222222222224E-4</v>
      </c>
    </row>
    <row r="37" spans="1:15" s="109" customFormat="1" ht="54" customHeight="1" thickTop="1" thickBot="1" x14ac:dyDescent="0.25">
      <c r="A37" s="162"/>
      <c r="B37" s="115" t="s">
        <v>16</v>
      </c>
      <c r="C37" s="108" t="s">
        <v>643</v>
      </c>
      <c r="D37" s="108" t="s">
        <v>220</v>
      </c>
      <c r="E37" s="108" t="s">
        <v>24</v>
      </c>
      <c r="F37" s="108"/>
      <c r="G37" s="108"/>
      <c r="H37" s="108"/>
      <c r="I37" s="86" t="s">
        <v>140</v>
      </c>
      <c r="J37" s="86" t="s">
        <v>141</v>
      </c>
      <c r="K37" s="86">
        <v>0</v>
      </c>
      <c r="L37" s="86" t="s">
        <v>228</v>
      </c>
      <c r="M37" s="86" t="s">
        <v>842</v>
      </c>
      <c r="N37" s="108">
        <v>1</v>
      </c>
      <c r="O37" s="118">
        <v>5.7870370370370378E-4</v>
      </c>
    </row>
    <row r="38" spans="1:15" s="109" customFormat="1" ht="54" customHeight="1" thickTop="1" thickBot="1" x14ac:dyDescent="0.25">
      <c r="A38" s="162"/>
      <c r="B38" s="115" t="s">
        <v>16</v>
      </c>
      <c r="C38" s="108" t="s">
        <v>644</v>
      </c>
      <c r="D38" s="108" t="s">
        <v>223</v>
      </c>
      <c r="E38" s="108" t="s">
        <v>24</v>
      </c>
      <c r="F38" s="108"/>
      <c r="G38" s="108"/>
      <c r="H38" s="108"/>
      <c r="I38" s="86" t="s">
        <v>140</v>
      </c>
      <c r="J38" s="86" t="s">
        <v>141</v>
      </c>
      <c r="K38" s="86">
        <v>0</v>
      </c>
      <c r="L38" s="86" t="s">
        <v>221</v>
      </c>
      <c r="M38" s="86" t="s">
        <v>842</v>
      </c>
      <c r="N38" s="108">
        <v>2</v>
      </c>
      <c r="O38" s="118">
        <v>6.9444444444444447E-4</v>
      </c>
    </row>
    <row r="39" spans="1:15" s="109" customFormat="1" ht="54" customHeight="1" thickTop="1" thickBot="1" x14ac:dyDescent="0.25">
      <c r="A39" s="103"/>
      <c r="B39" s="90" t="s">
        <v>16</v>
      </c>
      <c r="C39" s="80" t="s">
        <v>645</v>
      </c>
      <c r="D39" s="80" t="s">
        <v>226</v>
      </c>
      <c r="E39" s="80" t="s">
        <v>11</v>
      </c>
      <c r="F39" s="80" t="s">
        <v>24</v>
      </c>
      <c r="G39" s="81" t="s">
        <v>227</v>
      </c>
      <c r="H39" s="82">
        <v>45774</v>
      </c>
      <c r="I39" s="86" t="s">
        <v>62</v>
      </c>
      <c r="J39" s="86" t="s">
        <v>141</v>
      </c>
      <c r="K39" s="86">
        <v>0</v>
      </c>
      <c r="L39" s="86" t="s">
        <v>234</v>
      </c>
      <c r="M39" s="86" t="s">
        <v>842</v>
      </c>
      <c r="N39" s="80">
        <v>1</v>
      </c>
      <c r="O39" s="91">
        <v>3.4722222222222224E-4</v>
      </c>
    </row>
    <row r="40" spans="1:15" s="109" customFormat="1" ht="54" customHeight="1" thickTop="1" thickBot="1" x14ac:dyDescent="0.25">
      <c r="A40" s="162"/>
      <c r="B40" s="115" t="s">
        <v>16</v>
      </c>
      <c r="C40" s="108" t="s">
        <v>646</v>
      </c>
      <c r="D40" s="108" t="s">
        <v>230</v>
      </c>
      <c r="E40" s="108" t="s">
        <v>24</v>
      </c>
      <c r="F40" s="108"/>
      <c r="G40" s="108"/>
      <c r="H40" s="108"/>
      <c r="I40" s="86" t="s">
        <v>140</v>
      </c>
      <c r="J40" s="86" t="s">
        <v>63</v>
      </c>
      <c r="K40" s="86">
        <v>0</v>
      </c>
      <c r="L40" s="86" t="s">
        <v>238</v>
      </c>
      <c r="M40" s="86" t="s">
        <v>842</v>
      </c>
      <c r="N40" s="108">
        <v>1</v>
      </c>
      <c r="O40" s="118">
        <v>1.0416666666666667E-3</v>
      </c>
    </row>
    <row r="41" spans="1:15" s="109" customFormat="1" ht="54" customHeight="1" thickTop="1" thickBot="1" x14ac:dyDescent="0.25">
      <c r="A41" s="103"/>
      <c r="B41" s="90" t="s">
        <v>16</v>
      </c>
      <c r="C41" s="80" t="s">
        <v>647</v>
      </c>
      <c r="D41" s="80" t="s">
        <v>232</v>
      </c>
      <c r="E41" s="81" t="s">
        <v>11</v>
      </c>
      <c r="F41" s="81" t="s">
        <v>24</v>
      </c>
      <c r="G41" s="81" t="s">
        <v>233</v>
      </c>
      <c r="H41" s="82">
        <v>45776</v>
      </c>
      <c r="I41" s="86" t="s">
        <v>140</v>
      </c>
      <c r="J41" s="86" t="s">
        <v>141</v>
      </c>
      <c r="K41" s="86">
        <v>0</v>
      </c>
      <c r="L41" s="86" t="s">
        <v>247</v>
      </c>
      <c r="M41" s="86" t="s">
        <v>842</v>
      </c>
      <c r="N41" s="80">
        <v>1</v>
      </c>
      <c r="O41" s="91">
        <v>1.1574074074074073E-4</v>
      </c>
    </row>
    <row r="42" spans="1:15" s="109" customFormat="1" ht="54" customHeight="1" thickTop="1" thickBot="1" x14ac:dyDescent="0.25">
      <c r="A42" s="103"/>
      <c r="B42" s="90" t="s">
        <v>16</v>
      </c>
      <c r="C42" s="80" t="s">
        <v>648</v>
      </c>
      <c r="D42" s="80" t="s">
        <v>236</v>
      </c>
      <c r="E42" s="80" t="s">
        <v>11</v>
      </c>
      <c r="F42" s="80" t="s">
        <v>24</v>
      </c>
      <c r="G42" s="80" t="s">
        <v>649</v>
      </c>
      <c r="H42" s="84">
        <v>45775</v>
      </c>
      <c r="I42" s="86" t="s">
        <v>140</v>
      </c>
      <c r="J42" s="86" t="s">
        <v>141</v>
      </c>
      <c r="K42" s="86">
        <v>0</v>
      </c>
      <c r="L42" s="86" t="s">
        <v>251</v>
      </c>
      <c r="M42" s="86" t="s">
        <v>843</v>
      </c>
      <c r="N42" s="80">
        <v>2</v>
      </c>
      <c r="O42" s="91">
        <v>3.4722222222222224E-4</v>
      </c>
    </row>
    <row r="43" spans="1:15" s="109" customFormat="1" ht="54" customHeight="1" thickTop="1" thickBot="1" x14ac:dyDescent="0.25">
      <c r="A43" s="171"/>
      <c r="B43" s="135" t="s">
        <v>16</v>
      </c>
      <c r="C43" s="136" t="s">
        <v>650</v>
      </c>
      <c r="D43" s="136" t="s">
        <v>244</v>
      </c>
      <c r="E43" s="137" t="s">
        <v>11</v>
      </c>
      <c r="F43" s="137" t="s">
        <v>245</v>
      </c>
      <c r="G43" s="137" t="s">
        <v>246</v>
      </c>
      <c r="H43" s="138">
        <v>45776</v>
      </c>
      <c r="I43" s="86" t="s">
        <v>140</v>
      </c>
      <c r="J43" s="86" t="s">
        <v>141</v>
      </c>
      <c r="K43" s="86">
        <v>0</v>
      </c>
      <c r="L43" s="86" t="s">
        <v>656</v>
      </c>
      <c r="M43" s="86" t="s">
        <v>842</v>
      </c>
      <c r="N43" s="136">
        <v>1</v>
      </c>
      <c r="O43" s="139">
        <v>6.9444444444444447E-4</v>
      </c>
    </row>
    <row r="44" spans="1:15" s="109" customFormat="1" ht="54" customHeight="1" thickTop="1" thickBot="1" x14ac:dyDescent="0.25">
      <c r="A44" s="103"/>
      <c r="B44" s="90" t="s">
        <v>16</v>
      </c>
      <c r="C44" s="80" t="s">
        <v>651</v>
      </c>
      <c r="D44" s="80" t="s">
        <v>652</v>
      </c>
      <c r="E44" s="80" t="s">
        <v>11</v>
      </c>
      <c r="F44" s="80" t="s">
        <v>24</v>
      </c>
      <c r="G44" s="80" t="s">
        <v>250</v>
      </c>
      <c r="H44" s="84">
        <v>45775</v>
      </c>
      <c r="I44" s="86" t="s">
        <v>140</v>
      </c>
      <c r="J44" s="86" t="s">
        <v>141</v>
      </c>
      <c r="K44" s="86">
        <v>0</v>
      </c>
      <c r="L44" s="86" t="s">
        <v>267</v>
      </c>
      <c r="M44" s="86" t="s">
        <v>843</v>
      </c>
      <c r="N44" s="80">
        <v>1</v>
      </c>
      <c r="O44" s="91">
        <v>6.9444444444444447E-4</v>
      </c>
    </row>
    <row r="45" spans="1:15" s="109" customFormat="1" ht="54" customHeight="1" thickTop="1" thickBot="1" x14ac:dyDescent="0.25">
      <c r="A45" s="103"/>
      <c r="B45" s="90" t="s">
        <v>16</v>
      </c>
      <c r="C45" s="80" t="s">
        <v>654</v>
      </c>
      <c r="D45" s="80" t="s">
        <v>335</v>
      </c>
      <c r="E45" s="80" t="s">
        <v>11</v>
      </c>
      <c r="F45" s="80" t="s">
        <v>24</v>
      </c>
      <c r="G45" s="80" t="s">
        <v>655</v>
      </c>
      <c r="H45" s="84">
        <v>45772</v>
      </c>
      <c r="I45" s="86" t="s">
        <v>62</v>
      </c>
      <c r="J45" s="86" t="s">
        <v>141</v>
      </c>
      <c r="K45" s="86">
        <v>0</v>
      </c>
      <c r="L45" s="86" t="s">
        <v>270</v>
      </c>
      <c r="M45" s="86" t="s">
        <v>842</v>
      </c>
      <c r="N45" s="80">
        <v>2</v>
      </c>
      <c r="O45" s="91">
        <v>3.4722222222222224E-4</v>
      </c>
    </row>
    <row r="46" spans="1:15" s="109" customFormat="1" ht="54" customHeight="1" thickTop="1" thickBot="1" x14ac:dyDescent="0.25">
      <c r="A46" s="103"/>
      <c r="B46" s="90" t="s">
        <v>16</v>
      </c>
      <c r="C46" s="80" t="s">
        <v>657</v>
      </c>
      <c r="D46" s="80" t="s">
        <v>265</v>
      </c>
      <c r="E46" s="80" t="s">
        <v>11</v>
      </c>
      <c r="F46" s="80" t="s">
        <v>24</v>
      </c>
      <c r="G46" s="80" t="s">
        <v>266</v>
      </c>
      <c r="H46" s="84">
        <v>45774</v>
      </c>
      <c r="I46" s="86" t="s">
        <v>62</v>
      </c>
      <c r="J46" s="86" t="s">
        <v>141</v>
      </c>
      <c r="K46" s="86">
        <v>0</v>
      </c>
      <c r="L46" s="86" t="s">
        <v>274</v>
      </c>
      <c r="M46" s="86" t="s">
        <v>842</v>
      </c>
      <c r="N46" s="80">
        <v>1</v>
      </c>
      <c r="O46" s="91">
        <v>3.4722222222222224E-4</v>
      </c>
    </row>
    <row r="47" spans="1:15" s="109" customFormat="1" ht="54" customHeight="1" thickTop="1" thickBot="1" x14ac:dyDescent="0.25">
      <c r="A47" s="103"/>
      <c r="B47" s="90" t="s">
        <v>16</v>
      </c>
      <c r="C47" s="80" t="s">
        <v>658</v>
      </c>
      <c r="D47" s="80" t="s">
        <v>269</v>
      </c>
      <c r="E47" s="80" t="s">
        <v>11</v>
      </c>
      <c r="F47" s="80" t="s">
        <v>24</v>
      </c>
      <c r="G47" s="80" t="s">
        <v>266</v>
      </c>
      <c r="H47" s="84">
        <v>45774</v>
      </c>
      <c r="I47" s="86" t="s">
        <v>62</v>
      </c>
      <c r="J47" s="86" t="s">
        <v>141</v>
      </c>
      <c r="K47" s="86">
        <v>0</v>
      </c>
      <c r="L47" s="86" t="s">
        <v>277</v>
      </c>
      <c r="M47" s="86" t="s">
        <v>842</v>
      </c>
      <c r="N47" s="80">
        <v>1</v>
      </c>
      <c r="O47" s="91">
        <v>3.4722222222222224E-4</v>
      </c>
    </row>
    <row r="48" spans="1:15" s="109" customFormat="1" ht="54" customHeight="1" thickTop="1" thickBot="1" x14ac:dyDescent="0.25">
      <c r="A48" s="103"/>
      <c r="B48" s="90" t="s">
        <v>16</v>
      </c>
      <c r="C48" s="80" t="s">
        <v>659</v>
      </c>
      <c r="D48" s="80" t="s">
        <v>660</v>
      </c>
      <c r="E48" s="80" t="s">
        <v>245</v>
      </c>
      <c r="F48" s="80" t="s">
        <v>24</v>
      </c>
      <c r="G48" s="80" t="s">
        <v>273</v>
      </c>
      <c r="H48" s="84">
        <v>45775</v>
      </c>
      <c r="I48" s="86" t="s">
        <v>62</v>
      </c>
      <c r="J48" s="86" t="s">
        <v>141</v>
      </c>
      <c r="K48" s="86">
        <v>0</v>
      </c>
      <c r="L48" s="86" t="s">
        <v>280</v>
      </c>
      <c r="M48" s="86" t="s">
        <v>842</v>
      </c>
      <c r="N48" s="80">
        <v>1</v>
      </c>
      <c r="O48" s="91">
        <v>3.4722222222222224E-4</v>
      </c>
    </row>
    <row r="49" spans="1:16" s="109" customFormat="1" ht="54" customHeight="1" thickTop="1" thickBot="1" x14ac:dyDescent="0.25">
      <c r="A49" s="103"/>
      <c r="B49" s="90" t="s">
        <v>16</v>
      </c>
      <c r="C49" s="80" t="s">
        <v>661</v>
      </c>
      <c r="D49" s="80" t="s">
        <v>519</v>
      </c>
      <c r="E49" s="80" t="s">
        <v>245</v>
      </c>
      <c r="F49" s="80" t="s">
        <v>24</v>
      </c>
      <c r="G49" s="80" t="s">
        <v>217</v>
      </c>
      <c r="H49" s="84">
        <v>45775</v>
      </c>
      <c r="I49" s="86" t="s">
        <v>94</v>
      </c>
      <c r="J49" s="86" t="s">
        <v>141</v>
      </c>
      <c r="K49" s="86">
        <v>0</v>
      </c>
      <c r="L49" s="86" t="s">
        <v>283</v>
      </c>
      <c r="M49" s="86" t="s">
        <v>850</v>
      </c>
      <c r="N49" s="80">
        <v>1</v>
      </c>
      <c r="O49" s="91">
        <v>3.4722222222222224E-4</v>
      </c>
    </row>
    <row r="50" spans="1:16" s="109" customFormat="1" ht="54" customHeight="1" thickTop="1" thickBot="1" x14ac:dyDescent="0.25">
      <c r="A50" s="103"/>
      <c r="B50" s="90" t="s">
        <v>16</v>
      </c>
      <c r="C50" s="80" t="s">
        <v>662</v>
      </c>
      <c r="D50" s="80" t="s">
        <v>279</v>
      </c>
      <c r="E50" s="80" t="s">
        <v>245</v>
      </c>
      <c r="F50" s="80" t="s">
        <v>24</v>
      </c>
      <c r="G50" s="80" t="s">
        <v>217</v>
      </c>
      <c r="H50" s="84">
        <v>45775</v>
      </c>
      <c r="I50" s="86" t="s">
        <v>94</v>
      </c>
      <c r="J50" s="86" t="s">
        <v>141</v>
      </c>
      <c r="K50" s="86">
        <v>0</v>
      </c>
      <c r="L50" s="86" t="s">
        <v>287</v>
      </c>
      <c r="M50" s="86" t="s">
        <v>850</v>
      </c>
      <c r="N50" s="80">
        <v>1</v>
      </c>
      <c r="O50" s="91">
        <v>5.2083333333333333E-4</v>
      </c>
    </row>
    <row r="51" spans="1:16" s="109" customFormat="1" ht="54" customHeight="1" thickTop="1" thickBot="1" x14ac:dyDescent="0.25">
      <c r="A51" s="103"/>
      <c r="B51" s="90" t="s">
        <v>16</v>
      </c>
      <c r="C51" s="80" t="s">
        <v>663</v>
      </c>
      <c r="D51" s="80" t="s">
        <v>664</v>
      </c>
      <c r="E51" s="80" t="s">
        <v>245</v>
      </c>
      <c r="F51" s="80" t="s">
        <v>665</v>
      </c>
      <c r="G51" s="80" t="s">
        <v>217</v>
      </c>
      <c r="H51" s="84">
        <v>45775</v>
      </c>
      <c r="I51" s="86" t="s">
        <v>94</v>
      </c>
      <c r="J51" s="86" t="s">
        <v>141</v>
      </c>
      <c r="K51" s="86">
        <v>0</v>
      </c>
      <c r="L51" s="86" t="s">
        <v>291</v>
      </c>
      <c r="M51" s="86" t="s">
        <v>850</v>
      </c>
      <c r="N51" s="80">
        <v>1</v>
      </c>
      <c r="O51" s="91">
        <v>6.9444444444444447E-4</v>
      </c>
    </row>
    <row r="52" spans="1:16" s="109" customFormat="1" ht="54" customHeight="1" thickTop="1" thickBot="1" x14ac:dyDescent="0.25">
      <c r="A52" s="103"/>
      <c r="B52" s="90" t="s">
        <v>16</v>
      </c>
      <c r="C52" s="80" t="s">
        <v>666</v>
      </c>
      <c r="D52" s="80" t="s">
        <v>285</v>
      </c>
      <c r="E52" s="80" t="s">
        <v>245</v>
      </c>
      <c r="F52" s="80" t="s">
        <v>24</v>
      </c>
      <c r="G52" s="80" t="s">
        <v>286</v>
      </c>
      <c r="H52" s="84">
        <v>45775</v>
      </c>
      <c r="I52" s="86" t="s">
        <v>62</v>
      </c>
      <c r="J52" s="86" t="s">
        <v>141</v>
      </c>
      <c r="K52" s="86">
        <v>0</v>
      </c>
      <c r="L52" s="86" t="s">
        <v>298</v>
      </c>
      <c r="M52" s="86" t="s">
        <v>842</v>
      </c>
      <c r="N52" s="80">
        <v>1</v>
      </c>
      <c r="O52" s="91">
        <v>3.4722222222222224E-4</v>
      </c>
    </row>
    <row r="53" spans="1:16" s="109" customFormat="1" ht="54" customHeight="1" thickTop="1" thickBot="1" x14ac:dyDescent="0.25">
      <c r="A53" s="103"/>
      <c r="B53" s="90" t="s">
        <v>16</v>
      </c>
      <c r="C53" s="80" t="s">
        <v>667</v>
      </c>
      <c r="D53" s="80" t="s">
        <v>289</v>
      </c>
      <c r="E53" s="81" t="s">
        <v>11</v>
      </c>
      <c r="F53" s="81" t="s">
        <v>24</v>
      </c>
      <c r="G53" s="81" t="s">
        <v>290</v>
      </c>
      <c r="H53" s="84">
        <v>45772</v>
      </c>
      <c r="I53" s="86" t="s">
        <v>140</v>
      </c>
      <c r="J53" s="86" t="s">
        <v>141</v>
      </c>
      <c r="K53" s="86">
        <v>0</v>
      </c>
      <c r="L53" s="86" t="s">
        <v>298</v>
      </c>
      <c r="M53" s="86" t="s">
        <v>842</v>
      </c>
      <c r="N53" s="80">
        <v>1</v>
      </c>
      <c r="O53" s="91">
        <v>6.9444444444444447E-4</v>
      </c>
    </row>
    <row r="54" spans="1:16" s="109" customFormat="1" ht="54" customHeight="1" thickTop="1" thickBot="1" x14ac:dyDescent="0.25">
      <c r="A54" s="103"/>
      <c r="B54" s="90" t="s">
        <v>16</v>
      </c>
      <c r="C54" s="80" t="s">
        <v>668</v>
      </c>
      <c r="D54" s="80" t="s">
        <v>297</v>
      </c>
      <c r="E54" s="81" t="s">
        <v>11</v>
      </c>
      <c r="F54" s="81" t="s">
        <v>24</v>
      </c>
      <c r="G54" s="81" t="s">
        <v>290</v>
      </c>
      <c r="H54" s="84">
        <v>45772</v>
      </c>
      <c r="I54" s="86" t="s">
        <v>140</v>
      </c>
      <c r="J54" s="86" t="s">
        <v>141</v>
      </c>
      <c r="K54" s="86">
        <v>0</v>
      </c>
      <c r="L54" s="86" t="s">
        <v>311</v>
      </c>
      <c r="M54" s="86" t="s">
        <v>842</v>
      </c>
      <c r="N54" s="80">
        <v>1</v>
      </c>
      <c r="O54" s="91">
        <v>3.4722222222222224E-4</v>
      </c>
    </row>
    <row r="55" spans="1:16" s="109" customFormat="1" ht="54" customHeight="1" thickTop="1" thickBot="1" x14ac:dyDescent="0.25">
      <c r="A55" s="103"/>
      <c r="B55" s="90" t="s">
        <v>16</v>
      </c>
      <c r="C55" s="80" t="s">
        <v>669</v>
      </c>
      <c r="D55" s="80" t="s">
        <v>300</v>
      </c>
      <c r="E55" s="81" t="s">
        <v>11</v>
      </c>
      <c r="F55" s="81" t="s">
        <v>24</v>
      </c>
      <c r="G55" s="81" t="s">
        <v>290</v>
      </c>
      <c r="H55" s="84">
        <v>45772</v>
      </c>
      <c r="I55" s="86" t="s">
        <v>140</v>
      </c>
      <c r="J55" s="86" t="s">
        <v>141</v>
      </c>
      <c r="K55" s="86">
        <v>0</v>
      </c>
      <c r="L55" s="86" t="s">
        <v>315</v>
      </c>
      <c r="M55" s="86" t="s">
        <v>842</v>
      </c>
      <c r="N55" s="80">
        <v>1</v>
      </c>
      <c r="O55" s="91">
        <v>3.4722222222222224E-4</v>
      </c>
    </row>
    <row r="56" spans="1:16" s="109" customFormat="1" ht="54" customHeight="1" thickTop="1" thickBot="1" x14ac:dyDescent="0.25">
      <c r="A56" s="103"/>
      <c r="B56" s="90" t="s">
        <v>16</v>
      </c>
      <c r="C56" s="80" t="s">
        <v>642</v>
      </c>
      <c r="D56" s="80" t="s">
        <v>670</v>
      </c>
      <c r="E56" s="80" t="s">
        <v>245</v>
      </c>
      <c r="F56" s="80" t="s">
        <v>24</v>
      </c>
      <c r="G56" s="80" t="s">
        <v>671</v>
      </c>
      <c r="H56" s="84">
        <v>45772</v>
      </c>
      <c r="I56" s="86" t="s">
        <v>94</v>
      </c>
      <c r="J56" s="86" t="s">
        <v>141</v>
      </c>
      <c r="K56" s="86">
        <v>0</v>
      </c>
      <c r="L56" s="86">
        <v>0</v>
      </c>
      <c r="M56" s="86" t="s">
        <v>850</v>
      </c>
      <c r="N56" s="80">
        <v>1</v>
      </c>
      <c r="O56" s="91">
        <v>3.4722222222222224E-4</v>
      </c>
    </row>
    <row r="57" spans="1:16" s="109" customFormat="1" ht="54" customHeight="1" thickTop="1" thickBot="1" x14ac:dyDescent="0.25">
      <c r="A57" s="103"/>
      <c r="B57" s="90" t="s">
        <v>16</v>
      </c>
      <c r="C57" s="80" t="s">
        <v>672</v>
      </c>
      <c r="D57" s="80" t="s">
        <v>673</v>
      </c>
      <c r="E57" s="80" t="s">
        <v>245</v>
      </c>
      <c r="F57" s="80" t="s">
        <v>24</v>
      </c>
      <c r="G57" s="80" t="s">
        <v>310</v>
      </c>
      <c r="H57" s="84">
        <v>45775</v>
      </c>
      <c r="I57" s="86" t="s">
        <v>62</v>
      </c>
      <c r="J57" s="86" t="s">
        <v>141</v>
      </c>
      <c r="K57" s="86">
        <v>0</v>
      </c>
      <c r="L57" s="86" t="s">
        <v>678</v>
      </c>
      <c r="M57" s="86" t="s">
        <v>842</v>
      </c>
      <c r="N57" s="80">
        <v>1</v>
      </c>
      <c r="O57" s="91">
        <v>8.6805555555555551E-4</v>
      </c>
    </row>
    <row r="58" spans="1:16" s="109" customFormat="1" ht="54" customHeight="1" thickTop="1" thickBot="1" x14ac:dyDescent="0.25">
      <c r="A58" s="103"/>
      <c r="B58" s="90" t="s">
        <v>16</v>
      </c>
      <c r="C58" s="80" t="s">
        <v>674</v>
      </c>
      <c r="D58" s="80" t="s">
        <v>313</v>
      </c>
      <c r="E58" s="81" t="s">
        <v>11</v>
      </c>
      <c r="F58" s="81" t="s">
        <v>24</v>
      </c>
      <c r="G58" s="81" t="s">
        <v>314</v>
      </c>
      <c r="H58" s="82">
        <v>45776</v>
      </c>
      <c r="I58" s="86" t="s">
        <v>140</v>
      </c>
      <c r="J58" s="86" t="s">
        <v>141</v>
      </c>
      <c r="K58" s="86">
        <v>0</v>
      </c>
      <c r="L58" s="86" t="s">
        <v>324</v>
      </c>
      <c r="M58" s="86" t="s">
        <v>842</v>
      </c>
      <c r="N58" s="80">
        <v>1</v>
      </c>
      <c r="O58" s="91">
        <v>6.9444444444444447E-4</v>
      </c>
    </row>
    <row r="59" spans="1:16" s="109" customFormat="1" ht="54" customHeight="1" thickTop="1" thickBot="1" x14ac:dyDescent="0.25">
      <c r="A59" s="103"/>
      <c r="B59" s="90" t="s">
        <v>16</v>
      </c>
      <c r="C59" s="80" t="s">
        <v>675</v>
      </c>
      <c r="D59" s="80" t="s">
        <v>320</v>
      </c>
      <c r="E59" s="81" t="s">
        <v>11</v>
      </c>
      <c r="F59" s="81" t="s">
        <v>24</v>
      </c>
      <c r="G59" s="81" t="s">
        <v>314</v>
      </c>
      <c r="H59" s="82">
        <v>45776</v>
      </c>
      <c r="I59" s="86" t="s">
        <v>140</v>
      </c>
      <c r="J59" s="86" t="s">
        <v>141</v>
      </c>
      <c r="K59" s="86">
        <v>0</v>
      </c>
      <c r="L59" s="86" t="s">
        <v>856</v>
      </c>
      <c r="M59" s="86" t="s">
        <v>842</v>
      </c>
      <c r="N59" s="80">
        <v>1</v>
      </c>
      <c r="O59" s="91">
        <v>6.9444444444444447E-4</v>
      </c>
    </row>
    <row r="60" spans="1:16" s="109" customFormat="1" ht="54" customHeight="1" thickTop="1" thickBot="1" x14ac:dyDescent="0.25">
      <c r="A60" s="162"/>
      <c r="B60" s="115" t="s">
        <v>16</v>
      </c>
      <c r="C60" s="108" t="s">
        <v>676</v>
      </c>
      <c r="D60" s="108" t="s">
        <v>677</v>
      </c>
      <c r="E60" s="108" t="s">
        <v>24</v>
      </c>
      <c r="F60" s="108"/>
      <c r="G60" s="108"/>
      <c r="H60" s="108"/>
      <c r="I60" s="86" t="s">
        <v>94</v>
      </c>
      <c r="J60" s="86" t="s">
        <v>63</v>
      </c>
      <c r="K60" s="86">
        <v>0</v>
      </c>
      <c r="L60" s="86">
        <v>0</v>
      </c>
      <c r="M60" s="86" t="s">
        <v>849</v>
      </c>
      <c r="N60" s="108">
        <v>1</v>
      </c>
      <c r="O60" s="118">
        <v>6.9444444444444447E-4</v>
      </c>
    </row>
    <row r="61" spans="1:16" s="109" customFormat="1" ht="54" customHeight="1" thickTop="1" thickBot="1" x14ac:dyDescent="0.25">
      <c r="A61" s="103"/>
      <c r="B61" s="90" t="s">
        <v>16</v>
      </c>
      <c r="C61" s="80" t="s">
        <v>679</v>
      </c>
      <c r="D61" s="80" t="s">
        <v>322</v>
      </c>
      <c r="E61" s="80" t="s">
        <v>11</v>
      </c>
      <c r="F61" s="80" t="s">
        <v>24</v>
      </c>
      <c r="G61" s="80" t="s">
        <v>323</v>
      </c>
      <c r="H61" s="84">
        <v>45772</v>
      </c>
      <c r="I61" s="86" t="s">
        <v>62</v>
      </c>
      <c r="J61" s="86" t="s">
        <v>63</v>
      </c>
      <c r="K61" s="86">
        <v>0</v>
      </c>
      <c r="L61" s="86">
        <v>0</v>
      </c>
      <c r="M61" s="86" t="s">
        <v>839</v>
      </c>
      <c r="N61" s="80">
        <v>1</v>
      </c>
      <c r="O61" s="91">
        <v>1.7361111111111112E-4</v>
      </c>
    </row>
    <row r="62" spans="1:16" s="109" customFormat="1" ht="54" customHeight="1" thickTop="1" thickBot="1" x14ac:dyDescent="0.25">
      <c r="A62" s="162"/>
      <c r="B62" s="115" t="s">
        <v>16</v>
      </c>
      <c r="C62" s="108" t="s">
        <v>680</v>
      </c>
      <c r="D62" s="108" t="s">
        <v>326</v>
      </c>
      <c r="E62" s="108" t="s">
        <v>24</v>
      </c>
      <c r="F62" s="108"/>
      <c r="G62" s="108"/>
      <c r="H62" s="108"/>
      <c r="I62" s="86" t="s">
        <v>62</v>
      </c>
      <c r="J62" s="86" t="s">
        <v>141</v>
      </c>
      <c r="K62" s="86">
        <v>0</v>
      </c>
      <c r="L62" s="86">
        <v>0</v>
      </c>
      <c r="M62" s="86" t="s">
        <v>843</v>
      </c>
      <c r="N62" s="108">
        <v>2</v>
      </c>
      <c r="O62" s="118">
        <v>5.2083333333333333E-4</v>
      </c>
    </row>
    <row r="63" spans="1:16" s="109" customFormat="1" ht="54" customHeight="1" thickTop="1" thickBot="1" x14ac:dyDescent="0.25">
      <c r="A63" s="103"/>
      <c r="B63" s="90" t="s">
        <v>16</v>
      </c>
      <c r="C63" s="80" t="s">
        <v>681</v>
      </c>
      <c r="D63" s="80" t="s">
        <v>682</v>
      </c>
      <c r="E63" s="80" t="s">
        <v>11</v>
      </c>
      <c r="F63" s="80" t="s">
        <v>24</v>
      </c>
      <c r="G63" s="81" t="s">
        <v>333</v>
      </c>
      <c r="H63" s="82">
        <v>45772</v>
      </c>
      <c r="I63" s="86" t="s">
        <v>62</v>
      </c>
      <c r="J63" s="86" t="s">
        <v>63</v>
      </c>
      <c r="K63" s="86">
        <v>0</v>
      </c>
      <c r="L63" s="86" t="s">
        <v>327</v>
      </c>
      <c r="M63" s="86" t="s">
        <v>839</v>
      </c>
      <c r="N63" s="80">
        <v>3</v>
      </c>
      <c r="O63" s="91">
        <v>5.2083333333333333E-4</v>
      </c>
    </row>
    <row r="64" spans="1:16" s="109" customFormat="1" ht="54" customHeight="1" thickTop="1" thickBot="1" x14ac:dyDescent="0.25">
      <c r="A64" s="170"/>
      <c r="B64" s="93" t="s">
        <v>16</v>
      </c>
      <c r="C64" s="94" t="s">
        <v>683</v>
      </c>
      <c r="D64" s="94" t="s">
        <v>332</v>
      </c>
      <c r="E64" s="94" t="s">
        <v>11</v>
      </c>
      <c r="F64" s="94" t="s">
        <v>24</v>
      </c>
      <c r="G64" s="95" t="s">
        <v>684</v>
      </c>
      <c r="H64" s="143">
        <v>45772</v>
      </c>
      <c r="I64" s="86" t="s">
        <v>62</v>
      </c>
      <c r="J64" s="86" t="s">
        <v>63</v>
      </c>
      <c r="K64" s="86">
        <v>0</v>
      </c>
      <c r="L64" s="86" t="s">
        <v>687</v>
      </c>
      <c r="M64" s="86" t="s">
        <v>839</v>
      </c>
      <c r="N64" s="94">
        <v>4</v>
      </c>
      <c r="O64" s="96">
        <v>5.2083333333333333E-4</v>
      </c>
      <c r="P64" s="163"/>
    </row>
    <row r="65" spans="1:17" s="109" customFormat="1" ht="54" customHeight="1" thickTop="1" thickBot="1" x14ac:dyDescent="0.25">
      <c r="A65" s="165"/>
      <c r="B65" s="110" t="s">
        <v>20</v>
      </c>
      <c r="C65" s="111" t="s">
        <v>685</v>
      </c>
      <c r="D65" s="111" t="s">
        <v>686</v>
      </c>
      <c r="E65" s="111" t="s">
        <v>24</v>
      </c>
      <c r="F65" s="111"/>
      <c r="G65" s="111"/>
      <c r="H65" s="111"/>
      <c r="I65" s="86" t="s">
        <v>140</v>
      </c>
      <c r="J65" s="86" t="s">
        <v>141</v>
      </c>
      <c r="K65" s="86">
        <v>0</v>
      </c>
      <c r="L65" s="86" t="s">
        <v>342</v>
      </c>
      <c r="M65" s="86" t="s">
        <v>844</v>
      </c>
      <c r="N65" s="111">
        <v>4</v>
      </c>
      <c r="O65" s="114">
        <v>4.1666666666666666E-3</v>
      </c>
      <c r="P65" s="163"/>
    </row>
    <row r="66" spans="1:17" s="109" customFormat="1" ht="54" customHeight="1" thickTop="1" thickBot="1" x14ac:dyDescent="0.25">
      <c r="A66" s="162"/>
      <c r="B66" s="115" t="s">
        <v>20</v>
      </c>
      <c r="C66" s="108" t="s">
        <v>688</v>
      </c>
      <c r="D66" s="108" t="s">
        <v>689</v>
      </c>
      <c r="E66" s="108" t="s">
        <v>24</v>
      </c>
      <c r="F66" s="108"/>
      <c r="G66" s="108"/>
      <c r="H66" s="108"/>
      <c r="I66" s="86" t="s">
        <v>140</v>
      </c>
      <c r="J66" s="86" t="s">
        <v>141</v>
      </c>
      <c r="K66" s="86">
        <v>0</v>
      </c>
      <c r="L66" s="86" t="s">
        <v>691</v>
      </c>
      <c r="M66" s="86" t="s">
        <v>844</v>
      </c>
      <c r="N66" s="108">
        <v>4</v>
      </c>
      <c r="O66" s="118">
        <v>1.3888888888888889E-3</v>
      </c>
      <c r="P66" s="163"/>
    </row>
    <row r="67" spans="1:17" s="109" customFormat="1" ht="54" customHeight="1" thickTop="1" thickBot="1" x14ac:dyDescent="0.25">
      <c r="A67" s="162"/>
      <c r="B67" s="115" t="s">
        <v>20</v>
      </c>
      <c r="C67" s="108" t="s">
        <v>690</v>
      </c>
      <c r="D67" s="108" t="s">
        <v>344</v>
      </c>
      <c r="E67" s="108" t="s">
        <v>24</v>
      </c>
      <c r="F67" s="108"/>
      <c r="G67" s="108"/>
      <c r="H67" s="108"/>
      <c r="I67" s="86" t="s">
        <v>140</v>
      </c>
      <c r="J67" s="86" t="s">
        <v>141</v>
      </c>
      <c r="K67" s="86">
        <v>0</v>
      </c>
      <c r="L67" s="86" t="s">
        <v>348</v>
      </c>
      <c r="M67" s="86" t="s">
        <v>845</v>
      </c>
      <c r="N67" s="108">
        <v>2</v>
      </c>
      <c r="O67" s="118">
        <v>2.0833333333333333E-3</v>
      </c>
      <c r="P67" s="163"/>
      <c r="Q67" s="167"/>
    </row>
    <row r="68" spans="1:17" s="109" customFormat="1" ht="54" customHeight="1" thickTop="1" thickBot="1" x14ac:dyDescent="0.25">
      <c r="A68" s="162"/>
      <c r="B68" s="115" t="s">
        <v>20</v>
      </c>
      <c r="C68" s="108" t="s">
        <v>692</v>
      </c>
      <c r="D68" s="108" t="s">
        <v>347</v>
      </c>
      <c r="E68" s="108" t="s">
        <v>24</v>
      </c>
      <c r="F68" s="108"/>
      <c r="G68" s="108"/>
      <c r="H68" s="108"/>
      <c r="I68" s="86" t="s">
        <v>140</v>
      </c>
      <c r="J68" s="86" t="s">
        <v>141</v>
      </c>
      <c r="K68" s="86">
        <v>0</v>
      </c>
      <c r="L68" s="86" t="s">
        <v>351</v>
      </c>
      <c r="M68" s="86" t="s">
        <v>845</v>
      </c>
      <c r="N68" s="108">
        <v>2</v>
      </c>
      <c r="O68" s="118">
        <v>2.0833333333333333E-3</v>
      </c>
      <c r="P68" s="163"/>
    </row>
    <row r="69" spans="1:17" s="109" customFormat="1" ht="54" customHeight="1" thickTop="1" thickBot="1" x14ac:dyDescent="0.25">
      <c r="A69" s="103"/>
      <c r="B69" s="90" t="s">
        <v>20</v>
      </c>
      <c r="C69" s="80" t="s">
        <v>693</v>
      </c>
      <c r="D69" s="80" t="s">
        <v>350</v>
      </c>
      <c r="E69" s="80" t="s">
        <v>11</v>
      </c>
      <c r="F69" s="80" t="s">
        <v>24</v>
      </c>
      <c r="G69" s="80" t="s">
        <v>323</v>
      </c>
      <c r="H69" s="84">
        <v>45772</v>
      </c>
      <c r="I69" s="86" t="s">
        <v>62</v>
      </c>
      <c r="J69" s="86" t="s">
        <v>63</v>
      </c>
      <c r="K69" s="86">
        <v>0</v>
      </c>
      <c r="L69" s="86" t="s">
        <v>363</v>
      </c>
      <c r="M69" s="86" t="s">
        <v>839</v>
      </c>
      <c r="N69" s="80">
        <v>2</v>
      </c>
      <c r="O69" s="91">
        <v>6.9444444444444447E-4</v>
      </c>
      <c r="P69" s="163"/>
    </row>
    <row r="70" spans="1:17" s="109" customFormat="1" ht="54" customHeight="1" thickTop="1" thickBot="1" x14ac:dyDescent="0.25">
      <c r="A70" s="162"/>
      <c r="B70" s="115" t="s">
        <v>20</v>
      </c>
      <c r="C70" s="108" t="s">
        <v>694</v>
      </c>
      <c r="D70" s="108" t="s">
        <v>362</v>
      </c>
      <c r="E70" s="108" t="s">
        <v>24</v>
      </c>
      <c r="F70" s="108"/>
      <c r="G70" s="108"/>
      <c r="H70" s="108"/>
      <c r="I70" s="86" t="s">
        <v>140</v>
      </c>
      <c r="J70" s="86" t="s">
        <v>141</v>
      </c>
      <c r="K70" s="86">
        <v>0</v>
      </c>
      <c r="L70" s="86" t="s">
        <v>369</v>
      </c>
      <c r="M70" s="86" t="s">
        <v>842</v>
      </c>
      <c r="N70" s="108">
        <v>2</v>
      </c>
      <c r="O70" s="118">
        <v>1.736111111111111E-3</v>
      </c>
      <c r="P70" s="163"/>
    </row>
    <row r="71" spans="1:17" s="109" customFormat="1" ht="54" customHeight="1" thickTop="1" thickBot="1" x14ac:dyDescent="0.25">
      <c r="A71" s="162"/>
      <c r="B71" s="115" t="s">
        <v>20</v>
      </c>
      <c r="C71" s="108" t="s">
        <v>695</v>
      </c>
      <c r="D71" s="108" t="s">
        <v>696</v>
      </c>
      <c r="E71" s="108" t="s">
        <v>24</v>
      </c>
      <c r="F71" s="108"/>
      <c r="G71" s="108"/>
      <c r="H71" s="108"/>
      <c r="I71" s="86" t="s">
        <v>62</v>
      </c>
      <c r="J71" s="86" t="s">
        <v>141</v>
      </c>
      <c r="K71" s="86">
        <v>0</v>
      </c>
      <c r="L71" s="86" t="s">
        <v>366</v>
      </c>
      <c r="M71" s="86" t="s">
        <v>840</v>
      </c>
      <c r="N71" s="108">
        <v>1</v>
      </c>
      <c r="O71" s="118">
        <v>9.2592592592592585E-4</v>
      </c>
      <c r="P71" s="163"/>
    </row>
    <row r="72" spans="1:17" s="109" customFormat="1" ht="54" customHeight="1" thickTop="1" thickBot="1" x14ac:dyDescent="0.25">
      <c r="A72" s="162"/>
      <c r="B72" s="115" t="s">
        <v>20</v>
      </c>
      <c r="C72" s="108" t="s">
        <v>697</v>
      </c>
      <c r="D72" s="108" t="s">
        <v>698</v>
      </c>
      <c r="E72" s="108" t="s">
        <v>24</v>
      </c>
      <c r="F72" s="108"/>
      <c r="G72" s="108"/>
      <c r="H72" s="108"/>
      <c r="I72" s="86" t="s">
        <v>62</v>
      </c>
      <c r="J72" s="86" t="s">
        <v>141</v>
      </c>
      <c r="K72" s="86">
        <v>0</v>
      </c>
      <c r="L72" s="86" t="s">
        <v>372</v>
      </c>
      <c r="M72" s="86" t="s">
        <v>840</v>
      </c>
      <c r="N72" s="108">
        <v>2</v>
      </c>
      <c r="O72" s="118">
        <v>9.2592592592592585E-4</v>
      </c>
      <c r="P72" s="163"/>
    </row>
    <row r="73" spans="1:17" s="109" customFormat="1" ht="54" customHeight="1" thickTop="1" thickBot="1" x14ac:dyDescent="0.25">
      <c r="A73" s="162"/>
      <c r="B73" s="115" t="s">
        <v>20</v>
      </c>
      <c r="C73" s="108" t="s">
        <v>699</v>
      </c>
      <c r="D73" s="108" t="s">
        <v>371</v>
      </c>
      <c r="E73" s="108" t="s">
        <v>24</v>
      </c>
      <c r="F73" s="108"/>
      <c r="G73" s="108"/>
      <c r="H73" s="108"/>
      <c r="I73" s="86" t="s">
        <v>62</v>
      </c>
      <c r="J73" s="86" t="s">
        <v>63</v>
      </c>
      <c r="K73" s="86">
        <v>0</v>
      </c>
      <c r="L73" s="86" t="s">
        <v>375</v>
      </c>
      <c r="M73" s="86" t="s">
        <v>846</v>
      </c>
      <c r="N73" s="108">
        <v>1</v>
      </c>
      <c r="O73" s="118">
        <v>1.1574074074074073E-4</v>
      </c>
      <c r="P73" s="163"/>
    </row>
    <row r="74" spans="1:17" s="109" customFormat="1" ht="54" customHeight="1" thickTop="1" thickBot="1" x14ac:dyDescent="0.25">
      <c r="A74" s="162"/>
      <c r="B74" s="115" t="s">
        <v>20</v>
      </c>
      <c r="C74" s="108" t="s">
        <v>700</v>
      </c>
      <c r="D74" s="108" t="s">
        <v>374</v>
      </c>
      <c r="E74" s="108" t="s">
        <v>24</v>
      </c>
      <c r="F74" s="108"/>
      <c r="G74" s="108"/>
      <c r="H74" s="108"/>
      <c r="I74" s="86" t="s">
        <v>94</v>
      </c>
      <c r="J74" s="86" t="s">
        <v>63</v>
      </c>
      <c r="K74" s="86">
        <v>0</v>
      </c>
      <c r="L74" s="86" t="s">
        <v>131</v>
      </c>
      <c r="M74" s="86" t="s">
        <v>849</v>
      </c>
      <c r="N74" s="108">
        <v>1</v>
      </c>
      <c r="O74" s="118">
        <v>6.9444444444444447E-4</v>
      </c>
      <c r="P74" s="163"/>
    </row>
    <row r="75" spans="1:17" s="109" customFormat="1" ht="54" customHeight="1" thickTop="1" thickBot="1" x14ac:dyDescent="0.25">
      <c r="A75" s="162"/>
      <c r="B75" s="115" t="s">
        <v>20</v>
      </c>
      <c r="C75" s="108" t="s">
        <v>701</v>
      </c>
      <c r="D75" s="175" t="s">
        <v>847</v>
      </c>
      <c r="E75" s="108" t="s">
        <v>24</v>
      </c>
      <c r="F75" s="108"/>
      <c r="G75" s="108"/>
      <c r="H75" s="108"/>
      <c r="I75" s="86" t="s">
        <v>62</v>
      </c>
      <c r="J75" s="86" t="s">
        <v>63</v>
      </c>
      <c r="K75" s="86">
        <v>0</v>
      </c>
      <c r="L75" s="86" t="s">
        <v>125</v>
      </c>
      <c r="M75" s="86" t="s">
        <v>839</v>
      </c>
      <c r="N75" s="108">
        <v>2</v>
      </c>
      <c r="O75" s="118">
        <v>3.4722222222222224E-4</v>
      </c>
      <c r="P75" s="163"/>
    </row>
    <row r="76" spans="1:17" s="109" customFormat="1" ht="54" customHeight="1" thickTop="1" thickBot="1" x14ac:dyDescent="0.25">
      <c r="A76" s="162"/>
      <c r="B76" s="115" t="s">
        <v>20</v>
      </c>
      <c r="C76" s="108" t="s">
        <v>702</v>
      </c>
      <c r="D76" s="108" t="s">
        <v>703</v>
      </c>
      <c r="E76" s="108" t="s">
        <v>24</v>
      </c>
      <c r="F76" s="108"/>
      <c r="G76" s="108"/>
      <c r="H76" s="108"/>
      <c r="I76" s="86" t="s">
        <v>62</v>
      </c>
      <c r="J76" s="86" t="s">
        <v>63</v>
      </c>
      <c r="K76" s="86">
        <v>0</v>
      </c>
      <c r="L76" s="86" t="s">
        <v>128</v>
      </c>
      <c r="M76" s="86" t="s">
        <v>839</v>
      </c>
      <c r="N76" s="108">
        <v>2</v>
      </c>
      <c r="O76" s="118">
        <v>6.9444444444444447E-4</v>
      </c>
      <c r="P76" s="163"/>
    </row>
    <row r="77" spans="1:17" s="109" customFormat="1" ht="54" customHeight="1" thickTop="1" thickBot="1" x14ac:dyDescent="0.25">
      <c r="A77" s="162"/>
      <c r="B77" s="115" t="s">
        <v>20</v>
      </c>
      <c r="C77" s="108" t="s">
        <v>704</v>
      </c>
      <c r="D77" s="108" t="s">
        <v>411</v>
      </c>
      <c r="E77" s="108" t="s">
        <v>24</v>
      </c>
      <c r="F77" s="108"/>
      <c r="G77" s="108"/>
      <c r="H77" s="108"/>
      <c r="I77" s="86" t="s">
        <v>94</v>
      </c>
      <c r="J77" s="86" t="s">
        <v>141</v>
      </c>
      <c r="K77" s="86">
        <v>0</v>
      </c>
      <c r="L77" s="86" t="s">
        <v>403</v>
      </c>
      <c r="M77" s="86" t="s">
        <v>838</v>
      </c>
      <c r="N77" s="108">
        <v>2</v>
      </c>
      <c r="O77" s="118">
        <v>1.3888888888888889E-3</v>
      </c>
      <c r="P77" s="163"/>
    </row>
    <row r="78" spans="1:17" s="109" customFormat="1" ht="54" customHeight="1" thickTop="1" thickBot="1" x14ac:dyDescent="0.25">
      <c r="A78" s="103"/>
      <c r="B78" s="90" t="s">
        <v>20</v>
      </c>
      <c r="C78" s="80" t="s">
        <v>706</v>
      </c>
      <c r="D78" s="80" t="s">
        <v>707</v>
      </c>
      <c r="E78" s="80" t="s">
        <v>11</v>
      </c>
      <c r="F78" s="80" t="s">
        <v>24</v>
      </c>
      <c r="G78" s="80" t="s">
        <v>390</v>
      </c>
      <c r="H78" s="84">
        <v>45778</v>
      </c>
      <c r="I78" s="86" t="s">
        <v>62</v>
      </c>
      <c r="J78" s="86" t="s">
        <v>63</v>
      </c>
      <c r="K78" s="86">
        <v>0</v>
      </c>
      <c r="L78" s="86" t="s">
        <v>705</v>
      </c>
      <c r="M78" s="86" t="s">
        <v>839</v>
      </c>
      <c r="N78" s="80">
        <v>1</v>
      </c>
      <c r="O78" s="91">
        <v>6.9444444444444447E-4</v>
      </c>
      <c r="P78" s="163"/>
    </row>
    <row r="79" spans="1:17" s="109" customFormat="1" ht="54" customHeight="1" thickTop="1" thickBot="1" x14ac:dyDescent="0.25">
      <c r="A79" s="162"/>
      <c r="B79" s="115" t="s">
        <v>20</v>
      </c>
      <c r="C79" s="108" t="s">
        <v>708</v>
      </c>
      <c r="D79" s="108" t="s">
        <v>402</v>
      </c>
      <c r="E79" s="108" t="s">
        <v>24</v>
      </c>
      <c r="F79" s="108"/>
      <c r="G79" s="108"/>
      <c r="H79" s="108"/>
      <c r="I79" s="86" t="s">
        <v>94</v>
      </c>
      <c r="J79" s="86" t="s">
        <v>63</v>
      </c>
      <c r="K79" s="86">
        <v>0</v>
      </c>
      <c r="L79" s="86" t="s">
        <v>134</v>
      </c>
      <c r="M79" s="86" t="s">
        <v>838</v>
      </c>
      <c r="N79" s="108">
        <v>4</v>
      </c>
      <c r="O79" s="118">
        <v>2.0833333333333333E-3</v>
      </c>
      <c r="P79" s="163"/>
    </row>
    <row r="80" spans="1:17" s="109" customFormat="1" ht="54" customHeight="1" thickTop="1" thickBot="1" x14ac:dyDescent="0.25">
      <c r="A80" s="166"/>
      <c r="B80" s="120" t="s">
        <v>20</v>
      </c>
      <c r="C80" s="121" t="s">
        <v>709</v>
      </c>
      <c r="D80" s="121" t="s">
        <v>414</v>
      </c>
      <c r="E80" s="121" t="s">
        <v>24</v>
      </c>
      <c r="F80" s="121"/>
      <c r="G80" s="121"/>
      <c r="H80" s="121"/>
      <c r="I80" s="86" t="s">
        <v>94</v>
      </c>
      <c r="J80" s="86" t="s">
        <v>63</v>
      </c>
      <c r="K80" s="86">
        <v>0</v>
      </c>
      <c r="L80" s="86" t="s">
        <v>415</v>
      </c>
      <c r="M80" s="86" t="s">
        <v>838</v>
      </c>
      <c r="N80" s="121">
        <v>2</v>
      </c>
      <c r="O80" s="123">
        <v>6.9444444444444447E-4</v>
      </c>
      <c r="P80" s="163"/>
    </row>
    <row r="81" spans="1:16" s="109" customFormat="1" ht="54" customHeight="1" thickTop="1" thickBot="1" x14ac:dyDescent="0.25">
      <c r="A81" s="165"/>
      <c r="B81" s="110" t="s">
        <v>23</v>
      </c>
      <c r="C81" s="111" t="s">
        <v>710</v>
      </c>
      <c r="D81" s="111" t="s">
        <v>432</v>
      </c>
      <c r="E81" s="111" t="s">
        <v>24</v>
      </c>
      <c r="F81" s="111"/>
      <c r="G81" s="111"/>
      <c r="H81" s="111"/>
      <c r="I81" s="86" t="s">
        <v>140</v>
      </c>
      <c r="J81" s="86" t="s">
        <v>63</v>
      </c>
      <c r="K81" s="86">
        <v>0</v>
      </c>
      <c r="L81" s="86" t="s">
        <v>427</v>
      </c>
      <c r="M81" s="86" t="s">
        <v>838</v>
      </c>
      <c r="N81" s="111">
        <v>1</v>
      </c>
      <c r="O81" s="114">
        <v>3.4722222222222224E-4</v>
      </c>
      <c r="P81" s="163"/>
    </row>
    <row r="82" spans="1:16" s="109" customFormat="1" ht="54" customHeight="1" thickTop="1" thickBot="1" x14ac:dyDescent="0.25">
      <c r="A82" s="162"/>
      <c r="B82" s="115" t="s">
        <v>23</v>
      </c>
      <c r="C82" s="108" t="s">
        <v>711</v>
      </c>
      <c r="D82" s="108" t="s">
        <v>426</v>
      </c>
      <c r="E82" s="108" t="s">
        <v>24</v>
      </c>
      <c r="F82" s="108"/>
      <c r="G82" s="108"/>
      <c r="H82" s="108"/>
      <c r="I82" s="86" t="s">
        <v>140</v>
      </c>
      <c r="J82" s="86" t="s">
        <v>63</v>
      </c>
      <c r="K82" s="86">
        <v>0</v>
      </c>
      <c r="L82" s="86" t="s">
        <v>424</v>
      </c>
      <c r="M82" s="86" t="s">
        <v>838</v>
      </c>
      <c r="N82" s="108">
        <v>1</v>
      </c>
      <c r="O82" s="118">
        <v>6.9444444444444447E-4</v>
      </c>
    </row>
    <row r="83" spans="1:16" s="109" customFormat="1" ht="54" customHeight="1" thickTop="1" thickBot="1" x14ac:dyDescent="0.25">
      <c r="A83" s="162"/>
      <c r="B83" s="115" t="s">
        <v>23</v>
      </c>
      <c r="C83" s="108" t="s">
        <v>712</v>
      </c>
      <c r="D83" s="108" t="s">
        <v>423</v>
      </c>
      <c r="E83" s="108" t="s">
        <v>24</v>
      </c>
      <c r="F83" s="108"/>
      <c r="G83" s="108"/>
      <c r="H83" s="108"/>
      <c r="I83" s="86" t="s">
        <v>140</v>
      </c>
      <c r="J83" s="86" t="s">
        <v>63</v>
      </c>
      <c r="K83" s="86">
        <v>0</v>
      </c>
      <c r="L83" s="86" t="s">
        <v>436</v>
      </c>
      <c r="M83" s="86" t="s">
        <v>843</v>
      </c>
      <c r="N83" s="108">
        <v>1</v>
      </c>
      <c r="O83" s="118">
        <v>6.9444444444444447E-4</v>
      </c>
    </row>
    <row r="84" spans="1:16" s="109" customFormat="1" ht="54" customHeight="1" thickTop="1" thickBot="1" x14ac:dyDescent="0.25">
      <c r="A84" s="162"/>
      <c r="B84" s="115" t="s">
        <v>23</v>
      </c>
      <c r="C84" s="108" t="s">
        <v>713</v>
      </c>
      <c r="D84" s="108" t="s">
        <v>714</v>
      </c>
      <c r="E84" s="108" t="s">
        <v>24</v>
      </c>
      <c r="F84" s="108"/>
      <c r="G84" s="108"/>
      <c r="H84" s="108"/>
      <c r="I84" s="86" t="s">
        <v>140</v>
      </c>
      <c r="J84" s="86" t="s">
        <v>63</v>
      </c>
      <c r="K84" s="86">
        <v>0</v>
      </c>
      <c r="L84" s="86" t="s">
        <v>439</v>
      </c>
      <c r="M84" s="86" t="s">
        <v>843</v>
      </c>
      <c r="N84" s="108">
        <v>1</v>
      </c>
      <c r="O84" s="118">
        <v>0</v>
      </c>
    </row>
    <row r="85" spans="1:16" s="109" customFormat="1" ht="54" customHeight="1" thickTop="1" thickBot="1" x14ac:dyDescent="0.25">
      <c r="A85" s="162"/>
      <c r="B85" s="115" t="s">
        <v>23</v>
      </c>
      <c r="C85" s="108" t="s">
        <v>715</v>
      </c>
      <c r="D85" s="108" t="s">
        <v>438</v>
      </c>
      <c r="E85" s="108" t="s">
        <v>24</v>
      </c>
      <c r="F85" s="108"/>
      <c r="G85" s="108"/>
      <c r="H85" s="108"/>
      <c r="I85" s="86" t="s">
        <v>140</v>
      </c>
      <c r="J85" s="86" t="s">
        <v>63</v>
      </c>
      <c r="K85" s="86">
        <v>0</v>
      </c>
      <c r="L85" s="86" t="s">
        <v>384</v>
      </c>
      <c r="M85" s="86" t="s">
        <v>843</v>
      </c>
      <c r="N85" s="108">
        <v>2</v>
      </c>
      <c r="O85" s="118">
        <v>1.0416666666666667E-3</v>
      </c>
    </row>
    <row r="86" spans="1:16" s="109" customFormat="1" ht="54" customHeight="1" thickTop="1" thickBot="1" x14ac:dyDescent="0.25">
      <c r="A86" s="162"/>
      <c r="B86" s="115" t="s">
        <v>23</v>
      </c>
      <c r="C86" s="108" t="s">
        <v>716</v>
      </c>
      <c r="D86" s="108" t="s">
        <v>717</v>
      </c>
      <c r="E86" s="108" t="s">
        <v>24</v>
      </c>
      <c r="F86" s="108"/>
      <c r="G86" s="108"/>
      <c r="H86" s="108"/>
      <c r="I86" s="86" t="s">
        <v>62</v>
      </c>
      <c r="J86" s="86" t="s">
        <v>63</v>
      </c>
      <c r="K86" s="86">
        <v>0</v>
      </c>
      <c r="L86" s="86" t="s">
        <v>433</v>
      </c>
      <c r="M86" s="86" t="s">
        <v>854</v>
      </c>
      <c r="N86" s="108">
        <v>2</v>
      </c>
      <c r="O86" s="118">
        <v>5.2083333333333333E-4</v>
      </c>
    </row>
    <row r="87" spans="1:16" s="109" customFormat="1" ht="54" customHeight="1" thickTop="1" thickBot="1" x14ac:dyDescent="0.25">
      <c r="A87" s="166"/>
      <c r="B87" s="120" t="s">
        <v>23</v>
      </c>
      <c r="C87" s="121" t="s">
        <v>718</v>
      </c>
      <c r="D87" s="121" t="s">
        <v>447</v>
      </c>
      <c r="E87" s="121" t="s">
        <v>24</v>
      </c>
      <c r="F87" s="121"/>
      <c r="G87" s="121"/>
      <c r="H87" s="121"/>
      <c r="I87" s="86" t="s">
        <v>94</v>
      </c>
      <c r="J87" s="86" t="s">
        <v>63</v>
      </c>
      <c r="K87" s="86">
        <v>0</v>
      </c>
      <c r="L87" s="86" t="s">
        <v>448</v>
      </c>
      <c r="M87" s="86" t="s">
        <v>853</v>
      </c>
      <c r="N87" s="121">
        <v>2</v>
      </c>
      <c r="O87" s="123">
        <v>6.9444444444444447E-4</v>
      </c>
    </row>
    <row r="88" spans="1:16" s="109" customFormat="1" ht="66" customHeight="1" thickTop="1" thickBot="1" x14ac:dyDescent="0.25">
      <c r="B88" s="128" t="s">
        <v>719</v>
      </c>
      <c r="C88" s="129" t="s">
        <v>720</v>
      </c>
      <c r="D88" s="129" t="s">
        <v>458</v>
      </c>
      <c r="E88" s="130" t="s">
        <v>24</v>
      </c>
      <c r="F88" s="130"/>
      <c r="G88" s="130"/>
      <c r="H88" s="168"/>
      <c r="I88" s="86" t="s">
        <v>94</v>
      </c>
      <c r="J88" s="86">
        <v>0</v>
      </c>
      <c r="K88" s="86">
        <v>0</v>
      </c>
      <c r="L88" s="86" t="s">
        <v>721</v>
      </c>
      <c r="M88" s="86" t="s">
        <v>855</v>
      </c>
      <c r="N88" s="130">
        <v>2</v>
      </c>
      <c r="O88" s="169">
        <v>2.0013888888888891</v>
      </c>
    </row>
    <row r="89" spans="1:16" s="109" customFormat="1" ht="15.75" thickTop="1" x14ac:dyDescent="0.2">
      <c r="B89" s="141"/>
      <c r="C89" s="161"/>
      <c r="D89" s="161"/>
      <c r="E89" s="161"/>
      <c r="F89" s="161"/>
      <c r="G89" s="161"/>
      <c r="H89" s="161"/>
      <c r="I89" s="141"/>
      <c r="J89" s="161"/>
      <c r="K89" s="161"/>
      <c r="L89" s="161"/>
      <c r="M89" s="161"/>
      <c r="N89" s="161"/>
      <c r="O89" s="161"/>
    </row>
    <row r="90" spans="1:16" s="109" customFormat="1" x14ac:dyDescent="0.2">
      <c r="B90" s="141"/>
      <c r="C90" s="161"/>
      <c r="D90" s="161"/>
      <c r="E90" s="161"/>
      <c r="F90" s="161"/>
      <c r="G90" s="161"/>
      <c r="H90" s="161"/>
      <c r="I90" s="141"/>
      <c r="J90" s="161"/>
      <c r="K90" s="161"/>
      <c r="L90" s="161"/>
      <c r="M90" s="161"/>
      <c r="N90" s="161"/>
      <c r="O90" s="161"/>
    </row>
    <row r="91" spans="1:16" s="109" customFormat="1" x14ac:dyDescent="0.2">
      <c r="B91" s="141"/>
      <c r="C91" s="161"/>
      <c r="D91" s="161"/>
      <c r="E91" s="161"/>
      <c r="F91" s="161"/>
      <c r="G91" s="161"/>
      <c r="H91" s="161"/>
      <c r="I91" s="141"/>
      <c r="J91" s="161"/>
      <c r="K91" s="161"/>
      <c r="L91" s="161"/>
      <c r="M91" s="161"/>
      <c r="N91" s="161"/>
      <c r="O91" s="161"/>
    </row>
    <row r="92" spans="1:16" s="109" customFormat="1" x14ac:dyDescent="0.2">
      <c r="B92" s="141"/>
      <c r="C92" s="161"/>
      <c r="D92" s="161"/>
      <c r="E92" s="161"/>
      <c r="F92" s="161"/>
      <c r="G92" s="161"/>
      <c r="H92" s="161"/>
      <c r="I92" s="141"/>
      <c r="J92" s="161"/>
      <c r="K92" s="161"/>
      <c r="L92" s="161"/>
      <c r="M92" s="161"/>
      <c r="N92" s="161"/>
      <c r="O92" s="161"/>
    </row>
    <row r="93" spans="1:16" s="109" customFormat="1" x14ac:dyDescent="0.2">
      <c r="B93" s="141"/>
      <c r="C93" s="161"/>
      <c r="D93" s="161"/>
      <c r="E93" s="161"/>
      <c r="F93" s="161"/>
      <c r="G93" s="161"/>
      <c r="H93" s="161"/>
      <c r="I93" s="141"/>
      <c r="J93" s="161"/>
      <c r="K93" s="161"/>
      <c r="L93" s="161"/>
      <c r="M93" s="161"/>
      <c r="N93" s="161"/>
      <c r="O93" s="161"/>
    </row>
    <row r="94" spans="1:16" s="109" customFormat="1" x14ac:dyDescent="0.2">
      <c r="B94" s="141"/>
      <c r="C94" s="161"/>
      <c r="D94" s="161"/>
      <c r="E94" s="161"/>
      <c r="F94" s="161"/>
      <c r="G94" s="161"/>
      <c r="H94" s="161"/>
      <c r="I94" s="141"/>
      <c r="J94" s="161"/>
      <c r="K94" s="161"/>
      <c r="L94" s="161"/>
      <c r="M94" s="161"/>
      <c r="N94" s="161"/>
      <c r="O94" s="161"/>
    </row>
    <row r="95" spans="1:16" s="109" customFormat="1" x14ac:dyDescent="0.2">
      <c r="B95" s="141"/>
      <c r="C95" s="161"/>
      <c r="D95" s="161"/>
      <c r="E95" s="161"/>
      <c r="F95" s="161"/>
      <c r="G95" s="161"/>
      <c r="H95" s="161"/>
      <c r="I95" s="141"/>
      <c r="J95" s="161"/>
      <c r="K95" s="161"/>
      <c r="L95" s="161"/>
      <c r="M95" s="161"/>
      <c r="N95" s="161"/>
      <c r="O95" s="161"/>
    </row>
    <row r="96" spans="1:16" s="109" customFormat="1" x14ac:dyDescent="0.2">
      <c r="B96" s="141"/>
      <c r="C96" s="161"/>
      <c r="D96" s="161"/>
      <c r="E96" s="161"/>
      <c r="F96" s="161"/>
      <c r="G96" s="161"/>
      <c r="H96" s="161"/>
      <c r="I96" s="141"/>
      <c r="J96" s="161"/>
      <c r="K96" s="161"/>
      <c r="L96" s="161"/>
      <c r="M96" s="161"/>
      <c r="N96" s="161"/>
      <c r="O96" s="161"/>
    </row>
    <row r="97" spans="2:15" s="109" customFormat="1" x14ac:dyDescent="0.2">
      <c r="B97" s="141"/>
      <c r="C97" s="161"/>
      <c r="D97" s="161"/>
      <c r="E97" s="161"/>
      <c r="F97" s="161"/>
      <c r="G97" s="161"/>
      <c r="H97" s="161"/>
      <c r="I97" s="141"/>
      <c r="J97" s="161"/>
      <c r="K97" s="161"/>
      <c r="L97" s="161"/>
      <c r="M97" s="161"/>
      <c r="N97" s="161"/>
      <c r="O97" s="161"/>
    </row>
    <row r="98" spans="2:15" s="109" customFormat="1" x14ac:dyDescent="0.2">
      <c r="B98" s="141"/>
      <c r="C98" s="161"/>
      <c r="D98" s="161"/>
      <c r="E98" s="161"/>
      <c r="F98" s="161"/>
      <c r="G98" s="161"/>
      <c r="H98" s="161"/>
      <c r="I98" s="141"/>
      <c r="J98" s="161"/>
      <c r="K98" s="161"/>
      <c r="L98" s="161"/>
      <c r="M98" s="161"/>
      <c r="N98" s="161"/>
      <c r="O98" s="161"/>
    </row>
    <row r="99" spans="2:15" s="109" customFormat="1" x14ac:dyDescent="0.2">
      <c r="B99" s="141"/>
      <c r="C99" s="161"/>
      <c r="D99" s="161"/>
      <c r="E99" s="161"/>
      <c r="F99" s="161"/>
      <c r="G99" s="161"/>
      <c r="H99" s="161"/>
      <c r="I99" s="141"/>
      <c r="J99" s="161"/>
      <c r="K99" s="161"/>
      <c r="L99" s="161"/>
      <c r="M99" s="161"/>
      <c r="N99" s="161"/>
      <c r="O99" s="161"/>
    </row>
    <row r="100" spans="2:15" s="109" customFormat="1" x14ac:dyDescent="0.2">
      <c r="B100" s="141"/>
      <c r="C100" s="161"/>
      <c r="D100" s="161"/>
      <c r="E100" s="161"/>
      <c r="F100" s="161"/>
      <c r="G100" s="161"/>
      <c r="H100" s="161"/>
      <c r="I100" s="141"/>
      <c r="J100" s="161"/>
      <c r="K100" s="161"/>
      <c r="L100" s="161"/>
      <c r="M100" s="161"/>
      <c r="N100" s="161"/>
      <c r="O100" s="161"/>
    </row>
    <row r="101" spans="2:15" s="109" customFormat="1" x14ac:dyDescent="0.2">
      <c r="B101" s="141"/>
      <c r="C101" s="161"/>
      <c r="D101" s="161"/>
      <c r="E101" s="161"/>
      <c r="F101" s="161"/>
      <c r="G101" s="161"/>
      <c r="H101" s="161"/>
      <c r="I101" s="141"/>
      <c r="J101" s="161"/>
      <c r="K101" s="161"/>
      <c r="L101" s="161"/>
      <c r="M101" s="161"/>
      <c r="N101" s="161"/>
      <c r="O101" s="161"/>
    </row>
    <row r="102" spans="2:15" s="109" customFormat="1" x14ac:dyDescent="0.2">
      <c r="B102" s="141"/>
      <c r="C102" s="161"/>
      <c r="D102" s="161"/>
      <c r="E102" s="161"/>
      <c r="F102" s="161"/>
      <c r="G102" s="161"/>
      <c r="H102" s="161"/>
      <c r="I102" s="141"/>
      <c r="J102" s="161"/>
      <c r="K102" s="161"/>
      <c r="L102" s="161"/>
      <c r="M102" s="161"/>
      <c r="N102" s="161"/>
      <c r="O102" s="161"/>
    </row>
    <row r="103" spans="2:15" s="109" customFormat="1" x14ac:dyDescent="0.2">
      <c r="B103" s="141"/>
      <c r="C103" s="161"/>
      <c r="D103" s="161"/>
      <c r="E103" s="161"/>
      <c r="F103" s="161"/>
      <c r="G103" s="161"/>
      <c r="H103" s="161"/>
      <c r="I103" s="141"/>
      <c r="J103" s="161"/>
      <c r="K103" s="161"/>
      <c r="L103" s="161"/>
      <c r="M103" s="161"/>
      <c r="N103" s="161"/>
      <c r="O103" s="161"/>
    </row>
    <row r="104" spans="2:15" s="109" customFormat="1" x14ac:dyDescent="0.2">
      <c r="B104" s="141"/>
      <c r="C104" s="161"/>
      <c r="D104" s="161"/>
      <c r="E104" s="161"/>
      <c r="F104" s="161"/>
      <c r="G104" s="161"/>
      <c r="H104" s="161"/>
      <c r="I104" s="141"/>
      <c r="J104" s="161"/>
      <c r="K104" s="161"/>
      <c r="L104" s="161"/>
      <c r="M104" s="161"/>
      <c r="N104" s="161"/>
      <c r="O104" s="161"/>
    </row>
    <row r="105" spans="2:15" s="109" customFormat="1" x14ac:dyDescent="0.2">
      <c r="B105" s="141"/>
      <c r="C105" s="161"/>
      <c r="D105" s="161"/>
      <c r="E105" s="161"/>
      <c r="F105" s="161"/>
      <c r="G105" s="161"/>
      <c r="H105" s="161"/>
      <c r="I105" s="141"/>
      <c r="J105" s="161"/>
      <c r="K105" s="161"/>
      <c r="L105" s="161"/>
      <c r="M105" s="161"/>
      <c r="N105" s="161"/>
      <c r="O105" s="161"/>
    </row>
    <row r="106" spans="2:15" s="109" customFormat="1" x14ac:dyDescent="0.2">
      <c r="B106" s="141"/>
      <c r="C106" s="161"/>
      <c r="D106" s="161"/>
      <c r="E106" s="161"/>
      <c r="F106" s="161"/>
      <c r="G106" s="161"/>
      <c r="H106" s="161"/>
      <c r="I106" s="141"/>
      <c r="J106" s="161"/>
      <c r="K106" s="161"/>
      <c r="L106" s="161"/>
      <c r="M106" s="161"/>
      <c r="N106" s="161"/>
      <c r="O106" s="161"/>
    </row>
    <row r="107" spans="2:15" s="109" customFormat="1" x14ac:dyDescent="0.2">
      <c r="B107" s="141"/>
      <c r="C107" s="161"/>
      <c r="D107" s="161"/>
      <c r="E107" s="161"/>
      <c r="F107" s="161"/>
      <c r="G107" s="161"/>
      <c r="H107" s="161"/>
      <c r="I107" s="141"/>
      <c r="J107" s="161"/>
      <c r="K107" s="161"/>
      <c r="L107" s="161"/>
      <c r="M107" s="161"/>
      <c r="N107" s="161"/>
      <c r="O107" s="161"/>
    </row>
    <row r="108" spans="2:15" s="109" customFormat="1" x14ac:dyDescent="0.2">
      <c r="B108" s="141"/>
      <c r="C108" s="161"/>
      <c r="D108" s="161"/>
      <c r="E108" s="161"/>
      <c r="F108" s="161"/>
      <c r="G108" s="161"/>
      <c r="H108" s="161"/>
      <c r="I108" s="141"/>
      <c r="J108" s="161"/>
      <c r="K108" s="161"/>
      <c r="L108" s="161"/>
      <c r="M108" s="161"/>
      <c r="N108" s="161"/>
      <c r="O108" s="161"/>
    </row>
    <row r="109" spans="2:15" s="109" customFormat="1" x14ac:dyDescent="0.2">
      <c r="B109" s="141"/>
      <c r="C109" s="161"/>
      <c r="D109" s="161"/>
      <c r="E109" s="161"/>
      <c r="F109" s="161"/>
      <c r="G109" s="161"/>
      <c r="H109" s="161"/>
      <c r="I109" s="141"/>
      <c r="J109" s="161"/>
      <c r="K109" s="161"/>
      <c r="L109" s="161"/>
      <c r="M109" s="161"/>
      <c r="N109" s="161"/>
      <c r="O109" s="161"/>
    </row>
    <row r="110" spans="2:15" s="109" customFormat="1" x14ac:dyDescent="0.2">
      <c r="B110" s="141"/>
      <c r="C110" s="161"/>
      <c r="D110" s="161"/>
      <c r="E110" s="161"/>
      <c r="F110" s="161"/>
      <c r="G110" s="161"/>
      <c r="H110" s="161"/>
      <c r="I110" s="141"/>
      <c r="J110" s="161"/>
      <c r="K110" s="161"/>
      <c r="L110" s="161"/>
      <c r="M110" s="161"/>
      <c r="N110" s="161"/>
      <c r="O110" s="161"/>
    </row>
    <row r="111" spans="2:15" s="109" customFormat="1" x14ac:dyDescent="0.2">
      <c r="B111" s="141"/>
      <c r="C111" s="161"/>
      <c r="D111" s="161"/>
      <c r="E111" s="161"/>
      <c r="F111" s="161"/>
      <c r="G111" s="161"/>
      <c r="H111" s="161"/>
      <c r="I111" s="141"/>
      <c r="J111" s="161"/>
      <c r="K111" s="161"/>
      <c r="L111" s="161"/>
      <c r="M111" s="161"/>
      <c r="N111" s="161"/>
      <c r="O111" s="161"/>
    </row>
    <row r="112" spans="2:15" s="109" customFormat="1" x14ac:dyDescent="0.2">
      <c r="B112" s="141"/>
      <c r="C112" s="161"/>
      <c r="D112" s="161"/>
      <c r="E112" s="161"/>
      <c r="F112" s="161"/>
      <c r="G112" s="161"/>
      <c r="H112" s="161"/>
      <c r="I112" s="141"/>
      <c r="J112" s="161"/>
      <c r="K112" s="161"/>
      <c r="L112" s="161"/>
      <c r="M112" s="161"/>
      <c r="N112" s="161"/>
      <c r="O112" s="161"/>
    </row>
    <row r="113" spans="2:15" s="109" customFormat="1" x14ac:dyDescent="0.2">
      <c r="B113" s="141"/>
      <c r="C113" s="161"/>
      <c r="D113" s="161"/>
      <c r="E113" s="161"/>
      <c r="F113" s="161"/>
      <c r="G113" s="161"/>
      <c r="H113" s="161"/>
      <c r="I113" s="141"/>
      <c r="J113" s="161"/>
      <c r="K113" s="161"/>
      <c r="L113" s="161"/>
      <c r="M113" s="161"/>
      <c r="N113" s="161"/>
      <c r="O113" s="161"/>
    </row>
    <row r="114" spans="2:15" s="109" customFormat="1" x14ac:dyDescent="0.2">
      <c r="B114" s="141"/>
      <c r="C114" s="161"/>
      <c r="D114" s="161"/>
      <c r="E114" s="161"/>
      <c r="F114" s="161"/>
      <c r="G114" s="161"/>
      <c r="H114" s="161"/>
      <c r="I114" s="141"/>
      <c r="J114" s="161"/>
      <c r="K114" s="161"/>
      <c r="L114" s="161"/>
      <c r="M114" s="161"/>
      <c r="N114" s="161"/>
      <c r="O114" s="161"/>
    </row>
    <row r="115" spans="2:15" s="109" customFormat="1" x14ac:dyDescent="0.2">
      <c r="B115" s="141"/>
      <c r="C115" s="161"/>
      <c r="D115" s="161"/>
      <c r="E115" s="161"/>
      <c r="F115" s="161"/>
      <c r="G115" s="161"/>
      <c r="H115" s="161"/>
      <c r="I115" s="141"/>
      <c r="J115" s="161"/>
      <c r="K115" s="161"/>
      <c r="L115" s="161"/>
      <c r="M115" s="161"/>
      <c r="N115" s="161"/>
      <c r="O115" s="161"/>
    </row>
    <row r="116" spans="2:15" s="109" customFormat="1" x14ac:dyDescent="0.2">
      <c r="B116" s="141"/>
      <c r="C116" s="161"/>
      <c r="D116" s="161"/>
      <c r="E116" s="161"/>
      <c r="F116" s="161"/>
      <c r="G116" s="161"/>
      <c r="H116" s="161"/>
      <c r="I116" s="141"/>
      <c r="J116" s="161"/>
      <c r="K116" s="161"/>
      <c r="L116" s="161"/>
      <c r="M116" s="161"/>
      <c r="N116" s="161"/>
      <c r="O116" s="161"/>
    </row>
    <row r="117" spans="2:15" s="109" customFormat="1" x14ac:dyDescent="0.2">
      <c r="B117" s="141"/>
      <c r="C117" s="161"/>
      <c r="D117" s="161"/>
      <c r="E117" s="161"/>
      <c r="F117" s="161"/>
      <c r="G117" s="161"/>
      <c r="H117" s="161"/>
      <c r="I117" s="141"/>
      <c r="J117" s="161"/>
      <c r="K117" s="161"/>
      <c r="L117" s="161"/>
      <c r="M117" s="161"/>
      <c r="N117" s="161"/>
      <c r="O117" s="161"/>
    </row>
    <row r="118" spans="2:15" s="109" customFormat="1" x14ac:dyDescent="0.2">
      <c r="B118" s="141"/>
      <c r="C118" s="161"/>
      <c r="D118" s="161"/>
      <c r="E118" s="161"/>
      <c r="F118" s="161"/>
      <c r="G118" s="161"/>
      <c r="H118" s="161"/>
      <c r="I118" s="141"/>
      <c r="J118" s="161"/>
      <c r="K118" s="161"/>
      <c r="L118" s="161"/>
      <c r="M118" s="161"/>
      <c r="N118" s="161"/>
      <c r="O118" s="161"/>
    </row>
    <row r="119" spans="2:15" s="109" customFormat="1" x14ac:dyDescent="0.2">
      <c r="B119" s="141"/>
      <c r="C119" s="161"/>
      <c r="D119" s="161"/>
      <c r="E119" s="161"/>
      <c r="F119" s="161"/>
      <c r="G119" s="161"/>
      <c r="H119" s="161"/>
      <c r="I119" s="141"/>
      <c r="J119" s="161"/>
      <c r="K119" s="161"/>
      <c r="L119" s="161"/>
      <c r="M119" s="161"/>
      <c r="N119" s="161"/>
      <c r="O119" s="161"/>
    </row>
    <row r="120" spans="2:15" s="109" customFormat="1" x14ac:dyDescent="0.2">
      <c r="B120" s="141"/>
      <c r="C120" s="161"/>
      <c r="D120" s="161"/>
      <c r="E120" s="161"/>
      <c r="F120" s="161"/>
      <c r="G120" s="161"/>
      <c r="H120" s="161"/>
      <c r="I120" s="141"/>
      <c r="J120" s="161"/>
      <c r="K120" s="161"/>
      <c r="L120" s="161"/>
      <c r="M120" s="161"/>
      <c r="N120" s="161"/>
      <c r="O120" s="161"/>
    </row>
    <row r="121" spans="2:15" s="109" customFormat="1" x14ac:dyDescent="0.2">
      <c r="B121" s="141"/>
      <c r="C121" s="161"/>
      <c r="D121" s="161"/>
      <c r="E121" s="161"/>
      <c r="F121" s="161"/>
      <c r="G121" s="161"/>
      <c r="H121" s="161"/>
      <c r="I121" s="141"/>
      <c r="J121" s="161"/>
      <c r="K121" s="161"/>
      <c r="L121" s="161"/>
      <c r="M121" s="161"/>
      <c r="N121" s="161"/>
      <c r="O121" s="161"/>
    </row>
    <row r="122" spans="2:15" s="109" customFormat="1" x14ac:dyDescent="0.2">
      <c r="B122" s="141"/>
      <c r="C122" s="161"/>
      <c r="D122" s="161"/>
      <c r="E122" s="161"/>
      <c r="F122" s="161"/>
      <c r="G122" s="161"/>
      <c r="H122" s="161"/>
      <c r="I122" s="141"/>
      <c r="J122" s="161"/>
      <c r="K122" s="161"/>
      <c r="L122" s="161"/>
      <c r="M122" s="161"/>
      <c r="N122" s="161"/>
      <c r="O122" s="161"/>
    </row>
    <row r="123" spans="2:15" s="109" customFormat="1" x14ac:dyDescent="0.2">
      <c r="B123" s="141"/>
      <c r="C123" s="161"/>
      <c r="D123" s="161"/>
      <c r="E123" s="161"/>
      <c r="F123" s="161"/>
      <c r="G123" s="161"/>
      <c r="H123" s="161"/>
      <c r="I123" s="141"/>
      <c r="J123" s="161"/>
      <c r="K123" s="161"/>
      <c r="L123" s="161"/>
      <c r="M123" s="161"/>
      <c r="N123" s="161"/>
      <c r="O123" s="161"/>
    </row>
    <row r="124" spans="2:15" s="109" customFormat="1" x14ac:dyDescent="0.2">
      <c r="B124" s="141"/>
      <c r="C124" s="161"/>
      <c r="D124" s="161"/>
      <c r="E124" s="161"/>
      <c r="F124" s="161"/>
      <c r="G124" s="161"/>
      <c r="H124" s="161"/>
      <c r="I124" s="141"/>
      <c r="J124" s="161"/>
      <c r="K124" s="161"/>
      <c r="L124" s="161"/>
      <c r="M124" s="161"/>
      <c r="N124" s="161"/>
      <c r="O124" s="161"/>
    </row>
    <row r="125" spans="2:15" s="109" customFormat="1" x14ac:dyDescent="0.2">
      <c r="B125" s="141"/>
      <c r="C125" s="161"/>
      <c r="D125" s="161"/>
      <c r="E125" s="161"/>
      <c r="F125" s="161"/>
      <c r="G125" s="161"/>
      <c r="H125" s="161"/>
      <c r="I125" s="141"/>
      <c r="J125" s="161"/>
      <c r="K125" s="161"/>
      <c r="L125" s="161"/>
      <c r="M125" s="161"/>
      <c r="N125" s="161"/>
      <c r="O125" s="161"/>
    </row>
    <row r="126" spans="2:15" s="109" customFormat="1" x14ac:dyDescent="0.2">
      <c r="B126" s="141"/>
      <c r="C126" s="161"/>
      <c r="D126" s="161"/>
      <c r="E126" s="161"/>
      <c r="F126" s="161"/>
      <c r="G126" s="161"/>
      <c r="H126" s="161"/>
      <c r="I126" s="141"/>
      <c r="J126" s="161"/>
      <c r="K126" s="161"/>
      <c r="L126" s="161"/>
      <c r="M126" s="161"/>
      <c r="N126" s="161"/>
      <c r="O126" s="161"/>
    </row>
    <row r="127" spans="2:15" s="109" customFormat="1" ht="54" customHeight="1" x14ac:dyDescent="0.2">
      <c r="B127" s="141"/>
      <c r="C127" s="161"/>
      <c r="D127" s="161"/>
      <c r="E127" s="161"/>
      <c r="F127" s="161"/>
      <c r="G127" s="161"/>
      <c r="H127" s="161"/>
      <c r="I127" s="141"/>
      <c r="J127" s="161"/>
      <c r="K127" s="161"/>
      <c r="L127" s="161"/>
      <c r="M127" s="161"/>
      <c r="N127" s="161"/>
      <c r="O127" s="161"/>
    </row>
    <row r="128" spans="2:15" s="109" customFormat="1" ht="66" customHeight="1" x14ac:dyDescent="0.2">
      <c r="B128" s="141"/>
      <c r="C128" s="161"/>
      <c r="D128" s="161"/>
      <c r="E128" s="161"/>
      <c r="F128" s="161"/>
      <c r="G128" s="161"/>
      <c r="H128" s="161"/>
      <c r="I128" s="141"/>
      <c r="J128" s="161"/>
      <c r="K128" s="161"/>
      <c r="L128" s="161"/>
      <c r="M128" s="161"/>
      <c r="N128" s="161"/>
      <c r="O128" s="161"/>
    </row>
    <row r="129" spans="2:9" s="109" customFormat="1" x14ac:dyDescent="0.2">
      <c r="B129" s="132"/>
      <c r="I129" s="132"/>
    </row>
    <row r="130" spans="2:9" s="109" customFormat="1" x14ac:dyDescent="0.2">
      <c r="B130" s="132"/>
      <c r="I130" s="132"/>
    </row>
    <row r="131" spans="2:9" s="109" customFormat="1" x14ac:dyDescent="0.2">
      <c r="B131" s="132"/>
      <c r="I131" s="132"/>
    </row>
    <row r="132" spans="2:9" s="109" customFormat="1" x14ac:dyDescent="0.2">
      <c r="B132" s="132"/>
      <c r="I132" s="132"/>
    </row>
    <row r="133" spans="2:9" s="109" customFormat="1" x14ac:dyDescent="0.2">
      <c r="B133" s="132"/>
      <c r="I133" s="132"/>
    </row>
    <row r="134" spans="2:9" s="109" customFormat="1" x14ac:dyDescent="0.2">
      <c r="B134" s="132"/>
      <c r="I134" s="132"/>
    </row>
    <row r="135" spans="2:9" s="109" customFormat="1" x14ac:dyDescent="0.2">
      <c r="B135" s="132"/>
      <c r="I135" s="132"/>
    </row>
    <row r="136" spans="2:9" s="109" customFormat="1" x14ac:dyDescent="0.2">
      <c r="B136" s="132"/>
      <c r="I136" s="132"/>
    </row>
    <row r="137" spans="2:9" s="109" customFormat="1" x14ac:dyDescent="0.2">
      <c r="B137" s="132"/>
      <c r="I137" s="132"/>
    </row>
    <row r="138" spans="2:9" s="109" customFormat="1" x14ac:dyDescent="0.2">
      <c r="B138" s="132"/>
      <c r="I138" s="132"/>
    </row>
    <row r="139" spans="2:9" s="109" customFormat="1" x14ac:dyDescent="0.2">
      <c r="B139" s="132"/>
      <c r="I139" s="132"/>
    </row>
    <row r="140" spans="2:9" s="109" customFormat="1" x14ac:dyDescent="0.2">
      <c r="B140" s="132"/>
      <c r="I140" s="132"/>
    </row>
    <row r="141" spans="2:9" s="109" customFormat="1" x14ac:dyDescent="0.2">
      <c r="B141" s="132"/>
      <c r="I141" s="132"/>
    </row>
    <row r="142" spans="2:9" s="109" customFormat="1" x14ac:dyDescent="0.2">
      <c r="B142" s="132"/>
      <c r="I142" s="132"/>
    </row>
    <row r="143" spans="2:9" s="109" customFormat="1" x14ac:dyDescent="0.2">
      <c r="B143" s="132"/>
      <c r="I143" s="132"/>
    </row>
    <row r="144" spans="2:9" s="109" customFormat="1" x14ac:dyDescent="0.2">
      <c r="B144" s="132"/>
      <c r="I144" s="132"/>
    </row>
    <row r="145" spans="2:9" s="109" customFormat="1" x14ac:dyDescent="0.2">
      <c r="B145" s="132"/>
      <c r="I145" s="132"/>
    </row>
    <row r="146" spans="2:9" s="109" customFormat="1" x14ac:dyDescent="0.2">
      <c r="B146" s="132"/>
      <c r="I146" s="132"/>
    </row>
    <row r="147" spans="2:9" s="109" customFormat="1" x14ac:dyDescent="0.2">
      <c r="B147" s="132"/>
      <c r="I147" s="132"/>
    </row>
    <row r="148" spans="2:9" s="109" customFormat="1" x14ac:dyDescent="0.2">
      <c r="B148" s="132"/>
      <c r="I148" s="132"/>
    </row>
    <row r="149" spans="2:9" s="109" customFormat="1" x14ac:dyDescent="0.2">
      <c r="B149" s="132"/>
      <c r="I149" s="132"/>
    </row>
    <row r="150" spans="2:9" s="109" customFormat="1" x14ac:dyDescent="0.2">
      <c r="B150" s="132"/>
      <c r="I150" s="132"/>
    </row>
    <row r="151" spans="2:9" s="109" customFormat="1" x14ac:dyDescent="0.2">
      <c r="B151" s="132"/>
      <c r="I151" s="132"/>
    </row>
    <row r="152" spans="2:9" s="109" customFormat="1" x14ac:dyDescent="0.2">
      <c r="B152" s="132"/>
      <c r="I152" s="132"/>
    </row>
    <row r="153" spans="2:9" s="109" customFormat="1" x14ac:dyDescent="0.2">
      <c r="B153" s="132"/>
      <c r="I153" s="132"/>
    </row>
    <row r="154" spans="2:9" s="109" customFormat="1" x14ac:dyDescent="0.2">
      <c r="B154" s="132"/>
      <c r="I154" s="132"/>
    </row>
    <row r="155" spans="2:9" s="109" customFormat="1" x14ac:dyDescent="0.2">
      <c r="B155" s="132"/>
      <c r="I155" s="132"/>
    </row>
    <row r="156" spans="2:9" s="109" customFormat="1" x14ac:dyDescent="0.2">
      <c r="B156" s="132"/>
      <c r="I156" s="132"/>
    </row>
    <row r="157" spans="2:9" s="109" customFormat="1" x14ac:dyDescent="0.2">
      <c r="B157" s="132"/>
      <c r="I157" s="132"/>
    </row>
    <row r="158" spans="2:9" s="109" customFormat="1" x14ac:dyDescent="0.2">
      <c r="B158" s="132"/>
      <c r="I158" s="132"/>
    </row>
    <row r="159" spans="2:9" s="109" customFormat="1" x14ac:dyDescent="0.2">
      <c r="B159" s="132"/>
      <c r="I159" s="132"/>
    </row>
    <row r="160" spans="2:9" s="109" customFormat="1" x14ac:dyDescent="0.2">
      <c r="B160" s="132"/>
      <c r="I160" s="132"/>
    </row>
    <row r="161" spans="2:9" s="109" customFormat="1" x14ac:dyDescent="0.2">
      <c r="B161" s="132"/>
      <c r="I161" s="132"/>
    </row>
    <row r="162" spans="2:9" s="109" customFormat="1" x14ac:dyDescent="0.2">
      <c r="B162" s="132"/>
      <c r="I162" s="132"/>
    </row>
    <row r="163" spans="2:9" s="109" customFormat="1" x14ac:dyDescent="0.2">
      <c r="B163" s="132"/>
      <c r="I163" s="132"/>
    </row>
    <row r="164" spans="2:9" s="109" customFormat="1" x14ac:dyDescent="0.2">
      <c r="B164" s="132"/>
      <c r="I164" s="132"/>
    </row>
    <row r="165" spans="2:9" s="109" customFormat="1" x14ac:dyDescent="0.2">
      <c r="B165" s="132"/>
      <c r="I165" s="132"/>
    </row>
    <row r="166" spans="2:9" s="109" customFormat="1" x14ac:dyDescent="0.2">
      <c r="B166" s="132"/>
      <c r="I166" s="132"/>
    </row>
    <row r="167" spans="2:9" s="109" customFormat="1" x14ac:dyDescent="0.2">
      <c r="B167" s="132"/>
      <c r="I167" s="132"/>
    </row>
    <row r="168" spans="2:9" s="109" customFormat="1" x14ac:dyDescent="0.2">
      <c r="B168" s="132"/>
      <c r="I168" s="132"/>
    </row>
    <row r="169" spans="2:9" s="109" customFormat="1" x14ac:dyDescent="0.2">
      <c r="B169" s="132"/>
      <c r="I169" s="132"/>
    </row>
    <row r="170" spans="2:9" s="109" customFormat="1" x14ac:dyDescent="0.2">
      <c r="B170" s="132"/>
      <c r="I170" s="132"/>
    </row>
    <row r="171" spans="2:9" s="109" customFormat="1" x14ac:dyDescent="0.2">
      <c r="B171" s="132"/>
      <c r="I171" s="132"/>
    </row>
    <row r="172" spans="2:9" s="109" customFormat="1" x14ac:dyDescent="0.2">
      <c r="B172" s="132"/>
      <c r="I172" s="132"/>
    </row>
    <row r="173" spans="2:9" s="109" customFormat="1" x14ac:dyDescent="0.2">
      <c r="B173" s="132"/>
      <c r="I173" s="132"/>
    </row>
    <row r="174" spans="2:9" s="109" customFormat="1" x14ac:dyDescent="0.2">
      <c r="B174" s="132"/>
      <c r="I174" s="132"/>
    </row>
    <row r="175" spans="2:9" s="109" customFormat="1" x14ac:dyDescent="0.2">
      <c r="B175" s="132"/>
      <c r="I175" s="132"/>
    </row>
    <row r="176" spans="2:9" s="109" customFormat="1" x14ac:dyDescent="0.2">
      <c r="B176" s="132"/>
      <c r="I176" s="132"/>
    </row>
    <row r="177" spans="2:9" s="109" customFormat="1" x14ac:dyDescent="0.2">
      <c r="B177" s="132"/>
      <c r="I177" s="132"/>
    </row>
    <row r="178" spans="2:9" s="109" customFormat="1" x14ac:dyDescent="0.2">
      <c r="B178" s="132"/>
      <c r="I178" s="132"/>
    </row>
    <row r="179" spans="2:9" s="109" customFormat="1" x14ac:dyDescent="0.2">
      <c r="B179" s="132"/>
      <c r="I179" s="132"/>
    </row>
    <row r="180" spans="2:9" s="109" customFormat="1" x14ac:dyDescent="0.2">
      <c r="B180" s="132"/>
      <c r="I180" s="132"/>
    </row>
  </sheetData>
  <autoFilter ref="A2:J88" xr:uid="{142B8B72-3655-4553-88C5-F7018C9CD4CE}"/>
  <phoneticPr fontId="7" type="noConversion"/>
  <conditionalFormatting sqref="N64:O88 N3:O27 I3:M88">
    <cfRule type="expression" dxfId="209" priority="64">
      <formula>AND(OR($F3="No",$F3=""), $E3= "Yes",$G3&lt;&gt;"",$H3&lt;&gt;"")</formula>
    </cfRule>
  </conditionalFormatting>
  <conditionalFormatting sqref="C3:H3 C74:D74 C4:D35 E4:H20 E36:H38 E23:H27 H21:H22 E62:H62 E70:H77 E65:H68 E29:H29 E40:H40 G44:H45 G42:H42 E48:H52 E60:H60 E56:H57 H53:H55 E21:F21 C79:H87 G78:H78 C37:D72 C36 C76:D77 C75">
    <cfRule type="expression" dxfId="208" priority="42">
      <formula>AND(OR($E3="No",$E3=""), $D3= "Yes",$F3&lt;&gt;"",$G3&lt;&gt;"")</formula>
    </cfRule>
  </conditionalFormatting>
  <conditionalFormatting sqref="C78:D78">
    <cfRule type="expression" dxfId="207" priority="41">
      <formula>AND(OR($E78="No",$E78=""), $D78= "Yes",$F78&lt;&gt;"",$G78&lt;&gt;"")</formula>
    </cfRule>
  </conditionalFormatting>
  <conditionalFormatting sqref="C73:D73">
    <cfRule type="expression" dxfId="206" priority="40">
      <formula>AND(OR($E73="No",$E73=""), $D73= "Yes",$F73&lt;&gt;"",$G73&lt;&gt;"")</formula>
    </cfRule>
  </conditionalFormatting>
  <conditionalFormatting sqref="N29:O62">
    <cfRule type="expression" dxfId="205" priority="36">
      <formula>AND(OR($F29="No",$F29=""), $E29= "Yes",$G29&lt;&gt;"",$H29&lt;&gt;"")</formula>
    </cfRule>
  </conditionalFormatting>
  <conditionalFormatting sqref="N63:O63">
    <cfRule type="expression" dxfId="204" priority="35">
      <formula>AND(OR($E63="No",$E63=""), $D63= "Yes",$F63&lt;&gt;"",$G63&lt;&gt;"")</formula>
    </cfRule>
  </conditionalFormatting>
  <conditionalFormatting sqref="N28:O28">
    <cfRule type="expression" dxfId="203" priority="34">
      <formula>AND(OR($F28="No",$F28=""), $E28= "Yes",$G28&lt;&gt;"",$H28&lt;&gt;"")</formula>
    </cfRule>
  </conditionalFormatting>
  <conditionalFormatting sqref="E88:H88">
    <cfRule type="expression" dxfId="202" priority="33">
      <formula>AND(OR($F88="No",$F88=""), $E88= "Yes",$G88&lt;&gt;"",$H88&lt;&gt;"")</formula>
    </cfRule>
  </conditionalFormatting>
  <conditionalFormatting sqref="G21">
    <cfRule type="expression" dxfId="201" priority="31">
      <formula>AND(OR($E21="No",$E21=""), $D21= "Yes",$F21&lt;&gt;"",$G21&lt;&gt;"")</formula>
    </cfRule>
  </conditionalFormatting>
  <conditionalFormatting sqref="E61:H61">
    <cfRule type="expression" dxfId="200" priority="30">
      <formula>AND(OR($F61="No",$F61=""), $E61= "Yes",$G61&lt;&gt;"",$H61&lt;&gt;"")</formula>
    </cfRule>
  </conditionalFormatting>
  <conditionalFormatting sqref="E69:H69">
    <cfRule type="expression" dxfId="199" priority="29">
      <formula>AND(OR($F69="No",$F69=""), $E69= "Yes",$G69&lt;&gt;"",$H69&lt;&gt;"")</formula>
    </cfRule>
  </conditionalFormatting>
  <conditionalFormatting sqref="G63:H64">
    <cfRule type="expression" dxfId="198" priority="28">
      <formula>AND(OR($E63="No",$E63=""), $D63= "Yes",$F63&lt;&gt;"",$G63&lt;&gt;"")</formula>
    </cfRule>
  </conditionalFormatting>
  <conditionalFormatting sqref="E63:F64">
    <cfRule type="expression" dxfId="197" priority="27">
      <formula>AND(OR($F63="No",$F63=""), $E63= "Yes",$G63&lt;&gt;"",$H63&lt;&gt;"")</formula>
    </cfRule>
  </conditionalFormatting>
  <conditionalFormatting sqref="E28:H28">
    <cfRule type="expression" dxfId="196" priority="26">
      <formula>AND(OR($E28="No",$E28=""), $D28= "Yes",$F28&lt;&gt;"",$G28&lt;&gt;"")</formula>
    </cfRule>
  </conditionalFormatting>
  <conditionalFormatting sqref="E46:H46">
    <cfRule type="expression" dxfId="195" priority="25">
      <formula>AND(OR($F46="No",$F46=""), $E46= "Yes",$G46&lt;&gt;"",$H46&lt;&gt;"")</formula>
    </cfRule>
  </conditionalFormatting>
  <conditionalFormatting sqref="E47:H47">
    <cfRule type="expression" dxfId="194" priority="24">
      <formula>AND(OR($F47="No",$F47=""), $E47= "Yes",$G47&lt;&gt;"",$H47&lt;&gt;"")</formula>
    </cfRule>
  </conditionalFormatting>
  <conditionalFormatting sqref="G39:H39">
    <cfRule type="expression" dxfId="193" priority="23">
      <formula>AND(OR($E39="No",$E39=""), $D39= "Yes",$F39&lt;&gt;"",$G39&lt;&gt;"")</formula>
    </cfRule>
  </conditionalFormatting>
  <conditionalFormatting sqref="E39:F39">
    <cfRule type="expression" dxfId="192" priority="22">
      <formula>AND(OR($F39="No",$F39=""), $E39= "Yes",$G39&lt;&gt;"",$H39&lt;&gt;"")</formula>
    </cfRule>
  </conditionalFormatting>
  <conditionalFormatting sqref="E44:F44">
    <cfRule type="expression" dxfId="191" priority="21">
      <formula>AND(OR($F44="No",$F44=""), $E44= "Yes",$G44&lt;&gt;"",$H44&lt;&gt;"")</formula>
    </cfRule>
  </conditionalFormatting>
  <conditionalFormatting sqref="E42:F42">
    <cfRule type="expression" dxfId="190" priority="20">
      <formula>AND(OR($F42="No",$F42=""), $E42= "Yes",$G42&lt;&gt;"",$H42&lt;&gt;"")</formula>
    </cfRule>
  </conditionalFormatting>
  <conditionalFormatting sqref="E45:F45">
    <cfRule type="expression" dxfId="189" priority="19">
      <formula>AND(OR($F45="No",$F45=""), $E45= "Yes",$G45&lt;&gt;"",$H45&lt;&gt;"")</formula>
    </cfRule>
  </conditionalFormatting>
  <conditionalFormatting sqref="E41:H41">
    <cfRule type="expression" dxfId="188" priority="18">
      <formula>AND(OR($E41="No",$E41=""), $D41= "Yes",$F41&lt;&gt;"",$G41&lt;&gt;"")</formula>
    </cfRule>
  </conditionalFormatting>
  <conditionalFormatting sqref="E43:H43">
    <cfRule type="expression" dxfId="187" priority="17">
      <formula>AND(OR($E43="No",$E43=""), $D43= "Yes",$F43&lt;&gt;"",$G43&lt;&gt;"")</formula>
    </cfRule>
  </conditionalFormatting>
  <conditionalFormatting sqref="E58:H59">
    <cfRule type="expression" dxfId="186" priority="16">
      <formula>AND(OR($E58="No",$E58=""), $D58= "Yes",$F58&lt;&gt;"",$G58&lt;&gt;"")</formula>
    </cfRule>
  </conditionalFormatting>
  <conditionalFormatting sqref="E34:H35">
    <cfRule type="expression" dxfId="185" priority="15">
      <formula>AND(OR($E34="No",$E34=""), $D34= "Yes",$F34&lt;&gt;"",$G34&lt;&gt;"")</formula>
    </cfRule>
  </conditionalFormatting>
  <conditionalFormatting sqref="E53:G53">
    <cfRule type="expression" dxfId="184" priority="14">
      <formula>AND(OR($E53="No",$E53=""), $D53= "Yes",$F53&lt;&gt;"",$G53&lt;&gt;"")</formula>
    </cfRule>
  </conditionalFormatting>
  <conditionalFormatting sqref="E54:G55">
    <cfRule type="expression" dxfId="183" priority="12">
      <formula>AND(OR($E54="No",$E54=""), $D54= "Yes",$F54&lt;&gt;"",$G54&lt;&gt;"")</formula>
    </cfRule>
  </conditionalFormatting>
  <conditionalFormatting sqref="E30:H30">
    <cfRule type="expression" dxfId="182" priority="11">
      <formula>AND(OR($E30="No",$E30=""), $D30= "Yes",$F30&lt;&gt;"",$G30&lt;&gt;"")</formula>
    </cfRule>
  </conditionalFormatting>
  <conditionalFormatting sqref="E31:H31">
    <cfRule type="expression" dxfId="181" priority="10">
      <formula>AND(OR($E31="No",$E31=""), $D31= "Yes",$F31&lt;&gt;"",$G31&lt;&gt;"")</formula>
    </cfRule>
  </conditionalFormatting>
  <conditionalFormatting sqref="G32:H32">
    <cfRule type="expression" dxfId="180" priority="7">
      <formula>AND(OR($E32="No",$E32=""), $D32= "Yes",$F32&lt;&gt;"",$G32&lt;&gt;"")</formula>
    </cfRule>
  </conditionalFormatting>
  <conditionalFormatting sqref="G33:H33">
    <cfRule type="expression" dxfId="179" priority="6">
      <formula>AND(OR($E33="No",$E33=""), $D33= "Yes",$F33&lt;&gt;"",$G33&lt;&gt;"")</formula>
    </cfRule>
  </conditionalFormatting>
  <conditionalFormatting sqref="E22:G22">
    <cfRule type="expression" dxfId="178" priority="5">
      <formula>AND(OR($E22="No",$E22=""), $D22= "Yes",$F22&lt;&gt;"",$G22&lt;&gt;"")</formula>
    </cfRule>
  </conditionalFormatting>
  <conditionalFormatting sqref="E32:F33">
    <cfRule type="expression" dxfId="177" priority="4">
      <formula>AND(OR($E32="No",$E32=""), $D32= "Yes",$F32&lt;&gt;"",$G32&lt;&gt;"")</formula>
    </cfRule>
  </conditionalFormatting>
  <conditionalFormatting sqref="E78:F78">
    <cfRule type="expression" dxfId="176" priority="3">
      <formula>AND(OR($F78="No",$F78=""), $E78= "Yes",$G78&lt;&gt;"",$H78&lt;&gt;"")</formula>
    </cfRule>
  </conditionalFormatting>
  <conditionalFormatting sqref="D36">
    <cfRule type="expression" dxfId="175" priority="2">
      <formula>AND(OR($F36="No",$F36=""), $E36= "Yes",$G36&lt;&gt;"",$H36&lt;&gt;"")</formula>
    </cfRule>
  </conditionalFormatting>
  <conditionalFormatting sqref="D75">
    <cfRule type="expression" dxfId="174" priority="1">
      <formula>AND(OR($F75="No",$F75=""), $E75= "Yes",$G75&lt;&gt;"",$H75&lt;&gt;"")</formula>
    </cfRule>
  </conditionalFormatting>
  <dataValidations count="2">
    <dataValidation type="list" allowBlank="1" showInputMessage="1" showErrorMessage="1" sqref="B3:B27" xr:uid="{4DC4186E-C98C-4A86-80FA-458894E19AEE}">
      <formula1>"Phase 1, Phase 2, Phase 3, Phase 4, "</formula1>
    </dataValidation>
    <dataValidation type="list" allowBlank="1" showInputMessage="1" showErrorMessage="1" sqref="E53:F55 E23:E26 E11:E18 E78 E61 E69 E63:E64 E28:F28 E39 E44:E47 E42 E41:F41 E43:F43 E58:F59 E22:F22 E30:F35 K1:K2 K89:K1048576" xr:uid="{19AFA7F1-2931-4B63-8375-F75E42C1ACAA}">
      <formula1>"Yes, No"</formula1>
    </dataValidation>
  </dataValidations>
  <pageMargins left="0.2" right="0.2" top="0.2" bottom="0.2" header="0.3" footer="0.3"/>
  <pageSetup paperSize="8" scale="83" fitToHeight="0" orientation="landscape"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pageSetUpPr fitToPage="1"/>
  </sheetPr>
  <dimension ref="A1:Q180"/>
  <sheetViews>
    <sheetView zoomScale="60" zoomScaleNormal="60" workbookViewId="0">
      <pane ySplit="2" topLeftCell="A67" activePane="bottomLeft" state="frozen"/>
      <selection pane="bottomLeft" activeCell="D75" sqref="D75"/>
    </sheetView>
  </sheetViews>
  <sheetFormatPr defaultColWidth="8.88671875" defaultRowHeight="15" x14ac:dyDescent="0.2"/>
  <cols>
    <col min="1" max="1" width="8.88671875" style="3" customWidth="1"/>
    <col min="2" max="2" width="7.77734375" style="22" customWidth="1"/>
    <col min="3" max="3" width="60.77734375" style="49" customWidth="1"/>
    <col min="4" max="4" width="38.77734375" style="49" customWidth="1"/>
    <col min="5" max="5" width="11.6640625" style="3" customWidth="1"/>
    <col min="6" max="6" width="11.21875" style="3" customWidth="1"/>
    <col min="7" max="7" width="38.77734375" style="3" customWidth="1"/>
    <col min="8" max="8" width="14.77734375" style="3" customWidth="1"/>
    <col min="9" max="10" width="10.33203125" style="22" customWidth="1"/>
    <col min="11" max="11" width="10.5546875" style="3" customWidth="1"/>
    <col min="12" max="12" width="15.5546875" style="3" customWidth="1"/>
    <col min="13" max="13" width="27.33203125" style="3" customWidth="1"/>
    <col min="14" max="14" width="10.109375" style="3" customWidth="1"/>
    <col min="15" max="17" width="8.88671875" style="3" customWidth="1"/>
    <col min="18" max="16384" width="8.88671875" style="3"/>
  </cols>
  <sheetData>
    <row r="1" spans="1:17" ht="21" customHeight="1" thickBot="1" x14ac:dyDescent="0.25">
      <c r="A1" s="25"/>
      <c r="B1" s="107" t="s">
        <v>47</v>
      </c>
      <c r="C1" s="64" t="s">
        <v>722</v>
      </c>
      <c r="D1" s="48"/>
      <c r="E1" s="9"/>
      <c r="F1" s="9"/>
      <c r="G1" s="9"/>
      <c r="H1" s="9"/>
      <c r="I1" s="23"/>
      <c r="J1" s="23"/>
      <c r="K1" s="9"/>
      <c r="L1" s="9"/>
    </row>
    <row r="2" spans="1:17" s="10" customFormat="1" ht="87.95" customHeight="1" thickBot="1" x14ac:dyDescent="0.25">
      <c r="A2" s="74" t="s">
        <v>41</v>
      </c>
      <c r="B2" s="74" t="s">
        <v>42</v>
      </c>
      <c r="C2" s="68" t="s">
        <v>43</v>
      </c>
      <c r="D2" s="69" t="s">
        <v>44</v>
      </c>
      <c r="E2" s="70" t="s">
        <v>22</v>
      </c>
      <c r="F2" s="70" t="s">
        <v>19</v>
      </c>
      <c r="G2" s="71" t="s">
        <v>45</v>
      </c>
      <c r="H2" s="71" t="s">
        <v>46</v>
      </c>
      <c r="I2" s="72" t="s">
        <v>49</v>
      </c>
      <c r="J2" s="72" t="s">
        <v>50</v>
      </c>
      <c r="K2" s="72" t="s">
        <v>51</v>
      </c>
      <c r="L2" s="72" t="s">
        <v>52</v>
      </c>
      <c r="M2" s="72" t="s">
        <v>53</v>
      </c>
      <c r="N2" s="72" t="s">
        <v>54</v>
      </c>
      <c r="O2" s="72" t="s">
        <v>55</v>
      </c>
      <c r="P2" s="59" t="s">
        <v>56</v>
      </c>
      <c r="Q2" s="59" t="s">
        <v>57</v>
      </c>
    </row>
    <row r="3" spans="1:17" s="109" customFormat="1" ht="54" customHeight="1" thickTop="1" thickBot="1" x14ac:dyDescent="0.25">
      <c r="A3" s="98"/>
      <c r="B3" s="85" t="s">
        <v>10</v>
      </c>
      <c r="C3" s="86" t="s">
        <v>586</v>
      </c>
      <c r="D3" s="86" t="s">
        <v>587</v>
      </c>
      <c r="E3" s="86" t="s">
        <v>11</v>
      </c>
      <c r="F3" s="86" t="s">
        <v>24</v>
      </c>
      <c r="G3" s="86" t="s">
        <v>86</v>
      </c>
      <c r="H3" s="97">
        <v>44868</v>
      </c>
      <c r="I3" s="86" t="s">
        <v>62</v>
      </c>
      <c r="J3" s="86" t="s">
        <v>63</v>
      </c>
      <c r="K3" s="86">
        <v>0</v>
      </c>
      <c r="L3" s="86" t="s">
        <v>464</v>
      </c>
      <c r="M3" s="86" t="s">
        <v>835</v>
      </c>
      <c r="N3" s="86">
        <v>2</v>
      </c>
      <c r="O3" s="89">
        <v>5.2083333333333333E-4</v>
      </c>
    </row>
    <row r="4" spans="1:17" s="109" customFormat="1" ht="54" customHeight="1" thickTop="1" thickBot="1" x14ac:dyDescent="0.25">
      <c r="A4" s="99"/>
      <c r="B4" s="90" t="s">
        <v>10</v>
      </c>
      <c r="C4" s="80" t="s">
        <v>588</v>
      </c>
      <c r="D4" s="80" t="s">
        <v>589</v>
      </c>
      <c r="E4" s="80" t="s">
        <v>11</v>
      </c>
      <c r="F4" s="80" t="s">
        <v>24</v>
      </c>
      <c r="G4" s="80" t="s">
        <v>93</v>
      </c>
      <c r="H4" s="84" t="s">
        <v>61</v>
      </c>
      <c r="I4" s="86" t="s">
        <v>62</v>
      </c>
      <c r="J4" s="86" t="s">
        <v>63</v>
      </c>
      <c r="K4" s="86">
        <v>0</v>
      </c>
      <c r="L4" s="86" t="s">
        <v>64</v>
      </c>
      <c r="M4" s="86" t="s">
        <v>835</v>
      </c>
      <c r="N4" s="80">
        <v>1</v>
      </c>
      <c r="O4" s="91">
        <v>2.4305555555555556E-3</v>
      </c>
    </row>
    <row r="5" spans="1:17" s="109" customFormat="1" ht="54" customHeight="1" thickTop="1" thickBot="1" x14ac:dyDescent="0.25">
      <c r="A5" s="99"/>
      <c r="B5" s="90" t="s">
        <v>10</v>
      </c>
      <c r="C5" s="80" t="s">
        <v>591</v>
      </c>
      <c r="D5" s="80" t="s">
        <v>466</v>
      </c>
      <c r="E5" s="81" t="s">
        <v>11</v>
      </c>
      <c r="F5" s="80" t="s">
        <v>24</v>
      </c>
      <c r="G5" s="80" t="s">
        <v>93</v>
      </c>
      <c r="H5" s="84" t="s">
        <v>61</v>
      </c>
      <c r="I5" s="86" t="s">
        <v>62</v>
      </c>
      <c r="J5" s="86" t="s">
        <v>63</v>
      </c>
      <c r="K5" s="86">
        <v>0</v>
      </c>
      <c r="L5" s="86" t="s">
        <v>68</v>
      </c>
      <c r="M5" s="86" t="s">
        <v>836</v>
      </c>
      <c r="N5" s="80">
        <v>1</v>
      </c>
      <c r="O5" s="91">
        <v>1.3888888888888889E-3</v>
      </c>
    </row>
    <row r="6" spans="1:17" s="109" customFormat="1" ht="54" customHeight="1" thickTop="1" thickBot="1" x14ac:dyDescent="0.25">
      <c r="A6" s="99"/>
      <c r="B6" s="90" t="s">
        <v>10</v>
      </c>
      <c r="C6" s="80" t="s">
        <v>592</v>
      </c>
      <c r="D6" s="80" t="s">
        <v>111</v>
      </c>
      <c r="E6" s="81" t="s">
        <v>11</v>
      </c>
      <c r="F6" s="80" t="s">
        <v>24</v>
      </c>
      <c r="G6" s="80" t="s">
        <v>723</v>
      </c>
      <c r="H6" s="84">
        <v>44868</v>
      </c>
      <c r="I6" s="86" t="s">
        <v>62</v>
      </c>
      <c r="J6" s="86" t="s">
        <v>63</v>
      </c>
      <c r="K6" s="86">
        <v>0</v>
      </c>
      <c r="L6" s="86" t="s">
        <v>76</v>
      </c>
      <c r="M6" s="86" t="s">
        <v>837</v>
      </c>
      <c r="N6" s="80">
        <v>1</v>
      </c>
      <c r="O6" s="91">
        <v>3.4722222222222224E-4</v>
      </c>
    </row>
    <row r="7" spans="1:17" s="109" customFormat="1" ht="54" customHeight="1" thickTop="1" thickBot="1" x14ac:dyDescent="0.25">
      <c r="A7" s="99"/>
      <c r="B7" s="90" t="s">
        <v>10</v>
      </c>
      <c r="C7" s="80" t="s">
        <v>594</v>
      </c>
      <c r="D7" s="80" t="s">
        <v>595</v>
      </c>
      <c r="E7" s="80" t="s">
        <v>11</v>
      </c>
      <c r="F7" s="80" t="s">
        <v>24</v>
      </c>
      <c r="G7" s="80" t="s">
        <v>724</v>
      </c>
      <c r="H7" s="84">
        <v>44868</v>
      </c>
      <c r="I7" s="86" t="s">
        <v>62</v>
      </c>
      <c r="J7" s="86" t="s">
        <v>63</v>
      </c>
      <c r="K7" s="86">
        <v>0</v>
      </c>
      <c r="L7" s="86" t="s">
        <v>100</v>
      </c>
      <c r="M7" s="86" t="s">
        <v>835</v>
      </c>
      <c r="N7" s="80">
        <v>1</v>
      </c>
      <c r="O7" s="91">
        <v>3.1249999999999997E-3</v>
      </c>
    </row>
    <row r="8" spans="1:17" s="109" customFormat="1" ht="54" customHeight="1" thickTop="1" thickBot="1" x14ac:dyDescent="0.25">
      <c r="A8" s="99"/>
      <c r="B8" s="90" t="s">
        <v>10</v>
      </c>
      <c r="C8" s="80" t="s">
        <v>596</v>
      </c>
      <c r="D8" s="80" t="s">
        <v>597</v>
      </c>
      <c r="E8" s="80" t="s">
        <v>11</v>
      </c>
      <c r="F8" s="80" t="s">
        <v>24</v>
      </c>
      <c r="G8" s="80" t="s">
        <v>725</v>
      </c>
      <c r="H8" s="84">
        <v>44868</v>
      </c>
      <c r="I8" s="86" t="s">
        <v>62</v>
      </c>
      <c r="J8" s="86" t="s">
        <v>63</v>
      </c>
      <c r="K8" s="86">
        <v>0</v>
      </c>
      <c r="L8" s="86" t="s">
        <v>107</v>
      </c>
      <c r="M8" s="86" t="s">
        <v>835</v>
      </c>
      <c r="N8" s="80">
        <v>1</v>
      </c>
      <c r="O8" s="91">
        <v>8.1018518518518516E-4</v>
      </c>
    </row>
    <row r="9" spans="1:17" s="109" customFormat="1" ht="54" customHeight="1" thickTop="1" thickBot="1" x14ac:dyDescent="0.25">
      <c r="A9" s="99"/>
      <c r="B9" s="90" t="s">
        <v>10</v>
      </c>
      <c r="C9" s="80" t="s">
        <v>598</v>
      </c>
      <c r="D9" s="80" t="s">
        <v>113</v>
      </c>
      <c r="E9" s="80" t="s">
        <v>11</v>
      </c>
      <c r="F9" s="80" t="s">
        <v>24</v>
      </c>
      <c r="G9" s="80" t="s">
        <v>726</v>
      </c>
      <c r="H9" s="84">
        <v>44868</v>
      </c>
      <c r="I9" s="86" t="s">
        <v>94</v>
      </c>
      <c r="J9" s="86" t="s">
        <v>63</v>
      </c>
      <c r="K9" s="86">
        <v>0</v>
      </c>
      <c r="L9" s="86" t="s">
        <v>115</v>
      </c>
      <c r="M9" s="86" t="s">
        <v>838</v>
      </c>
      <c r="N9" s="80">
        <v>1</v>
      </c>
      <c r="O9" s="91">
        <v>6.9444444444444447E-4</v>
      </c>
    </row>
    <row r="10" spans="1:17" s="109" customFormat="1" ht="54" customHeight="1" thickTop="1" thickBot="1" x14ac:dyDescent="0.25">
      <c r="A10" s="99"/>
      <c r="B10" s="90" t="s">
        <v>10</v>
      </c>
      <c r="C10" s="80" t="s">
        <v>599</v>
      </c>
      <c r="D10" s="80" t="s">
        <v>117</v>
      </c>
      <c r="E10" s="80" t="s">
        <v>11</v>
      </c>
      <c r="F10" s="80" t="s">
        <v>24</v>
      </c>
      <c r="G10" s="80" t="s">
        <v>726</v>
      </c>
      <c r="H10" s="84">
        <v>44868</v>
      </c>
      <c r="I10" s="86" t="s">
        <v>94</v>
      </c>
      <c r="J10" s="86" t="s">
        <v>63</v>
      </c>
      <c r="K10" s="86">
        <v>0</v>
      </c>
      <c r="L10" s="86" t="s">
        <v>119</v>
      </c>
      <c r="M10" s="86" t="s">
        <v>838</v>
      </c>
      <c r="N10" s="80">
        <v>1</v>
      </c>
      <c r="O10" s="91">
        <v>6.9444444444444447E-4</v>
      </c>
    </row>
    <row r="11" spans="1:17" s="109" customFormat="1" ht="54" customHeight="1" thickTop="1" thickBot="1" x14ac:dyDescent="0.3">
      <c r="A11" s="99"/>
      <c r="B11" s="90" t="s">
        <v>10</v>
      </c>
      <c r="C11" s="80" t="s">
        <v>601</v>
      </c>
      <c r="D11" s="80" t="s">
        <v>127</v>
      </c>
      <c r="E11" s="80" t="s">
        <v>11</v>
      </c>
      <c r="F11" s="80" t="s">
        <v>24</v>
      </c>
      <c r="G11" s="80" t="s">
        <v>93</v>
      </c>
      <c r="H11" s="84" t="s">
        <v>61</v>
      </c>
      <c r="I11" s="86" t="s">
        <v>94</v>
      </c>
      <c r="J11" s="86" t="s">
        <v>63</v>
      </c>
      <c r="K11" s="86">
        <v>0</v>
      </c>
      <c r="L11" s="86" t="s">
        <v>128</v>
      </c>
      <c r="M11" s="86" t="s">
        <v>838</v>
      </c>
      <c r="N11" s="80">
        <v>2</v>
      </c>
      <c r="O11" s="91">
        <v>45.042187499999997</v>
      </c>
      <c r="P11" s="172"/>
    </row>
    <row r="12" spans="1:17" s="109" customFormat="1" ht="54" customHeight="1" thickTop="1" thickBot="1" x14ac:dyDescent="0.3">
      <c r="A12" s="100"/>
      <c r="B12" s="90" t="s">
        <v>10</v>
      </c>
      <c r="C12" s="80" t="s">
        <v>602</v>
      </c>
      <c r="D12" s="80" t="s">
        <v>123</v>
      </c>
      <c r="E12" s="80" t="s">
        <v>11</v>
      </c>
      <c r="F12" s="80" t="s">
        <v>24</v>
      </c>
      <c r="G12" s="80" t="s">
        <v>93</v>
      </c>
      <c r="H12" s="84" t="s">
        <v>61</v>
      </c>
      <c r="I12" s="86" t="s">
        <v>94</v>
      </c>
      <c r="J12" s="86" t="s">
        <v>63</v>
      </c>
      <c r="K12" s="86">
        <v>0</v>
      </c>
      <c r="L12" s="86" t="s">
        <v>125</v>
      </c>
      <c r="M12" s="86" t="s">
        <v>838</v>
      </c>
      <c r="N12" s="80">
        <v>2</v>
      </c>
      <c r="O12" s="91">
        <v>45.000520833333333</v>
      </c>
      <c r="P12" s="172"/>
    </row>
    <row r="13" spans="1:17" s="109" customFormat="1" ht="54" customHeight="1" thickTop="1" thickBot="1" x14ac:dyDescent="0.25">
      <c r="A13" s="99"/>
      <c r="B13" s="90" t="s">
        <v>10</v>
      </c>
      <c r="C13" s="80" t="s">
        <v>604</v>
      </c>
      <c r="D13" s="80" t="s">
        <v>130</v>
      </c>
      <c r="E13" s="80" t="s">
        <v>11</v>
      </c>
      <c r="F13" s="80" t="s">
        <v>24</v>
      </c>
      <c r="G13" s="80" t="s">
        <v>93</v>
      </c>
      <c r="H13" s="84" t="s">
        <v>61</v>
      </c>
      <c r="I13" s="86" t="s">
        <v>94</v>
      </c>
      <c r="J13" s="86" t="s">
        <v>63</v>
      </c>
      <c r="K13" s="86">
        <v>0</v>
      </c>
      <c r="L13" s="86" t="s">
        <v>131</v>
      </c>
      <c r="M13" s="86" t="s">
        <v>849</v>
      </c>
      <c r="N13" s="80">
        <v>1</v>
      </c>
      <c r="O13" s="91">
        <v>5.2083333333333333E-4</v>
      </c>
    </row>
    <row r="14" spans="1:17" s="109" customFormat="1" ht="54" customHeight="1" thickTop="1" thickBot="1" x14ac:dyDescent="0.25">
      <c r="A14" s="99"/>
      <c r="B14" s="93" t="s">
        <v>10</v>
      </c>
      <c r="C14" s="94" t="s">
        <v>603</v>
      </c>
      <c r="D14" s="94" t="s">
        <v>133</v>
      </c>
      <c r="E14" s="94" t="s">
        <v>11</v>
      </c>
      <c r="F14" s="94" t="s">
        <v>24</v>
      </c>
      <c r="G14" s="94" t="s">
        <v>93</v>
      </c>
      <c r="H14" s="101" t="s">
        <v>61</v>
      </c>
      <c r="I14" s="86" t="s">
        <v>94</v>
      </c>
      <c r="J14" s="86" t="s">
        <v>63</v>
      </c>
      <c r="K14" s="86">
        <v>0</v>
      </c>
      <c r="L14" s="86" t="s">
        <v>134</v>
      </c>
      <c r="M14" s="86" t="s">
        <v>849</v>
      </c>
      <c r="N14" s="94">
        <v>2</v>
      </c>
      <c r="O14" s="96">
        <v>6.9444444444444447E-4</v>
      </c>
    </row>
    <row r="15" spans="1:17" s="109" customFormat="1" ht="54" customHeight="1" thickTop="1" thickBot="1" x14ac:dyDescent="0.3">
      <c r="A15" s="98"/>
      <c r="B15" s="85" t="s">
        <v>13</v>
      </c>
      <c r="C15" s="86" t="s">
        <v>606</v>
      </c>
      <c r="D15" s="86" t="s">
        <v>607</v>
      </c>
      <c r="E15" s="87" t="s">
        <v>11</v>
      </c>
      <c r="F15" s="86" t="s">
        <v>24</v>
      </c>
      <c r="G15" s="86" t="s">
        <v>727</v>
      </c>
      <c r="H15" s="97">
        <v>45041</v>
      </c>
      <c r="I15" s="86" t="s">
        <v>140</v>
      </c>
      <c r="J15" s="86" t="s">
        <v>141</v>
      </c>
      <c r="K15" s="86">
        <v>0</v>
      </c>
      <c r="L15" s="86" t="s">
        <v>142</v>
      </c>
      <c r="M15" s="86" t="s">
        <v>838</v>
      </c>
      <c r="N15" s="86">
        <v>4</v>
      </c>
      <c r="O15" s="89">
        <v>1.736111111111111E-3</v>
      </c>
      <c r="P15" s="172"/>
    </row>
    <row r="16" spans="1:17" s="109" customFormat="1" ht="54" customHeight="1" thickTop="1" thickBot="1" x14ac:dyDescent="0.3">
      <c r="A16" s="99"/>
      <c r="B16" s="90" t="s">
        <v>13</v>
      </c>
      <c r="C16" s="80" t="s">
        <v>609</v>
      </c>
      <c r="D16" s="80" t="s">
        <v>610</v>
      </c>
      <c r="E16" s="81" t="s">
        <v>11</v>
      </c>
      <c r="F16" s="80" t="s">
        <v>24</v>
      </c>
      <c r="G16" s="80" t="s">
        <v>728</v>
      </c>
      <c r="H16" s="84">
        <v>45041</v>
      </c>
      <c r="I16" s="86" t="s">
        <v>140</v>
      </c>
      <c r="J16" s="86" t="s">
        <v>141</v>
      </c>
      <c r="K16" s="86">
        <v>0</v>
      </c>
      <c r="L16" s="86" t="s">
        <v>142</v>
      </c>
      <c r="M16" s="86" t="s">
        <v>838</v>
      </c>
      <c r="N16" s="80">
        <v>4</v>
      </c>
      <c r="O16" s="91">
        <v>1.736111111111111E-3</v>
      </c>
      <c r="P16" s="172"/>
    </row>
    <row r="17" spans="1:16" s="109" customFormat="1" ht="54" customHeight="1" thickTop="1" thickBot="1" x14ac:dyDescent="0.3">
      <c r="A17" s="99"/>
      <c r="B17" s="90" t="s">
        <v>13</v>
      </c>
      <c r="C17" s="80" t="s">
        <v>612</v>
      </c>
      <c r="D17" s="80" t="s">
        <v>613</v>
      </c>
      <c r="E17" s="80" t="s">
        <v>11</v>
      </c>
      <c r="F17" s="80" t="s">
        <v>24</v>
      </c>
      <c r="G17" s="80" t="s">
        <v>727</v>
      </c>
      <c r="H17" s="84">
        <v>45041</v>
      </c>
      <c r="I17" s="86" t="s">
        <v>140</v>
      </c>
      <c r="J17" s="86" t="s">
        <v>141</v>
      </c>
      <c r="K17" s="86">
        <v>0</v>
      </c>
      <c r="L17" s="86" t="s">
        <v>142</v>
      </c>
      <c r="M17" s="86" t="s">
        <v>838</v>
      </c>
      <c r="N17" s="80">
        <v>4</v>
      </c>
      <c r="O17" s="91">
        <v>1.736111111111111E-3</v>
      </c>
      <c r="P17" s="172"/>
    </row>
    <row r="18" spans="1:16" s="109" customFormat="1" ht="54" customHeight="1" thickTop="1" thickBot="1" x14ac:dyDescent="0.3">
      <c r="A18" s="99"/>
      <c r="B18" s="90" t="s">
        <v>13</v>
      </c>
      <c r="C18" s="80" t="s">
        <v>615</v>
      </c>
      <c r="D18" s="80" t="s">
        <v>616</v>
      </c>
      <c r="E18" s="80" t="s">
        <v>11</v>
      </c>
      <c r="F18" s="80" t="s">
        <v>24</v>
      </c>
      <c r="G18" s="80" t="s">
        <v>729</v>
      </c>
      <c r="H18" s="84">
        <v>45041</v>
      </c>
      <c r="I18" s="86" t="s">
        <v>140</v>
      </c>
      <c r="J18" s="86" t="s">
        <v>141</v>
      </c>
      <c r="K18" s="86">
        <v>0</v>
      </c>
      <c r="L18" s="86" t="s">
        <v>142</v>
      </c>
      <c r="M18" s="86" t="s">
        <v>838</v>
      </c>
      <c r="N18" s="80">
        <v>4</v>
      </c>
      <c r="O18" s="91">
        <v>1.736111111111111E-3</v>
      </c>
      <c r="P18" s="172"/>
    </row>
    <row r="19" spans="1:16" s="109" customFormat="1" ht="54" customHeight="1" thickTop="1" thickBot="1" x14ac:dyDescent="0.3">
      <c r="A19" s="99"/>
      <c r="B19" s="90" t="s">
        <v>13</v>
      </c>
      <c r="C19" s="80" t="s">
        <v>617</v>
      </c>
      <c r="D19" s="80" t="s">
        <v>152</v>
      </c>
      <c r="E19" s="80" t="s">
        <v>11</v>
      </c>
      <c r="F19" s="80" t="s">
        <v>24</v>
      </c>
      <c r="G19" s="80" t="s">
        <v>730</v>
      </c>
      <c r="H19" s="84">
        <v>45041</v>
      </c>
      <c r="I19" s="86" t="s">
        <v>140</v>
      </c>
      <c r="J19" s="86" t="s">
        <v>63</v>
      </c>
      <c r="K19" s="86">
        <v>0</v>
      </c>
      <c r="L19" s="86" t="s">
        <v>154</v>
      </c>
      <c r="M19" s="86" t="s">
        <v>839</v>
      </c>
      <c r="N19" s="80">
        <v>2</v>
      </c>
      <c r="O19" s="91">
        <v>5.2083333333333333E-4</v>
      </c>
      <c r="P19" s="172"/>
    </row>
    <row r="20" spans="1:16" s="109" customFormat="1" ht="54" customHeight="1" thickTop="1" thickBot="1" x14ac:dyDescent="0.3">
      <c r="A20" s="99"/>
      <c r="B20" s="90" t="s">
        <v>13</v>
      </c>
      <c r="C20" s="80" t="s">
        <v>618</v>
      </c>
      <c r="D20" s="80" t="s">
        <v>152</v>
      </c>
      <c r="E20" s="80" t="s">
        <v>11</v>
      </c>
      <c r="F20" s="80" t="s">
        <v>24</v>
      </c>
      <c r="G20" s="80" t="s">
        <v>730</v>
      </c>
      <c r="H20" s="84">
        <v>45041</v>
      </c>
      <c r="I20" s="86" t="s">
        <v>140</v>
      </c>
      <c r="J20" s="86" t="s">
        <v>63</v>
      </c>
      <c r="K20" s="86">
        <v>0</v>
      </c>
      <c r="L20" s="86" t="s">
        <v>154</v>
      </c>
      <c r="M20" s="86" t="s">
        <v>839</v>
      </c>
      <c r="N20" s="80">
        <v>2</v>
      </c>
      <c r="O20" s="91">
        <v>5.2083333333333333E-4</v>
      </c>
      <c r="P20" s="172"/>
    </row>
    <row r="21" spans="1:16" s="109" customFormat="1" ht="54" customHeight="1" thickTop="1" thickBot="1" x14ac:dyDescent="0.3">
      <c r="A21" s="99"/>
      <c r="B21" s="90" t="s">
        <v>13</v>
      </c>
      <c r="C21" s="80" t="s">
        <v>619</v>
      </c>
      <c r="D21" s="80" t="s">
        <v>158</v>
      </c>
      <c r="E21" s="80" t="s">
        <v>11</v>
      </c>
      <c r="F21" s="80" t="s">
        <v>24</v>
      </c>
      <c r="G21" s="81" t="s">
        <v>159</v>
      </c>
      <c r="H21" s="84">
        <v>45778</v>
      </c>
      <c r="I21" s="86" t="s">
        <v>140</v>
      </c>
      <c r="J21" s="86" t="s">
        <v>63</v>
      </c>
      <c r="K21" s="86">
        <v>0</v>
      </c>
      <c r="L21" s="86" t="s">
        <v>160</v>
      </c>
      <c r="M21" s="86" t="s">
        <v>839</v>
      </c>
      <c r="N21" s="80">
        <v>1</v>
      </c>
      <c r="O21" s="91">
        <v>2.3148148148148146E-4</v>
      </c>
      <c r="P21" s="172"/>
    </row>
    <row r="22" spans="1:16" s="109" customFormat="1" ht="54" customHeight="1" thickTop="1" thickBot="1" x14ac:dyDescent="0.3">
      <c r="A22" s="99"/>
      <c r="B22" s="90" t="s">
        <v>13</v>
      </c>
      <c r="C22" s="80" t="s">
        <v>620</v>
      </c>
      <c r="D22" s="80" t="s">
        <v>162</v>
      </c>
      <c r="E22" s="80" t="s">
        <v>11</v>
      </c>
      <c r="F22" s="80" t="s">
        <v>24</v>
      </c>
      <c r="G22" s="81" t="s">
        <v>163</v>
      </c>
      <c r="H22" s="84">
        <v>45772</v>
      </c>
      <c r="I22" s="86" t="s">
        <v>140</v>
      </c>
      <c r="J22" s="86" t="s">
        <v>63</v>
      </c>
      <c r="K22" s="86">
        <v>0</v>
      </c>
      <c r="L22" s="86" t="s">
        <v>164</v>
      </c>
      <c r="M22" s="86" t="s">
        <v>839</v>
      </c>
      <c r="N22" s="80">
        <v>2</v>
      </c>
      <c r="O22" s="91">
        <v>2.3148148148148146E-4</v>
      </c>
      <c r="P22" s="172"/>
    </row>
    <row r="23" spans="1:16" s="109" customFormat="1" ht="54" customHeight="1" thickTop="1" thickBot="1" x14ac:dyDescent="0.3">
      <c r="A23" s="99"/>
      <c r="B23" s="90" t="s">
        <v>13</v>
      </c>
      <c r="C23" s="80" t="s">
        <v>621</v>
      </c>
      <c r="D23" s="80" t="s">
        <v>486</v>
      </c>
      <c r="E23" s="80" t="s">
        <v>11</v>
      </c>
      <c r="F23" s="80" t="s">
        <v>24</v>
      </c>
      <c r="G23" s="80" t="s">
        <v>728</v>
      </c>
      <c r="H23" s="84">
        <v>45041</v>
      </c>
      <c r="I23" s="86" t="s">
        <v>140</v>
      </c>
      <c r="J23" s="86" t="s">
        <v>141</v>
      </c>
      <c r="K23" s="86">
        <v>0</v>
      </c>
      <c r="L23" s="86" t="s">
        <v>171</v>
      </c>
      <c r="M23" s="86" t="s">
        <v>840</v>
      </c>
      <c r="N23" s="80">
        <v>2</v>
      </c>
      <c r="O23" s="91">
        <v>4.6296296296296293E-4</v>
      </c>
      <c r="P23" s="172"/>
    </row>
    <row r="24" spans="1:16" s="109" customFormat="1" ht="54" customHeight="1" thickTop="1" thickBot="1" x14ac:dyDescent="0.3">
      <c r="A24" s="99"/>
      <c r="B24" s="90" t="s">
        <v>13</v>
      </c>
      <c r="C24" s="80" t="s">
        <v>622</v>
      </c>
      <c r="D24" s="80" t="s">
        <v>623</v>
      </c>
      <c r="E24" s="80" t="s">
        <v>11</v>
      </c>
      <c r="F24" s="80" t="s">
        <v>24</v>
      </c>
      <c r="G24" s="80" t="s">
        <v>728</v>
      </c>
      <c r="H24" s="84">
        <v>45041</v>
      </c>
      <c r="I24" s="86" t="s">
        <v>140</v>
      </c>
      <c r="J24" s="86" t="s">
        <v>141</v>
      </c>
      <c r="K24" s="86">
        <v>0</v>
      </c>
      <c r="L24" s="86" t="s">
        <v>171</v>
      </c>
      <c r="M24" s="86" t="s">
        <v>840</v>
      </c>
      <c r="N24" s="80">
        <v>2</v>
      </c>
      <c r="O24" s="91">
        <v>4.6296296296296293E-4</v>
      </c>
      <c r="P24" s="172"/>
    </row>
    <row r="25" spans="1:16" s="109" customFormat="1" ht="54" customHeight="1" thickTop="1" thickBot="1" x14ac:dyDescent="0.3">
      <c r="A25" s="99"/>
      <c r="B25" s="90" t="s">
        <v>13</v>
      </c>
      <c r="C25" s="80" t="s">
        <v>624</v>
      </c>
      <c r="D25" s="80" t="s">
        <v>488</v>
      </c>
      <c r="E25" s="80" t="s">
        <v>11</v>
      </c>
      <c r="F25" s="80" t="s">
        <v>24</v>
      </c>
      <c r="G25" s="80" t="s">
        <v>729</v>
      </c>
      <c r="H25" s="84">
        <v>45041</v>
      </c>
      <c r="I25" s="86" t="s">
        <v>62</v>
      </c>
      <c r="J25" s="86" t="s">
        <v>141</v>
      </c>
      <c r="K25" s="86">
        <v>0</v>
      </c>
      <c r="L25" s="86" t="s">
        <v>171</v>
      </c>
      <c r="M25" s="86" t="s">
        <v>840</v>
      </c>
      <c r="N25" s="80">
        <v>2</v>
      </c>
      <c r="O25" s="91">
        <v>4.6296296296296293E-4</v>
      </c>
      <c r="P25" s="172"/>
    </row>
    <row r="26" spans="1:16" s="109" customFormat="1" ht="54" customHeight="1" thickTop="1" thickBot="1" x14ac:dyDescent="0.3">
      <c r="A26" s="99"/>
      <c r="B26" s="90" t="s">
        <v>13</v>
      </c>
      <c r="C26" s="80" t="s">
        <v>625</v>
      </c>
      <c r="D26" s="80" t="s">
        <v>626</v>
      </c>
      <c r="E26" s="80" t="s">
        <v>11</v>
      </c>
      <c r="F26" s="80" t="s">
        <v>24</v>
      </c>
      <c r="G26" s="80" t="s">
        <v>729</v>
      </c>
      <c r="H26" s="84">
        <v>45041</v>
      </c>
      <c r="I26" s="86" t="s">
        <v>62</v>
      </c>
      <c r="J26" s="86" t="s">
        <v>141</v>
      </c>
      <c r="K26" s="86">
        <v>0</v>
      </c>
      <c r="L26" s="86" t="s">
        <v>171</v>
      </c>
      <c r="M26" s="86" t="s">
        <v>840</v>
      </c>
      <c r="N26" s="80">
        <v>2</v>
      </c>
      <c r="O26" s="91">
        <v>4.6296296296296293E-4</v>
      </c>
      <c r="P26" s="172"/>
    </row>
    <row r="27" spans="1:16" s="109" customFormat="1" ht="54" customHeight="1" thickTop="1" thickBot="1" x14ac:dyDescent="0.3">
      <c r="A27" s="145"/>
      <c r="B27" s="115" t="s">
        <v>13</v>
      </c>
      <c r="C27" s="108" t="s">
        <v>627</v>
      </c>
      <c r="D27" s="108" t="s">
        <v>188</v>
      </c>
      <c r="E27" s="108" t="s">
        <v>24</v>
      </c>
      <c r="F27" s="108"/>
      <c r="G27" s="108"/>
      <c r="H27" s="125"/>
      <c r="I27" s="86" t="s">
        <v>62</v>
      </c>
      <c r="J27" s="86" t="s">
        <v>63</v>
      </c>
      <c r="K27" s="86">
        <v>0</v>
      </c>
      <c r="L27" s="86" t="s">
        <v>189</v>
      </c>
      <c r="M27" s="86" t="s">
        <v>839</v>
      </c>
      <c r="N27" s="108">
        <v>2</v>
      </c>
      <c r="O27" s="118">
        <v>6.9444444444444447E-4</v>
      </c>
      <c r="P27" s="172"/>
    </row>
    <row r="28" spans="1:16" s="109" customFormat="1" ht="54" customHeight="1" thickTop="1" thickBot="1" x14ac:dyDescent="0.25">
      <c r="A28" s="100"/>
      <c r="B28" s="93" t="s">
        <v>13</v>
      </c>
      <c r="C28" s="94" t="s">
        <v>628</v>
      </c>
      <c r="D28" s="94" t="s">
        <v>184</v>
      </c>
      <c r="E28" s="94" t="s">
        <v>11</v>
      </c>
      <c r="F28" s="94" t="s">
        <v>24</v>
      </c>
      <c r="G28" s="94" t="s">
        <v>390</v>
      </c>
      <c r="H28" s="101">
        <v>45773</v>
      </c>
      <c r="I28" s="86" t="s">
        <v>62</v>
      </c>
      <c r="J28" s="86" t="s">
        <v>63</v>
      </c>
      <c r="K28" s="86">
        <v>0</v>
      </c>
      <c r="L28" s="86" t="s">
        <v>186</v>
      </c>
      <c r="M28" s="86" t="s">
        <v>838</v>
      </c>
      <c r="N28" s="94">
        <v>1</v>
      </c>
      <c r="O28" s="96">
        <v>6.9444444444444447E-4</v>
      </c>
    </row>
    <row r="29" spans="1:16" s="109" customFormat="1" ht="54" customHeight="1" thickTop="1" thickBot="1" x14ac:dyDescent="0.25">
      <c r="A29" s="144"/>
      <c r="B29" s="110" t="s">
        <v>16</v>
      </c>
      <c r="C29" s="111" t="s">
        <v>629</v>
      </c>
      <c r="D29" s="111" t="s">
        <v>191</v>
      </c>
      <c r="E29" s="111" t="s">
        <v>24</v>
      </c>
      <c r="F29" s="111"/>
      <c r="G29" s="111"/>
      <c r="H29" s="124"/>
      <c r="I29" s="86" t="s">
        <v>62</v>
      </c>
      <c r="J29" s="86" t="s">
        <v>63</v>
      </c>
      <c r="K29" s="86">
        <v>0</v>
      </c>
      <c r="L29" s="86" t="s">
        <v>630</v>
      </c>
      <c r="M29" s="86" t="s">
        <v>841</v>
      </c>
      <c r="N29" s="111">
        <v>2</v>
      </c>
      <c r="O29" s="114">
        <v>1.0416666666666667E-3</v>
      </c>
    </row>
    <row r="30" spans="1:16" s="109" customFormat="1" ht="54" customHeight="1" thickTop="1" thickBot="1" x14ac:dyDescent="0.25">
      <c r="A30" s="99"/>
      <c r="B30" s="90" t="s">
        <v>16</v>
      </c>
      <c r="C30" s="80" t="s">
        <v>631</v>
      </c>
      <c r="D30" s="80" t="s">
        <v>194</v>
      </c>
      <c r="E30" s="81" t="s">
        <v>11</v>
      </c>
      <c r="F30" s="81" t="s">
        <v>24</v>
      </c>
      <c r="G30" s="81" t="s">
        <v>163</v>
      </c>
      <c r="H30" s="82">
        <v>45772</v>
      </c>
      <c r="I30" s="86" t="s">
        <v>140</v>
      </c>
      <c r="J30" s="86" t="s">
        <v>63</v>
      </c>
      <c r="K30" s="86">
        <v>0</v>
      </c>
      <c r="L30" s="86" t="s">
        <v>195</v>
      </c>
      <c r="M30" s="86" t="s">
        <v>839</v>
      </c>
      <c r="N30" s="80">
        <v>2</v>
      </c>
      <c r="O30" s="91">
        <v>1.5624999999999999E-3</v>
      </c>
    </row>
    <row r="31" spans="1:16" s="109" customFormat="1" ht="54" customHeight="1" thickTop="1" thickBot="1" x14ac:dyDescent="0.25">
      <c r="A31" s="99"/>
      <c r="B31" s="90" t="s">
        <v>16</v>
      </c>
      <c r="C31" s="80" t="s">
        <v>632</v>
      </c>
      <c r="D31" s="80" t="s">
        <v>633</v>
      </c>
      <c r="E31" s="81" t="s">
        <v>11</v>
      </c>
      <c r="F31" s="81" t="s">
        <v>24</v>
      </c>
      <c r="G31" s="81" t="s">
        <v>163</v>
      </c>
      <c r="H31" s="82">
        <v>45772</v>
      </c>
      <c r="I31" s="86" t="s">
        <v>140</v>
      </c>
      <c r="J31" s="86" t="s">
        <v>141</v>
      </c>
      <c r="K31" s="86">
        <v>0</v>
      </c>
      <c r="L31" s="86" t="s">
        <v>634</v>
      </c>
      <c r="M31" s="86" t="s">
        <v>839</v>
      </c>
      <c r="N31" s="80">
        <v>2</v>
      </c>
      <c r="O31" s="91">
        <v>5.2083333333333333E-4</v>
      </c>
    </row>
    <row r="32" spans="1:16" s="109" customFormat="1" ht="54" customHeight="1" thickTop="1" thickBot="1" x14ac:dyDescent="0.25">
      <c r="A32" s="99"/>
      <c r="B32" s="90" t="s">
        <v>16</v>
      </c>
      <c r="C32" s="80" t="s">
        <v>635</v>
      </c>
      <c r="D32" s="80" t="s">
        <v>636</v>
      </c>
      <c r="E32" s="81" t="s">
        <v>11</v>
      </c>
      <c r="F32" s="81" t="s">
        <v>24</v>
      </c>
      <c r="G32" s="81" t="s">
        <v>198</v>
      </c>
      <c r="H32" s="82">
        <v>45778</v>
      </c>
      <c r="I32" s="86" t="s">
        <v>140</v>
      </c>
      <c r="J32" s="86" t="s">
        <v>63</v>
      </c>
      <c r="K32" s="86">
        <v>0</v>
      </c>
      <c r="L32" s="86" t="s">
        <v>637</v>
      </c>
      <c r="M32" s="86" t="s">
        <v>839</v>
      </c>
      <c r="N32" s="80">
        <v>2</v>
      </c>
      <c r="O32" s="91">
        <v>6.9444444444444447E-4</v>
      </c>
    </row>
    <row r="33" spans="1:15" s="109" customFormat="1" ht="54" customHeight="1" thickTop="1" thickBot="1" x14ac:dyDescent="0.25">
      <c r="A33" s="99"/>
      <c r="B33" s="90" t="s">
        <v>16</v>
      </c>
      <c r="C33" s="80" t="s">
        <v>638</v>
      </c>
      <c r="D33" s="80" t="s">
        <v>639</v>
      </c>
      <c r="E33" s="81" t="s">
        <v>11</v>
      </c>
      <c r="F33" s="81" t="s">
        <v>24</v>
      </c>
      <c r="G33" s="81" t="s">
        <v>198</v>
      </c>
      <c r="H33" s="82">
        <v>45778</v>
      </c>
      <c r="I33" s="86" t="s">
        <v>140</v>
      </c>
      <c r="J33" s="86" t="s">
        <v>63</v>
      </c>
      <c r="K33" s="86">
        <v>0</v>
      </c>
      <c r="L33" s="86" t="s">
        <v>199</v>
      </c>
      <c r="M33" s="86" t="s">
        <v>839</v>
      </c>
      <c r="N33" s="80">
        <v>2</v>
      </c>
      <c r="O33" s="91">
        <v>6.9444444444444447E-4</v>
      </c>
    </row>
    <row r="34" spans="1:15" s="109" customFormat="1" ht="54" customHeight="1" thickTop="1" thickBot="1" x14ac:dyDescent="0.25">
      <c r="A34" s="99"/>
      <c r="B34" s="90" t="s">
        <v>16</v>
      </c>
      <c r="C34" s="80" t="s">
        <v>640</v>
      </c>
      <c r="D34" s="80" t="s">
        <v>211</v>
      </c>
      <c r="E34" s="80" t="s">
        <v>245</v>
      </c>
      <c r="F34" s="80" t="s">
        <v>24</v>
      </c>
      <c r="G34" s="80" t="s">
        <v>731</v>
      </c>
      <c r="H34" s="84">
        <v>45776</v>
      </c>
      <c r="I34" s="86" t="s">
        <v>140</v>
      </c>
      <c r="J34" s="86" t="s">
        <v>141</v>
      </c>
      <c r="K34" s="86">
        <v>0</v>
      </c>
      <c r="L34" s="86" t="s">
        <v>213</v>
      </c>
      <c r="M34" s="86" t="s">
        <v>842</v>
      </c>
      <c r="N34" s="80">
        <v>1</v>
      </c>
      <c r="O34" s="91">
        <v>3.4722222222222224E-4</v>
      </c>
    </row>
    <row r="35" spans="1:15" s="109" customFormat="1" ht="54" customHeight="1" thickTop="1" thickBot="1" x14ac:dyDescent="0.25">
      <c r="A35" s="99"/>
      <c r="B35" s="90" t="s">
        <v>16</v>
      </c>
      <c r="C35" s="80" t="s">
        <v>641</v>
      </c>
      <c r="D35" s="80" t="s">
        <v>211</v>
      </c>
      <c r="E35" s="80" t="s">
        <v>245</v>
      </c>
      <c r="F35" s="80" t="s">
        <v>24</v>
      </c>
      <c r="G35" s="80" t="s">
        <v>731</v>
      </c>
      <c r="H35" s="84">
        <v>45776</v>
      </c>
      <c r="I35" s="86" t="s">
        <v>140</v>
      </c>
      <c r="J35" s="86" t="s">
        <v>141</v>
      </c>
      <c r="K35" s="86">
        <v>0</v>
      </c>
      <c r="L35" s="86" t="s">
        <v>213</v>
      </c>
      <c r="M35" s="86" t="s">
        <v>842</v>
      </c>
      <c r="N35" s="80">
        <v>1</v>
      </c>
      <c r="O35" s="91">
        <v>3.4722222222222224E-4</v>
      </c>
    </row>
    <row r="36" spans="1:15" s="109" customFormat="1" ht="54" customHeight="1" thickTop="1" thickBot="1" x14ac:dyDescent="0.25">
      <c r="A36" s="99"/>
      <c r="B36" s="90" t="s">
        <v>16</v>
      </c>
      <c r="C36" s="80" t="s">
        <v>642</v>
      </c>
      <c r="D36" s="175" t="s">
        <v>216</v>
      </c>
      <c r="E36" s="80" t="s">
        <v>245</v>
      </c>
      <c r="F36" s="80" t="s">
        <v>24</v>
      </c>
      <c r="G36" s="80" t="s">
        <v>564</v>
      </c>
      <c r="H36" s="84">
        <v>45775</v>
      </c>
      <c r="I36" s="86" t="s">
        <v>140</v>
      </c>
      <c r="J36" s="86" t="s">
        <v>141</v>
      </c>
      <c r="K36" s="86">
        <v>0</v>
      </c>
      <c r="L36" s="86" t="s">
        <v>218</v>
      </c>
      <c r="M36" s="86" t="s">
        <v>850</v>
      </c>
      <c r="N36" s="80">
        <v>1</v>
      </c>
      <c r="O36" s="91">
        <v>3.4722222222222224E-4</v>
      </c>
    </row>
    <row r="37" spans="1:15" s="109" customFormat="1" ht="54" customHeight="1" thickTop="1" thickBot="1" x14ac:dyDescent="0.25">
      <c r="A37" s="145"/>
      <c r="B37" s="115" t="s">
        <v>16</v>
      </c>
      <c r="C37" s="108" t="s">
        <v>643</v>
      </c>
      <c r="D37" s="108" t="s">
        <v>220</v>
      </c>
      <c r="E37" s="108" t="s">
        <v>24</v>
      </c>
      <c r="F37" s="108"/>
      <c r="G37" s="108"/>
      <c r="H37" s="125"/>
      <c r="I37" s="86" t="s">
        <v>140</v>
      </c>
      <c r="J37" s="86" t="s">
        <v>141</v>
      </c>
      <c r="K37" s="86">
        <v>0</v>
      </c>
      <c r="L37" s="86" t="s">
        <v>221</v>
      </c>
      <c r="M37" s="86" t="s">
        <v>842</v>
      </c>
      <c r="N37" s="108">
        <v>1</v>
      </c>
      <c r="O37" s="118">
        <v>5.7870370370370378E-4</v>
      </c>
    </row>
    <row r="38" spans="1:15" s="109" customFormat="1" ht="54" customHeight="1" thickTop="1" thickBot="1" x14ac:dyDescent="0.25">
      <c r="A38" s="145"/>
      <c r="B38" s="115" t="s">
        <v>16</v>
      </c>
      <c r="C38" s="108" t="s">
        <v>644</v>
      </c>
      <c r="D38" s="108" t="s">
        <v>223</v>
      </c>
      <c r="E38" s="108" t="s">
        <v>24</v>
      </c>
      <c r="F38" s="108"/>
      <c r="G38" s="108"/>
      <c r="H38" s="125"/>
      <c r="I38" s="86" t="s">
        <v>140</v>
      </c>
      <c r="J38" s="86" t="s">
        <v>141</v>
      </c>
      <c r="K38" s="86">
        <v>0</v>
      </c>
      <c r="L38" s="86" t="s">
        <v>224</v>
      </c>
      <c r="M38" s="86" t="s">
        <v>842</v>
      </c>
      <c r="N38" s="108">
        <v>2</v>
      </c>
      <c r="O38" s="118">
        <v>6.9444444444444447E-4</v>
      </c>
    </row>
    <row r="39" spans="1:15" s="109" customFormat="1" ht="54" customHeight="1" thickTop="1" thickBot="1" x14ac:dyDescent="0.25">
      <c r="A39" s="99"/>
      <c r="B39" s="90" t="s">
        <v>16</v>
      </c>
      <c r="C39" s="80" t="s">
        <v>645</v>
      </c>
      <c r="D39" s="80" t="s">
        <v>226</v>
      </c>
      <c r="E39" s="80" t="s">
        <v>11</v>
      </c>
      <c r="F39" s="80" t="s">
        <v>24</v>
      </c>
      <c r="G39" s="81" t="s">
        <v>227</v>
      </c>
      <c r="H39" s="82">
        <v>45774</v>
      </c>
      <c r="I39" s="86" t="s">
        <v>140</v>
      </c>
      <c r="J39" s="86" t="s">
        <v>141</v>
      </c>
      <c r="K39" s="86">
        <v>0</v>
      </c>
      <c r="L39" s="86" t="s">
        <v>228</v>
      </c>
      <c r="M39" s="86" t="s">
        <v>842</v>
      </c>
      <c r="N39" s="80">
        <v>1</v>
      </c>
      <c r="O39" s="91">
        <v>3.4722222222222224E-4</v>
      </c>
    </row>
    <row r="40" spans="1:15" s="109" customFormat="1" ht="54" customHeight="1" thickTop="1" thickBot="1" x14ac:dyDescent="0.25">
      <c r="A40" s="145"/>
      <c r="B40" s="115" t="s">
        <v>16</v>
      </c>
      <c r="C40" s="108" t="s">
        <v>646</v>
      </c>
      <c r="D40" s="108" t="s">
        <v>230</v>
      </c>
      <c r="E40" s="116" t="s">
        <v>24</v>
      </c>
      <c r="F40" s="108"/>
      <c r="G40" s="108"/>
      <c r="H40" s="125"/>
      <c r="I40" s="86" t="s">
        <v>140</v>
      </c>
      <c r="J40" s="86" t="s">
        <v>63</v>
      </c>
      <c r="K40" s="86">
        <v>0</v>
      </c>
      <c r="L40" s="86" t="s">
        <v>221</v>
      </c>
      <c r="M40" s="86" t="s">
        <v>842</v>
      </c>
      <c r="N40" s="108">
        <v>1</v>
      </c>
      <c r="O40" s="118">
        <v>1.0416666666666667E-3</v>
      </c>
    </row>
    <row r="41" spans="1:15" s="109" customFormat="1" ht="54" customHeight="1" thickTop="1" thickBot="1" x14ac:dyDescent="0.25">
      <c r="A41" s="99"/>
      <c r="B41" s="90" t="s">
        <v>16</v>
      </c>
      <c r="C41" s="80" t="s">
        <v>647</v>
      </c>
      <c r="D41" s="80" t="s">
        <v>232</v>
      </c>
      <c r="E41" s="81" t="s">
        <v>11</v>
      </c>
      <c r="F41" s="81" t="s">
        <v>24</v>
      </c>
      <c r="G41" s="81" t="s">
        <v>233</v>
      </c>
      <c r="H41" s="82">
        <v>45776</v>
      </c>
      <c r="I41" s="86" t="s">
        <v>62</v>
      </c>
      <c r="J41" s="86" t="s">
        <v>141</v>
      </c>
      <c r="K41" s="86">
        <v>0</v>
      </c>
      <c r="L41" s="86" t="s">
        <v>234</v>
      </c>
      <c r="M41" s="86" t="s">
        <v>842</v>
      </c>
      <c r="N41" s="80">
        <v>1</v>
      </c>
      <c r="O41" s="91">
        <v>1.1574074074074073E-4</v>
      </c>
    </row>
    <row r="42" spans="1:15" s="109" customFormat="1" ht="54" customHeight="1" thickTop="1" thickBot="1" x14ac:dyDescent="0.25">
      <c r="A42" s="99"/>
      <c r="B42" s="90" t="s">
        <v>16</v>
      </c>
      <c r="C42" s="80" t="s">
        <v>648</v>
      </c>
      <c r="D42" s="80" t="s">
        <v>236</v>
      </c>
      <c r="E42" s="80" t="s">
        <v>11</v>
      </c>
      <c r="F42" s="80" t="s">
        <v>24</v>
      </c>
      <c r="G42" s="80" t="s">
        <v>732</v>
      </c>
      <c r="H42" s="84">
        <v>45775</v>
      </c>
      <c r="I42" s="86" t="s">
        <v>140</v>
      </c>
      <c r="J42" s="86" t="s">
        <v>141</v>
      </c>
      <c r="K42" s="86">
        <v>0</v>
      </c>
      <c r="L42" s="86" t="s">
        <v>238</v>
      </c>
      <c r="M42" s="86" t="s">
        <v>843</v>
      </c>
      <c r="N42" s="80">
        <v>2</v>
      </c>
      <c r="O42" s="91">
        <v>3.4722222222222224E-4</v>
      </c>
    </row>
    <row r="43" spans="1:15" s="109" customFormat="1" ht="54" customHeight="1" thickTop="1" thickBot="1" x14ac:dyDescent="0.25">
      <c r="A43" s="158"/>
      <c r="B43" s="135" t="s">
        <v>16</v>
      </c>
      <c r="C43" s="136" t="s">
        <v>650</v>
      </c>
      <c r="D43" s="136" t="s">
        <v>244</v>
      </c>
      <c r="E43" s="137" t="s">
        <v>11</v>
      </c>
      <c r="F43" s="137" t="s">
        <v>245</v>
      </c>
      <c r="G43" s="137" t="s">
        <v>246</v>
      </c>
      <c r="H43" s="138">
        <v>45776</v>
      </c>
      <c r="I43" s="86" t="s">
        <v>140</v>
      </c>
      <c r="J43" s="86" t="s">
        <v>141</v>
      </c>
      <c r="K43" s="86">
        <v>0</v>
      </c>
      <c r="L43" s="86" t="s">
        <v>247</v>
      </c>
      <c r="M43" s="86" t="s">
        <v>842</v>
      </c>
      <c r="N43" s="136">
        <v>1</v>
      </c>
      <c r="O43" s="139">
        <v>6.9444444444444447E-4</v>
      </c>
    </row>
    <row r="44" spans="1:15" s="109" customFormat="1" ht="54" customHeight="1" thickTop="1" thickBot="1" x14ac:dyDescent="0.25">
      <c r="A44" s="99"/>
      <c r="B44" s="90" t="s">
        <v>16</v>
      </c>
      <c r="C44" s="80" t="s">
        <v>651</v>
      </c>
      <c r="D44" s="80" t="s">
        <v>652</v>
      </c>
      <c r="E44" s="80" t="s">
        <v>11</v>
      </c>
      <c r="F44" s="80" t="s">
        <v>24</v>
      </c>
      <c r="G44" s="80" t="s">
        <v>733</v>
      </c>
      <c r="H44" s="84">
        <v>45775</v>
      </c>
      <c r="I44" s="86" t="s">
        <v>140</v>
      </c>
      <c r="J44" s="86" t="s">
        <v>141</v>
      </c>
      <c r="K44" s="86">
        <v>0</v>
      </c>
      <c r="L44" s="86" t="s">
        <v>653</v>
      </c>
      <c r="M44" s="86" t="s">
        <v>843</v>
      </c>
      <c r="N44" s="80">
        <v>1</v>
      </c>
      <c r="O44" s="91">
        <v>6.9444444444444447E-4</v>
      </c>
    </row>
    <row r="45" spans="1:15" s="109" customFormat="1" ht="54" customHeight="1" thickTop="1" thickBot="1" x14ac:dyDescent="0.25">
      <c r="A45" s="99"/>
      <c r="B45" s="90" t="s">
        <v>16</v>
      </c>
      <c r="C45" s="80" t="s">
        <v>654</v>
      </c>
      <c r="D45" s="80" t="s">
        <v>335</v>
      </c>
      <c r="E45" s="80" t="s">
        <v>11</v>
      </c>
      <c r="F45" s="80" t="s">
        <v>24</v>
      </c>
      <c r="G45" s="80" t="s">
        <v>734</v>
      </c>
      <c r="H45" s="84">
        <v>45776</v>
      </c>
      <c r="I45" s="86" t="s">
        <v>140</v>
      </c>
      <c r="J45" s="86" t="s">
        <v>141</v>
      </c>
      <c r="K45" s="86">
        <v>0</v>
      </c>
      <c r="L45" s="86" t="s">
        <v>656</v>
      </c>
      <c r="M45" s="86" t="s">
        <v>842</v>
      </c>
      <c r="N45" s="80">
        <v>2</v>
      </c>
      <c r="O45" s="91">
        <v>3.4722222222222224E-4</v>
      </c>
    </row>
    <row r="46" spans="1:15" s="109" customFormat="1" ht="54" customHeight="1" thickTop="1" thickBot="1" x14ac:dyDescent="0.25">
      <c r="A46" s="99"/>
      <c r="B46" s="90" t="s">
        <v>16</v>
      </c>
      <c r="C46" s="80" t="s">
        <v>657</v>
      </c>
      <c r="D46" s="80" t="s">
        <v>265</v>
      </c>
      <c r="E46" s="80" t="s">
        <v>11</v>
      </c>
      <c r="F46" s="80" t="s">
        <v>24</v>
      </c>
      <c r="G46" s="80" t="s">
        <v>266</v>
      </c>
      <c r="H46" s="84">
        <v>45774</v>
      </c>
      <c r="I46" s="86" t="s">
        <v>140</v>
      </c>
      <c r="J46" s="86" t="s">
        <v>141</v>
      </c>
      <c r="K46" s="86">
        <v>0</v>
      </c>
      <c r="L46" s="86" t="s">
        <v>267</v>
      </c>
      <c r="M46" s="86" t="s">
        <v>842</v>
      </c>
      <c r="N46" s="80">
        <v>1</v>
      </c>
      <c r="O46" s="91">
        <v>3.4722222222222224E-4</v>
      </c>
    </row>
    <row r="47" spans="1:15" s="109" customFormat="1" ht="54" customHeight="1" thickTop="1" thickBot="1" x14ac:dyDescent="0.25">
      <c r="A47" s="99"/>
      <c r="B47" s="90" t="s">
        <v>16</v>
      </c>
      <c r="C47" s="80" t="s">
        <v>658</v>
      </c>
      <c r="D47" s="80" t="s">
        <v>269</v>
      </c>
      <c r="E47" s="80" t="s">
        <v>11</v>
      </c>
      <c r="F47" s="80" t="s">
        <v>24</v>
      </c>
      <c r="G47" s="80" t="s">
        <v>266</v>
      </c>
      <c r="H47" s="84">
        <v>45774</v>
      </c>
      <c r="I47" s="86" t="s">
        <v>62</v>
      </c>
      <c r="J47" s="86" t="s">
        <v>141</v>
      </c>
      <c r="K47" s="86">
        <v>0</v>
      </c>
      <c r="L47" s="86" t="s">
        <v>270</v>
      </c>
      <c r="M47" s="86" t="s">
        <v>842</v>
      </c>
      <c r="N47" s="80">
        <v>1</v>
      </c>
      <c r="O47" s="91">
        <v>3.4722222222222224E-4</v>
      </c>
    </row>
    <row r="48" spans="1:15" s="109" customFormat="1" ht="54" customHeight="1" thickTop="1" thickBot="1" x14ac:dyDescent="0.25">
      <c r="A48" s="99"/>
      <c r="B48" s="90" t="s">
        <v>16</v>
      </c>
      <c r="C48" s="80" t="s">
        <v>659</v>
      </c>
      <c r="D48" s="80" t="s">
        <v>660</v>
      </c>
      <c r="E48" s="81" t="s">
        <v>245</v>
      </c>
      <c r="F48" s="80" t="s">
        <v>24</v>
      </c>
      <c r="G48" s="80" t="s">
        <v>273</v>
      </c>
      <c r="H48" s="84">
        <v>45775</v>
      </c>
      <c r="I48" s="86" t="s">
        <v>62</v>
      </c>
      <c r="J48" s="86" t="s">
        <v>141</v>
      </c>
      <c r="K48" s="86">
        <v>0</v>
      </c>
      <c r="L48" s="86" t="s">
        <v>274</v>
      </c>
      <c r="M48" s="86" t="s">
        <v>842</v>
      </c>
      <c r="N48" s="80">
        <v>1</v>
      </c>
      <c r="O48" s="91">
        <v>3.4722222222222224E-4</v>
      </c>
    </row>
    <row r="49" spans="1:15" s="109" customFormat="1" ht="54" customHeight="1" thickTop="1" thickBot="1" x14ac:dyDescent="0.25">
      <c r="A49" s="99"/>
      <c r="B49" s="90" t="s">
        <v>16</v>
      </c>
      <c r="C49" s="80" t="s">
        <v>661</v>
      </c>
      <c r="D49" s="80" t="s">
        <v>519</v>
      </c>
      <c r="E49" s="80" t="s">
        <v>245</v>
      </c>
      <c r="F49" s="80" t="s">
        <v>24</v>
      </c>
      <c r="G49" s="80" t="s">
        <v>217</v>
      </c>
      <c r="H49" s="84">
        <v>45775</v>
      </c>
      <c r="I49" s="86" t="s">
        <v>94</v>
      </c>
      <c r="J49" s="86" t="s">
        <v>141</v>
      </c>
      <c r="K49" s="86">
        <v>0</v>
      </c>
      <c r="L49" s="86" t="s">
        <v>277</v>
      </c>
      <c r="M49" s="86" t="s">
        <v>850</v>
      </c>
      <c r="N49" s="80">
        <v>1</v>
      </c>
      <c r="O49" s="91">
        <v>3.4722222222222224E-4</v>
      </c>
    </row>
    <row r="50" spans="1:15" s="109" customFormat="1" ht="54" customHeight="1" thickTop="1" thickBot="1" x14ac:dyDescent="0.25">
      <c r="A50" s="99"/>
      <c r="B50" s="90" t="s">
        <v>16</v>
      </c>
      <c r="C50" s="80" t="s">
        <v>662</v>
      </c>
      <c r="D50" s="80" t="s">
        <v>279</v>
      </c>
      <c r="E50" s="80" t="s">
        <v>245</v>
      </c>
      <c r="F50" s="80" t="s">
        <v>24</v>
      </c>
      <c r="G50" s="80" t="s">
        <v>217</v>
      </c>
      <c r="H50" s="84">
        <v>45775</v>
      </c>
      <c r="I50" s="86" t="s">
        <v>94</v>
      </c>
      <c r="J50" s="86" t="s">
        <v>141</v>
      </c>
      <c r="K50" s="86">
        <v>0</v>
      </c>
      <c r="L50" s="86" t="s">
        <v>280</v>
      </c>
      <c r="M50" s="86" t="s">
        <v>850</v>
      </c>
      <c r="N50" s="80">
        <v>1</v>
      </c>
      <c r="O50" s="91">
        <v>5.2083333333333333E-4</v>
      </c>
    </row>
    <row r="51" spans="1:15" s="109" customFormat="1" ht="54" customHeight="1" thickTop="1" thickBot="1" x14ac:dyDescent="0.25">
      <c r="A51" s="99"/>
      <c r="B51" s="90" t="s">
        <v>16</v>
      </c>
      <c r="C51" s="80" t="s">
        <v>663</v>
      </c>
      <c r="D51" s="80" t="s">
        <v>664</v>
      </c>
      <c r="E51" s="80" t="s">
        <v>11</v>
      </c>
      <c r="F51" s="80" t="s">
        <v>24</v>
      </c>
      <c r="G51" s="80" t="s">
        <v>217</v>
      </c>
      <c r="H51" s="84">
        <v>45775</v>
      </c>
      <c r="I51" s="86" t="s">
        <v>94</v>
      </c>
      <c r="J51" s="86" t="s">
        <v>141</v>
      </c>
      <c r="K51" s="86">
        <v>0</v>
      </c>
      <c r="L51" s="86" t="s">
        <v>283</v>
      </c>
      <c r="M51" s="86" t="s">
        <v>850</v>
      </c>
      <c r="N51" s="80">
        <v>1</v>
      </c>
      <c r="O51" s="91">
        <v>6.9444444444444447E-4</v>
      </c>
    </row>
    <row r="52" spans="1:15" s="109" customFormat="1" ht="54" customHeight="1" thickTop="1" thickBot="1" x14ac:dyDescent="0.25">
      <c r="A52" s="99"/>
      <c r="B52" s="90" t="s">
        <v>16</v>
      </c>
      <c r="C52" s="80" t="s">
        <v>666</v>
      </c>
      <c r="D52" s="80" t="s">
        <v>285</v>
      </c>
      <c r="E52" s="80" t="s">
        <v>245</v>
      </c>
      <c r="F52" s="80" t="s">
        <v>24</v>
      </c>
      <c r="G52" s="80" t="s">
        <v>735</v>
      </c>
      <c r="H52" s="84">
        <v>45775</v>
      </c>
      <c r="I52" s="86" t="s">
        <v>62</v>
      </c>
      <c r="J52" s="86" t="s">
        <v>141</v>
      </c>
      <c r="K52" s="86">
        <v>0</v>
      </c>
      <c r="L52" s="86" t="s">
        <v>287</v>
      </c>
      <c r="M52" s="86" t="s">
        <v>842</v>
      </c>
      <c r="N52" s="80">
        <v>1</v>
      </c>
      <c r="O52" s="91">
        <v>3.4722222222222224E-4</v>
      </c>
    </row>
    <row r="53" spans="1:15" s="109" customFormat="1" ht="54" customHeight="1" thickTop="1" thickBot="1" x14ac:dyDescent="0.25">
      <c r="A53" s="99"/>
      <c r="B53" s="90" t="s">
        <v>16</v>
      </c>
      <c r="C53" s="80" t="s">
        <v>667</v>
      </c>
      <c r="D53" s="80" t="s">
        <v>289</v>
      </c>
      <c r="E53" s="80" t="s">
        <v>245</v>
      </c>
      <c r="F53" s="80" t="s">
        <v>24</v>
      </c>
      <c r="G53" s="80" t="s">
        <v>736</v>
      </c>
      <c r="H53" s="84">
        <v>45772</v>
      </c>
      <c r="I53" s="86" t="s">
        <v>140</v>
      </c>
      <c r="J53" s="86" t="s">
        <v>141</v>
      </c>
      <c r="K53" s="86">
        <v>0</v>
      </c>
      <c r="L53" s="86" t="s">
        <v>291</v>
      </c>
      <c r="M53" s="86" t="s">
        <v>842</v>
      </c>
      <c r="N53" s="80">
        <v>1</v>
      </c>
      <c r="O53" s="91">
        <v>6.9444444444444447E-4</v>
      </c>
    </row>
    <row r="54" spans="1:15" s="109" customFormat="1" ht="54" customHeight="1" thickTop="1" thickBot="1" x14ac:dyDescent="0.25">
      <c r="A54" s="99"/>
      <c r="B54" s="90" t="s">
        <v>16</v>
      </c>
      <c r="C54" s="80" t="s">
        <v>668</v>
      </c>
      <c r="D54" s="80" t="s">
        <v>297</v>
      </c>
      <c r="E54" s="80" t="s">
        <v>245</v>
      </c>
      <c r="F54" s="80" t="s">
        <v>24</v>
      </c>
      <c r="G54" s="80" t="s">
        <v>736</v>
      </c>
      <c r="H54" s="84">
        <v>45772</v>
      </c>
      <c r="I54" s="86" t="s">
        <v>140</v>
      </c>
      <c r="J54" s="86" t="s">
        <v>141</v>
      </c>
      <c r="K54" s="86">
        <v>0</v>
      </c>
      <c r="L54" s="86" t="s">
        <v>298</v>
      </c>
      <c r="M54" s="86" t="s">
        <v>842</v>
      </c>
      <c r="N54" s="80">
        <v>1</v>
      </c>
      <c r="O54" s="91">
        <v>3.4722222222222224E-4</v>
      </c>
    </row>
    <row r="55" spans="1:15" s="109" customFormat="1" ht="54" customHeight="1" thickTop="1" thickBot="1" x14ac:dyDescent="0.25">
      <c r="A55" s="99"/>
      <c r="B55" s="90" t="s">
        <v>16</v>
      </c>
      <c r="C55" s="80" t="s">
        <v>669</v>
      </c>
      <c r="D55" s="80" t="s">
        <v>300</v>
      </c>
      <c r="E55" s="80" t="s">
        <v>245</v>
      </c>
      <c r="F55" s="80" t="s">
        <v>24</v>
      </c>
      <c r="G55" s="80" t="s">
        <v>736</v>
      </c>
      <c r="H55" s="84">
        <v>45772</v>
      </c>
      <c r="I55" s="86" t="s">
        <v>140</v>
      </c>
      <c r="J55" s="86" t="s">
        <v>141</v>
      </c>
      <c r="K55" s="86">
        <v>0</v>
      </c>
      <c r="L55" s="86" t="s">
        <v>298</v>
      </c>
      <c r="M55" s="86" t="s">
        <v>842</v>
      </c>
      <c r="N55" s="80">
        <v>1</v>
      </c>
      <c r="O55" s="91">
        <v>3.4722222222222224E-4</v>
      </c>
    </row>
    <row r="56" spans="1:15" s="109" customFormat="1" ht="54" customHeight="1" thickTop="1" thickBot="1" x14ac:dyDescent="0.25">
      <c r="A56" s="99"/>
      <c r="B56" s="90" t="s">
        <v>16</v>
      </c>
      <c r="C56" s="80" t="s">
        <v>642</v>
      </c>
      <c r="D56" s="80" t="s">
        <v>670</v>
      </c>
      <c r="E56" s="81" t="s">
        <v>245</v>
      </c>
      <c r="F56" s="80" t="s">
        <v>24</v>
      </c>
      <c r="G56" s="80" t="s">
        <v>217</v>
      </c>
      <c r="H56" s="84">
        <v>45775</v>
      </c>
      <c r="I56" s="86" t="s">
        <v>94</v>
      </c>
      <c r="J56" s="86" t="s">
        <v>141</v>
      </c>
      <c r="K56" s="86">
        <v>0</v>
      </c>
      <c r="L56" s="86" t="s">
        <v>218</v>
      </c>
      <c r="M56" s="86" t="s">
        <v>850</v>
      </c>
      <c r="N56" s="80">
        <v>1</v>
      </c>
      <c r="O56" s="91">
        <v>3.4722222222222224E-4</v>
      </c>
    </row>
    <row r="57" spans="1:15" s="109" customFormat="1" ht="54" customHeight="1" thickTop="1" thickBot="1" x14ac:dyDescent="0.25">
      <c r="A57" s="99"/>
      <c r="B57" s="90" t="s">
        <v>16</v>
      </c>
      <c r="C57" s="80" t="s">
        <v>672</v>
      </c>
      <c r="D57" s="80" t="s">
        <v>673</v>
      </c>
      <c r="E57" s="80" t="s">
        <v>245</v>
      </c>
      <c r="F57" s="80" t="s">
        <v>24</v>
      </c>
      <c r="G57" s="80" t="s">
        <v>737</v>
      </c>
      <c r="H57" s="84">
        <v>45775</v>
      </c>
      <c r="I57" s="86" t="s">
        <v>62</v>
      </c>
      <c r="J57" s="86" t="s">
        <v>141</v>
      </c>
      <c r="K57" s="86">
        <v>0</v>
      </c>
      <c r="L57" s="86" t="s">
        <v>311</v>
      </c>
      <c r="M57" s="86" t="s">
        <v>842</v>
      </c>
      <c r="N57" s="80">
        <v>1</v>
      </c>
      <c r="O57" s="91">
        <v>8.6805555555555551E-4</v>
      </c>
    </row>
    <row r="58" spans="1:15" s="109" customFormat="1" ht="54" customHeight="1" thickTop="1" thickBot="1" x14ac:dyDescent="0.25">
      <c r="A58" s="99"/>
      <c r="B58" s="90" t="s">
        <v>16</v>
      </c>
      <c r="C58" s="80" t="s">
        <v>674</v>
      </c>
      <c r="D58" s="80" t="s">
        <v>313</v>
      </c>
      <c r="E58" s="81" t="s">
        <v>11</v>
      </c>
      <c r="F58" s="81" t="s">
        <v>24</v>
      </c>
      <c r="G58" s="81" t="s">
        <v>314</v>
      </c>
      <c r="H58" s="82">
        <v>45776</v>
      </c>
      <c r="I58" s="86" t="s">
        <v>140</v>
      </c>
      <c r="J58" s="86" t="s">
        <v>141</v>
      </c>
      <c r="K58" s="86">
        <v>0</v>
      </c>
      <c r="L58" s="86" t="s">
        <v>315</v>
      </c>
      <c r="M58" s="86" t="s">
        <v>842</v>
      </c>
      <c r="N58" s="80">
        <v>1</v>
      </c>
      <c r="O58" s="91">
        <v>6.9444444444444447E-4</v>
      </c>
    </row>
    <row r="59" spans="1:15" s="109" customFormat="1" ht="54" customHeight="1" thickTop="1" thickBot="1" x14ac:dyDescent="0.25">
      <c r="A59" s="99"/>
      <c r="B59" s="90" t="s">
        <v>16</v>
      </c>
      <c r="C59" s="80" t="s">
        <v>675</v>
      </c>
      <c r="D59" s="80" t="s">
        <v>320</v>
      </c>
      <c r="E59" s="81" t="s">
        <v>11</v>
      </c>
      <c r="F59" s="81" t="s">
        <v>24</v>
      </c>
      <c r="G59" s="81" t="s">
        <v>738</v>
      </c>
      <c r="H59" s="82">
        <v>45776</v>
      </c>
      <c r="I59" s="86" t="s">
        <v>140</v>
      </c>
      <c r="J59" s="86" t="s">
        <v>141</v>
      </c>
      <c r="K59" s="86">
        <v>0</v>
      </c>
      <c r="L59" s="86" t="s">
        <v>315</v>
      </c>
      <c r="M59" s="86" t="s">
        <v>842</v>
      </c>
      <c r="N59" s="80">
        <v>1</v>
      </c>
      <c r="O59" s="91">
        <v>6.9444444444444447E-4</v>
      </c>
    </row>
    <row r="60" spans="1:15" s="109" customFormat="1" ht="54" customHeight="1" thickTop="1" thickBot="1" x14ac:dyDescent="0.25">
      <c r="A60" s="145"/>
      <c r="B60" s="115" t="s">
        <v>16</v>
      </c>
      <c r="C60" s="108" t="s">
        <v>739</v>
      </c>
      <c r="D60" s="108" t="s">
        <v>740</v>
      </c>
      <c r="E60" s="108" t="s">
        <v>24</v>
      </c>
      <c r="F60" s="108"/>
      <c r="G60" s="108"/>
      <c r="H60" s="125"/>
      <c r="I60" s="86" t="s">
        <v>140</v>
      </c>
      <c r="J60" s="86" t="s">
        <v>63</v>
      </c>
      <c r="K60" s="86">
        <v>0</v>
      </c>
      <c r="L60" s="86" t="s">
        <v>678</v>
      </c>
      <c r="M60" s="86" t="s">
        <v>849</v>
      </c>
      <c r="N60" s="108">
        <v>1</v>
      </c>
      <c r="O60" s="118">
        <v>6.9444444444444447E-4</v>
      </c>
    </row>
    <row r="61" spans="1:15" s="109" customFormat="1" ht="54" customHeight="1" thickTop="1" thickBot="1" x14ac:dyDescent="0.25">
      <c r="A61" s="99"/>
      <c r="B61" s="90" t="s">
        <v>16</v>
      </c>
      <c r="C61" s="80" t="s">
        <v>679</v>
      </c>
      <c r="D61" s="80" t="s">
        <v>322</v>
      </c>
      <c r="E61" s="80" t="s">
        <v>11</v>
      </c>
      <c r="F61" s="80" t="s">
        <v>24</v>
      </c>
      <c r="G61" s="80" t="s">
        <v>323</v>
      </c>
      <c r="H61" s="84">
        <v>45772</v>
      </c>
      <c r="I61" s="86" t="s">
        <v>140</v>
      </c>
      <c r="J61" s="86" t="s">
        <v>63</v>
      </c>
      <c r="K61" s="86">
        <v>0</v>
      </c>
      <c r="L61" s="86" t="s">
        <v>324</v>
      </c>
      <c r="M61" s="86" t="s">
        <v>839</v>
      </c>
      <c r="N61" s="80">
        <v>1</v>
      </c>
      <c r="O61" s="91">
        <v>1.7361111111111112E-4</v>
      </c>
    </row>
    <row r="62" spans="1:15" s="109" customFormat="1" ht="54" customHeight="1" thickTop="1" thickBot="1" x14ac:dyDescent="0.25">
      <c r="A62" s="145"/>
      <c r="B62" s="115" t="s">
        <v>16</v>
      </c>
      <c r="C62" s="108" t="s">
        <v>680</v>
      </c>
      <c r="D62" s="108" t="s">
        <v>326</v>
      </c>
      <c r="E62" s="108" t="s">
        <v>24</v>
      </c>
      <c r="F62" s="108"/>
      <c r="G62" s="108"/>
      <c r="H62" s="125"/>
      <c r="I62" s="86" t="s">
        <v>140</v>
      </c>
      <c r="J62" s="86" t="s">
        <v>141</v>
      </c>
      <c r="K62" s="86">
        <v>0</v>
      </c>
      <c r="L62" s="86" t="s">
        <v>327</v>
      </c>
      <c r="M62" s="86" t="s">
        <v>843</v>
      </c>
      <c r="N62" s="108">
        <v>2</v>
      </c>
      <c r="O62" s="118">
        <v>5.2083333333333333E-4</v>
      </c>
    </row>
    <row r="63" spans="1:15" s="109" customFormat="1" ht="54" customHeight="1" thickTop="1" thickBot="1" x14ac:dyDescent="0.25">
      <c r="A63" s="99"/>
      <c r="B63" s="90" t="s">
        <v>16</v>
      </c>
      <c r="C63" s="80" t="s">
        <v>681</v>
      </c>
      <c r="D63" s="80" t="s">
        <v>682</v>
      </c>
      <c r="E63" s="80" t="s">
        <v>11</v>
      </c>
      <c r="F63" s="80" t="s">
        <v>24</v>
      </c>
      <c r="G63" s="80" t="s">
        <v>333</v>
      </c>
      <c r="H63" s="84">
        <v>45772</v>
      </c>
      <c r="I63" s="86" t="s">
        <v>62</v>
      </c>
      <c r="J63" s="86" t="s">
        <v>63</v>
      </c>
      <c r="K63" s="86">
        <v>0</v>
      </c>
      <c r="L63" s="86">
        <v>0</v>
      </c>
      <c r="M63" s="86" t="s">
        <v>839</v>
      </c>
      <c r="N63" s="80">
        <v>3</v>
      </c>
      <c r="O63" s="91">
        <v>5.2083333333333333E-4</v>
      </c>
    </row>
    <row r="64" spans="1:15" s="109" customFormat="1" ht="54" customHeight="1" thickTop="1" thickBot="1" x14ac:dyDescent="0.25">
      <c r="A64" s="100"/>
      <c r="B64" s="93" t="s">
        <v>16</v>
      </c>
      <c r="C64" s="94" t="s">
        <v>683</v>
      </c>
      <c r="D64" s="94" t="s">
        <v>332</v>
      </c>
      <c r="E64" s="94" t="s">
        <v>11</v>
      </c>
      <c r="F64" s="94" t="s">
        <v>24</v>
      </c>
      <c r="G64" s="94" t="s">
        <v>333</v>
      </c>
      <c r="H64" s="101">
        <v>45772</v>
      </c>
      <c r="I64" s="86" t="s">
        <v>62</v>
      </c>
      <c r="J64" s="86" t="s">
        <v>63</v>
      </c>
      <c r="K64" s="86">
        <v>0</v>
      </c>
      <c r="L64" s="86">
        <v>0</v>
      </c>
      <c r="M64" s="86" t="s">
        <v>839</v>
      </c>
      <c r="N64" s="94">
        <v>4</v>
      </c>
      <c r="O64" s="96">
        <v>5.2083333333333333E-4</v>
      </c>
    </row>
    <row r="65" spans="1:15" s="109" customFormat="1" ht="54" customHeight="1" thickTop="1" thickBot="1" x14ac:dyDescent="0.25">
      <c r="A65" s="144"/>
      <c r="B65" s="110" t="s">
        <v>20</v>
      </c>
      <c r="C65" s="111" t="s">
        <v>741</v>
      </c>
      <c r="D65" s="111" t="s">
        <v>742</v>
      </c>
      <c r="E65" s="111" t="s">
        <v>24</v>
      </c>
      <c r="F65" s="111"/>
      <c r="G65" s="111"/>
      <c r="H65" s="124"/>
      <c r="I65" s="86" t="s">
        <v>62</v>
      </c>
      <c r="J65" s="86" t="s">
        <v>141</v>
      </c>
      <c r="K65" s="86">
        <v>0</v>
      </c>
      <c r="L65" s="86" t="s">
        <v>687</v>
      </c>
      <c r="M65" s="86" t="s">
        <v>844</v>
      </c>
      <c r="N65" s="111">
        <v>4</v>
      </c>
      <c r="O65" s="114">
        <v>4.1666666666666666E-3</v>
      </c>
    </row>
    <row r="66" spans="1:15" s="109" customFormat="1" ht="54" customHeight="1" thickTop="1" thickBot="1" x14ac:dyDescent="0.25">
      <c r="A66" s="145"/>
      <c r="B66" s="115" t="s">
        <v>20</v>
      </c>
      <c r="C66" s="108" t="s">
        <v>688</v>
      </c>
      <c r="D66" s="108" t="s">
        <v>689</v>
      </c>
      <c r="E66" s="108" t="s">
        <v>24</v>
      </c>
      <c r="F66" s="108"/>
      <c r="G66" s="108"/>
      <c r="H66" s="125"/>
      <c r="I66" s="86" t="s">
        <v>62</v>
      </c>
      <c r="J66" s="86" t="s">
        <v>141</v>
      </c>
      <c r="K66" s="86">
        <v>0</v>
      </c>
      <c r="L66" s="86" t="s">
        <v>342</v>
      </c>
      <c r="M66" s="86" t="s">
        <v>844</v>
      </c>
      <c r="N66" s="108">
        <v>4</v>
      </c>
      <c r="O66" s="118">
        <v>1.3888888888888889E-3</v>
      </c>
    </row>
    <row r="67" spans="1:15" s="109" customFormat="1" ht="54" customHeight="1" thickTop="1" thickBot="1" x14ac:dyDescent="0.25">
      <c r="A67" s="145"/>
      <c r="B67" s="115" t="s">
        <v>20</v>
      </c>
      <c r="C67" s="108" t="s">
        <v>690</v>
      </c>
      <c r="D67" s="108" t="s">
        <v>344</v>
      </c>
      <c r="E67" s="108" t="s">
        <v>24</v>
      </c>
      <c r="F67" s="108"/>
      <c r="G67" s="108"/>
      <c r="H67" s="125"/>
      <c r="I67" s="86" t="s">
        <v>140</v>
      </c>
      <c r="J67" s="86" t="s">
        <v>141</v>
      </c>
      <c r="K67" s="86">
        <v>0</v>
      </c>
      <c r="L67" s="86" t="s">
        <v>691</v>
      </c>
      <c r="M67" s="86" t="s">
        <v>845</v>
      </c>
      <c r="N67" s="108">
        <v>2</v>
      </c>
      <c r="O67" s="118">
        <v>2.0833333333333333E-3</v>
      </c>
    </row>
    <row r="68" spans="1:15" s="109" customFormat="1" ht="54" customHeight="1" thickTop="1" thickBot="1" x14ac:dyDescent="0.25">
      <c r="A68" s="145"/>
      <c r="B68" s="115" t="s">
        <v>20</v>
      </c>
      <c r="C68" s="108" t="s">
        <v>692</v>
      </c>
      <c r="D68" s="108" t="s">
        <v>347</v>
      </c>
      <c r="E68" s="108" t="s">
        <v>24</v>
      </c>
      <c r="F68" s="108"/>
      <c r="G68" s="108"/>
      <c r="H68" s="125"/>
      <c r="I68" s="86" t="s">
        <v>140</v>
      </c>
      <c r="J68" s="86" t="s">
        <v>141</v>
      </c>
      <c r="K68" s="86">
        <v>0</v>
      </c>
      <c r="L68" s="86" t="s">
        <v>348</v>
      </c>
      <c r="M68" s="86" t="s">
        <v>845</v>
      </c>
      <c r="N68" s="108">
        <v>2</v>
      </c>
      <c r="O68" s="118">
        <v>2.0833333333333333E-3</v>
      </c>
    </row>
    <row r="69" spans="1:15" s="109" customFormat="1" ht="54" customHeight="1" thickTop="1" thickBot="1" x14ac:dyDescent="0.25">
      <c r="A69" s="99"/>
      <c r="B69" s="90" t="s">
        <v>20</v>
      </c>
      <c r="C69" s="80" t="s">
        <v>693</v>
      </c>
      <c r="D69" s="80" t="s">
        <v>350</v>
      </c>
      <c r="E69" s="80" t="s">
        <v>11</v>
      </c>
      <c r="F69" s="80" t="s">
        <v>24</v>
      </c>
      <c r="G69" s="80" t="s">
        <v>323</v>
      </c>
      <c r="H69" s="84">
        <v>45772</v>
      </c>
      <c r="I69" s="86" t="s">
        <v>140</v>
      </c>
      <c r="J69" s="86" t="s">
        <v>63</v>
      </c>
      <c r="K69" s="86">
        <v>0</v>
      </c>
      <c r="L69" s="86" t="s">
        <v>351</v>
      </c>
      <c r="M69" s="86" t="s">
        <v>839</v>
      </c>
      <c r="N69" s="80">
        <v>2</v>
      </c>
      <c r="O69" s="91">
        <v>6.9444444444444447E-4</v>
      </c>
    </row>
    <row r="70" spans="1:15" s="109" customFormat="1" ht="54" customHeight="1" thickTop="1" thickBot="1" x14ac:dyDescent="0.25">
      <c r="A70" s="145"/>
      <c r="B70" s="115" t="s">
        <v>20</v>
      </c>
      <c r="C70" s="108" t="s">
        <v>694</v>
      </c>
      <c r="D70" s="108" t="s">
        <v>362</v>
      </c>
      <c r="E70" s="108" t="s">
        <v>24</v>
      </c>
      <c r="F70" s="108"/>
      <c r="G70" s="108"/>
      <c r="H70" s="125"/>
      <c r="I70" s="86" t="s">
        <v>140</v>
      </c>
      <c r="J70" s="86" t="s">
        <v>141</v>
      </c>
      <c r="K70" s="86">
        <v>0</v>
      </c>
      <c r="L70" s="86" t="s">
        <v>363</v>
      </c>
      <c r="M70" s="86" t="s">
        <v>842</v>
      </c>
      <c r="N70" s="108">
        <v>2</v>
      </c>
      <c r="O70" s="118">
        <v>1.736111111111111E-3</v>
      </c>
    </row>
    <row r="71" spans="1:15" s="109" customFormat="1" ht="54" customHeight="1" thickTop="1" thickBot="1" x14ac:dyDescent="0.25">
      <c r="A71" s="145"/>
      <c r="B71" s="115" t="s">
        <v>20</v>
      </c>
      <c r="C71" s="108" t="s">
        <v>695</v>
      </c>
      <c r="D71" s="108" t="s">
        <v>696</v>
      </c>
      <c r="E71" s="116" t="s">
        <v>24</v>
      </c>
      <c r="F71" s="108"/>
      <c r="G71" s="108"/>
      <c r="H71" s="125"/>
      <c r="I71" s="86" t="s">
        <v>62</v>
      </c>
      <c r="J71" s="86" t="s">
        <v>141</v>
      </c>
      <c r="K71" s="86">
        <v>0</v>
      </c>
      <c r="L71" s="86" t="s">
        <v>369</v>
      </c>
      <c r="M71" s="86" t="s">
        <v>840</v>
      </c>
      <c r="N71" s="108">
        <v>1</v>
      </c>
      <c r="O71" s="118">
        <v>9.2592592592592585E-4</v>
      </c>
    </row>
    <row r="72" spans="1:15" s="109" customFormat="1" ht="54" customHeight="1" thickTop="1" thickBot="1" x14ac:dyDescent="0.25">
      <c r="A72" s="145"/>
      <c r="B72" s="115" t="s">
        <v>20</v>
      </c>
      <c r="C72" s="108" t="s">
        <v>697</v>
      </c>
      <c r="D72" s="108" t="s">
        <v>698</v>
      </c>
      <c r="E72" s="116" t="s">
        <v>24</v>
      </c>
      <c r="F72" s="108"/>
      <c r="G72" s="108"/>
      <c r="H72" s="125"/>
      <c r="I72" s="86" t="s">
        <v>140</v>
      </c>
      <c r="J72" s="86" t="s">
        <v>141</v>
      </c>
      <c r="K72" s="86">
        <v>0</v>
      </c>
      <c r="L72" s="86" t="s">
        <v>366</v>
      </c>
      <c r="M72" s="86" t="s">
        <v>840</v>
      </c>
      <c r="N72" s="108">
        <v>2</v>
      </c>
      <c r="O72" s="118">
        <v>9.2592592592592585E-4</v>
      </c>
    </row>
    <row r="73" spans="1:15" s="109" customFormat="1" ht="54" customHeight="1" thickTop="1" thickBot="1" x14ac:dyDescent="0.25">
      <c r="A73" s="145"/>
      <c r="B73" s="115" t="s">
        <v>20</v>
      </c>
      <c r="C73" s="108" t="s">
        <v>699</v>
      </c>
      <c r="D73" s="108" t="s">
        <v>371</v>
      </c>
      <c r="E73" s="108" t="s">
        <v>24</v>
      </c>
      <c r="F73" s="108"/>
      <c r="G73" s="108"/>
      <c r="H73" s="125"/>
      <c r="I73" s="86" t="s">
        <v>62</v>
      </c>
      <c r="J73" s="86" t="s">
        <v>63</v>
      </c>
      <c r="K73" s="86">
        <v>0</v>
      </c>
      <c r="L73" s="86" t="s">
        <v>372</v>
      </c>
      <c r="M73" s="86" t="s">
        <v>846</v>
      </c>
      <c r="N73" s="108">
        <v>1</v>
      </c>
      <c r="O73" s="118">
        <v>1.1574074074074073E-4</v>
      </c>
    </row>
    <row r="74" spans="1:15" s="109" customFormat="1" ht="54" customHeight="1" thickTop="1" thickBot="1" x14ac:dyDescent="0.25">
      <c r="A74" s="145"/>
      <c r="B74" s="115" t="s">
        <v>20</v>
      </c>
      <c r="C74" s="108" t="s">
        <v>700</v>
      </c>
      <c r="D74" s="108" t="s">
        <v>374</v>
      </c>
      <c r="E74" s="108" t="s">
        <v>24</v>
      </c>
      <c r="F74" s="108"/>
      <c r="G74" s="108"/>
      <c r="H74" s="125"/>
      <c r="I74" s="86" t="s">
        <v>62</v>
      </c>
      <c r="J74" s="86" t="s">
        <v>63</v>
      </c>
      <c r="K74" s="86">
        <v>0</v>
      </c>
      <c r="L74" s="86" t="s">
        <v>375</v>
      </c>
      <c r="M74" s="86" t="s">
        <v>849</v>
      </c>
      <c r="N74" s="108">
        <v>1</v>
      </c>
      <c r="O74" s="118">
        <v>6.9444444444444447E-4</v>
      </c>
    </row>
    <row r="75" spans="1:15" s="109" customFormat="1" ht="54" customHeight="1" thickTop="1" thickBot="1" x14ac:dyDescent="0.25">
      <c r="A75" s="145"/>
      <c r="B75" s="115" t="s">
        <v>20</v>
      </c>
      <c r="C75" s="108" t="s">
        <v>701</v>
      </c>
      <c r="D75" s="175" t="s">
        <v>847</v>
      </c>
      <c r="E75" s="108" t="s">
        <v>24</v>
      </c>
      <c r="F75" s="108"/>
      <c r="G75" s="108"/>
      <c r="H75" s="125"/>
      <c r="I75" s="86" t="s">
        <v>62</v>
      </c>
      <c r="J75" s="86" t="s">
        <v>63</v>
      </c>
      <c r="K75" s="86">
        <v>0</v>
      </c>
      <c r="L75" s="86" t="s">
        <v>393</v>
      </c>
      <c r="M75" s="86" t="s">
        <v>839</v>
      </c>
      <c r="N75" s="108">
        <v>2</v>
      </c>
      <c r="O75" s="118">
        <v>3.4722222222222224E-4</v>
      </c>
    </row>
    <row r="76" spans="1:15" s="109" customFormat="1" ht="54" customHeight="1" thickTop="1" thickBot="1" x14ac:dyDescent="0.25">
      <c r="A76" s="145"/>
      <c r="B76" s="115" t="s">
        <v>20</v>
      </c>
      <c r="C76" s="108" t="s">
        <v>702</v>
      </c>
      <c r="D76" s="108" t="s">
        <v>703</v>
      </c>
      <c r="E76" s="108" t="s">
        <v>24</v>
      </c>
      <c r="F76" s="108"/>
      <c r="G76" s="108"/>
      <c r="H76" s="125"/>
      <c r="I76" s="86" t="s">
        <v>62</v>
      </c>
      <c r="J76" s="86" t="s">
        <v>63</v>
      </c>
      <c r="K76" s="86">
        <v>0</v>
      </c>
      <c r="L76" s="86" t="s">
        <v>396</v>
      </c>
      <c r="M76" s="86" t="s">
        <v>839</v>
      </c>
      <c r="N76" s="108">
        <v>2</v>
      </c>
      <c r="O76" s="118">
        <v>6.9444444444444447E-4</v>
      </c>
    </row>
    <row r="77" spans="1:15" s="109" customFormat="1" ht="54" customHeight="1" thickTop="1" thickBot="1" x14ac:dyDescent="0.25">
      <c r="A77" s="145"/>
      <c r="B77" s="115" t="s">
        <v>20</v>
      </c>
      <c r="C77" s="108" t="s">
        <v>704</v>
      </c>
      <c r="D77" s="108" t="s">
        <v>411</v>
      </c>
      <c r="E77" s="108" t="s">
        <v>24</v>
      </c>
      <c r="F77" s="108"/>
      <c r="G77" s="108"/>
      <c r="H77" s="125"/>
      <c r="I77" s="86" t="s">
        <v>62</v>
      </c>
      <c r="J77" s="86" t="s">
        <v>141</v>
      </c>
      <c r="K77" s="86">
        <v>0</v>
      </c>
      <c r="L77" s="86" t="s">
        <v>705</v>
      </c>
      <c r="M77" s="86" t="s">
        <v>838</v>
      </c>
      <c r="N77" s="108">
        <v>2</v>
      </c>
      <c r="O77" s="118">
        <v>1.3888888888888889E-3</v>
      </c>
    </row>
    <row r="78" spans="1:15" s="109" customFormat="1" ht="54" customHeight="1" thickTop="1" thickBot="1" x14ac:dyDescent="0.25">
      <c r="A78" s="99"/>
      <c r="B78" s="90" t="s">
        <v>20</v>
      </c>
      <c r="C78" s="80" t="s">
        <v>706</v>
      </c>
      <c r="D78" s="80" t="s">
        <v>707</v>
      </c>
      <c r="E78" s="80" t="s">
        <v>11</v>
      </c>
      <c r="F78" s="80" t="s">
        <v>24</v>
      </c>
      <c r="G78" s="80" t="s">
        <v>390</v>
      </c>
      <c r="H78" s="84">
        <v>45778</v>
      </c>
      <c r="I78" s="86" t="s">
        <v>62</v>
      </c>
      <c r="J78" s="86" t="s">
        <v>63</v>
      </c>
      <c r="K78" s="86">
        <v>0</v>
      </c>
      <c r="L78" s="86" t="s">
        <v>391</v>
      </c>
      <c r="M78" s="86" t="s">
        <v>839</v>
      </c>
      <c r="N78" s="80">
        <v>1</v>
      </c>
      <c r="O78" s="91">
        <v>6.9444444444444447E-4</v>
      </c>
    </row>
    <row r="79" spans="1:15" s="109" customFormat="1" ht="54" customHeight="1" thickTop="1" thickBot="1" x14ac:dyDescent="0.25">
      <c r="A79" s="145"/>
      <c r="B79" s="115" t="s">
        <v>20</v>
      </c>
      <c r="C79" s="108" t="s">
        <v>708</v>
      </c>
      <c r="D79" s="108" t="s">
        <v>402</v>
      </c>
      <c r="E79" s="108" t="s">
        <v>24</v>
      </c>
      <c r="F79" s="108"/>
      <c r="G79" s="108"/>
      <c r="H79" s="125"/>
      <c r="I79" s="86" t="s">
        <v>94</v>
      </c>
      <c r="J79" s="86" t="s">
        <v>63</v>
      </c>
      <c r="K79" s="86">
        <v>0</v>
      </c>
      <c r="L79" s="86" t="s">
        <v>403</v>
      </c>
      <c r="M79" s="86" t="s">
        <v>838</v>
      </c>
      <c r="N79" s="108">
        <v>4</v>
      </c>
      <c r="O79" s="118">
        <v>2.0833333333333333E-3</v>
      </c>
    </row>
    <row r="80" spans="1:15" s="109" customFormat="1" ht="54" customHeight="1" thickTop="1" thickBot="1" x14ac:dyDescent="0.25">
      <c r="A80" s="146"/>
      <c r="B80" s="120" t="s">
        <v>20</v>
      </c>
      <c r="C80" s="121" t="s">
        <v>709</v>
      </c>
      <c r="D80" s="121" t="s">
        <v>414</v>
      </c>
      <c r="E80" s="121" t="s">
        <v>24</v>
      </c>
      <c r="F80" s="121"/>
      <c r="G80" s="121"/>
      <c r="H80" s="164"/>
      <c r="I80" s="86" t="s">
        <v>94</v>
      </c>
      <c r="J80" s="86" t="s">
        <v>63</v>
      </c>
      <c r="K80" s="86">
        <v>0</v>
      </c>
      <c r="L80" s="86" t="s">
        <v>415</v>
      </c>
      <c r="M80" s="86" t="s">
        <v>838</v>
      </c>
      <c r="N80" s="121">
        <v>2</v>
      </c>
      <c r="O80" s="123">
        <v>6.9444444444444447E-4</v>
      </c>
    </row>
    <row r="81" spans="1:16" s="109" customFormat="1" ht="54" customHeight="1" thickTop="1" thickBot="1" x14ac:dyDescent="0.3">
      <c r="A81" s="144"/>
      <c r="B81" s="110" t="s">
        <v>23</v>
      </c>
      <c r="C81" s="111" t="s">
        <v>710</v>
      </c>
      <c r="D81" s="111" t="s">
        <v>432</v>
      </c>
      <c r="E81" s="111" t="s">
        <v>24</v>
      </c>
      <c r="F81" s="111"/>
      <c r="G81" s="111"/>
      <c r="H81" s="124"/>
      <c r="I81" s="86" t="s">
        <v>140</v>
      </c>
      <c r="J81" s="86" t="s">
        <v>63</v>
      </c>
      <c r="K81" s="86">
        <v>0</v>
      </c>
      <c r="L81" s="86" t="s">
        <v>433</v>
      </c>
      <c r="M81" s="86" t="s">
        <v>838</v>
      </c>
      <c r="N81" s="111">
        <v>1</v>
      </c>
      <c r="O81" s="114">
        <v>3.4722222222222224E-4</v>
      </c>
      <c r="P81" s="172"/>
    </row>
    <row r="82" spans="1:16" s="109" customFormat="1" ht="54" customHeight="1" thickTop="1" thickBot="1" x14ac:dyDescent="0.3">
      <c r="A82" s="145"/>
      <c r="B82" s="115" t="s">
        <v>23</v>
      </c>
      <c r="C82" s="108" t="s">
        <v>711</v>
      </c>
      <c r="D82" s="108" t="s">
        <v>426</v>
      </c>
      <c r="E82" s="108" t="s">
        <v>24</v>
      </c>
      <c r="F82" s="108"/>
      <c r="G82" s="108"/>
      <c r="H82" s="125"/>
      <c r="I82" s="86" t="s">
        <v>140</v>
      </c>
      <c r="J82" s="86" t="s">
        <v>63</v>
      </c>
      <c r="K82" s="86">
        <v>0</v>
      </c>
      <c r="L82" s="86" t="s">
        <v>427</v>
      </c>
      <c r="M82" s="86" t="s">
        <v>838</v>
      </c>
      <c r="N82" s="108">
        <v>1</v>
      </c>
      <c r="O82" s="118">
        <v>6.9444444444444447E-4</v>
      </c>
      <c r="P82" s="172"/>
    </row>
    <row r="83" spans="1:16" s="109" customFormat="1" ht="54" customHeight="1" thickTop="1" thickBot="1" x14ac:dyDescent="0.3">
      <c r="A83" s="145"/>
      <c r="B83" s="115" t="s">
        <v>23</v>
      </c>
      <c r="C83" s="108" t="s">
        <v>712</v>
      </c>
      <c r="D83" s="108" t="s">
        <v>423</v>
      </c>
      <c r="E83" s="108" t="s">
        <v>24</v>
      </c>
      <c r="F83" s="108"/>
      <c r="G83" s="108"/>
      <c r="H83" s="125"/>
      <c r="I83" s="86" t="s">
        <v>140</v>
      </c>
      <c r="J83" s="86" t="s">
        <v>63</v>
      </c>
      <c r="K83" s="86">
        <v>0</v>
      </c>
      <c r="L83" s="86" t="s">
        <v>424</v>
      </c>
      <c r="M83" s="86" t="s">
        <v>843</v>
      </c>
      <c r="N83" s="108">
        <v>1</v>
      </c>
      <c r="O83" s="118">
        <v>6.9444444444444447E-4</v>
      </c>
      <c r="P83" s="172"/>
    </row>
    <row r="84" spans="1:16" s="109" customFormat="1" ht="54" customHeight="1" thickTop="1" thickBot="1" x14ac:dyDescent="0.3">
      <c r="A84" s="145"/>
      <c r="B84" s="115" t="s">
        <v>23</v>
      </c>
      <c r="C84" s="108" t="s">
        <v>713</v>
      </c>
      <c r="D84" s="108" t="s">
        <v>714</v>
      </c>
      <c r="E84" s="108" t="s">
        <v>24</v>
      </c>
      <c r="F84" s="108"/>
      <c r="G84" s="108"/>
      <c r="H84" s="125"/>
      <c r="I84" s="86" t="s">
        <v>140</v>
      </c>
      <c r="J84" s="86" t="s">
        <v>63</v>
      </c>
      <c r="K84" s="86">
        <v>0</v>
      </c>
      <c r="L84" s="86" t="s">
        <v>436</v>
      </c>
      <c r="M84" s="86" t="s">
        <v>843</v>
      </c>
      <c r="N84" s="108">
        <v>1</v>
      </c>
      <c r="O84" s="118">
        <v>0</v>
      </c>
      <c r="P84" s="172"/>
    </row>
    <row r="85" spans="1:16" s="109" customFormat="1" ht="54" customHeight="1" thickTop="1" thickBot="1" x14ac:dyDescent="0.3">
      <c r="A85" s="145"/>
      <c r="B85" s="115" t="s">
        <v>23</v>
      </c>
      <c r="C85" s="108" t="s">
        <v>715</v>
      </c>
      <c r="D85" s="108" t="s">
        <v>438</v>
      </c>
      <c r="E85" s="116" t="s">
        <v>24</v>
      </c>
      <c r="F85" s="108"/>
      <c r="G85" s="108"/>
      <c r="H85" s="125"/>
      <c r="I85" s="86" t="s">
        <v>140</v>
      </c>
      <c r="J85" s="86" t="s">
        <v>63</v>
      </c>
      <c r="K85" s="86">
        <v>0</v>
      </c>
      <c r="L85" s="86" t="s">
        <v>439</v>
      </c>
      <c r="M85" s="86" t="s">
        <v>843</v>
      </c>
      <c r="N85" s="108">
        <v>2</v>
      </c>
      <c r="O85" s="118">
        <v>1.0416666666666667E-3</v>
      </c>
      <c r="P85" s="172"/>
    </row>
    <row r="86" spans="1:16" s="109" customFormat="1" ht="54" customHeight="1" thickTop="1" thickBot="1" x14ac:dyDescent="0.3">
      <c r="A86" s="145"/>
      <c r="B86" s="115" t="s">
        <v>23</v>
      </c>
      <c r="C86" s="108" t="s">
        <v>716</v>
      </c>
      <c r="D86" s="108" t="s">
        <v>717</v>
      </c>
      <c r="E86" s="116" t="s">
        <v>24</v>
      </c>
      <c r="F86" s="108"/>
      <c r="G86" s="108"/>
      <c r="H86" s="125"/>
      <c r="I86" s="86" t="s">
        <v>62</v>
      </c>
      <c r="J86" s="86" t="s">
        <v>63</v>
      </c>
      <c r="K86" s="86">
        <v>0</v>
      </c>
      <c r="L86" s="86" t="s">
        <v>384</v>
      </c>
      <c r="M86" s="86" t="s">
        <v>854</v>
      </c>
      <c r="N86" s="108">
        <v>2</v>
      </c>
      <c r="O86" s="118">
        <v>5.2083333333333333E-4</v>
      </c>
      <c r="P86" s="172"/>
    </row>
    <row r="87" spans="1:16" s="109" customFormat="1" ht="54" customHeight="1" thickTop="1" thickBot="1" x14ac:dyDescent="0.3">
      <c r="A87" s="146"/>
      <c r="B87" s="120" t="s">
        <v>23</v>
      </c>
      <c r="C87" s="121" t="s">
        <v>718</v>
      </c>
      <c r="D87" s="121" t="s">
        <v>447</v>
      </c>
      <c r="E87" s="121" t="s">
        <v>24</v>
      </c>
      <c r="F87" s="121"/>
      <c r="G87" s="121"/>
      <c r="H87" s="164"/>
      <c r="I87" s="86" t="s">
        <v>94</v>
      </c>
      <c r="J87" s="86" t="s">
        <v>63</v>
      </c>
      <c r="K87" s="86">
        <v>0</v>
      </c>
      <c r="L87" s="86" t="s">
        <v>448</v>
      </c>
      <c r="M87" s="86" t="s">
        <v>853</v>
      </c>
      <c r="N87" s="121">
        <v>2</v>
      </c>
      <c r="O87" s="123">
        <v>6.9444444444444447E-4</v>
      </c>
      <c r="P87" s="172"/>
    </row>
    <row r="88" spans="1:16" s="109" customFormat="1" ht="66" customHeight="1" thickTop="1" thickBot="1" x14ac:dyDescent="0.3">
      <c r="B88" s="128" t="s">
        <v>719</v>
      </c>
      <c r="C88" s="129" t="s">
        <v>720</v>
      </c>
      <c r="D88" s="129" t="s">
        <v>458</v>
      </c>
      <c r="E88" s="130" t="s">
        <v>24</v>
      </c>
      <c r="F88" s="130"/>
      <c r="G88" s="130"/>
      <c r="H88" s="168"/>
      <c r="I88" s="86" t="s">
        <v>62</v>
      </c>
      <c r="J88" s="86">
        <v>0</v>
      </c>
      <c r="K88" s="86">
        <v>0</v>
      </c>
      <c r="L88" s="86" t="s">
        <v>721</v>
      </c>
      <c r="M88" s="86" t="s">
        <v>855</v>
      </c>
      <c r="N88" s="130">
        <v>2</v>
      </c>
      <c r="O88" s="169">
        <v>2.0013888888888891</v>
      </c>
      <c r="P88" s="173"/>
    </row>
    <row r="89" spans="1:16" s="109" customFormat="1" ht="15.75" thickTop="1" x14ac:dyDescent="0.2">
      <c r="B89" s="141"/>
      <c r="C89" s="160"/>
      <c r="D89" s="160"/>
      <c r="E89" s="161"/>
      <c r="F89" s="161"/>
      <c r="G89" s="161"/>
      <c r="H89" s="161"/>
      <c r="I89" s="141"/>
      <c r="J89" s="141"/>
      <c r="K89" s="161"/>
      <c r="L89" s="161"/>
      <c r="M89" s="161"/>
      <c r="N89" s="161"/>
      <c r="O89" s="161"/>
    </row>
    <row r="90" spans="1:16" s="109" customFormat="1" x14ac:dyDescent="0.2">
      <c r="B90" s="141"/>
      <c r="C90" s="160"/>
      <c r="D90" s="160"/>
      <c r="E90" s="161"/>
      <c r="F90" s="161"/>
      <c r="G90" s="161"/>
      <c r="H90" s="161"/>
      <c r="I90" s="141"/>
      <c r="J90" s="141"/>
      <c r="K90" s="161"/>
      <c r="L90" s="161"/>
      <c r="M90" s="161"/>
      <c r="N90" s="161"/>
      <c r="O90" s="161"/>
    </row>
    <row r="91" spans="1:16" s="109" customFormat="1" x14ac:dyDescent="0.2">
      <c r="B91" s="141"/>
      <c r="C91" s="160"/>
      <c r="D91" s="160"/>
      <c r="E91" s="161"/>
      <c r="F91" s="161"/>
      <c r="G91" s="161"/>
      <c r="H91" s="161"/>
      <c r="I91" s="141"/>
      <c r="J91" s="141"/>
      <c r="K91" s="161"/>
      <c r="L91" s="161"/>
      <c r="M91" s="161"/>
      <c r="N91" s="161"/>
      <c r="O91" s="161"/>
    </row>
    <row r="92" spans="1:16" s="109" customFormat="1" x14ac:dyDescent="0.2">
      <c r="B92" s="141"/>
      <c r="C92" s="160"/>
      <c r="D92" s="160"/>
      <c r="E92" s="161"/>
      <c r="F92" s="161"/>
      <c r="G92" s="161"/>
      <c r="H92" s="161"/>
      <c r="I92" s="141"/>
      <c r="J92" s="141"/>
      <c r="K92" s="161"/>
      <c r="L92" s="161"/>
      <c r="M92" s="161"/>
      <c r="N92" s="161"/>
      <c r="O92" s="161"/>
    </row>
    <row r="93" spans="1:16" s="109" customFormat="1" x14ac:dyDescent="0.2">
      <c r="B93" s="141"/>
      <c r="C93" s="160"/>
      <c r="D93" s="160"/>
      <c r="E93" s="161"/>
      <c r="F93" s="161"/>
      <c r="G93" s="161"/>
      <c r="H93" s="161"/>
      <c r="I93" s="141"/>
      <c r="J93" s="141"/>
      <c r="K93" s="161"/>
      <c r="L93" s="161"/>
      <c r="M93" s="161"/>
      <c r="N93" s="161"/>
      <c r="O93" s="161"/>
    </row>
    <row r="94" spans="1:16" s="109" customFormat="1" x14ac:dyDescent="0.2">
      <c r="B94" s="141"/>
      <c r="C94" s="160"/>
      <c r="D94" s="160"/>
      <c r="E94" s="161"/>
      <c r="F94" s="161"/>
      <c r="G94" s="161"/>
      <c r="H94" s="161"/>
      <c r="I94" s="141"/>
      <c r="J94" s="141"/>
      <c r="K94" s="161"/>
      <c r="L94" s="161"/>
      <c r="M94" s="161"/>
      <c r="N94" s="161"/>
      <c r="O94" s="161"/>
    </row>
    <row r="95" spans="1:16" s="109" customFormat="1" x14ac:dyDescent="0.2">
      <c r="B95" s="141"/>
      <c r="C95" s="160"/>
      <c r="D95" s="160"/>
      <c r="E95" s="161"/>
      <c r="F95" s="161"/>
      <c r="G95" s="161"/>
      <c r="H95" s="161"/>
      <c r="I95" s="141"/>
      <c r="J95" s="141"/>
      <c r="K95" s="161"/>
      <c r="L95" s="161"/>
      <c r="M95" s="161"/>
      <c r="N95" s="161"/>
      <c r="O95" s="161"/>
    </row>
    <row r="96" spans="1:16" s="109" customFormat="1" x14ac:dyDescent="0.2">
      <c r="B96" s="141"/>
      <c r="C96" s="160"/>
      <c r="D96" s="160"/>
      <c r="E96" s="161"/>
      <c r="F96" s="161"/>
      <c r="G96" s="161"/>
      <c r="H96" s="161"/>
      <c r="I96" s="141"/>
      <c r="J96" s="141"/>
      <c r="K96" s="161"/>
      <c r="L96" s="161"/>
      <c r="M96" s="161"/>
      <c r="N96" s="161"/>
      <c r="O96" s="161"/>
    </row>
    <row r="97" spans="2:15" s="109" customFormat="1" x14ac:dyDescent="0.2">
      <c r="B97" s="141"/>
      <c r="C97" s="160"/>
      <c r="D97" s="160"/>
      <c r="E97" s="161"/>
      <c r="F97" s="161"/>
      <c r="G97" s="161"/>
      <c r="H97" s="161"/>
      <c r="I97" s="141"/>
      <c r="J97" s="141"/>
      <c r="K97" s="161"/>
      <c r="L97" s="161"/>
      <c r="M97" s="161"/>
      <c r="N97" s="161"/>
      <c r="O97" s="161"/>
    </row>
    <row r="98" spans="2:15" s="109" customFormat="1" x14ac:dyDescent="0.2">
      <c r="B98" s="141"/>
      <c r="C98" s="160"/>
      <c r="D98" s="160"/>
      <c r="E98" s="161"/>
      <c r="F98" s="161"/>
      <c r="G98" s="161"/>
      <c r="H98" s="161"/>
      <c r="I98" s="141"/>
      <c r="J98" s="141"/>
      <c r="K98" s="161"/>
      <c r="L98" s="161"/>
      <c r="M98" s="161"/>
      <c r="N98" s="161"/>
      <c r="O98" s="161"/>
    </row>
    <row r="99" spans="2:15" s="109" customFormat="1" x14ac:dyDescent="0.2">
      <c r="B99" s="141"/>
      <c r="C99" s="160"/>
      <c r="D99" s="160"/>
      <c r="E99" s="161"/>
      <c r="F99" s="161"/>
      <c r="G99" s="161"/>
      <c r="H99" s="161"/>
      <c r="I99" s="141"/>
      <c r="J99" s="141"/>
      <c r="K99" s="161"/>
      <c r="L99" s="161"/>
      <c r="M99" s="161"/>
      <c r="N99" s="161"/>
      <c r="O99" s="161"/>
    </row>
    <row r="100" spans="2:15" s="109" customFormat="1" x14ac:dyDescent="0.2">
      <c r="B100" s="141"/>
      <c r="C100" s="160"/>
      <c r="D100" s="160"/>
      <c r="E100" s="161"/>
      <c r="F100" s="161"/>
      <c r="G100" s="161"/>
      <c r="H100" s="161"/>
      <c r="I100" s="141"/>
      <c r="J100" s="141"/>
      <c r="K100" s="161"/>
      <c r="L100" s="161"/>
      <c r="M100" s="161"/>
      <c r="N100" s="161"/>
      <c r="O100" s="161"/>
    </row>
    <row r="101" spans="2:15" s="109" customFormat="1" x14ac:dyDescent="0.2">
      <c r="B101" s="141"/>
      <c r="C101" s="160"/>
      <c r="D101" s="160"/>
      <c r="E101" s="161"/>
      <c r="F101" s="161"/>
      <c r="G101" s="161"/>
      <c r="H101" s="161"/>
      <c r="I101" s="141"/>
      <c r="J101" s="141"/>
      <c r="K101" s="161"/>
      <c r="L101" s="161"/>
      <c r="M101" s="161"/>
      <c r="N101" s="161"/>
      <c r="O101" s="161"/>
    </row>
    <row r="102" spans="2:15" s="109" customFormat="1" x14ac:dyDescent="0.2">
      <c r="B102" s="141"/>
      <c r="C102" s="160"/>
      <c r="D102" s="160"/>
      <c r="E102" s="161"/>
      <c r="F102" s="161"/>
      <c r="G102" s="161"/>
      <c r="H102" s="161"/>
      <c r="I102" s="141"/>
      <c r="J102" s="141"/>
      <c r="K102" s="161"/>
      <c r="L102" s="161"/>
      <c r="M102" s="161"/>
      <c r="N102" s="161"/>
      <c r="O102" s="161"/>
    </row>
    <row r="103" spans="2:15" s="109" customFormat="1" x14ac:dyDescent="0.2">
      <c r="B103" s="141"/>
      <c r="C103" s="160"/>
      <c r="D103" s="160"/>
      <c r="E103" s="161"/>
      <c r="F103" s="161"/>
      <c r="G103" s="161"/>
      <c r="H103" s="161"/>
      <c r="I103" s="141"/>
      <c r="J103" s="141"/>
      <c r="K103" s="161"/>
      <c r="L103" s="161"/>
      <c r="M103" s="161"/>
      <c r="N103" s="161"/>
      <c r="O103" s="161"/>
    </row>
    <row r="104" spans="2:15" s="109" customFormat="1" x14ac:dyDescent="0.2">
      <c r="B104" s="141"/>
      <c r="C104" s="160"/>
      <c r="D104" s="160"/>
      <c r="E104" s="161"/>
      <c r="F104" s="161"/>
      <c r="G104" s="161"/>
      <c r="H104" s="161"/>
      <c r="I104" s="141"/>
      <c r="J104" s="141"/>
      <c r="K104" s="161"/>
      <c r="L104" s="161"/>
      <c r="M104" s="161"/>
      <c r="N104" s="161"/>
      <c r="O104" s="161"/>
    </row>
    <row r="105" spans="2:15" s="109" customFormat="1" x14ac:dyDescent="0.2">
      <c r="B105" s="141"/>
      <c r="C105" s="160"/>
      <c r="D105" s="160"/>
      <c r="E105" s="161"/>
      <c r="F105" s="161"/>
      <c r="G105" s="161"/>
      <c r="H105" s="161"/>
      <c r="I105" s="141"/>
      <c r="J105" s="141"/>
      <c r="K105" s="161"/>
      <c r="L105" s="161"/>
      <c r="M105" s="161"/>
      <c r="N105" s="161"/>
      <c r="O105" s="161"/>
    </row>
    <row r="106" spans="2:15" s="109" customFormat="1" x14ac:dyDescent="0.2">
      <c r="B106" s="141"/>
      <c r="C106" s="160"/>
      <c r="D106" s="160"/>
      <c r="E106" s="161"/>
      <c r="F106" s="161"/>
      <c r="G106" s="161"/>
      <c r="H106" s="161"/>
      <c r="I106" s="141"/>
      <c r="J106" s="141"/>
      <c r="K106" s="161"/>
      <c r="L106" s="161"/>
      <c r="M106" s="161"/>
      <c r="N106" s="161"/>
      <c r="O106" s="161"/>
    </row>
    <row r="107" spans="2:15" s="109" customFormat="1" x14ac:dyDescent="0.2">
      <c r="B107" s="141"/>
      <c r="C107" s="160"/>
      <c r="D107" s="160"/>
      <c r="E107" s="161"/>
      <c r="F107" s="161"/>
      <c r="G107" s="161"/>
      <c r="H107" s="161"/>
      <c r="I107" s="141"/>
      <c r="J107" s="141"/>
      <c r="K107" s="161"/>
      <c r="L107" s="161"/>
      <c r="M107" s="161"/>
      <c r="N107" s="161"/>
      <c r="O107" s="161"/>
    </row>
    <row r="108" spans="2:15" s="109" customFormat="1" x14ac:dyDescent="0.2">
      <c r="B108" s="141"/>
      <c r="C108" s="160"/>
      <c r="D108" s="160"/>
      <c r="E108" s="161"/>
      <c r="F108" s="161"/>
      <c r="G108" s="161"/>
      <c r="H108" s="161"/>
      <c r="I108" s="141"/>
      <c r="J108" s="141"/>
      <c r="K108" s="161"/>
      <c r="L108" s="161"/>
      <c r="M108" s="161"/>
      <c r="N108" s="161"/>
      <c r="O108" s="161"/>
    </row>
    <row r="109" spans="2:15" s="109" customFormat="1" x14ac:dyDescent="0.2">
      <c r="B109" s="141"/>
      <c r="C109" s="160"/>
      <c r="D109" s="160"/>
      <c r="E109" s="161"/>
      <c r="F109" s="161"/>
      <c r="G109" s="161"/>
      <c r="H109" s="161"/>
      <c r="I109" s="141"/>
      <c r="J109" s="141"/>
      <c r="K109" s="161"/>
      <c r="L109" s="161"/>
      <c r="M109" s="161"/>
      <c r="N109" s="161"/>
      <c r="O109" s="161"/>
    </row>
    <row r="110" spans="2:15" s="109" customFormat="1" x14ac:dyDescent="0.2">
      <c r="B110" s="141"/>
      <c r="C110" s="160"/>
      <c r="D110" s="160"/>
      <c r="E110" s="161"/>
      <c r="F110" s="161"/>
      <c r="G110" s="161"/>
      <c r="H110" s="161"/>
      <c r="I110" s="141"/>
      <c r="J110" s="141"/>
      <c r="K110" s="161"/>
      <c r="L110" s="161"/>
      <c r="M110" s="161"/>
      <c r="N110" s="161"/>
      <c r="O110" s="161"/>
    </row>
    <row r="111" spans="2:15" s="109" customFormat="1" x14ac:dyDescent="0.2">
      <c r="B111" s="141"/>
      <c r="C111" s="160"/>
      <c r="D111" s="160"/>
      <c r="E111" s="161"/>
      <c r="F111" s="161"/>
      <c r="G111" s="161"/>
      <c r="H111" s="161"/>
      <c r="I111" s="141"/>
      <c r="J111" s="141"/>
      <c r="K111" s="161"/>
      <c r="L111" s="161"/>
      <c r="M111" s="161"/>
      <c r="N111" s="161"/>
      <c r="O111" s="161"/>
    </row>
    <row r="112" spans="2:15" s="109" customFormat="1" x14ac:dyDescent="0.2">
      <c r="B112" s="141"/>
      <c r="C112" s="160"/>
      <c r="D112" s="160"/>
      <c r="E112" s="161"/>
      <c r="F112" s="161"/>
      <c r="G112" s="161"/>
      <c r="H112" s="161"/>
      <c r="I112" s="141"/>
      <c r="J112" s="141"/>
      <c r="K112" s="161"/>
      <c r="L112" s="161"/>
      <c r="M112" s="161"/>
      <c r="N112" s="161"/>
      <c r="O112" s="161"/>
    </row>
    <row r="113" spans="2:15" s="109" customFormat="1" x14ac:dyDescent="0.2">
      <c r="B113" s="141"/>
      <c r="C113" s="160"/>
      <c r="D113" s="160"/>
      <c r="E113" s="161"/>
      <c r="F113" s="161"/>
      <c r="G113" s="161"/>
      <c r="H113" s="161"/>
      <c r="I113" s="141"/>
      <c r="J113" s="141"/>
      <c r="K113" s="161"/>
      <c r="L113" s="161"/>
      <c r="M113" s="161"/>
      <c r="N113" s="161"/>
      <c r="O113" s="161"/>
    </row>
    <row r="114" spans="2:15" s="109" customFormat="1" x14ac:dyDescent="0.2">
      <c r="B114" s="141"/>
      <c r="C114" s="160"/>
      <c r="D114" s="160"/>
      <c r="E114" s="161"/>
      <c r="F114" s="161"/>
      <c r="G114" s="161"/>
      <c r="H114" s="161"/>
      <c r="I114" s="141"/>
      <c r="J114" s="141"/>
      <c r="K114" s="161"/>
      <c r="L114" s="161"/>
      <c r="M114" s="161"/>
      <c r="N114" s="161"/>
      <c r="O114" s="161"/>
    </row>
    <row r="115" spans="2:15" s="109" customFormat="1" x14ac:dyDescent="0.2">
      <c r="B115" s="141"/>
      <c r="C115" s="160"/>
      <c r="D115" s="160"/>
      <c r="E115" s="161"/>
      <c r="F115" s="161"/>
      <c r="G115" s="161"/>
      <c r="H115" s="161"/>
      <c r="I115" s="141"/>
      <c r="J115" s="141"/>
      <c r="K115" s="161"/>
      <c r="L115" s="161"/>
      <c r="M115" s="161"/>
      <c r="N115" s="161"/>
      <c r="O115" s="161"/>
    </row>
    <row r="116" spans="2:15" s="109" customFormat="1" x14ac:dyDescent="0.2">
      <c r="B116" s="141"/>
      <c r="C116" s="160"/>
      <c r="D116" s="160"/>
      <c r="E116" s="161"/>
      <c r="F116" s="161"/>
      <c r="G116" s="161"/>
      <c r="H116" s="161"/>
      <c r="I116" s="141"/>
      <c r="J116" s="141"/>
      <c r="K116" s="161"/>
      <c r="L116" s="161"/>
      <c r="M116" s="161"/>
      <c r="N116" s="161"/>
      <c r="O116" s="161"/>
    </row>
    <row r="117" spans="2:15" s="109" customFormat="1" x14ac:dyDescent="0.2">
      <c r="B117" s="141"/>
      <c r="C117" s="160"/>
      <c r="D117" s="160"/>
      <c r="E117" s="161"/>
      <c r="F117" s="161"/>
      <c r="G117" s="161"/>
      <c r="H117" s="161"/>
      <c r="I117" s="141"/>
      <c r="J117" s="141"/>
      <c r="K117" s="161"/>
      <c r="L117" s="161"/>
      <c r="M117" s="161"/>
      <c r="N117" s="161"/>
      <c r="O117" s="161"/>
    </row>
    <row r="118" spans="2:15" s="109" customFormat="1" x14ac:dyDescent="0.2">
      <c r="B118" s="141"/>
      <c r="C118" s="160"/>
      <c r="D118" s="160"/>
      <c r="E118" s="161"/>
      <c r="F118" s="161"/>
      <c r="G118" s="161"/>
      <c r="H118" s="161"/>
      <c r="I118" s="141"/>
      <c r="J118" s="141"/>
      <c r="K118" s="161"/>
      <c r="L118" s="161"/>
      <c r="M118" s="161"/>
      <c r="N118" s="161"/>
      <c r="O118" s="161"/>
    </row>
    <row r="119" spans="2:15" s="109" customFormat="1" x14ac:dyDescent="0.2">
      <c r="B119" s="141"/>
      <c r="C119" s="160"/>
      <c r="D119" s="160"/>
      <c r="E119" s="161"/>
      <c r="F119" s="161"/>
      <c r="G119" s="161"/>
      <c r="H119" s="161"/>
      <c r="I119" s="141"/>
      <c r="J119" s="141"/>
      <c r="K119" s="161"/>
      <c r="L119" s="161"/>
      <c r="M119" s="161"/>
      <c r="N119" s="161"/>
      <c r="O119" s="161"/>
    </row>
    <row r="120" spans="2:15" s="109" customFormat="1" x14ac:dyDescent="0.2">
      <c r="B120" s="141"/>
      <c r="C120" s="160"/>
      <c r="D120" s="160"/>
      <c r="E120" s="161"/>
      <c r="F120" s="161"/>
      <c r="G120" s="161"/>
      <c r="H120" s="161"/>
      <c r="I120" s="141"/>
      <c r="J120" s="141"/>
      <c r="K120" s="161"/>
      <c r="L120" s="161"/>
      <c r="M120" s="161"/>
      <c r="N120" s="161"/>
      <c r="O120" s="161"/>
    </row>
    <row r="121" spans="2:15" s="109" customFormat="1" x14ac:dyDescent="0.2">
      <c r="B121" s="141"/>
      <c r="C121" s="160"/>
      <c r="D121" s="160"/>
      <c r="E121" s="161"/>
      <c r="F121" s="161"/>
      <c r="G121" s="161"/>
      <c r="H121" s="161"/>
      <c r="I121" s="141"/>
      <c r="J121" s="141"/>
      <c r="K121" s="161"/>
      <c r="L121" s="161"/>
      <c r="M121" s="161"/>
      <c r="N121" s="161"/>
      <c r="O121" s="161"/>
    </row>
    <row r="122" spans="2:15" s="109" customFormat="1" x14ac:dyDescent="0.2">
      <c r="B122" s="141"/>
      <c r="C122" s="160"/>
      <c r="D122" s="160"/>
      <c r="E122" s="161"/>
      <c r="F122" s="161"/>
      <c r="G122" s="161"/>
      <c r="H122" s="161"/>
      <c r="I122" s="141"/>
      <c r="J122" s="141"/>
      <c r="K122" s="161"/>
      <c r="L122" s="161"/>
      <c r="M122" s="161"/>
      <c r="N122" s="161"/>
      <c r="O122" s="161"/>
    </row>
    <row r="123" spans="2:15" s="109" customFormat="1" x14ac:dyDescent="0.2">
      <c r="B123" s="141"/>
      <c r="C123" s="160"/>
      <c r="D123" s="160"/>
      <c r="E123" s="161"/>
      <c r="F123" s="161"/>
      <c r="G123" s="161"/>
      <c r="H123" s="161"/>
      <c r="I123" s="141"/>
      <c r="J123" s="141"/>
      <c r="K123" s="161"/>
      <c r="L123" s="161"/>
      <c r="M123" s="161"/>
      <c r="N123" s="161"/>
      <c r="O123" s="161"/>
    </row>
    <row r="124" spans="2:15" s="109" customFormat="1" x14ac:dyDescent="0.2">
      <c r="B124" s="141"/>
      <c r="C124" s="160"/>
      <c r="D124" s="160"/>
      <c r="E124" s="161"/>
      <c r="F124" s="161"/>
      <c r="G124" s="161"/>
      <c r="H124" s="161"/>
      <c r="I124" s="141"/>
      <c r="J124" s="141"/>
      <c r="K124" s="161"/>
      <c r="L124" s="161"/>
      <c r="M124" s="161"/>
      <c r="N124" s="161"/>
      <c r="O124" s="161"/>
    </row>
    <row r="125" spans="2:15" s="109" customFormat="1" x14ac:dyDescent="0.2">
      <c r="B125" s="141"/>
      <c r="C125" s="160"/>
      <c r="D125" s="160"/>
      <c r="E125" s="161"/>
      <c r="F125" s="161"/>
      <c r="G125" s="161"/>
      <c r="H125" s="161"/>
      <c r="I125" s="141"/>
      <c r="J125" s="141"/>
      <c r="K125" s="161"/>
      <c r="L125" s="161"/>
      <c r="M125" s="161"/>
      <c r="N125" s="161"/>
      <c r="O125" s="161"/>
    </row>
    <row r="126" spans="2:15" s="109" customFormat="1" x14ac:dyDescent="0.2">
      <c r="B126" s="141"/>
      <c r="C126" s="160"/>
      <c r="D126" s="160"/>
      <c r="E126" s="161"/>
      <c r="F126" s="161"/>
      <c r="G126" s="161"/>
      <c r="H126" s="161"/>
      <c r="I126" s="141"/>
      <c r="J126" s="141"/>
      <c r="K126" s="161"/>
      <c r="L126" s="161"/>
      <c r="M126" s="161"/>
      <c r="N126" s="161"/>
      <c r="O126" s="161"/>
    </row>
    <row r="127" spans="2:15" s="109" customFormat="1" ht="54" customHeight="1" x14ac:dyDescent="0.2">
      <c r="B127" s="141"/>
      <c r="C127" s="160"/>
      <c r="D127" s="160"/>
      <c r="E127" s="161"/>
      <c r="F127" s="161"/>
      <c r="G127" s="161"/>
      <c r="H127" s="161"/>
      <c r="I127" s="141"/>
      <c r="J127" s="141"/>
      <c r="K127" s="161"/>
      <c r="L127" s="161"/>
      <c r="M127" s="161"/>
      <c r="N127" s="161"/>
      <c r="O127" s="161"/>
    </row>
    <row r="128" spans="2:15" s="109" customFormat="1" ht="66" customHeight="1" x14ac:dyDescent="0.2">
      <c r="B128" s="141"/>
      <c r="C128" s="160"/>
      <c r="D128" s="160"/>
      <c r="E128" s="161"/>
      <c r="F128" s="161"/>
      <c r="G128" s="161"/>
      <c r="H128" s="161"/>
      <c r="I128" s="141"/>
      <c r="J128" s="141"/>
      <c r="K128" s="161"/>
      <c r="L128" s="161"/>
      <c r="M128" s="161"/>
      <c r="N128" s="161"/>
      <c r="O128" s="161"/>
    </row>
    <row r="129" spans="2:10" s="109" customFormat="1" x14ac:dyDescent="0.2">
      <c r="B129" s="132"/>
      <c r="C129" s="157"/>
      <c r="D129" s="157"/>
      <c r="I129" s="132"/>
      <c r="J129" s="132"/>
    </row>
    <row r="130" spans="2:10" s="109" customFormat="1" x14ac:dyDescent="0.2">
      <c r="B130" s="132"/>
      <c r="C130" s="157"/>
      <c r="D130" s="157"/>
      <c r="I130" s="132"/>
      <c r="J130" s="132"/>
    </row>
    <row r="131" spans="2:10" s="109" customFormat="1" x14ac:dyDescent="0.2">
      <c r="B131" s="132"/>
      <c r="C131" s="157"/>
      <c r="D131" s="157"/>
      <c r="I131" s="132"/>
      <c r="J131" s="132"/>
    </row>
    <row r="132" spans="2:10" s="109" customFormat="1" x14ac:dyDescent="0.2">
      <c r="B132" s="132"/>
      <c r="C132" s="157"/>
      <c r="D132" s="157"/>
      <c r="I132" s="132"/>
      <c r="J132" s="132"/>
    </row>
    <row r="133" spans="2:10" s="109" customFormat="1" x14ac:dyDescent="0.2">
      <c r="B133" s="132"/>
      <c r="C133" s="157"/>
      <c r="D133" s="157"/>
      <c r="I133" s="132"/>
      <c r="J133" s="132"/>
    </row>
    <row r="134" spans="2:10" s="109" customFormat="1" x14ac:dyDescent="0.2">
      <c r="B134" s="132"/>
      <c r="C134" s="157"/>
      <c r="D134" s="157"/>
      <c r="I134" s="132"/>
      <c r="J134" s="132"/>
    </row>
    <row r="135" spans="2:10" s="109" customFormat="1" x14ac:dyDescent="0.2">
      <c r="B135" s="132"/>
      <c r="C135" s="157"/>
      <c r="D135" s="157"/>
      <c r="I135" s="132"/>
      <c r="J135" s="132"/>
    </row>
    <row r="136" spans="2:10" s="109" customFormat="1" x14ac:dyDescent="0.2">
      <c r="B136" s="132"/>
      <c r="C136" s="157"/>
      <c r="D136" s="157"/>
      <c r="I136" s="132"/>
      <c r="J136" s="132"/>
    </row>
    <row r="137" spans="2:10" s="109" customFormat="1" x14ac:dyDescent="0.2">
      <c r="B137" s="132"/>
      <c r="C137" s="157"/>
      <c r="D137" s="157"/>
      <c r="I137" s="132"/>
      <c r="J137" s="132"/>
    </row>
    <row r="138" spans="2:10" s="109" customFormat="1" x14ac:dyDescent="0.2">
      <c r="B138" s="132"/>
      <c r="C138" s="157"/>
      <c r="D138" s="157"/>
      <c r="I138" s="132"/>
      <c r="J138" s="132"/>
    </row>
    <row r="139" spans="2:10" s="109" customFormat="1" x14ac:dyDescent="0.2">
      <c r="B139" s="132"/>
      <c r="C139" s="157"/>
      <c r="D139" s="157"/>
      <c r="I139" s="132"/>
      <c r="J139" s="132"/>
    </row>
    <row r="140" spans="2:10" s="109" customFormat="1" x14ac:dyDescent="0.2">
      <c r="B140" s="132"/>
      <c r="C140" s="157"/>
      <c r="D140" s="157"/>
      <c r="I140" s="132"/>
      <c r="J140" s="132"/>
    </row>
    <row r="141" spans="2:10" s="109" customFormat="1" x14ac:dyDescent="0.2">
      <c r="B141" s="132"/>
      <c r="C141" s="157"/>
      <c r="D141" s="157"/>
      <c r="I141" s="132"/>
      <c r="J141" s="132"/>
    </row>
    <row r="142" spans="2:10" s="109" customFormat="1" x14ac:dyDescent="0.2">
      <c r="B142" s="132"/>
      <c r="C142" s="157"/>
      <c r="D142" s="157"/>
      <c r="I142" s="132"/>
      <c r="J142" s="132"/>
    </row>
    <row r="143" spans="2:10" s="109" customFormat="1" x14ac:dyDescent="0.2">
      <c r="B143" s="132"/>
      <c r="C143" s="157"/>
      <c r="D143" s="157"/>
      <c r="I143" s="132"/>
      <c r="J143" s="132"/>
    </row>
    <row r="144" spans="2:10" s="109" customFormat="1" x14ac:dyDescent="0.2">
      <c r="B144" s="132"/>
      <c r="C144" s="157"/>
      <c r="D144" s="157"/>
      <c r="I144" s="132"/>
      <c r="J144" s="132"/>
    </row>
    <row r="145" spans="2:10" s="109" customFormat="1" x14ac:dyDescent="0.2">
      <c r="B145" s="132"/>
      <c r="C145" s="157"/>
      <c r="D145" s="157"/>
      <c r="I145" s="132"/>
      <c r="J145" s="132"/>
    </row>
    <row r="146" spans="2:10" s="109" customFormat="1" x14ac:dyDescent="0.2">
      <c r="B146" s="132"/>
      <c r="C146" s="157"/>
      <c r="D146" s="157"/>
      <c r="I146" s="132"/>
      <c r="J146" s="132"/>
    </row>
    <row r="147" spans="2:10" s="109" customFormat="1" x14ac:dyDescent="0.2">
      <c r="B147" s="132"/>
      <c r="C147" s="157"/>
      <c r="D147" s="157"/>
      <c r="I147" s="132"/>
      <c r="J147" s="132"/>
    </row>
    <row r="148" spans="2:10" s="109" customFormat="1" x14ac:dyDescent="0.2">
      <c r="B148" s="132"/>
      <c r="C148" s="157"/>
      <c r="D148" s="157"/>
      <c r="I148" s="132"/>
      <c r="J148" s="132"/>
    </row>
    <row r="149" spans="2:10" s="109" customFormat="1" x14ac:dyDescent="0.2">
      <c r="B149" s="132"/>
      <c r="C149" s="157"/>
      <c r="D149" s="157"/>
      <c r="I149" s="132"/>
      <c r="J149" s="132"/>
    </row>
    <row r="150" spans="2:10" s="109" customFormat="1" x14ac:dyDescent="0.2">
      <c r="B150" s="132"/>
      <c r="C150" s="157"/>
      <c r="D150" s="157"/>
      <c r="I150" s="132"/>
      <c r="J150" s="132"/>
    </row>
    <row r="151" spans="2:10" s="109" customFormat="1" x14ac:dyDescent="0.2">
      <c r="B151" s="132"/>
      <c r="C151" s="157"/>
      <c r="D151" s="157"/>
      <c r="I151" s="132"/>
      <c r="J151" s="132"/>
    </row>
    <row r="152" spans="2:10" s="109" customFormat="1" x14ac:dyDescent="0.2">
      <c r="B152" s="132"/>
      <c r="C152" s="157"/>
      <c r="D152" s="157"/>
      <c r="I152" s="132"/>
      <c r="J152" s="132"/>
    </row>
    <row r="153" spans="2:10" s="109" customFormat="1" x14ac:dyDescent="0.2">
      <c r="B153" s="132"/>
      <c r="C153" s="157"/>
      <c r="D153" s="157"/>
      <c r="I153" s="132"/>
      <c r="J153" s="132"/>
    </row>
    <row r="154" spans="2:10" s="109" customFormat="1" x14ac:dyDescent="0.2">
      <c r="B154" s="132"/>
      <c r="C154" s="157"/>
      <c r="D154" s="157"/>
      <c r="I154" s="132"/>
      <c r="J154" s="132"/>
    </row>
    <row r="155" spans="2:10" s="109" customFormat="1" x14ac:dyDescent="0.2">
      <c r="B155" s="132"/>
      <c r="C155" s="157"/>
      <c r="D155" s="157"/>
      <c r="I155" s="132"/>
      <c r="J155" s="132"/>
    </row>
    <row r="156" spans="2:10" s="109" customFormat="1" x14ac:dyDescent="0.2">
      <c r="B156" s="132"/>
      <c r="C156" s="157"/>
      <c r="D156" s="157"/>
      <c r="I156" s="132"/>
      <c r="J156" s="132"/>
    </row>
    <row r="157" spans="2:10" s="109" customFormat="1" x14ac:dyDescent="0.2">
      <c r="B157" s="132"/>
      <c r="C157" s="157"/>
      <c r="D157" s="157"/>
      <c r="I157" s="132"/>
      <c r="J157" s="132"/>
    </row>
    <row r="158" spans="2:10" s="109" customFormat="1" x14ac:dyDescent="0.2">
      <c r="B158" s="132"/>
      <c r="C158" s="157"/>
      <c r="D158" s="157"/>
      <c r="I158" s="132"/>
      <c r="J158" s="132"/>
    </row>
    <row r="159" spans="2:10" s="109" customFormat="1" x14ac:dyDescent="0.2">
      <c r="B159" s="132"/>
      <c r="C159" s="157"/>
      <c r="D159" s="157"/>
      <c r="I159" s="132"/>
      <c r="J159" s="132"/>
    </row>
    <row r="160" spans="2:10" s="109" customFormat="1" x14ac:dyDescent="0.2">
      <c r="B160" s="132"/>
      <c r="C160" s="157"/>
      <c r="D160" s="157"/>
      <c r="I160" s="132"/>
      <c r="J160" s="132"/>
    </row>
    <row r="161" spans="2:10" s="109" customFormat="1" x14ac:dyDescent="0.2">
      <c r="B161" s="132"/>
      <c r="C161" s="157"/>
      <c r="D161" s="157"/>
      <c r="I161" s="132"/>
      <c r="J161" s="132"/>
    </row>
    <row r="162" spans="2:10" s="109" customFormat="1" x14ac:dyDescent="0.2">
      <c r="B162" s="132"/>
      <c r="C162" s="157"/>
      <c r="D162" s="157"/>
      <c r="I162" s="132"/>
      <c r="J162" s="132"/>
    </row>
    <row r="163" spans="2:10" s="109" customFormat="1" x14ac:dyDescent="0.2">
      <c r="B163" s="132"/>
      <c r="C163" s="157"/>
      <c r="D163" s="157"/>
      <c r="I163" s="132"/>
      <c r="J163" s="132"/>
    </row>
    <row r="164" spans="2:10" s="109" customFormat="1" x14ac:dyDescent="0.2">
      <c r="B164" s="132"/>
      <c r="C164" s="157"/>
      <c r="D164" s="157"/>
      <c r="I164" s="132"/>
      <c r="J164" s="132"/>
    </row>
    <row r="165" spans="2:10" s="109" customFormat="1" x14ac:dyDescent="0.2">
      <c r="B165" s="132"/>
      <c r="C165" s="157"/>
      <c r="D165" s="157"/>
      <c r="I165" s="132"/>
      <c r="J165" s="132"/>
    </row>
    <row r="166" spans="2:10" s="109" customFormat="1" x14ac:dyDescent="0.2">
      <c r="B166" s="132"/>
      <c r="C166" s="157"/>
      <c r="D166" s="157"/>
      <c r="I166" s="132"/>
      <c r="J166" s="132"/>
    </row>
    <row r="167" spans="2:10" s="109" customFormat="1" x14ac:dyDescent="0.2">
      <c r="B167" s="132"/>
      <c r="C167" s="157"/>
      <c r="D167" s="157"/>
      <c r="I167" s="132"/>
      <c r="J167" s="132"/>
    </row>
    <row r="168" spans="2:10" s="109" customFormat="1" x14ac:dyDescent="0.2">
      <c r="B168" s="132"/>
      <c r="C168" s="157"/>
      <c r="D168" s="157"/>
      <c r="I168" s="132"/>
      <c r="J168" s="132"/>
    </row>
    <row r="169" spans="2:10" s="109" customFormat="1" x14ac:dyDescent="0.2">
      <c r="B169" s="132"/>
      <c r="C169" s="157"/>
      <c r="D169" s="157"/>
      <c r="I169" s="132"/>
      <c r="J169" s="132"/>
    </row>
    <row r="170" spans="2:10" s="109" customFormat="1" x14ac:dyDescent="0.2">
      <c r="B170" s="132"/>
      <c r="C170" s="157"/>
      <c r="D170" s="157"/>
      <c r="I170" s="132"/>
      <c r="J170" s="132"/>
    </row>
    <row r="171" spans="2:10" s="109" customFormat="1" x14ac:dyDescent="0.2">
      <c r="B171" s="132"/>
      <c r="C171" s="157"/>
      <c r="D171" s="157"/>
      <c r="I171" s="132"/>
      <c r="J171" s="132"/>
    </row>
    <row r="172" spans="2:10" s="109" customFormat="1" x14ac:dyDescent="0.2">
      <c r="B172" s="132"/>
      <c r="C172" s="157"/>
      <c r="D172" s="157"/>
      <c r="I172" s="132"/>
      <c r="J172" s="132"/>
    </row>
    <row r="173" spans="2:10" s="109" customFormat="1" x14ac:dyDescent="0.2">
      <c r="B173" s="132"/>
      <c r="C173" s="157"/>
      <c r="D173" s="157"/>
      <c r="I173" s="132"/>
      <c r="J173" s="132"/>
    </row>
    <row r="174" spans="2:10" s="109" customFormat="1" x14ac:dyDescent="0.2">
      <c r="B174" s="132"/>
      <c r="C174" s="157"/>
      <c r="D174" s="157"/>
      <c r="I174" s="132"/>
      <c r="J174" s="132"/>
    </row>
    <row r="175" spans="2:10" s="109" customFormat="1" x14ac:dyDescent="0.2">
      <c r="B175" s="132"/>
      <c r="C175" s="157"/>
      <c r="D175" s="157"/>
      <c r="I175" s="132"/>
      <c r="J175" s="132"/>
    </row>
    <row r="176" spans="2:10" s="109" customFormat="1" x14ac:dyDescent="0.2">
      <c r="B176" s="132"/>
      <c r="C176" s="157"/>
      <c r="D176" s="157"/>
      <c r="I176" s="132"/>
      <c r="J176" s="132"/>
    </row>
    <row r="177" spans="2:10" s="109" customFormat="1" x14ac:dyDescent="0.2">
      <c r="B177" s="132"/>
      <c r="C177" s="157"/>
      <c r="D177" s="157"/>
      <c r="I177" s="132"/>
      <c r="J177" s="132"/>
    </row>
    <row r="178" spans="2:10" s="109" customFormat="1" x14ac:dyDescent="0.2">
      <c r="B178" s="132"/>
      <c r="C178" s="157"/>
      <c r="D178" s="157"/>
      <c r="I178" s="132"/>
      <c r="J178" s="132"/>
    </row>
    <row r="179" spans="2:10" s="109" customFormat="1" x14ac:dyDescent="0.2">
      <c r="B179" s="132"/>
      <c r="C179" s="157"/>
      <c r="D179" s="157"/>
      <c r="I179" s="132"/>
      <c r="J179" s="132"/>
    </row>
    <row r="180" spans="2:10" s="109" customFormat="1" x14ac:dyDescent="0.2">
      <c r="B180" s="132"/>
      <c r="C180" s="157"/>
      <c r="D180" s="157"/>
      <c r="I180" s="132"/>
      <c r="J180" s="132"/>
    </row>
  </sheetData>
  <autoFilter ref="A2:O88" xr:uid="{1F478E64-C5A9-4A43-89AA-045599EB1EC1}"/>
  <phoneticPr fontId="7" type="noConversion"/>
  <conditionalFormatting sqref="C3:H20 H21:H22 C70:H74 C69:D69 C62:H62 C61:D61 C65:H68 C63:D64 G63:H64 C29:H29 C28:D28 H28 C40:H40 C39:D39 G42:H42 C41:D47 C60:H60 C58:D59 C34:H35 G44:H45 C48:H57 C30:D33 C21:F22 C23:H27 C79:H87 C78:D78 G78:H78 C37:H38 C36 E36:H36 C76:H77 C75 E75:H75">
    <cfRule type="expression" dxfId="173" priority="39">
      <formula>AND(OR($F3="No",$F3=""), $E3= "Yes",$G3&lt;&gt;"",$H3&lt;&gt;"")</formula>
    </cfRule>
  </conditionalFormatting>
  <conditionalFormatting sqref="N29:O64 N66:O88 N3:O27">
    <cfRule type="expression" dxfId="172" priority="35">
      <formula>AND(OR($E3="No",$E3=""), $D3= "Yes",$F3&lt;&gt;"",$G3&lt;&gt;"")</formula>
    </cfRule>
  </conditionalFormatting>
  <conditionalFormatting sqref="N65:O65">
    <cfRule type="expression" dxfId="171" priority="34">
      <formula>AND(OR($F65="No",$F65=""), $E65= "Yes",$G65&lt;&gt;"",$H65&lt;&gt;"")</formula>
    </cfRule>
  </conditionalFormatting>
  <conditionalFormatting sqref="N28:O28">
    <cfRule type="expression" dxfId="170" priority="33">
      <formula>AND(OR($F28="No",$F28=""), $E28= "Yes",$G28&lt;&gt;"",$H28&lt;&gt;"")</formula>
    </cfRule>
  </conditionalFormatting>
  <conditionalFormatting sqref="E88:H88">
    <cfRule type="expression" dxfId="169" priority="32">
      <formula>AND(OR($F88="No",$F88=""), $E88= "Yes",$G88&lt;&gt;"",$H88&lt;&gt;"")</formula>
    </cfRule>
  </conditionalFormatting>
  <conditionalFormatting sqref="I3:M88">
    <cfRule type="expression" dxfId="168" priority="31">
      <formula>AND(OR($F3="No",$F3=""), $E3= "Yes",$G3&lt;&gt;"",$H3&lt;&gt;"")</formula>
    </cfRule>
  </conditionalFormatting>
  <conditionalFormatting sqref="G21">
    <cfRule type="expression" dxfId="167" priority="29">
      <formula>AND(OR($E21="No",$E21=""), $D21= "Yes",$F21&lt;&gt;"",$G21&lt;&gt;"")</formula>
    </cfRule>
  </conditionalFormatting>
  <conditionalFormatting sqref="E69:H69">
    <cfRule type="expression" dxfId="166" priority="28">
      <formula>AND(OR($F69="No",$F69=""), $E69= "Yes",$G69&lt;&gt;"",$H69&lt;&gt;"")</formula>
    </cfRule>
  </conditionalFormatting>
  <conditionalFormatting sqref="E61:H61">
    <cfRule type="expression" dxfId="165" priority="27">
      <formula>AND(OR($F61="No",$F61=""), $E61= "Yes",$G61&lt;&gt;"",$H61&lt;&gt;"")</formula>
    </cfRule>
  </conditionalFormatting>
  <conditionalFormatting sqref="E63:F64">
    <cfRule type="expression" dxfId="164" priority="26">
      <formula>AND(OR($F63="No",$F63=""), $E63= "Yes",$G63&lt;&gt;"",$H63&lt;&gt;"")</formula>
    </cfRule>
  </conditionalFormatting>
  <conditionalFormatting sqref="G28">
    <cfRule type="expression" dxfId="163" priority="25">
      <formula>AND(OR($F28="No",$F28=""), $E28= "Yes",$G28&lt;&gt;"",$H28&lt;&gt;"")</formula>
    </cfRule>
  </conditionalFormatting>
  <conditionalFormatting sqref="E28">
    <cfRule type="expression" dxfId="162" priority="24">
      <formula>AND(OR($F28="No",$F28=""), $E28= "Yes",$G28&lt;&gt;"",$H28&lt;&gt;"")</formula>
    </cfRule>
  </conditionalFormatting>
  <conditionalFormatting sqref="F28">
    <cfRule type="expression" dxfId="161" priority="23">
      <formula>AND(OR($F28="No",$F28=""), $E28= "Yes",$G28&lt;&gt;"",$H28&lt;&gt;"")</formula>
    </cfRule>
  </conditionalFormatting>
  <conditionalFormatting sqref="E46:H46">
    <cfRule type="expression" dxfId="160" priority="22">
      <formula>AND(OR($F46="No",$F46=""), $E46= "Yes",$G46&lt;&gt;"",$H46&lt;&gt;"")</formula>
    </cfRule>
  </conditionalFormatting>
  <conditionalFormatting sqref="E47:H47">
    <cfRule type="expression" dxfId="159" priority="21">
      <formula>AND(OR($F47="No",$F47=""), $E47= "Yes",$G47&lt;&gt;"",$H47&lt;&gt;"")</formula>
    </cfRule>
  </conditionalFormatting>
  <conditionalFormatting sqref="G39:H39">
    <cfRule type="expression" dxfId="158" priority="20">
      <formula>AND(OR($E39="No",$E39=""), $D39= "Yes",$F39&lt;&gt;"",$G39&lt;&gt;"")</formula>
    </cfRule>
  </conditionalFormatting>
  <conditionalFormatting sqref="E39:F39">
    <cfRule type="expression" dxfId="157" priority="19">
      <formula>AND(OR($F39="No",$F39=""), $E39= "Yes",$G39&lt;&gt;"",$H39&lt;&gt;"")</formula>
    </cfRule>
  </conditionalFormatting>
  <conditionalFormatting sqref="E44:F44">
    <cfRule type="expression" dxfId="156" priority="18">
      <formula>AND(OR($F44="No",$F44=""), $E44= "Yes",$G44&lt;&gt;"",$H44&lt;&gt;"")</formula>
    </cfRule>
  </conditionalFormatting>
  <conditionalFormatting sqref="E42:F42">
    <cfRule type="expression" dxfId="155" priority="17">
      <formula>AND(OR($F42="No",$F42=""), $E42= "Yes",$G42&lt;&gt;"",$H42&lt;&gt;"")</formula>
    </cfRule>
  </conditionalFormatting>
  <conditionalFormatting sqref="E41:H41">
    <cfRule type="expression" dxfId="154" priority="16">
      <formula>AND(OR($E41="No",$E41=""), $D41= "Yes",$F41&lt;&gt;"",$G41&lt;&gt;"")</formula>
    </cfRule>
  </conditionalFormatting>
  <conditionalFormatting sqref="E43:H43">
    <cfRule type="expression" dxfId="153" priority="15">
      <formula>AND(OR($E43="No",$E43=""), $D43= "Yes",$F43&lt;&gt;"",$G43&lt;&gt;"")</formula>
    </cfRule>
  </conditionalFormatting>
  <conditionalFormatting sqref="E58:H59">
    <cfRule type="expression" dxfId="152" priority="14">
      <formula>AND(OR($E58="No",$E58=""), $D58= "Yes",$F58&lt;&gt;"",$G58&lt;&gt;"")</formula>
    </cfRule>
  </conditionalFormatting>
  <conditionalFormatting sqref="E30:H31">
    <cfRule type="expression" dxfId="151" priority="11">
      <formula>AND(OR($E30="No",$E30=""), $D30= "Yes",$F30&lt;&gt;"",$G30&lt;&gt;"")</formula>
    </cfRule>
  </conditionalFormatting>
  <conditionalFormatting sqref="G32:H32">
    <cfRule type="expression" dxfId="150" priority="8">
      <formula>AND(OR($E32="No",$E32=""), $D32= "Yes",$F32&lt;&gt;"",$G32&lt;&gt;"")</formula>
    </cfRule>
  </conditionalFormatting>
  <conditionalFormatting sqref="G33:H33">
    <cfRule type="expression" dxfId="149" priority="7">
      <formula>AND(OR($E33="No",$E33=""), $D33= "Yes",$F33&lt;&gt;"",$G33&lt;&gt;"")</formula>
    </cfRule>
  </conditionalFormatting>
  <conditionalFormatting sqref="G22">
    <cfRule type="expression" dxfId="148" priority="6">
      <formula>AND(OR($E22="No",$E22=""), $D22= "Yes",$F22&lt;&gt;"",$G22&lt;&gt;"")</formula>
    </cfRule>
  </conditionalFormatting>
  <conditionalFormatting sqref="E32:F33">
    <cfRule type="expression" dxfId="147" priority="5">
      <formula>AND(OR($E32="No",$E32=""), $D32= "Yes",$F32&lt;&gt;"",$G32&lt;&gt;"")</formula>
    </cfRule>
  </conditionalFormatting>
  <conditionalFormatting sqref="E78:F78">
    <cfRule type="expression" dxfId="146" priority="4">
      <formula>AND(OR($F78="No",$F78=""), $E78= "Yes",$G78&lt;&gt;"",$H78&lt;&gt;"")</formula>
    </cfRule>
  </conditionalFormatting>
  <conditionalFormatting sqref="E45:F45">
    <cfRule type="expression" dxfId="145" priority="3">
      <formula>AND(OR($F45="No",$F45=""), $E45= "Yes",$G45&lt;&gt;"",$H45&lt;&gt;"")</formula>
    </cfRule>
  </conditionalFormatting>
  <conditionalFormatting sqref="D36">
    <cfRule type="expression" dxfId="144" priority="2">
      <formula>AND(OR($F36="No",$F36=""), $E36= "Yes",$G36&lt;&gt;"",$H36&lt;&gt;"")</formula>
    </cfRule>
  </conditionalFormatting>
  <conditionalFormatting sqref="D75">
    <cfRule type="expression" dxfId="143" priority="1">
      <formula>AND(OR($F75="No",$F75=""), $E75= "Yes",$G75&lt;&gt;"",$H75&lt;&gt;"")</formula>
    </cfRule>
  </conditionalFormatting>
  <dataValidations count="3">
    <dataValidation type="list" allowBlank="1" showInputMessage="1" showErrorMessage="1" sqref="B3:B28" xr:uid="{7440A30A-DB6C-42D9-A74A-83096DA13796}">
      <formula1>"Phase 1, Phase 2, Phase 3, Phase 4, "</formula1>
    </dataValidation>
    <dataValidation type="list" allowBlank="1" showInputMessage="1" showErrorMessage="1" sqref="E30:F33 E3:E18 E44:E47 E69 E61 E63:E64 E39 E78 E42 E41:F41 E43:F43 E58:F59 E26 K1:K2 K89:K1048576" xr:uid="{DC18D1DE-4330-45F8-AA50-116294833802}">
      <formula1>"Yes, No"</formula1>
    </dataValidation>
    <dataValidation type="list" allowBlank="1" showInputMessage="1" showErrorMessage="1" sqref="E28" xr:uid="{165B0BFF-851F-4354-B953-1206D946675A}">
      <formula1>$N$14:$N$15</formula1>
    </dataValidation>
  </dataValidations>
  <pageMargins left="0.2" right="0.2" top="0.2" bottom="0.2" header="0.3" footer="0.3"/>
  <pageSetup paperSize="8" scale="70"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pageSetUpPr fitToPage="1"/>
  </sheetPr>
  <dimension ref="A1:Q179"/>
  <sheetViews>
    <sheetView zoomScale="60" zoomScaleNormal="60" workbookViewId="0">
      <pane ySplit="2" topLeftCell="A11" activePane="bottomLeft" state="frozen"/>
      <selection pane="bottomLeft" activeCell="D16" sqref="D16"/>
    </sheetView>
  </sheetViews>
  <sheetFormatPr defaultColWidth="8.88671875" defaultRowHeight="15" x14ac:dyDescent="0.2"/>
  <cols>
    <col min="1" max="1" width="8.88671875" style="3" customWidth="1"/>
    <col min="2" max="2" width="7.77734375" style="22" customWidth="1"/>
    <col min="3" max="3" width="60.77734375" style="3" customWidth="1"/>
    <col min="4" max="4" width="38.77734375" style="3" customWidth="1"/>
    <col min="5" max="5" width="11.33203125" style="3" customWidth="1"/>
    <col min="6" max="6" width="12" style="3" customWidth="1"/>
    <col min="7" max="7" width="38.77734375" style="3" customWidth="1"/>
    <col min="8" max="8" width="14.77734375" style="3" customWidth="1"/>
    <col min="9" max="10" width="10.33203125" style="22" customWidth="1"/>
    <col min="11" max="11" width="10.5546875" style="3" customWidth="1"/>
    <col min="12" max="12" width="16.88671875" style="3" customWidth="1"/>
    <col min="13" max="13" width="27.33203125" style="3" customWidth="1"/>
    <col min="14" max="14" width="10" style="3" customWidth="1"/>
    <col min="15" max="17" width="8.88671875" style="3" customWidth="1"/>
    <col min="18" max="16384" width="8.88671875" style="3"/>
  </cols>
  <sheetData>
    <row r="1" spans="1:17" ht="21" customHeight="1" thickBot="1" x14ac:dyDescent="0.3">
      <c r="A1" s="25"/>
      <c r="B1" s="107" t="s">
        <v>47</v>
      </c>
      <c r="C1" s="63" t="s">
        <v>743</v>
      </c>
      <c r="D1" s="9"/>
      <c r="E1" s="9"/>
      <c r="F1" s="9"/>
      <c r="G1" s="9"/>
      <c r="H1" s="9"/>
      <c r="I1" s="23"/>
      <c r="J1" s="23"/>
      <c r="K1" s="9"/>
      <c r="L1" s="9"/>
    </row>
    <row r="2" spans="1:17" s="10" customFormat="1" ht="87.95" customHeight="1" thickBot="1" x14ac:dyDescent="0.25">
      <c r="A2" s="54" t="s">
        <v>41</v>
      </c>
      <c r="B2" s="54" t="s">
        <v>42</v>
      </c>
      <c r="C2" s="55" t="s">
        <v>43</v>
      </c>
      <c r="D2" s="56" t="s">
        <v>44</v>
      </c>
      <c r="E2" s="57" t="s">
        <v>22</v>
      </c>
      <c r="F2" s="57" t="s">
        <v>19</v>
      </c>
      <c r="G2" s="58" t="s">
        <v>45</v>
      </c>
      <c r="H2" s="58" t="s">
        <v>46</v>
      </c>
      <c r="I2" s="59" t="s">
        <v>49</v>
      </c>
      <c r="J2" s="59" t="s">
        <v>50</v>
      </c>
      <c r="K2" s="59" t="s">
        <v>51</v>
      </c>
      <c r="L2" s="59" t="s">
        <v>52</v>
      </c>
      <c r="M2" s="59" t="s">
        <v>53</v>
      </c>
      <c r="N2" s="72" t="s">
        <v>54</v>
      </c>
      <c r="O2" s="72" t="s">
        <v>55</v>
      </c>
      <c r="P2" s="59" t="s">
        <v>56</v>
      </c>
      <c r="Q2" s="59" t="s">
        <v>57</v>
      </c>
    </row>
    <row r="3" spans="1:17" s="109" customFormat="1" ht="54" customHeight="1" thickTop="1" thickBot="1" x14ac:dyDescent="0.25">
      <c r="A3" s="78"/>
      <c r="B3" s="85" t="s">
        <v>10</v>
      </c>
      <c r="C3" s="86" t="s">
        <v>744</v>
      </c>
      <c r="D3" s="86" t="s">
        <v>466</v>
      </c>
      <c r="E3" s="86" t="s">
        <v>11</v>
      </c>
      <c r="F3" s="86" t="s">
        <v>24</v>
      </c>
      <c r="G3" s="86" t="s">
        <v>724</v>
      </c>
      <c r="H3" s="97">
        <v>44868</v>
      </c>
      <c r="I3" s="86" t="s">
        <v>62</v>
      </c>
      <c r="J3" s="86" t="s">
        <v>63</v>
      </c>
      <c r="K3" s="86">
        <v>0</v>
      </c>
      <c r="L3" s="86" t="s">
        <v>68</v>
      </c>
      <c r="M3" s="86" t="s">
        <v>836</v>
      </c>
      <c r="N3" s="86">
        <v>1</v>
      </c>
      <c r="O3" s="89">
        <v>1.3888888888888889E-3</v>
      </c>
    </row>
    <row r="4" spans="1:17" s="109" customFormat="1" ht="54" customHeight="1" thickTop="1" thickBot="1" x14ac:dyDescent="0.25">
      <c r="A4" s="78"/>
      <c r="B4" s="90" t="s">
        <v>10</v>
      </c>
      <c r="C4" s="80" t="s">
        <v>745</v>
      </c>
      <c r="D4" s="80" t="s">
        <v>746</v>
      </c>
      <c r="E4" s="80" t="s">
        <v>11</v>
      </c>
      <c r="F4" s="80" t="s">
        <v>24</v>
      </c>
      <c r="G4" s="80" t="s">
        <v>67</v>
      </c>
      <c r="H4" s="84">
        <v>44868</v>
      </c>
      <c r="I4" s="86" t="s">
        <v>62</v>
      </c>
      <c r="J4" s="86" t="s">
        <v>63</v>
      </c>
      <c r="K4" s="86">
        <v>0</v>
      </c>
      <c r="L4" s="86" t="s">
        <v>100</v>
      </c>
      <c r="M4" s="86" t="s">
        <v>835</v>
      </c>
      <c r="N4" s="80">
        <v>1</v>
      </c>
      <c r="O4" s="91">
        <v>2.0833333333333333E-3</v>
      </c>
    </row>
    <row r="5" spans="1:17" s="109" customFormat="1" ht="54" customHeight="1" thickTop="1" thickBot="1" x14ac:dyDescent="0.25">
      <c r="A5" s="104"/>
      <c r="B5" s="93" t="s">
        <v>10</v>
      </c>
      <c r="C5" s="94" t="s">
        <v>747</v>
      </c>
      <c r="D5" s="94" t="s">
        <v>471</v>
      </c>
      <c r="E5" s="94" t="s">
        <v>11</v>
      </c>
      <c r="F5" s="94" t="s">
        <v>24</v>
      </c>
      <c r="G5" s="94" t="s">
        <v>748</v>
      </c>
      <c r="H5" s="101">
        <v>44868</v>
      </c>
      <c r="I5" s="86" t="s">
        <v>62</v>
      </c>
      <c r="J5" s="86" t="s">
        <v>63</v>
      </c>
      <c r="K5" s="86">
        <v>0</v>
      </c>
      <c r="L5" s="86" t="s">
        <v>107</v>
      </c>
      <c r="M5" s="86" t="s">
        <v>835</v>
      </c>
      <c r="N5" s="94">
        <v>1</v>
      </c>
      <c r="O5" s="96">
        <v>1.0416666666666667E-3</v>
      </c>
    </row>
    <row r="6" spans="1:17" s="109" customFormat="1" ht="54" customHeight="1" thickTop="1" thickBot="1" x14ac:dyDescent="0.25">
      <c r="A6" s="78"/>
      <c r="B6" s="85" t="s">
        <v>13</v>
      </c>
      <c r="C6" s="86" t="s">
        <v>749</v>
      </c>
      <c r="D6" s="86" t="s">
        <v>750</v>
      </c>
      <c r="E6" s="86" t="s">
        <v>11</v>
      </c>
      <c r="F6" s="86" t="s">
        <v>24</v>
      </c>
      <c r="G6" s="86" t="s">
        <v>751</v>
      </c>
      <c r="H6" s="88">
        <v>45041</v>
      </c>
      <c r="I6" s="86" t="s">
        <v>140</v>
      </c>
      <c r="J6" s="86" t="s">
        <v>141</v>
      </c>
      <c r="K6" s="86">
        <v>0</v>
      </c>
      <c r="L6" s="86" t="s">
        <v>142</v>
      </c>
      <c r="M6" s="86" t="s">
        <v>838</v>
      </c>
      <c r="N6" s="86">
        <v>4</v>
      </c>
      <c r="O6" s="89">
        <v>1.736111111111111E-3</v>
      </c>
    </row>
    <row r="7" spans="1:17" s="109" customFormat="1" ht="54" customHeight="1" thickTop="1" thickBot="1" x14ac:dyDescent="0.25">
      <c r="A7" s="78"/>
      <c r="B7" s="90" t="s">
        <v>13</v>
      </c>
      <c r="C7" s="80" t="s">
        <v>752</v>
      </c>
      <c r="D7" s="80" t="s">
        <v>753</v>
      </c>
      <c r="E7" s="80" t="s">
        <v>11</v>
      </c>
      <c r="F7" s="80" t="s">
        <v>24</v>
      </c>
      <c r="G7" s="80" t="s">
        <v>754</v>
      </c>
      <c r="H7" s="82">
        <v>45041</v>
      </c>
      <c r="I7" s="86" t="s">
        <v>140</v>
      </c>
      <c r="J7" s="86" t="s">
        <v>141</v>
      </c>
      <c r="K7" s="86">
        <v>0</v>
      </c>
      <c r="L7" s="86" t="s">
        <v>142</v>
      </c>
      <c r="M7" s="86" t="s">
        <v>838</v>
      </c>
      <c r="N7" s="80">
        <v>4</v>
      </c>
      <c r="O7" s="91">
        <v>1.736111111111111E-3</v>
      </c>
    </row>
    <row r="8" spans="1:17" s="109" customFormat="1" ht="54" customHeight="1" thickTop="1" thickBot="1" x14ac:dyDescent="0.25">
      <c r="A8" s="78"/>
      <c r="B8" s="90" t="s">
        <v>13</v>
      </c>
      <c r="C8" s="80" t="s">
        <v>755</v>
      </c>
      <c r="D8" s="80" t="s">
        <v>756</v>
      </c>
      <c r="E8" s="80" t="s">
        <v>11</v>
      </c>
      <c r="F8" s="80" t="s">
        <v>24</v>
      </c>
      <c r="G8" s="80" t="s">
        <v>751</v>
      </c>
      <c r="H8" s="82">
        <v>45041</v>
      </c>
      <c r="I8" s="86" t="s">
        <v>140</v>
      </c>
      <c r="J8" s="86" t="s">
        <v>141</v>
      </c>
      <c r="K8" s="86">
        <v>0</v>
      </c>
      <c r="L8" s="86" t="s">
        <v>142</v>
      </c>
      <c r="M8" s="86" t="s">
        <v>838</v>
      </c>
      <c r="N8" s="80">
        <v>4</v>
      </c>
      <c r="O8" s="91">
        <v>1.736111111111111E-3</v>
      </c>
    </row>
    <row r="9" spans="1:17" s="109" customFormat="1" ht="54" customHeight="1" thickTop="1" thickBot="1" x14ac:dyDescent="0.25">
      <c r="A9" s="78"/>
      <c r="B9" s="90" t="s">
        <v>13</v>
      </c>
      <c r="C9" s="80" t="s">
        <v>757</v>
      </c>
      <c r="D9" s="80" t="s">
        <v>758</v>
      </c>
      <c r="E9" s="80" t="s">
        <v>11</v>
      </c>
      <c r="F9" s="80" t="s">
        <v>24</v>
      </c>
      <c r="G9" s="80" t="s">
        <v>93</v>
      </c>
      <c r="H9" s="82">
        <v>45041</v>
      </c>
      <c r="I9" s="86" t="s">
        <v>140</v>
      </c>
      <c r="J9" s="86" t="s">
        <v>141</v>
      </c>
      <c r="K9" s="86">
        <v>0</v>
      </c>
      <c r="L9" s="86" t="s">
        <v>142</v>
      </c>
      <c r="M9" s="86" t="s">
        <v>838</v>
      </c>
      <c r="N9" s="80">
        <v>4</v>
      </c>
      <c r="O9" s="91">
        <v>1.736111111111111E-3</v>
      </c>
    </row>
    <row r="10" spans="1:17" s="109" customFormat="1" ht="54" customHeight="1" thickTop="1" thickBot="1" x14ac:dyDescent="0.25">
      <c r="A10" s="78"/>
      <c r="B10" s="90" t="s">
        <v>13</v>
      </c>
      <c r="C10" s="80" t="s">
        <v>759</v>
      </c>
      <c r="D10" s="80" t="s">
        <v>483</v>
      </c>
      <c r="E10" s="81" t="s">
        <v>11</v>
      </c>
      <c r="F10" s="81" t="s">
        <v>24</v>
      </c>
      <c r="G10" s="81" t="s">
        <v>163</v>
      </c>
      <c r="H10" s="82">
        <v>45772</v>
      </c>
      <c r="I10" s="86" t="s">
        <v>140</v>
      </c>
      <c r="J10" s="86" t="s">
        <v>63</v>
      </c>
      <c r="K10" s="86">
        <v>0</v>
      </c>
      <c r="L10" s="86" t="s">
        <v>484</v>
      </c>
      <c r="M10" s="86" t="s">
        <v>839</v>
      </c>
      <c r="N10" s="80">
        <v>1</v>
      </c>
      <c r="O10" s="91">
        <v>6.9444444444444447E-4</v>
      </c>
    </row>
    <row r="11" spans="1:17" s="109" customFormat="1" ht="54" customHeight="1" thickTop="1" thickBot="1" x14ac:dyDescent="0.25">
      <c r="A11" s="78"/>
      <c r="B11" s="90" t="s">
        <v>13</v>
      </c>
      <c r="C11" s="80" t="s">
        <v>760</v>
      </c>
      <c r="D11" s="80" t="s">
        <v>486</v>
      </c>
      <c r="E11" s="80" t="s">
        <v>11</v>
      </c>
      <c r="F11" s="80" t="s">
        <v>24</v>
      </c>
      <c r="G11" s="80" t="s">
        <v>754</v>
      </c>
      <c r="H11" s="82">
        <v>45041</v>
      </c>
      <c r="I11" s="86" t="s">
        <v>62</v>
      </c>
      <c r="J11" s="86" t="s">
        <v>141</v>
      </c>
      <c r="K11" s="86">
        <v>0</v>
      </c>
      <c r="L11" s="86" t="s">
        <v>171</v>
      </c>
      <c r="M11" s="86" t="s">
        <v>840</v>
      </c>
      <c r="N11" s="80">
        <v>2</v>
      </c>
      <c r="O11" s="91">
        <v>4.6296296296296293E-4</v>
      </c>
    </row>
    <row r="12" spans="1:17" s="109" customFormat="1" ht="54" customHeight="1" thickTop="1" thickBot="1" x14ac:dyDescent="0.25">
      <c r="A12" s="78"/>
      <c r="B12" s="90" t="s">
        <v>13</v>
      </c>
      <c r="C12" s="80" t="s">
        <v>761</v>
      </c>
      <c r="D12" s="80" t="s">
        <v>488</v>
      </c>
      <c r="E12" s="80" t="s">
        <v>11</v>
      </c>
      <c r="F12" s="80" t="s">
        <v>24</v>
      </c>
      <c r="G12" s="80" t="s">
        <v>93</v>
      </c>
      <c r="H12" s="82">
        <v>45041</v>
      </c>
      <c r="I12" s="86" t="s">
        <v>62</v>
      </c>
      <c r="J12" s="86" t="s">
        <v>141</v>
      </c>
      <c r="K12" s="86">
        <v>0</v>
      </c>
      <c r="L12" s="86" t="s">
        <v>171</v>
      </c>
      <c r="M12" s="86" t="s">
        <v>840</v>
      </c>
      <c r="N12" s="80">
        <v>2</v>
      </c>
      <c r="O12" s="91">
        <v>4.6296296296296293E-4</v>
      </c>
    </row>
    <row r="13" spans="1:17" s="109" customFormat="1" ht="54" customHeight="1" thickTop="1" thickBot="1" x14ac:dyDescent="0.25">
      <c r="A13" s="104"/>
      <c r="B13" s="93" t="s">
        <v>13</v>
      </c>
      <c r="C13" s="94" t="s">
        <v>762</v>
      </c>
      <c r="D13" s="94" t="s">
        <v>490</v>
      </c>
      <c r="E13" s="94" t="s">
        <v>11</v>
      </c>
      <c r="F13" s="94" t="s">
        <v>24</v>
      </c>
      <c r="G13" s="94" t="s">
        <v>763</v>
      </c>
      <c r="H13" s="101">
        <v>45773</v>
      </c>
      <c r="I13" s="86" t="s">
        <v>94</v>
      </c>
      <c r="J13" s="86" t="s">
        <v>63</v>
      </c>
      <c r="K13" s="86">
        <v>0</v>
      </c>
      <c r="L13" s="86" t="s">
        <v>491</v>
      </c>
      <c r="M13" s="86" t="s">
        <v>838</v>
      </c>
      <c r="N13" s="94">
        <v>1</v>
      </c>
      <c r="O13" s="96">
        <v>6.9444444444444447E-4</v>
      </c>
    </row>
    <row r="14" spans="1:17" s="109" customFormat="1" ht="54" customHeight="1" thickTop="1" thickBot="1" x14ac:dyDescent="0.25">
      <c r="A14" s="98"/>
      <c r="B14" s="85" t="s">
        <v>16</v>
      </c>
      <c r="C14" s="86" t="s">
        <v>764</v>
      </c>
      <c r="D14" s="86" t="s">
        <v>211</v>
      </c>
      <c r="E14" s="86" t="s">
        <v>245</v>
      </c>
      <c r="F14" s="86" t="s">
        <v>24</v>
      </c>
      <c r="G14" s="86" t="s">
        <v>731</v>
      </c>
      <c r="H14" s="97">
        <v>45776</v>
      </c>
      <c r="I14" s="86" t="s">
        <v>140</v>
      </c>
      <c r="J14" s="86" t="s">
        <v>141</v>
      </c>
      <c r="K14" s="86">
        <v>0</v>
      </c>
      <c r="L14" s="86" t="s">
        <v>213</v>
      </c>
      <c r="M14" s="86" t="s">
        <v>842</v>
      </c>
      <c r="N14" s="86">
        <v>1</v>
      </c>
      <c r="O14" s="89">
        <v>3.4722222222222224E-4</v>
      </c>
    </row>
    <row r="15" spans="1:17" s="109" customFormat="1" ht="54" customHeight="1" thickTop="1" x14ac:dyDescent="0.2">
      <c r="A15" s="99"/>
      <c r="B15" s="90" t="s">
        <v>16</v>
      </c>
      <c r="C15" s="80" t="s">
        <v>765</v>
      </c>
      <c r="D15" s="80" t="s">
        <v>211</v>
      </c>
      <c r="E15" s="80" t="s">
        <v>245</v>
      </c>
      <c r="F15" s="80" t="s">
        <v>24</v>
      </c>
      <c r="G15" s="80" t="s">
        <v>731</v>
      </c>
      <c r="H15" s="84">
        <v>45776</v>
      </c>
      <c r="I15" s="86" t="s">
        <v>140</v>
      </c>
      <c r="J15" s="86" t="s">
        <v>141</v>
      </c>
      <c r="K15" s="86">
        <v>0</v>
      </c>
      <c r="L15" s="86" t="s">
        <v>213</v>
      </c>
      <c r="M15" s="86" t="s">
        <v>842</v>
      </c>
      <c r="N15" s="80">
        <v>1</v>
      </c>
      <c r="O15" s="91">
        <v>3.4722222222222224E-4</v>
      </c>
    </row>
    <row r="16" spans="1:17" s="109" customFormat="1" ht="54" customHeight="1" thickBot="1" x14ac:dyDescent="0.25">
      <c r="A16" s="99"/>
      <c r="B16" s="90" t="s">
        <v>16</v>
      </c>
      <c r="C16" s="80" t="s">
        <v>766</v>
      </c>
      <c r="D16" s="175" t="s">
        <v>857</v>
      </c>
      <c r="E16" s="80" t="s">
        <v>11</v>
      </c>
      <c r="F16" s="80" t="s">
        <v>24</v>
      </c>
      <c r="G16" s="80" t="s">
        <v>217</v>
      </c>
      <c r="H16" s="84">
        <v>45775</v>
      </c>
      <c r="I16" s="175" t="s">
        <v>94</v>
      </c>
      <c r="J16" s="175" t="s">
        <v>141</v>
      </c>
      <c r="K16" s="175"/>
      <c r="L16" s="175" t="s">
        <v>218</v>
      </c>
      <c r="M16" s="175" t="s">
        <v>850</v>
      </c>
      <c r="N16" s="80">
        <v>1</v>
      </c>
      <c r="O16" s="91">
        <v>3.4722222222222224E-4</v>
      </c>
    </row>
    <row r="17" spans="1:15" s="109" customFormat="1" ht="54" customHeight="1" thickTop="1" thickBot="1" x14ac:dyDescent="0.25">
      <c r="A17" s="145"/>
      <c r="B17" s="115" t="s">
        <v>16</v>
      </c>
      <c r="C17" s="108" t="s">
        <v>767</v>
      </c>
      <c r="D17" s="108" t="s">
        <v>220</v>
      </c>
      <c r="E17" s="108" t="s">
        <v>24</v>
      </c>
      <c r="F17" s="108"/>
      <c r="G17" s="108"/>
      <c r="H17" s="108"/>
      <c r="I17" s="86" t="s">
        <v>140</v>
      </c>
      <c r="J17" s="86" t="s">
        <v>141</v>
      </c>
      <c r="K17" s="86">
        <v>0</v>
      </c>
      <c r="L17" s="86" t="s">
        <v>221</v>
      </c>
      <c r="M17" s="86" t="s">
        <v>850</v>
      </c>
      <c r="N17" s="108">
        <v>1</v>
      </c>
      <c r="O17" s="118">
        <v>5.7870370370370378E-4</v>
      </c>
    </row>
    <row r="18" spans="1:15" s="109" customFormat="1" ht="54" customHeight="1" thickTop="1" thickBot="1" x14ac:dyDescent="0.25">
      <c r="A18" s="145"/>
      <c r="B18" s="115" t="s">
        <v>16</v>
      </c>
      <c r="C18" s="108" t="s">
        <v>768</v>
      </c>
      <c r="D18" s="108" t="s">
        <v>223</v>
      </c>
      <c r="E18" s="108" t="s">
        <v>24</v>
      </c>
      <c r="F18" s="108"/>
      <c r="G18" s="108"/>
      <c r="H18" s="108"/>
      <c r="I18" s="86" t="s">
        <v>140</v>
      </c>
      <c r="J18" s="86" t="s">
        <v>141</v>
      </c>
      <c r="K18" s="86">
        <v>0</v>
      </c>
      <c r="L18" s="86" t="s">
        <v>224</v>
      </c>
      <c r="M18" s="86" t="s">
        <v>842</v>
      </c>
      <c r="N18" s="108">
        <v>2</v>
      </c>
      <c r="O18" s="118">
        <v>6.9444444444444447E-4</v>
      </c>
    </row>
    <row r="19" spans="1:15" s="109" customFormat="1" ht="54" customHeight="1" thickTop="1" thickBot="1" x14ac:dyDescent="0.25">
      <c r="A19" s="99"/>
      <c r="B19" s="90" t="s">
        <v>16</v>
      </c>
      <c r="C19" s="80" t="s">
        <v>769</v>
      </c>
      <c r="D19" s="80" t="s">
        <v>226</v>
      </c>
      <c r="E19" s="80" t="s">
        <v>11</v>
      </c>
      <c r="F19" s="80" t="s">
        <v>24</v>
      </c>
      <c r="G19" s="81" t="s">
        <v>227</v>
      </c>
      <c r="H19" s="82">
        <v>45774</v>
      </c>
      <c r="I19" s="86" t="s">
        <v>62</v>
      </c>
      <c r="J19" s="86" t="s">
        <v>141</v>
      </c>
      <c r="K19" s="86">
        <v>0</v>
      </c>
      <c r="L19" s="86" t="s">
        <v>228</v>
      </c>
      <c r="M19" s="86" t="s">
        <v>842</v>
      </c>
      <c r="N19" s="80">
        <v>1</v>
      </c>
      <c r="O19" s="91">
        <v>3.4722222222222224E-4</v>
      </c>
    </row>
    <row r="20" spans="1:15" s="109" customFormat="1" ht="54" customHeight="1" thickTop="1" thickBot="1" x14ac:dyDescent="0.25">
      <c r="A20" s="145"/>
      <c r="B20" s="115" t="s">
        <v>16</v>
      </c>
      <c r="C20" s="108" t="s">
        <v>770</v>
      </c>
      <c r="D20" s="108" t="s">
        <v>230</v>
      </c>
      <c r="E20" s="108" t="s">
        <v>24</v>
      </c>
      <c r="F20" s="108"/>
      <c r="G20" s="108"/>
      <c r="H20" s="108"/>
      <c r="I20" s="86" t="s">
        <v>140</v>
      </c>
      <c r="J20" s="86" t="s">
        <v>63</v>
      </c>
      <c r="K20" s="86">
        <v>0</v>
      </c>
      <c r="L20" s="86" t="s">
        <v>221</v>
      </c>
      <c r="M20" s="86" t="s">
        <v>842</v>
      </c>
      <c r="N20" s="108">
        <v>1</v>
      </c>
      <c r="O20" s="118">
        <v>1.0416666666666667E-3</v>
      </c>
    </row>
    <row r="21" spans="1:15" s="109" customFormat="1" ht="54" customHeight="1" thickTop="1" x14ac:dyDescent="0.2">
      <c r="A21" s="99"/>
      <c r="B21" s="90" t="s">
        <v>16</v>
      </c>
      <c r="C21" s="80" t="s">
        <v>771</v>
      </c>
      <c r="D21" s="80" t="s">
        <v>232</v>
      </c>
      <c r="E21" s="81" t="s">
        <v>11</v>
      </c>
      <c r="F21" s="81" t="s">
        <v>24</v>
      </c>
      <c r="G21" s="81" t="s">
        <v>233</v>
      </c>
      <c r="H21" s="82">
        <v>45776</v>
      </c>
      <c r="I21" s="86" t="s">
        <v>140</v>
      </c>
      <c r="J21" s="86" t="s">
        <v>141</v>
      </c>
      <c r="K21" s="86">
        <v>0</v>
      </c>
      <c r="L21" s="86" t="s">
        <v>234</v>
      </c>
      <c r="M21" s="86" t="s">
        <v>842</v>
      </c>
      <c r="N21" s="80">
        <v>1</v>
      </c>
      <c r="O21" s="91">
        <v>1.1574074074074073E-4</v>
      </c>
    </row>
    <row r="22" spans="1:15" s="109" customFormat="1" ht="54" customHeight="1" thickBot="1" x14ac:dyDescent="0.25">
      <c r="A22" s="99"/>
      <c r="B22" s="90" t="s">
        <v>16</v>
      </c>
      <c r="C22" s="80" t="s">
        <v>772</v>
      </c>
      <c r="D22" s="175" t="s">
        <v>502</v>
      </c>
      <c r="E22" s="80" t="s">
        <v>11</v>
      </c>
      <c r="F22" s="80" t="s">
        <v>24</v>
      </c>
      <c r="G22" s="80" t="s">
        <v>564</v>
      </c>
      <c r="H22" s="84">
        <v>45775</v>
      </c>
      <c r="I22" s="175" t="s">
        <v>94</v>
      </c>
      <c r="J22" s="175" t="s">
        <v>141</v>
      </c>
      <c r="K22" s="175"/>
      <c r="L22" s="175" t="s">
        <v>503</v>
      </c>
      <c r="M22" s="175" t="s">
        <v>850</v>
      </c>
      <c r="N22" s="80">
        <v>1</v>
      </c>
      <c r="O22" s="91">
        <v>3.4722222222222224E-4</v>
      </c>
    </row>
    <row r="23" spans="1:15" s="109" customFormat="1" ht="54" customHeight="1" thickTop="1" thickBot="1" x14ac:dyDescent="0.25">
      <c r="A23" s="158"/>
      <c r="B23" s="135" t="s">
        <v>16</v>
      </c>
      <c r="C23" s="136" t="s">
        <v>773</v>
      </c>
      <c r="D23" s="136" t="s">
        <v>244</v>
      </c>
      <c r="E23" s="137" t="s">
        <v>11</v>
      </c>
      <c r="F23" s="137" t="s">
        <v>245</v>
      </c>
      <c r="G23" s="137" t="s">
        <v>246</v>
      </c>
      <c r="H23" s="138">
        <v>45776</v>
      </c>
      <c r="I23" s="86" t="s">
        <v>140</v>
      </c>
      <c r="J23" s="86" t="s">
        <v>141</v>
      </c>
      <c r="K23" s="86">
        <v>0</v>
      </c>
      <c r="L23" s="86" t="s">
        <v>247</v>
      </c>
      <c r="M23" s="86" t="s">
        <v>842</v>
      </c>
      <c r="N23" s="136">
        <v>1</v>
      </c>
      <c r="O23" s="139">
        <v>6.9444444444444447E-4</v>
      </c>
    </row>
    <row r="24" spans="1:15" s="109" customFormat="1" ht="54" customHeight="1" thickTop="1" thickBot="1" x14ac:dyDescent="0.25">
      <c r="A24" s="99"/>
      <c r="B24" s="90" t="s">
        <v>16</v>
      </c>
      <c r="C24" s="80" t="s">
        <v>774</v>
      </c>
      <c r="D24" s="80" t="s">
        <v>269</v>
      </c>
      <c r="E24" s="80" t="s">
        <v>11</v>
      </c>
      <c r="F24" s="80" t="s">
        <v>24</v>
      </c>
      <c r="G24" s="80" t="s">
        <v>266</v>
      </c>
      <c r="H24" s="84">
        <v>45774</v>
      </c>
      <c r="I24" s="86" t="s">
        <v>62</v>
      </c>
      <c r="J24" s="86" t="s">
        <v>141</v>
      </c>
      <c r="K24" s="86">
        <v>0</v>
      </c>
      <c r="L24" s="86" t="s">
        <v>270</v>
      </c>
      <c r="M24" s="86" t="s">
        <v>842</v>
      </c>
      <c r="N24" s="80">
        <v>1</v>
      </c>
      <c r="O24" s="91">
        <v>3.4722222222222224E-4</v>
      </c>
    </row>
    <row r="25" spans="1:15" s="109" customFormat="1" ht="54" customHeight="1" thickTop="1" thickBot="1" x14ac:dyDescent="0.25">
      <c r="A25" s="99"/>
      <c r="B25" s="90" t="s">
        <v>16</v>
      </c>
      <c r="C25" s="80" t="s">
        <v>775</v>
      </c>
      <c r="D25" s="80" t="s">
        <v>519</v>
      </c>
      <c r="E25" s="80" t="s">
        <v>11</v>
      </c>
      <c r="F25" s="80" t="s">
        <v>24</v>
      </c>
      <c r="G25" s="80" t="s">
        <v>217</v>
      </c>
      <c r="H25" s="84">
        <v>45775</v>
      </c>
      <c r="I25" s="86" t="s">
        <v>94</v>
      </c>
      <c r="J25" s="86" t="s">
        <v>141</v>
      </c>
      <c r="K25" s="86">
        <v>0</v>
      </c>
      <c r="L25" s="86" t="s">
        <v>277</v>
      </c>
      <c r="M25" s="86" t="s">
        <v>850</v>
      </c>
      <c r="N25" s="80">
        <v>1</v>
      </c>
      <c r="O25" s="91">
        <v>3.4722222222222224E-4</v>
      </c>
    </row>
    <row r="26" spans="1:15" s="109" customFormat="1" ht="54" customHeight="1" thickTop="1" thickBot="1" x14ac:dyDescent="0.25">
      <c r="A26" s="99"/>
      <c r="B26" s="90" t="s">
        <v>16</v>
      </c>
      <c r="C26" s="80" t="s">
        <v>776</v>
      </c>
      <c r="D26" s="80" t="s">
        <v>521</v>
      </c>
      <c r="E26" s="80" t="s">
        <v>11</v>
      </c>
      <c r="F26" s="80" t="s">
        <v>24</v>
      </c>
      <c r="G26" s="80" t="s">
        <v>564</v>
      </c>
      <c r="H26" s="84">
        <v>45775</v>
      </c>
      <c r="I26" s="86" t="s">
        <v>94</v>
      </c>
      <c r="J26" s="86" t="s">
        <v>141</v>
      </c>
      <c r="K26" s="86">
        <v>0</v>
      </c>
      <c r="L26" s="86" t="s">
        <v>283</v>
      </c>
      <c r="M26" s="86" t="s">
        <v>850</v>
      </c>
      <c r="N26" s="80">
        <v>1</v>
      </c>
      <c r="O26" s="91">
        <v>6.9444444444444447E-4</v>
      </c>
    </row>
    <row r="27" spans="1:15" s="109" customFormat="1" ht="54" customHeight="1" thickTop="1" thickBot="1" x14ac:dyDescent="0.25">
      <c r="A27" s="99"/>
      <c r="B27" s="90" t="s">
        <v>16</v>
      </c>
      <c r="C27" s="80" t="s">
        <v>777</v>
      </c>
      <c r="D27" s="80" t="s">
        <v>285</v>
      </c>
      <c r="E27" s="80" t="s">
        <v>11</v>
      </c>
      <c r="F27" s="80" t="s">
        <v>24</v>
      </c>
      <c r="G27" s="80" t="s">
        <v>286</v>
      </c>
      <c r="H27" s="84">
        <v>45775</v>
      </c>
      <c r="I27" s="86" t="s">
        <v>62</v>
      </c>
      <c r="J27" s="86" t="s">
        <v>141</v>
      </c>
      <c r="K27" s="86">
        <v>0</v>
      </c>
      <c r="L27" s="86" t="s">
        <v>287</v>
      </c>
      <c r="M27" s="86" t="s">
        <v>842</v>
      </c>
      <c r="N27" s="80">
        <v>1</v>
      </c>
      <c r="O27" s="91">
        <v>3.4722222222222224E-4</v>
      </c>
    </row>
    <row r="28" spans="1:15" s="109" customFormat="1" ht="54" customHeight="1" thickTop="1" thickBot="1" x14ac:dyDescent="0.25">
      <c r="A28" s="99"/>
      <c r="B28" s="90" t="s">
        <v>16</v>
      </c>
      <c r="C28" s="80" t="s">
        <v>778</v>
      </c>
      <c r="D28" s="80" t="s">
        <v>289</v>
      </c>
      <c r="E28" s="80" t="s">
        <v>245</v>
      </c>
      <c r="F28" s="80" t="s">
        <v>24</v>
      </c>
      <c r="G28" s="80" t="s">
        <v>736</v>
      </c>
      <c r="H28" s="84">
        <v>45772</v>
      </c>
      <c r="I28" s="86" t="s">
        <v>140</v>
      </c>
      <c r="J28" s="86" t="s">
        <v>141</v>
      </c>
      <c r="K28" s="86">
        <v>0</v>
      </c>
      <c r="L28" s="86" t="s">
        <v>291</v>
      </c>
      <c r="M28" s="86" t="s">
        <v>842</v>
      </c>
      <c r="N28" s="80">
        <v>1</v>
      </c>
      <c r="O28" s="91">
        <v>6.9444444444444447E-4</v>
      </c>
    </row>
    <row r="29" spans="1:15" s="109" customFormat="1" ht="54" customHeight="1" thickTop="1" thickBot="1" x14ac:dyDescent="0.25">
      <c r="A29" s="99"/>
      <c r="B29" s="90" t="s">
        <v>16</v>
      </c>
      <c r="C29" s="80" t="s">
        <v>779</v>
      </c>
      <c r="D29" s="80" t="s">
        <v>780</v>
      </c>
      <c r="E29" s="80" t="s">
        <v>11</v>
      </c>
      <c r="F29" s="80" t="s">
        <v>24</v>
      </c>
      <c r="G29" s="80" t="s">
        <v>737</v>
      </c>
      <c r="H29" s="84">
        <v>45775</v>
      </c>
      <c r="I29" s="86" t="s">
        <v>62</v>
      </c>
      <c r="J29" s="86" t="s">
        <v>141</v>
      </c>
      <c r="K29" s="86">
        <v>0</v>
      </c>
      <c r="L29" s="86" t="s">
        <v>311</v>
      </c>
      <c r="M29" s="86" t="s">
        <v>842</v>
      </c>
      <c r="N29" s="80">
        <v>1</v>
      </c>
      <c r="O29" s="91">
        <v>8.6805555555555551E-4</v>
      </c>
    </row>
    <row r="30" spans="1:15" s="109" customFormat="1" ht="54" customHeight="1" thickTop="1" thickBot="1" x14ac:dyDescent="0.25">
      <c r="A30" s="99"/>
      <c r="B30" s="90" t="s">
        <v>16</v>
      </c>
      <c r="C30" s="80" t="s">
        <v>781</v>
      </c>
      <c r="D30" s="80" t="s">
        <v>535</v>
      </c>
      <c r="E30" s="81" t="s">
        <v>11</v>
      </c>
      <c r="F30" s="81" t="s">
        <v>24</v>
      </c>
      <c r="G30" s="81" t="s">
        <v>314</v>
      </c>
      <c r="H30" s="82">
        <v>45776</v>
      </c>
      <c r="I30" s="86" t="s">
        <v>140</v>
      </c>
      <c r="J30" s="86" t="s">
        <v>141</v>
      </c>
      <c r="K30" s="86">
        <v>0</v>
      </c>
      <c r="L30" s="86" t="s">
        <v>315</v>
      </c>
      <c r="M30" s="86" t="s">
        <v>842</v>
      </c>
      <c r="N30" s="80">
        <v>1</v>
      </c>
      <c r="O30" s="91">
        <v>6.9444444444444447E-4</v>
      </c>
    </row>
    <row r="31" spans="1:15" s="109" customFormat="1" ht="54" customHeight="1" thickTop="1" thickBot="1" x14ac:dyDescent="0.25">
      <c r="A31" s="100"/>
      <c r="B31" s="93" t="s">
        <v>16</v>
      </c>
      <c r="C31" s="94" t="s">
        <v>782</v>
      </c>
      <c r="D31" s="94" t="s">
        <v>537</v>
      </c>
      <c r="E31" s="95" t="s">
        <v>11</v>
      </c>
      <c r="F31" s="95" t="s">
        <v>24</v>
      </c>
      <c r="G31" s="95" t="s">
        <v>314</v>
      </c>
      <c r="H31" s="143">
        <v>45776</v>
      </c>
      <c r="I31" s="86" t="s">
        <v>140</v>
      </c>
      <c r="J31" s="86" t="s">
        <v>141</v>
      </c>
      <c r="K31" s="86">
        <v>0</v>
      </c>
      <c r="L31" s="86" t="s">
        <v>315</v>
      </c>
      <c r="M31" s="86" t="s">
        <v>842</v>
      </c>
      <c r="N31" s="94">
        <v>1</v>
      </c>
      <c r="O31" s="96">
        <v>6.9444444444444447E-4</v>
      </c>
    </row>
    <row r="32" spans="1:15" s="109" customFormat="1" ht="54" customHeight="1" thickTop="1" thickBot="1" x14ac:dyDescent="0.25">
      <c r="A32" s="144"/>
      <c r="B32" s="110" t="s">
        <v>20</v>
      </c>
      <c r="C32" s="111" t="s">
        <v>783</v>
      </c>
      <c r="D32" s="111" t="s">
        <v>784</v>
      </c>
      <c r="E32" s="111" t="s">
        <v>24</v>
      </c>
      <c r="F32" s="111"/>
      <c r="G32" s="111"/>
      <c r="H32" s="111"/>
      <c r="I32" s="86" t="s">
        <v>140</v>
      </c>
      <c r="J32" s="86" t="s">
        <v>141</v>
      </c>
      <c r="K32" s="86">
        <v>0</v>
      </c>
      <c r="L32" s="86" t="s">
        <v>348</v>
      </c>
      <c r="M32" s="86" t="s">
        <v>845</v>
      </c>
      <c r="N32" s="111">
        <v>2</v>
      </c>
      <c r="O32" s="114">
        <v>2.0833333333333333E-3</v>
      </c>
    </row>
    <row r="33" spans="1:15" s="109" customFormat="1" ht="54" customHeight="1" thickTop="1" thickBot="1" x14ac:dyDescent="0.25">
      <c r="A33" s="145"/>
      <c r="B33" s="115" t="s">
        <v>20</v>
      </c>
      <c r="C33" s="108" t="s">
        <v>785</v>
      </c>
      <c r="D33" s="108" t="s">
        <v>786</v>
      </c>
      <c r="E33" s="108" t="s">
        <v>24</v>
      </c>
      <c r="F33" s="108"/>
      <c r="G33" s="108"/>
      <c r="H33" s="108"/>
      <c r="I33" s="86" t="s">
        <v>140</v>
      </c>
      <c r="J33" s="86" t="s">
        <v>141</v>
      </c>
      <c r="K33" s="86">
        <v>0</v>
      </c>
      <c r="L33" s="86" t="s">
        <v>348</v>
      </c>
      <c r="M33" s="86" t="s">
        <v>845</v>
      </c>
      <c r="N33" s="108">
        <v>2</v>
      </c>
      <c r="O33" s="118">
        <v>2.0833333333333333E-3</v>
      </c>
    </row>
    <row r="34" spans="1:15" s="109" customFormat="1" ht="54" customHeight="1" thickTop="1" thickBot="1" x14ac:dyDescent="0.25">
      <c r="A34" s="145"/>
      <c r="B34" s="115" t="s">
        <v>20</v>
      </c>
      <c r="C34" s="108" t="s">
        <v>832</v>
      </c>
      <c r="D34" s="108" t="s">
        <v>787</v>
      </c>
      <c r="E34" s="108" t="str">
        <f>'UNDM 4 Car'!E66</f>
        <v>No</v>
      </c>
      <c r="F34" s="108">
        <f>'UNDM 4 Car'!F66</f>
        <v>0</v>
      </c>
      <c r="G34" s="108">
        <f>'UNDM 4 Car'!G66</f>
        <v>0</v>
      </c>
      <c r="H34" s="108">
        <f>'UNDM 4 Car'!H66</f>
        <v>0</v>
      </c>
      <c r="I34" s="86" t="s">
        <v>140</v>
      </c>
      <c r="J34" s="86" t="s">
        <v>141</v>
      </c>
      <c r="K34" s="86">
        <v>0</v>
      </c>
      <c r="L34" s="86" t="s">
        <v>342</v>
      </c>
      <c r="M34" s="86" t="s">
        <v>844</v>
      </c>
      <c r="N34" s="108">
        <v>4</v>
      </c>
      <c r="O34" s="118">
        <v>5.208333333333333E-3</v>
      </c>
    </row>
    <row r="35" spans="1:15" s="109" customFormat="1" ht="54" customHeight="1" thickTop="1" thickBot="1" x14ac:dyDescent="0.25">
      <c r="A35" s="145"/>
      <c r="B35" s="115" t="s">
        <v>20</v>
      </c>
      <c r="C35" s="108" t="s">
        <v>833</v>
      </c>
      <c r="D35" s="108" t="s">
        <v>544</v>
      </c>
      <c r="E35" s="108" t="str">
        <f>'Trailer 4 Car'!E44</f>
        <v>No</v>
      </c>
      <c r="F35" s="108">
        <f>'Trailer 4 Car'!F44</f>
        <v>0</v>
      </c>
      <c r="G35" s="108">
        <f>'Trailer 4 Car'!G44</f>
        <v>0</v>
      </c>
      <c r="H35" s="108">
        <f>'Trailer 4 Car'!H44</f>
        <v>0</v>
      </c>
      <c r="I35" s="86" t="s">
        <v>140</v>
      </c>
      <c r="J35" s="86" t="s">
        <v>141</v>
      </c>
      <c r="K35" s="86">
        <v>0</v>
      </c>
      <c r="L35" s="86" t="s">
        <v>342</v>
      </c>
      <c r="M35" s="86" t="s">
        <v>844</v>
      </c>
      <c r="N35" s="108">
        <v>4</v>
      </c>
      <c r="O35" s="118">
        <v>5.208333333333333E-3</v>
      </c>
    </row>
    <row r="36" spans="1:15" s="109" customFormat="1" ht="54" customHeight="1" thickTop="1" thickBot="1" x14ac:dyDescent="0.25">
      <c r="A36" s="145"/>
      <c r="B36" s="115" t="s">
        <v>20</v>
      </c>
      <c r="C36" s="108" t="s">
        <v>788</v>
      </c>
      <c r="D36" s="108" t="s">
        <v>362</v>
      </c>
      <c r="E36" s="108" t="s">
        <v>24</v>
      </c>
      <c r="F36" s="108"/>
      <c r="G36" s="108"/>
      <c r="H36" s="108"/>
      <c r="I36" s="86" t="s">
        <v>140</v>
      </c>
      <c r="J36" s="86" t="s">
        <v>141</v>
      </c>
      <c r="K36" s="86">
        <v>0</v>
      </c>
      <c r="L36" s="86" t="s">
        <v>363</v>
      </c>
      <c r="M36" s="86" t="s">
        <v>842</v>
      </c>
      <c r="N36" s="108">
        <v>2</v>
      </c>
      <c r="O36" s="118">
        <v>1.736111111111111E-3</v>
      </c>
    </row>
    <row r="37" spans="1:15" s="109" customFormat="1" ht="54" customHeight="1" thickTop="1" thickBot="1" x14ac:dyDescent="0.25">
      <c r="A37" s="145"/>
      <c r="B37" s="115" t="s">
        <v>20</v>
      </c>
      <c r="C37" s="108" t="s">
        <v>789</v>
      </c>
      <c r="D37" s="108" t="s">
        <v>790</v>
      </c>
      <c r="E37" s="108" t="s">
        <v>24</v>
      </c>
      <c r="F37" s="108"/>
      <c r="G37" s="108"/>
      <c r="H37" s="108"/>
      <c r="I37" s="86" t="s">
        <v>62</v>
      </c>
      <c r="J37" s="86" t="s">
        <v>141</v>
      </c>
      <c r="K37" s="86">
        <v>0</v>
      </c>
      <c r="L37" s="86" t="s">
        <v>366</v>
      </c>
      <c r="M37" s="86" t="s">
        <v>840</v>
      </c>
      <c r="N37" s="108">
        <v>2</v>
      </c>
      <c r="O37" s="118">
        <v>4.6296296296296293E-4</v>
      </c>
    </row>
    <row r="38" spans="1:15" s="109" customFormat="1" ht="54" customHeight="1" thickTop="1" thickBot="1" x14ac:dyDescent="0.25">
      <c r="A38" s="145"/>
      <c r="B38" s="115" t="s">
        <v>20</v>
      </c>
      <c r="C38" s="108" t="s">
        <v>791</v>
      </c>
      <c r="D38" s="108" t="s">
        <v>402</v>
      </c>
      <c r="E38" s="108" t="s">
        <v>24</v>
      </c>
      <c r="F38" s="108"/>
      <c r="G38" s="108"/>
      <c r="H38" s="108"/>
      <c r="I38" s="86" t="s">
        <v>94</v>
      </c>
      <c r="J38" s="86" t="s">
        <v>63</v>
      </c>
      <c r="K38" s="86">
        <v>0</v>
      </c>
      <c r="L38" s="86" t="s">
        <v>403</v>
      </c>
      <c r="M38" s="86" t="s">
        <v>838</v>
      </c>
      <c r="N38" s="108">
        <v>4</v>
      </c>
      <c r="O38" s="118">
        <v>2.0833333333333333E-3</v>
      </c>
    </row>
    <row r="39" spans="1:15" s="109" customFormat="1" ht="54" customHeight="1" thickTop="1" thickBot="1" x14ac:dyDescent="0.25">
      <c r="A39" s="146"/>
      <c r="B39" s="120" t="s">
        <v>20</v>
      </c>
      <c r="C39" s="121" t="s">
        <v>792</v>
      </c>
      <c r="D39" s="121" t="s">
        <v>414</v>
      </c>
      <c r="E39" s="121" t="s">
        <v>24</v>
      </c>
      <c r="F39" s="121"/>
      <c r="G39" s="121"/>
      <c r="H39" s="121"/>
      <c r="I39" s="86" t="s">
        <v>62</v>
      </c>
      <c r="J39" s="86" t="s">
        <v>63</v>
      </c>
      <c r="K39" s="86">
        <v>0</v>
      </c>
      <c r="L39" s="86" t="s">
        <v>415</v>
      </c>
      <c r="M39" s="86" t="s">
        <v>838</v>
      </c>
      <c r="N39" s="121">
        <v>2</v>
      </c>
      <c r="O39" s="123">
        <v>6.9444444444444447E-4</v>
      </c>
    </row>
    <row r="40" spans="1:15" s="109" customFormat="1" ht="54" customHeight="1" thickTop="1" thickBot="1" x14ac:dyDescent="0.25">
      <c r="A40" s="144"/>
      <c r="B40" s="110" t="s">
        <v>23</v>
      </c>
      <c r="C40" s="111" t="s">
        <v>793</v>
      </c>
      <c r="D40" s="111" t="s">
        <v>423</v>
      </c>
      <c r="E40" s="111" t="s">
        <v>24</v>
      </c>
      <c r="F40" s="111"/>
      <c r="G40" s="111"/>
      <c r="H40" s="111"/>
      <c r="I40" s="86" t="s">
        <v>140</v>
      </c>
      <c r="J40" s="86" t="s">
        <v>63</v>
      </c>
      <c r="K40" s="86">
        <v>0</v>
      </c>
      <c r="L40" s="86" t="s">
        <v>424</v>
      </c>
      <c r="M40" s="86" t="s">
        <v>843</v>
      </c>
      <c r="N40" s="111">
        <v>1</v>
      </c>
      <c r="O40" s="114">
        <v>6.9444444444444447E-4</v>
      </c>
    </row>
    <row r="41" spans="1:15" s="109" customFormat="1" ht="54" customHeight="1" thickTop="1" x14ac:dyDescent="0.2">
      <c r="A41" s="145"/>
      <c r="B41" s="115" t="s">
        <v>23</v>
      </c>
      <c r="C41" s="108" t="s">
        <v>794</v>
      </c>
      <c r="D41" s="108" t="s">
        <v>795</v>
      </c>
      <c r="E41" s="108" t="s">
        <v>24</v>
      </c>
      <c r="F41" s="108"/>
      <c r="G41" s="108"/>
      <c r="H41" s="108"/>
      <c r="I41" s="86" t="s">
        <v>140</v>
      </c>
      <c r="J41" s="86" t="s">
        <v>63</v>
      </c>
      <c r="K41" s="86">
        <v>0</v>
      </c>
      <c r="L41" s="86">
        <v>0</v>
      </c>
      <c r="M41" s="86" t="s">
        <v>852</v>
      </c>
      <c r="N41" s="108">
        <v>1</v>
      </c>
      <c r="O41" s="118">
        <v>3.4722222222222224E-4</v>
      </c>
    </row>
    <row r="42" spans="1:15" s="109" customFormat="1" x14ac:dyDescent="0.2">
      <c r="B42" s="141"/>
      <c r="C42" s="161"/>
      <c r="D42" s="161"/>
      <c r="E42" s="161"/>
      <c r="F42" s="161"/>
      <c r="G42" s="161"/>
      <c r="H42" s="161"/>
      <c r="I42" s="141"/>
      <c r="J42" s="141"/>
      <c r="K42" s="161"/>
      <c r="L42" s="161"/>
      <c r="M42" s="161"/>
      <c r="N42" s="161"/>
      <c r="O42" s="161"/>
    </row>
    <row r="43" spans="1:15" s="109" customFormat="1" x14ac:dyDescent="0.2">
      <c r="B43" s="141"/>
      <c r="C43" s="161"/>
      <c r="D43" s="161"/>
      <c r="E43" s="161"/>
      <c r="F43" s="161"/>
      <c r="G43" s="161"/>
      <c r="H43" s="161"/>
      <c r="I43" s="141"/>
      <c r="J43" s="141"/>
      <c r="K43" s="161"/>
      <c r="L43" s="161"/>
      <c r="M43" s="161"/>
      <c r="N43" s="161"/>
      <c r="O43" s="161"/>
    </row>
    <row r="44" spans="1:15" s="109" customFormat="1" x14ac:dyDescent="0.2">
      <c r="B44" s="141"/>
      <c r="C44" s="161"/>
      <c r="D44" s="161"/>
      <c r="E44" s="161"/>
      <c r="F44" s="161"/>
      <c r="G44" s="161"/>
      <c r="H44" s="161"/>
      <c r="I44" s="141"/>
      <c r="J44" s="141"/>
      <c r="K44" s="161"/>
      <c r="L44" s="161"/>
      <c r="M44" s="161"/>
      <c r="N44" s="161"/>
      <c r="O44" s="161"/>
    </row>
    <row r="45" spans="1:15" s="109" customFormat="1" x14ac:dyDescent="0.2">
      <c r="B45" s="141"/>
      <c r="C45" s="161"/>
      <c r="D45" s="161"/>
      <c r="E45" s="161"/>
      <c r="F45" s="161"/>
      <c r="G45" s="161"/>
      <c r="H45" s="161"/>
      <c r="I45" s="141"/>
      <c r="J45" s="141"/>
      <c r="K45" s="161"/>
      <c r="L45" s="161"/>
      <c r="M45" s="161"/>
      <c r="N45" s="161"/>
      <c r="O45" s="161"/>
    </row>
    <row r="46" spans="1:15" s="109" customFormat="1" x14ac:dyDescent="0.2">
      <c r="B46" s="141"/>
      <c r="C46" s="161"/>
      <c r="D46" s="161"/>
      <c r="E46" s="161"/>
      <c r="F46" s="161"/>
      <c r="G46" s="161"/>
      <c r="H46" s="161"/>
      <c r="I46" s="141"/>
      <c r="J46" s="141"/>
      <c r="K46" s="161"/>
      <c r="L46" s="161"/>
      <c r="M46" s="161"/>
      <c r="N46" s="161"/>
      <c r="O46" s="161"/>
    </row>
    <row r="47" spans="1:15" s="109" customFormat="1" x14ac:dyDescent="0.2">
      <c r="B47" s="141"/>
      <c r="C47" s="161"/>
      <c r="D47" s="161"/>
      <c r="E47" s="161"/>
      <c r="F47" s="161"/>
      <c r="G47" s="161"/>
      <c r="H47" s="161"/>
      <c r="I47" s="141"/>
      <c r="J47" s="141"/>
      <c r="K47" s="161"/>
      <c r="L47" s="161"/>
      <c r="M47" s="161"/>
      <c r="N47" s="161"/>
      <c r="O47" s="161"/>
    </row>
    <row r="48" spans="1:15" s="109" customFormat="1" x14ac:dyDescent="0.2">
      <c r="B48" s="141"/>
      <c r="C48" s="161"/>
      <c r="D48" s="161"/>
      <c r="E48" s="161"/>
      <c r="F48" s="161"/>
      <c r="G48" s="161"/>
      <c r="H48" s="161"/>
      <c r="I48" s="141"/>
      <c r="J48" s="141"/>
      <c r="K48" s="161"/>
      <c r="L48" s="161"/>
      <c r="M48" s="161"/>
      <c r="N48" s="161"/>
      <c r="O48" s="161"/>
    </row>
    <row r="49" spans="2:15" s="109" customFormat="1" x14ac:dyDescent="0.2">
      <c r="B49" s="141"/>
      <c r="C49" s="161"/>
      <c r="D49" s="161"/>
      <c r="E49" s="161"/>
      <c r="F49" s="161"/>
      <c r="G49" s="161"/>
      <c r="H49" s="161"/>
      <c r="I49" s="141"/>
      <c r="J49" s="141"/>
      <c r="K49" s="161"/>
      <c r="L49" s="161"/>
      <c r="M49" s="161"/>
      <c r="N49" s="161"/>
      <c r="O49" s="161"/>
    </row>
    <row r="50" spans="2:15" s="109" customFormat="1" x14ac:dyDescent="0.2">
      <c r="B50" s="141"/>
      <c r="C50" s="161"/>
      <c r="D50" s="161"/>
      <c r="E50" s="161"/>
      <c r="F50" s="161"/>
      <c r="G50" s="161"/>
      <c r="H50" s="161"/>
      <c r="I50" s="141"/>
      <c r="J50" s="141"/>
      <c r="K50" s="161"/>
      <c r="L50" s="161"/>
      <c r="M50" s="161"/>
      <c r="N50" s="161"/>
      <c r="O50" s="161"/>
    </row>
    <row r="51" spans="2:15" s="109" customFormat="1" x14ac:dyDescent="0.2">
      <c r="B51" s="141"/>
      <c r="C51" s="161"/>
      <c r="D51" s="161"/>
      <c r="E51" s="161"/>
      <c r="F51" s="161"/>
      <c r="G51" s="161"/>
      <c r="H51" s="161"/>
      <c r="I51" s="141"/>
      <c r="J51" s="141"/>
      <c r="K51" s="161"/>
      <c r="L51" s="161"/>
      <c r="M51" s="161"/>
      <c r="N51" s="161"/>
      <c r="O51" s="161"/>
    </row>
    <row r="52" spans="2:15" s="109" customFormat="1" x14ac:dyDescent="0.2">
      <c r="B52" s="141"/>
      <c r="C52" s="161"/>
      <c r="D52" s="161"/>
      <c r="E52" s="161"/>
      <c r="F52" s="161"/>
      <c r="G52" s="161"/>
      <c r="H52" s="161"/>
      <c r="I52" s="141"/>
      <c r="J52" s="141"/>
      <c r="K52" s="161"/>
      <c r="L52" s="161"/>
      <c r="M52" s="161"/>
      <c r="N52" s="161"/>
      <c r="O52" s="161"/>
    </row>
    <row r="53" spans="2:15" s="109" customFormat="1" x14ac:dyDescent="0.2">
      <c r="B53" s="141"/>
      <c r="C53" s="161"/>
      <c r="D53" s="161"/>
      <c r="E53" s="161"/>
      <c r="F53" s="161"/>
      <c r="G53" s="161"/>
      <c r="H53" s="161"/>
      <c r="I53" s="141"/>
      <c r="J53" s="141"/>
      <c r="K53" s="161"/>
      <c r="L53" s="161"/>
      <c r="M53" s="161"/>
      <c r="N53" s="161"/>
      <c r="O53" s="161"/>
    </row>
    <row r="54" spans="2:15" s="109" customFormat="1" x14ac:dyDescent="0.2">
      <c r="B54" s="141"/>
      <c r="C54" s="161"/>
      <c r="D54" s="161"/>
      <c r="E54" s="161"/>
      <c r="F54" s="161"/>
      <c r="G54" s="161"/>
      <c r="H54" s="161"/>
      <c r="I54" s="141"/>
      <c r="J54" s="141"/>
      <c r="K54" s="161"/>
      <c r="L54" s="161"/>
      <c r="M54" s="161"/>
      <c r="N54" s="161"/>
      <c r="O54" s="161"/>
    </row>
    <row r="55" spans="2:15" s="109" customFormat="1" x14ac:dyDescent="0.2">
      <c r="B55" s="141"/>
      <c r="C55" s="161"/>
      <c r="D55" s="161"/>
      <c r="E55" s="161"/>
      <c r="F55" s="161"/>
      <c r="G55" s="161"/>
      <c r="H55" s="161"/>
      <c r="I55" s="141"/>
      <c r="J55" s="141"/>
      <c r="K55" s="161"/>
      <c r="L55" s="161"/>
      <c r="M55" s="161"/>
      <c r="N55" s="161"/>
      <c r="O55" s="161"/>
    </row>
    <row r="56" spans="2:15" s="109" customFormat="1" x14ac:dyDescent="0.2">
      <c r="B56" s="141"/>
      <c r="C56" s="161"/>
      <c r="D56" s="161"/>
      <c r="E56" s="161"/>
      <c r="F56" s="161"/>
      <c r="G56" s="161"/>
      <c r="H56" s="161"/>
      <c r="I56" s="141"/>
      <c r="J56" s="141"/>
      <c r="K56" s="161"/>
      <c r="L56" s="161"/>
      <c r="M56" s="161"/>
      <c r="N56" s="161"/>
      <c r="O56" s="161"/>
    </row>
    <row r="57" spans="2:15" s="109" customFormat="1" x14ac:dyDescent="0.2">
      <c r="B57" s="141"/>
      <c r="C57" s="161"/>
      <c r="D57" s="161"/>
      <c r="E57" s="161"/>
      <c r="F57" s="161"/>
      <c r="G57" s="161"/>
      <c r="H57" s="161"/>
      <c r="I57" s="141"/>
      <c r="J57" s="141"/>
      <c r="K57" s="161"/>
      <c r="L57" s="161"/>
      <c r="M57" s="161"/>
      <c r="N57" s="161"/>
      <c r="O57" s="161"/>
    </row>
    <row r="58" spans="2:15" s="109" customFormat="1" x14ac:dyDescent="0.2">
      <c r="B58" s="141"/>
      <c r="C58" s="161"/>
      <c r="D58" s="161"/>
      <c r="E58" s="161"/>
      <c r="F58" s="161"/>
      <c r="G58" s="161"/>
      <c r="H58" s="161"/>
      <c r="I58" s="141"/>
      <c r="J58" s="141"/>
      <c r="K58" s="161"/>
      <c r="L58" s="161"/>
      <c r="M58" s="161"/>
      <c r="N58" s="161"/>
      <c r="O58" s="161"/>
    </row>
    <row r="59" spans="2:15" s="109" customFormat="1" x14ac:dyDescent="0.2">
      <c r="B59" s="141"/>
      <c r="C59" s="161"/>
      <c r="D59" s="161"/>
      <c r="E59" s="161"/>
      <c r="F59" s="161"/>
      <c r="G59" s="161"/>
      <c r="H59" s="161"/>
      <c r="I59" s="141"/>
      <c r="J59" s="141"/>
      <c r="K59" s="161"/>
      <c r="L59" s="161"/>
      <c r="M59" s="161"/>
      <c r="N59" s="161"/>
      <c r="O59" s="161"/>
    </row>
    <row r="60" spans="2:15" s="109" customFormat="1" x14ac:dyDescent="0.2">
      <c r="B60" s="141"/>
      <c r="C60" s="161"/>
      <c r="D60" s="161"/>
      <c r="E60" s="161"/>
      <c r="F60" s="161"/>
      <c r="G60" s="161"/>
      <c r="H60" s="161"/>
      <c r="I60" s="141"/>
      <c r="J60" s="141"/>
      <c r="K60" s="161"/>
      <c r="L60" s="161"/>
      <c r="M60" s="161"/>
      <c r="N60" s="161"/>
      <c r="O60" s="161"/>
    </row>
    <row r="61" spans="2:15" s="109" customFormat="1" x14ac:dyDescent="0.2">
      <c r="B61" s="141"/>
      <c r="C61" s="161"/>
      <c r="D61" s="161"/>
      <c r="E61" s="161"/>
      <c r="F61" s="161"/>
      <c r="G61" s="161"/>
      <c r="H61" s="161"/>
      <c r="I61" s="141"/>
      <c r="J61" s="141"/>
      <c r="K61" s="161"/>
      <c r="L61" s="161"/>
      <c r="M61" s="161"/>
      <c r="N61" s="161"/>
      <c r="O61" s="161"/>
    </row>
    <row r="62" spans="2:15" s="109" customFormat="1" x14ac:dyDescent="0.2">
      <c r="B62" s="141"/>
      <c r="C62" s="161"/>
      <c r="D62" s="161"/>
      <c r="E62" s="161"/>
      <c r="F62" s="161"/>
      <c r="G62" s="161"/>
      <c r="H62" s="161"/>
      <c r="I62" s="141"/>
      <c r="J62" s="141"/>
      <c r="K62" s="161"/>
      <c r="L62" s="161"/>
      <c r="M62" s="161"/>
      <c r="N62" s="161"/>
      <c r="O62" s="161"/>
    </row>
    <row r="63" spans="2:15" s="109" customFormat="1" x14ac:dyDescent="0.2">
      <c r="B63" s="141"/>
      <c r="C63" s="161"/>
      <c r="D63" s="161"/>
      <c r="E63" s="161"/>
      <c r="F63" s="161"/>
      <c r="G63" s="161"/>
      <c r="H63" s="161"/>
      <c r="I63" s="141"/>
      <c r="J63" s="141"/>
      <c r="K63" s="161"/>
      <c r="L63" s="161"/>
      <c r="M63" s="161"/>
      <c r="N63" s="161"/>
      <c r="O63" s="161"/>
    </row>
    <row r="64" spans="2:15" s="109" customFormat="1" x14ac:dyDescent="0.2">
      <c r="B64" s="141"/>
      <c r="C64" s="161"/>
      <c r="D64" s="161"/>
      <c r="E64" s="161"/>
      <c r="F64" s="161"/>
      <c r="G64" s="161"/>
      <c r="H64" s="161"/>
      <c r="I64" s="141"/>
      <c r="J64" s="141"/>
      <c r="K64" s="161"/>
      <c r="L64" s="161"/>
      <c r="M64" s="161"/>
      <c r="N64" s="161"/>
      <c r="O64" s="161"/>
    </row>
    <row r="65" spans="2:15" s="109" customFormat="1" x14ac:dyDescent="0.2">
      <c r="B65" s="141"/>
      <c r="C65" s="161"/>
      <c r="D65" s="161"/>
      <c r="E65" s="161"/>
      <c r="F65" s="161"/>
      <c r="G65" s="161"/>
      <c r="H65" s="161"/>
      <c r="I65" s="141"/>
      <c r="J65" s="141"/>
      <c r="K65" s="161"/>
      <c r="L65" s="161"/>
      <c r="M65" s="161"/>
      <c r="N65" s="161"/>
      <c r="O65" s="161"/>
    </row>
    <row r="66" spans="2:15" s="109" customFormat="1" x14ac:dyDescent="0.2">
      <c r="B66" s="141"/>
      <c r="C66" s="161"/>
      <c r="D66" s="161"/>
      <c r="E66" s="161"/>
      <c r="F66" s="161"/>
      <c r="G66" s="161"/>
      <c r="H66" s="161"/>
      <c r="I66" s="141"/>
      <c r="J66" s="141"/>
      <c r="K66" s="161"/>
      <c r="L66" s="161"/>
      <c r="M66" s="161"/>
      <c r="N66" s="161"/>
      <c r="O66" s="161"/>
    </row>
    <row r="67" spans="2:15" s="109" customFormat="1" x14ac:dyDescent="0.2">
      <c r="B67" s="141"/>
      <c r="C67" s="161"/>
      <c r="D67" s="161"/>
      <c r="E67" s="161"/>
      <c r="F67" s="161"/>
      <c r="G67" s="161"/>
      <c r="H67" s="161"/>
      <c r="I67" s="141"/>
      <c r="J67" s="141"/>
      <c r="K67" s="161"/>
      <c r="L67" s="161"/>
      <c r="M67" s="161"/>
      <c r="N67" s="161"/>
      <c r="O67" s="161"/>
    </row>
    <row r="68" spans="2:15" s="109" customFormat="1" x14ac:dyDescent="0.2">
      <c r="B68" s="141"/>
      <c r="C68" s="161"/>
      <c r="D68" s="161"/>
      <c r="E68" s="161"/>
      <c r="F68" s="161"/>
      <c r="G68" s="161"/>
      <c r="H68" s="161"/>
      <c r="I68" s="141"/>
      <c r="J68" s="141"/>
      <c r="K68" s="161"/>
      <c r="L68" s="161"/>
      <c r="M68" s="161"/>
      <c r="N68" s="161"/>
      <c r="O68" s="161"/>
    </row>
    <row r="69" spans="2:15" s="109" customFormat="1" x14ac:dyDescent="0.2">
      <c r="B69" s="141"/>
      <c r="C69" s="161"/>
      <c r="D69" s="161"/>
      <c r="E69" s="161"/>
      <c r="F69" s="161"/>
      <c r="G69" s="161"/>
      <c r="H69" s="161"/>
      <c r="I69" s="141"/>
      <c r="J69" s="141"/>
      <c r="K69" s="161"/>
      <c r="L69" s="161"/>
      <c r="M69" s="161"/>
      <c r="N69" s="161"/>
      <c r="O69" s="161"/>
    </row>
    <row r="70" spans="2:15" s="109" customFormat="1" x14ac:dyDescent="0.2">
      <c r="B70" s="141"/>
      <c r="C70" s="161"/>
      <c r="D70" s="161"/>
      <c r="E70" s="161"/>
      <c r="F70" s="161"/>
      <c r="G70" s="161"/>
      <c r="H70" s="161"/>
      <c r="I70" s="141"/>
      <c r="J70" s="141"/>
      <c r="K70" s="161"/>
      <c r="L70" s="161"/>
      <c r="M70" s="161"/>
      <c r="N70" s="161"/>
      <c r="O70" s="161"/>
    </row>
    <row r="71" spans="2:15" s="109" customFormat="1" x14ac:dyDescent="0.2">
      <c r="B71" s="141"/>
      <c r="C71" s="161"/>
      <c r="D71" s="161"/>
      <c r="E71" s="161"/>
      <c r="F71" s="161"/>
      <c r="G71" s="161"/>
      <c r="H71" s="161"/>
      <c r="I71" s="141"/>
      <c r="J71" s="141"/>
      <c r="K71" s="161"/>
      <c r="L71" s="161"/>
      <c r="M71" s="161"/>
      <c r="N71" s="161"/>
      <c r="O71" s="161"/>
    </row>
    <row r="72" spans="2:15" s="109" customFormat="1" x14ac:dyDescent="0.2">
      <c r="B72" s="141"/>
      <c r="C72" s="161"/>
      <c r="D72" s="161"/>
      <c r="E72" s="161"/>
      <c r="F72" s="161"/>
      <c r="G72" s="161"/>
      <c r="H72" s="161"/>
      <c r="I72" s="141"/>
      <c r="J72" s="141"/>
      <c r="K72" s="161"/>
      <c r="L72" s="161"/>
      <c r="M72" s="161"/>
      <c r="N72" s="161"/>
      <c r="O72" s="161"/>
    </row>
    <row r="73" spans="2:15" s="109" customFormat="1" x14ac:dyDescent="0.2">
      <c r="B73" s="141"/>
      <c r="C73" s="161"/>
      <c r="D73" s="161"/>
      <c r="E73" s="161"/>
      <c r="F73" s="161"/>
      <c r="G73" s="161"/>
      <c r="H73" s="161"/>
      <c r="I73" s="141"/>
      <c r="J73" s="141"/>
      <c r="K73" s="161"/>
      <c r="L73" s="161"/>
      <c r="M73" s="161"/>
      <c r="N73" s="161"/>
      <c r="O73" s="161"/>
    </row>
    <row r="74" spans="2:15" s="109" customFormat="1" x14ac:dyDescent="0.2">
      <c r="B74" s="141"/>
      <c r="C74" s="161"/>
      <c r="D74" s="161"/>
      <c r="E74" s="161"/>
      <c r="F74" s="161"/>
      <c r="G74" s="161"/>
      <c r="H74" s="161"/>
      <c r="I74" s="141"/>
      <c r="J74" s="141"/>
      <c r="K74" s="161"/>
      <c r="L74" s="161"/>
      <c r="M74" s="161"/>
      <c r="N74" s="161"/>
      <c r="O74" s="161"/>
    </row>
    <row r="75" spans="2:15" s="109" customFormat="1" x14ac:dyDescent="0.2">
      <c r="B75" s="141"/>
      <c r="C75" s="161"/>
      <c r="D75" s="161"/>
      <c r="E75" s="161"/>
      <c r="F75" s="161"/>
      <c r="G75" s="161"/>
      <c r="H75" s="161"/>
      <c r="I75" s="141"/>
      <c r="J75" s="141"/>
      <c r="K75" s="161"/>
      <c r="L75" s="161"/>
      <c r="M75" s="161"/>
      <c r="N75" s="161"/>
      <c r="O75" s="161"/>
    </row>
    <row r="76" spans="2:15" s="109" customFormat="1" x14ac:dyDescent="0.2">
      <c r="B76" s="141"/>
      <c r="C76" s="161"/>
      <c r="D76" s="161"/>
      <c r="E76" s="161"/>
      <c r="F76" s="161"/>
      <c r="G76" s="161"/>
      <c r="H76" s="161"/>
      <c r="I76" s="141"/>
      <c r="J76" s="141"/>
      <c r="K76" s="161"/>
      <c r="L76" s="161"/>
      <c r="M76" s="161"/>
      <c r="N76" s="161"/>
      <c r="O76" s="161"/>
    </row>
    <row r="77" spans="2:15" s="109" customFormat="1" x14ac:dyDescent="0.2">
      <c r="B77" s="141"/>
      <c r="C77" s="161"/>
      <c r="D77" s="161"/>
      <c r="E77" s="161"/>
      <c r="F77" s="161"/>
      <c r="G77" s="161"/>
      <c r="H77" s="161"/>
      <c r="I77" s="141"/>
      <c r="J77" s="141"/>
      <c r="K77" s="161"/>
      <c r="L77" s="161"/>
      <c r="M77" s="161"/>
      <c r="N77" s="161"/>
      <c r="O77" s="161"/>
    </row>
    <row r="78" spans="2:15" s="109" customFormat="1" x14ac:dyDescent="0.2">
      <c r="B78" s="141"/>
      <c r="C78" s="161"/>
      <c r="D78" s="161"/>
      <c r="E78" s="161"/>
      <c r="F78" s="161"/>
      <c r="G78" s="161"/>
      <c r="H78" s="161"/>
      <c r="I78" s="141"/>
      <c r="J78" s="141"/>
      <c r="K78" s="161"/>
      <c r="L78" s="161"/>
      <c r="M78" s="161"/>
      <c r="N78" s="161"/>
      <c r="O78" s="161"/>
    </row>
    <row r="79" spans="2:15" s="109" customFormat="1" x14ac:dyDescent="0.2">
      <c r="B79" s="141"/>
      <c r="C79" s="161"/>
      <c r="D79" s="161"/>
      <c r="E79" s="161"/>
      <c r="F79" s="161"/>
      <c r="G79" s="161"/>
      <c r="H79" s="161"/>
      <c r="I79" s="141"/>
      <c r="J79" s="141"/>
      <c r="K79" s="161"/>
      <c r="L79" s="161"/>
      <c r="M79" s="161"/>
      <c r="N79" s="161"/>
      <c r="O79" s="161"/>
    </row>
    <row r="80" spans="2:15" s="109" customFormat="1" x14ac:dyDescent="0.2">
      <c r="B80" s="141"/>
      <c r="C80" s="161"/>
      <c r="D80" s="161"/>
      <c r="E80" s="161"/>
      <c r="F80" s="161"/>
      <c r="G80" s="161"/>
      <c r="H80" s="161"/>
      <c r="I80" s="141"/>
      <c r="J80" s="141"/>
      <c r="K80" s="161"/>
      <c r="L80" s="161"/>
      <c r="M80" s="161"/>
      <c r="N80" s="161"/>
      <c r="O80" s="161"/>
    </row>
    <row r="81" spans="2:15" s="109" customFormat="1" x14ac:dyDescent="0.2">
      <c r="B81" s="141"/>
      <c r="C81" s="161"/>
      <c r="D81" s="161"/>
      <c r="E81" s="161"/>
      <c r="F81" s="161"/>
      <c r="G81" s="161"/>
      <c r="H81" s="161"/>
      <c r="I81" s="141"/>
      <c r="J81" s="141"/>
      <c r="K81" s="161"/>
      <c r="L81" s="161"/>
      <c r="M81" s="161"/>
      <c r="N81" s="161"/>
      <c r="O81" s="161"/>
    </row>
    <row r="82" spans="2:15" s="109" customFormat="1" x14ac:dyDescent="0.2">
      <c r="B82" s="141"/>
      <c r="C82" s="161"/>
      <c r="D82" s="161"/>
      <c r="E82" s="161"/>
      <c r="F82" s="161"/>
      <c r="G82" s="161"/>
      <c r="H82" s="161"/>
      <c r="I82" s="141"/>
      <c r="J82" s="141"/>
      <c r="K82" s="161"/>
      <c r="L82" s="161"/>
      <c r="M82" s="161"/>
      <c r="N82" s="161"/>
      <c r="O82" s="161"/>
    </row>
    <row r="83" spans="2:15" s="109" customFormat="1" x14ac:dyDescent="0.2">
      <c r="B83" s="141"/>
      <c r="C83" s="161"/>
      <c r="D83" s="161"/>
      <c r="E83" s="161"/>
      <c r="F83" s="161"/>
      <c r="G83" s="161"/>
      <c r="H83" s="161"/>
      <c r="I83" s="141"/>
      <c r="J83" s="141"/>
      <c r="K83" s="161"/>
      <c r="L83" s="161"/>
      <c r="M83" s="161"/>
      <c r="N83" s="161"/>
      <c r="O83" s="161"/>
    </row>
    <row r="84" spans="2:15" s="109" customFormat="1" x14ac:dyDescent="0.2">
      <c r="B84" s="141"/>
      <c r="C84" s="161"/>
      <c r="D84" s="161"/>
      <c r="E84" s="161"/>
      <c r="F84" s="161"/>
      <c r="G84" s="161"/>
      <c r="H84" s="161"/>
      <c r="I84" s="141"/>
      <c r="J84" s="141"/>
      <c r="K84" s="161"/>
      <c r="L84" s="161"/>
      <c r="M84" s="161"/>
      <c r="N84" s="161"/>
      <c r="O84" s="161"/>
    </row>
    <row r="85" spans="2:15" s="109" customFormat="1" x14ac:dyDescent="0.2">
      <c r="B85" s="141"/>
      <c r="C85" s="161"/>
      <c r="D85" s="161"/>
      <c r="E85" s="161"/>
      <c r="F85" s="161"/>
      <c r="G85" s="161"/>
      <c r="H85" s="161"/>
      <c r="I85" s="141"/>
      <c r="J85" s="141"/>
      <c r="K85" s="161"/>
      <c r="L85" s="161"/>
      <c r="M85" s="161"/>
      <c r="N85" s="161"/>
      <c r="O85" s="161"/>
    </row>
    <row r="86" spans="2:15" s="109" customFormat="1" x14ac:dyDescent="0.2">
      <c r="B86" s="141"/>
      <c r="C86" s="161"/>
      <c r="D86" s="161"/>
      <c r="E86" s="161"/>
      <c r="F86" s="161"/>
      <c r="G86" s="161"/>
      <c r="H86" s="161"/>
      <c r="I86" s="141"/>
      <c r="J86" s="141"/>
      <c r="K86" s="161"/>
      <c r="L86" s="161"/>
      <c r="M86" s="161"/>
      <c r="N86" s="161"/>
      <c r="O86" s="161"/>
    </row>
    <row r="87" spans="2:15" s="109" customFormat="1" ht="66" customHeight="1" x14ac:dyDescent="0.2">
      <c r="B87" s="141"/>
      <c r="C87" s="161"/>
      <c r="D87" s="161"/>
      <c r="E87" s="161"/>
      <c r="F87" s="161"/>
      <c r="G87" s="161"/>
      <c r="H87" s="161"/>
      <c r="I87" s="141"/>
      <c r="J87" s="141"/>
      <c r="K87" s="161"/>
      <c r="L87" s="161"/>
      <c r="M87" s="161"/>
      <c r="N87" s="161"/>
      <c r="O87" s="161"/>
    </row>
    <row r="88" spans="2:15" s="109" customFormat="1" x14ac:dyDescent="0.2">
      <c r="B88" s="141"/>
      <c r="C88" s="161"/>
      <c r="D88" s="161"/>
      <c r="E88" s="161"/>
      <c r="F88" s="161"/>
      <c r="G88" s="161"/>
      <c r="H88" s="161"/>
      <c r="I88" s="141"/>
      <c r="J88" s="141"/>
      <c r="K88" s="161"/>
      <c r="L88" s="161"/>
      <c r="M88" s="161"/>
      <c r="N88" s="161"/>
      <c r="O88" s="161"/>
    </row>
    <row r="89" spans="2:15" s="109" customFormat="1" x14ac:dyDescent="0.2">
      <c r="B89" s="141"/>
      <c r="C89" s="161"/>
      <c r="D89" s="161"/>
      <c r="E89" s="161"/>
      <c r="F89" s="161"/>
      <c r="G89" s="161"/>
      <c r="H89" s="161"/>
      <c r="I89" s="141"/>
      <c r="J89" s="141"/>
      <c r="K89" s="161"/>
      <c r="L89" s="161"/>
      <c r="M89" s="161"/>
      <c r="N89" s="161"/>
      <c r="O89" s="161"/>
    </row>
    <row r="90" spans="2:15" s="109" customFormat="1" x14ac:dyDescent="0.2">
      <c r="B90" s="141"/>
      <c r="C90" s="161"/>
      <c r="D90" s="161"/>
      <c r="E90" s="161"/>
      <c r="F90" s="161"/>
      <c r="G90" s="161"/>
      <c r="H90" s="161"/>
      <c r="I90" s="141"/>
      <c r="J90" s="141"/>
      <c r="K90" s="161"/>
      <c r="L90" s="161"/>
      <c r="M90" s="161"/>
      <c r="N90" s="161"/>
      <c r="O90" s="161"/>
    </row>
    <row r="91" spans="2:15" s="109" customFormat="1" x14ac:dyDescent="0.2">
      <c r="B91" s="141"/>
      <c r="C91" s="161"/>
      <c r="D91" s="161"/>
      <c r="E91" s="161"/>
      <c r="F91" s="161"/>
      <c r="G91" s="161"/>
      <c r="H91" s="161"/>
      <c r="I91" s="141"/>
      <c r="J91" s="141"/>
      <c r="K91" s="161"/>
      <c r="L91" s="161"/>
      <c r="M91" s="161"/>
      <c r="N91" s="161"/>
      <c r="O91" s="161"/>
    </row>
    <row r="92" spans="2:15" s="109" customFormat="1" x14ac:dyDescent="0.2">
      <c r="B92" s="141"/>
      <c r="C92" s="161"/>
      <c r="D92" s="161"/>
      <c r="E92" s="161"/>
      <c r="F92" s="161"/>
      <c r="G92" s="161"/>
      <c r="H92" s="161"/>
      <c r="I92" s="141"/>
      <c r="J92" s="141"/>
      <c r="K92" s="161"/>
      <c r="L92" s="161"/>
      <c r="M92" s="161"/>
      <c r="N92" s="161"/>
      <c r="O92" s="161"/>
    </row>
    <row r="93" spans="2:15" s="109" customFormat="1" x14ac:dyDescent="0.2">
      <c r="B93" s="141"/>
      <c r="C93" s="161"/>
      <c r="D93" s="161"/>
      <c r="E93" s="161"/>
      <c r="F93" s="161"/>
      <c r="G93" s="161"/>
      <c r="H93" s="161"/>
      <c r="I93" s="141"/>
      <c r="J93" s="141"/>
      <c r="K93" s="161"/>
      <c r="L93" s="161"/>
      <c r="M93" s="161"/>
      <c r="N93" s="161"/>
      <c r="O93" s="161"/>
    </row>
    <row r="94" spans="2:15" s="109" customFormat="1" x14ac:dyDescent="0.2">
      <c r="B94" s="141"/>
      <c r="C94" s="161"/>
      <c r="D94" s="161"/>
      <c r="E94" s="161"/>
      <c r="F94" s="161"/>
      <c r="G94" s="161"/>
      <c r="H94" s="161"/>
      <c r="I94" s="141"/>
      <c r="J94" s="141"/>
      <c r="K94" s="161"/>
      <c r="L94" s="161"/>
      <c r="M94" s="161"/>
      <c r="N94" s="161"/>
      <c r="O94" s="161"/>
    </row>
    <row r="95" spans="2:15" s="109" customFormat="1" x14ac:dyDescent="0.2">
      <c r="B95" s="141"/>
      <c r="C95" s="161"/>
      <c r="D95" s="161"/>
      <c r="E95" s="161"/>
      <c r="F95" s="161"/>
      <c r="G95" s="161"/>
      <c r="H95" s="161"/>
      <c r="I95" s="141"/>
      <c r="J95" s="141"/>
      <c r="K95" s="161"/>
      <c r="L95" s="161"/>
      <c r="M95" s="161"/>
      <c r="N95" s="161"/>
      <c r="O95" s="161"/>
    </row>
    <row r="96" spans="2:15" s="109" customFormat="1" x14ac:dyDescent="0.2">
      <c r="B96" s="141"/>
      <c r="C96" s="161"/>
      <c r="D96" s="161"/>
      <c r="E96" s="161"/>
      <c r="F96" s="161"/>
      <c r="G96" s="161"/>
      <c r="H96" s="161"/>
      <c r="I96" s="141"/>
      <c r="J96" s="141"/>
      <c r="K96" s="161"/>
      <c r="L96" s="161"/>
      <c r="M96" s="161"/>
      <c r="N96" s="161"/>
      <c r="O96" s="161"/>
    </row>
    <row r="97" spans="2:15" s="109" customFormat="1" x14ac:dyDescent="0.2">
      <c r="B97" s="141"/>
      <c r="C97" s="161"/>
      <c r="D97" s="161"/>
      <c r="E97" s="161"/>
      <c r="F97" s="161"/>
      <c r="G97" s="161"/>
      <c r="H97" s="161"/>
      <c r="I97" s="141"/>
      <c r="J97" s="141"/>
      <c r="K97" s="161"/>
      <c r="L97" s="161"/>
      <c r="M97" s="161"/>
      <c r="N97" s="161"/>
      <c r="O97" s="161"/>
    </row>
    <row r="98" spans="2:15" s="109" customFormat="1" x14ac:dyDescent="0.2">
      <c r="B98" s="141"/>
      <c r="C98" s="161"/>
      <c r="D98" s="161"/>
      <c r="E98" s="161"/>
      <c r="F98" s="161"/>
      <c r="G98" s="161"/>
      <c r="H98" s="161"/>
      <c r="I98" s="141"/>
      <c r="J98" s="141"/>
      <c r="K98" s="161"/>
      <c r="L98" s="161"/>
      <c r="M98" s="161"/>
      <c r="N98" s="161"/>
      <c r="O98" s="161"/>
    </row>
    <row r="99" spans="2:15" s="109" customFormat="1" x14ac:dyDescent="0.2">
      <c r="B99" s="141"/>
      <c r="C99" s="161"/>
      <c r="D99" s="161"/>
      <c r="E99" s="161"/>
      <c r="F99" s="161"/>
      <c r="G99" s="161"/>
      <c r="H99" s="161"/>
      <c r="I99" s="141"/>
      <c r="J99" s="141"/>
      <c r="K99" s="161"/>
      <c r="L99" s="161"/>
      <c r="M99" s="161"/>
      <c r="N99" s="161"/>
      <c r="O99" s="161"/>
    </row>
    <row r="100" spans="2:15" s="109" customFormat="1" x14ac:dyDescent="0.2">
      <c r="B100" s="141"/>
      <c r="C100" s="161"/>
      <c r="D100" s="161"/>
      <c r="E100" s="161"/>
      <c r="F100" s="161"/>
      <c r="G100" s="161"/>
      <c r="H100" s="161"/>
      <c r="I100" s="141"/>
      <c r="J100" s="141"/>
      <c r="K100" s="161"/>
      <c r="L100" s="161"/>
      <c r="M100" s="161"/>
      <c r="N100" s="161"/>
      <c r="O100" s="161"/>
    </row>
    <row r="101" spans="2:15" s="109" customFormat="1" x14ac:dyDescent="0.2">
      <c r="B101" s="141"/>
      <c r="C101" s="161"/>
      <c r="D101" s="161"/>
      <c r="E101" s="161"/>
      <c r="F101" s="161"/>
      <c r="G101" s="161"/>
      <c r="H101" s="161"/>
      <c r="I101" s="141"/>
      <c r="J101" s="141"/>
      <c r="K101" s="161"/>
      <c r="L101" s="161"/>
      <c r="M101" s="161"/>
      <c r="N101" s="161"/>
      <c r="O101" s="161"/>
    </row>
    <row r="102" spans="2:15" s="109" customFormat="1" x14ac:dyDescent="0.2">
      <c r="B102" s="141"/>
      <c r="C102" s="161"/>
      <c r="D102" s="161"/>
      <c r="E102" s="161"/>
      <c r="F102" s="161"/>
      <c r="G102" s="161"/>
      <c r="H102" s="161"/>
      <c r="I102" s="141"/>
      <c r="J102" s="141"/>
      <c r="K102" s="161"/>
      <c r="L102" s="161"/>
      <c r="M102" s="161"/>
      <c r="N102" s="161"/>
      <c r="O102" s="161"/>
    </row>
    <row r="103" spans="2:15" s="109" customFormat="1" x14ac:dyDescent="0.2">
      <c r="B103" s="141"/>
      <c r="C103" s="161"/>
      <c r="D103" s="161"/>
      <c r="E103" s="161"/>
      <c r="F103" s="161"/>
      <c r="G103" s="161"/>
      <c r="H103" s="161"/>
      <c r="I103" s="141"/>
      <c r="J103" s="141"/>
      <c r="K103" s="161"/>
      <c r="L103" s="161"/>
      <c r="M103" s="161"/>
      <c r="N103" s="161"/>
      <c r="O103" s="161"/>
    </row>
    <row r="104" spans="2:15" s="109" customFormat="1" x14ac:dyDescent="0.2">
      <c r="B104" s="141"/>
      <c r="C104" s="161"/>
      <c r="D104" s="161"/>
      <c r="E104" s="161"/>
      <c r="F104" s="161"/>
      <c r="G104" s="161"/>
      <c r="H104" s="161"/>
      <c r="I104" s="141"/>
      <c r="J104" s="141"/>
      <c r="K104" s="161"/>
      <c r="L104" s="161"/>
      <c r="M104" s="161"/>
      <c r="N104" s="161"/>
      <c r="O104" s="161"/>
    </row>
    <row r="105" spans="2:15" s="109" customFormat="1" x14ac:dyDescent="0.2">
      <c r="B105" s="141"/>
      <c r="C105" s="161"/>
      <c r="D105" s="161"/>
      <c r="E105" s="161"/>
      <c r="F105" s="161"/>
      <c r="G105" s="161"/>
      <c r="H105" s="161"/>
      <c r="I105" s="141"/>
      <c r="J105" s="141"/>
      <c r="K105" s="161"/>
      <c r="L105" s="161"/>
      <c r="M105" s="161"/>
      <c r="N105" s="161"/>
      <c r="O105" s="161"/>
    </row>
    <row r="106" spans="2:15" s="109" customFormat="1" x14ac:dyDescent="0.2">
      <c r="B106" s="141"/>
      <c r="C106" s="161"/>
      <c r="D106" s="161"/>
      <c r="E106" s="161"/>
      <c r="F106" s="161"/>
      <c r="G106" s="161"/>
      <c r="H106" s="161"/>
      <c r="I106" s="141"/>
      <c r="J106" s="141"/>
      <c r="K106" s="161"/>
      <c r="L106" s="161"/>
      <c r="M106" s="161"/>
      <c r="N106" s="161"/>
      <c r="O106" s="161"/>
    </row>
    <row r="107" spans="2:15" s="109" customFormat="1" x14ac:dyDescent="0.2">
      <c r="B107" s="141"/>
      <c r="C107" s="161"/>
      <c r="D107" s="161"/>
      <c r="E107" s="161"/>
      <c r="F107" s="161"/>
      <c r="G107" s="161"/>
      <c r="H107" s="161"/>
      <c r="I107" s="141"/>
      <c r="J107" s="141"/>
      <c r="K107" s="161"/>
      <c r="L107" s="161"/>
      <c r="M107" s="161"/>
      <c r="N107" s="161"/>
      <c r="O107" s="161"/>
    </row>
    <row r="108" spans="2:15" s="109" customFormat="1" x14ac:dyDescent="0.2">
      <c r="B108" s="141"/>
      <c r="C108" s="161"/>
      <c r="D108" s="161"/>
      <c r="E108" s="161"/>
      <c r="F108" s="161"/>
      <c r="G108" s="161"/>
      <c r="H108" s="161"/>
      <c r="I108" s="141"/>
      <c r="J108" s="141"/>
      <c r="K108" s="161"/>
      <c r="L108" s="161"/>
      <c r="M108" s="161"/>
      <c r="N108" s="161"/>
      <c r="O108" s="161"/>
    </row>
    <row r="109" spans="2:15" s="109" customFormat="1" x14ac:dyDescent="0.2">
      <c r="B109" s="141"/>
      <c r="C109" s="161"/>
      <c r="D109" s="161"/>
      <c r="E109" s="161"/>
      <c r="F109" s="161"/>
      <c r="G109" s="161"/>
      <c r="H109" s="161"/>
      <c r="I109" s="141"/>
      <c r="J109" s="141"/>
      <c r="K109" s="161"/>
      <c r="L109" s="161"/>
      <c r="M109" s="161"/>
      <c r="N109" s="161"/>
      <c r="O109" s="161"/>
    </row>
    <row r="110" spans="2:15" s="109" customFormat="1" x14ac:dyDescent="0.2">
      <c r="B110" s="141"/>
      <c r="C110" s="161"/>
      <c r="D110" s="161"/>
      <c r="E110" s="161"/>
      <c r="F110" s="161"/>
      <c r="G110" s="161"/>
      <c r="H110" s="161"/>
      <c r="I110" s="141"/>
      <c r="J110" s="141"/>
      <c r="K110" s="161"/>
      <c r="L110" s="161"/>
      <c r="M110" s="161"/>
      <c r="N110" s="161"/>
      <c r="O110" s="161"/>
    </row>
    <row r="111" spans="2:15" s="109" customFormat="1" x14ac:dyDescent="0.2">
      <c r="B111" s="141"/>
      <c r="C111" s="161"/>
      <c r="D111" s="161"/>
      <c r="E111" s="161"/>
      <c r="F111" s="161"/>
      <c r="G111" s="161"/>
      <c r="H111" s="161"/>
      <c r="I111" s="141"/>
      <c r="J111" s="141"/>
      <c r="K111" s="161"/>
      <c r="L111" s="161"/>
      <c r="M111" s="161"/>
      <c r="N111" s="161"/>
      <c r="O111" s="161"/>
    </row>
    <row r="112" spans="2:15" s="109" customFormat="1" x14ac:dyDescent="0.2">
      <c r="B112" s="141"/>
      <c r="C112" s="161"/>
      <c r="D112" s="161"/>
      <c r="E112" s="161"/>
      <c r="F112" s="161"/>
      <c r="G112" s="161"/>
      <c r="H112" s="161"/>
      <c r="I112" s="141"/>
      <c r="J112" s="141"/>
      <c r="K112" s="161"/>
      <c r="L112" s="161"/>
      <c r="M112" s="161"/>
      <c r="N112" s="161"/>
      <c r="O112" s="161"/>
    </row>
    <row r="113" spans="2:15" s="109" customFormat="1" x14ac:dyDescent="0.2">
      <c r="B113" s="141"/>
      <c r="C113" s="161"/>
      <c r="D113" s="161"/>
      <c r="E113" s="161"/>
      <c r="F113" s="161"/>
      <c r="G113" s="161"/>
      <c r="H113" s="161"/>
      <c r="I113" s="141"/>
      <c r="J113" s="141"/>
      <c r="K113" s="161"/>
      <c r="L113" s="161"/>
      <c r="M113" s="161"/>
      <c r="N113" s="161"/>
      <c r="O113" s="161"/>
    </row>
    <row r="114" spans="2:15" s="109" customFormat="1" x14ac:dyDescent="0.2">
      <c r="B114" s="141"/>
      <c r="C114" s="161"/>
      <c r="D114" s="161"/>
      <c r="E114" s="161"/>
      <c r="F114" s="161"/>
      <c r="G114" s="161"/>
      <c r="H114" s="161"/>
      <c r="I114" s="141"/>
      <c r="J114" s="141"/>
      <c r="K114" s="161"/>
      <c r="L114" s="161"/>
      <c r="M114" s="161"/>
      <c r="N114" s="161"/>
      <c r="O114" s="161"/>
    </row>
    <row r="115" spans="2:15" s="109" customFormat="1" x14ac:dyDescent="0.2">
      <c r="B115" s="141"/>
      <c r="C115" s="161"/>
      <c r="D115" s="161"/>
      <c r="E115" s="161"/>
      <c r="F115" s="161"/>
      <c r="G115" s="161"/>
      <c r="H115" s="161"/>
      <c r="I115" s="141"/>
      <c r="J115" s="141"/>
      <c r="K115" s="161"/>
      <c r="L115" s="161"/>
      <c r="M115" s="161"/>
      <c r="N115" s="161"/>
      <c r="O115" s="161"/>
    </row>
    <row r="116" spans="2:15" s="109" customFormat="1" x14ac:dyDescent="0.2">
      <c r="B116" s="141"/>
      <c r="C116" s="161"/>
      <c r="D116" s="161"/>
      <c r="E116" s="161"/>
      <c r="F116" s="161"/>
      <c r="G116" s="161"/>
      <c r="H116" s="161"/>
      <c r="I116" s="141"/>
      <c r="J116" s="141"/>
      <c r="K116" s="161"/>
      <c r="L116" s="161"/>
      <c r="M116" s="161"/>
      <c r="N116" s="161"/>
      <c r="O116" s="161"/>
    </row>
    <row r="117" spans="2:15" s="109" customFormat="1" x14ac:dyDescent="0.2">
      <c r="B117" s="141"/>
      <c r="C117" s="161"/>
      <c r="D117" s="161"/>
      <c r="E117" s="161"/>
      <c r="F117" s="161"/>
      <c r="G117" s="161"/>
      <c r="H117" s="161"/>
      <c r="I117" s="141"/>
      <c r="J117" s="141"/>
      <c r="K117" s="161"/>
      <c r="L117" s="161"/>
      <c r="M117" s="161"/>
      <c r="N117" s="161"/>
      <c r="O117" s="161"/>
    </row>
    <row r="118" spans="2:15" s="109" customFormat="1" x14ac:dyDescent="0.2">
      <c r="B118" s="141"/>
      <c r="C118" s="161"/>
      <c r="D118" s="161"/>
      <c r="E118" s="161"/>
      <c r="F118" s="161"/>
      <c r="G118" s="161"/>
      <c r="H118" s="161"/>
      <c r="I118" s="141"/>
      <c r="J118" s="141"/>
      <c r="K118" s="161"/>
      <c r="L118" s="161"/>
      <c r="M118" s="161"/>
      <c r="N118" s="161"/>
      <c r="O118" s="161"/>
    </row>
    <row r="119" spans="2:15" s="109" customFormat="1" x14ac:dyDescent="0.2">
      <c r="B119" s="141"/>
      <c r="C119" s="161"/>
      <c r="D119" s="161"/>
      <c r="E119" s="161"/>
      <c r="F119" s="161"/>
      <c r="G119" s="161"/>
      <c r="H119" s="161"/>
      <c r="I119" s="141"/>
      <c r="J119" s="141"/>
      <c r="K119" s="161"/>
      <c r="L119" s="161"/>
      <c r="M119" s="161"/>
      <c r="N119" s="161"/>
      <c r="O119" s="161"/>
    </row>
    <row r="120" spans="2:15" s="109" customFormat="1" x14ac:dyDescent="0.2">
      <c r="B120" s="141"/>
      <c r="C120" s="161"/>
      <c r="D120" s="161"/>
      <c r="E120" s="161"/>
      <c r="F120" s="161"/>
      <c r="G120" s="161"/>
      <c r="H120" s="161"/>
      <c r="I120" s="141"/>
      <c r="J120" s="141"/>
      <c r="K120" s="161"/>
      <c r="L120" s="161"/>
      <c r="M120" s="161"/>
      <c r="N120" s="161"/>
      <c r="O120" s="161"/>
    </row>
    <row r="121" spans="2:15" s="109" customFormat="1" x14ac:dyDescent="0.2">
      <c r="B121" s="141"/>
      <c r="C121" s="161"/>
      <c r="D121" s="161"/>
      <c r="E121" s="161"/>
      <c r="F121" s="161"/>
      <c r="G121" s="161"/>
      <c r="H121" s="161"/>
      <c r="I121" s="141"/>
      <c r="J121" s="141"/>
      <c r="K121" s="161"/>
      <c r="L121" s="161"/>
      <c r="M121" s="161"/>
      <c r="N121" s="161"/>
      <c r="O121" s="161"/>
    </row>
    <row r="122" spans="2:15" s="109" customFormat="1" x14ac:dyDescent="0.2">
      <c r="B122" s="141"/>
      <c r="C122" s="161"/>
      <c r="D122" s="161"/>
      <c r="E122" s="161"/>
      <c r="F122" s="161"/>
      <c r="G122" s="161"/>
      <c r="H122" s="161"/>
      <c r="I122" s="141"/>
      <c r="J122" s="141"/>
      <c r="K122" s="161"/>
      <c r="L122" s="161"/>
      <c r="M122" s="161"/>
      <c r="N122" s="161"/>
      <c r="O122" s="161"/>
    </row>
    <row r="123" spans="2:15" s="109" customFormat="1" x14ac:dyDescent="0.2">
      <c r="B123" s="141"/>
      <c r="C123" s="161"/>
      <c r="D123" s="161"/>
      <c r="E123" s="161"/>
      <c r="F123" s="161"/>
      <c r="G123" s="161"/>
      <c r="H123" s="161"/>
      <c r="I123" s="141"/>
      <c r="J123" s="141"/>
      <c r="K123" s="161"/>
      <c r="L123" s="161"/>
      <c r="M123" s="161"/>
      <c r="N123" s="161"/>
      <c r="O123" s="161"/>
    </row>
    <row r="124" spans="2:15" s="109" customFormat="1" x14ac:dyDescent="0.2">
      <c r="B124" s="141"/>
      <c r="C124" s="161"/>
      <c r="D124" s="161"/>
      <c r="E124" s="161"/>
      <c r="F124" s="161"/>
      <c r="G124" s="161"/>
      <c r="H124" s="161"/>
      <c r="I124" s="141"/>
      <c r="J124" s="141"/>
      <c r="K124" s="161"/>
      <c r="L124" s="161"/>
      <c r="M124" s="161"/>
      <c r="N124" s="161"/>
      <c r="O124" s="161"/>
    </row>
    <row r="125" spans="2:15" s="109" customFormat="1" x14ac:dyDescent="0.2">
      <c r="B125" s="141"/>
      <c r="C125" s="161"/>
      <c r="D125" s="161"/>
      <c r="E125" s="161"/>
      <c r="F125" s="161"/>
      <c r="G125" s="161"/>
      <c r="H125" s="161"/>
      <c r="I125" s="141"/>
      <c r="J125" s="141"/>
      <c r="K125" s="161"/>
      <c r="L125" s="161"/>
      <c r="M125" s="161"/>
      <c r="N125" s="161"/>
      <c r="O125" s="161"/>
    </row>
    <row r="126" spans="2:15" s="109" customFormat="1" ht="54" customHeight="1" x14ac:dyDescent="0.2">
      <c r="B126" s="141"/>
      <c r="C126" s="161"/>
      <c r="D126" s="161"/>
      <c r="E126" s="161"/>
      <c r="F126" s="161"/>
      <c r="G126" s="161"/>
      <c r="H126" s="161"/>
      <c r="I126" s="141"/>
      <c r="J126" s="141"/>
      <c r="K126" s="161"/>
      <c r="L126" s="161"/>
      <c r="M126" s="161"/>
      <c r="N126" s="161"/>
      <c r="O126" s="161"/>
    </row>
    <row r="127" spans="2:15" s="109" customFormat="1" ht="66" customHeight="1" x14ac:dyDescent="0.2">
      <c r="B127" s="141"/>
      <c r="C127" s="161"/>
      <c r="D127" s="161"/>
      <c r="E127" s="161"/>
      <c r="F127" s="161"/>
      <c r="G127" s="161"/>
      <c r="H127" s="161"/>
      <c r="I127" s="141"/>
      <c r="J127" s="141"/>
      <c r="K127" s="161"/>
      <c r="L127" s="161"/>
      <c r="M127" s="161"/>
      <c r="N127" s="161"/>
      <c r="O127" s="161"/>
    </row>
    <row r="128" spans="2:15" s="109" customFormat="1" x14ac:dyDescent="0.2">
      <c r="B128" s="132"/>
      <c r="I128" s="132"/>
      <c r="J128" s="132"/>
    </row>
    <row r="129" spans="2:10" s="109" customFormat="1" x14ac:dyDescent="0.2">
      <c r="B129" s="132"/>
      <c r="I129" s="132"/>
      <c r="J129" s="132"/>
    </row>
    <row r="130" spans="2:10" s="109" customFormat="1" x14ac:dyDescent="0.2">
      <c r="B130" s="132"/>
      <c r="I130" s="132"/>
      <c r="J130" s="132"/>
    </row>
    <row r="131" spans="2:10" s="109" customFormat="1" x14ac:dyDescent="0.2">
      <c r="B131" s="132"/>
      <c r="I131" s="132"/>
      <c r="J131" s="132"/>
    </row>
    <row r="132" spans="2:10" s="109" customFormat="1" x14ac:dyDescent="0.2">
      <c r="B132" s="132"/>
      <c r="I132" s="132"/>
      <c r="J132" s="132"/>
    </row>
    <row r="133" spans="2:10" s="109" customFormat="1" x14ac:dyDescent="0.2">
      <c r="B133" s="132"/>
      <c r="I133" s="132"/>
      <c r="J133" s="132"/>
    </row>
    <row r="134" spans="2:10" s="109" customFormat="1" x14ac:dyDescent="0.2">
      <c r="B134" s="132"/>
      <c r="I134" s="132"/>
      <c r="J134" s="132"/>
    </row>
    <row r="135" spans="2:10" s="109" customFormat="1" x14ac:dyDescent="0.2">
      <c r="B135" s="132"/>
      <c r="I135" s="132"/>
      <c r="J135" s="132"/>
    </row>
    <row r="136" spans="2:10" s="109" customFormat="1" x14ac:dyDescent="0.2">
      <c r="B136" s="132"/>
      <c r="I136" s="132"/>
      <c r="J136" s="132"/>
    </row>
    <row r="137" spans="2:10" s="109" customFormat="1" x14ac:dyDescent="0.2">
      <c r="B137" s="132"/>
      <c r="I137" s="132"/>
      <c r="J137" s="132"/>
    </row>
    <row r="138" spans="2:10" s="109" customFormat="1" x14ac:dyDescent="0.2">
      <c r="B138" s="132"/>
      <c r="I138" s="132"/>
      <c r="J138" s="132"/>
    </row>
    <row r="139" spans="2:10" s="109" customFormat="1" x14ac:dyDescent="0.2">
      <c r="B139" s="132"/>
      <c r="I139" s="132"/>
      <c r="J139" s="132"/>
    </row>
    <row r="140" spans="2:10" s="109" customFormat="1" x14ac:dyDescent="0.2">
      <c r="B140" s="132"/>
      <c r="I140" s="132"/>
      <c r="J140" s="132"/>
    </row>
    <row r="141" spans="2:10" s="109" customFormat="1" x14ac:dyDescent="0.2">
      <c r="B141" s="132"/>
      <c r="I141" s="132"/>
      <c r="J141" s="132"/>
    </row>
    <row r="142" spans="2:10" s="109" customFormat="1" x14ac:dyDescent="0.2">
      <c r="B142" s="132"/>
      <c r="I142" s="132"/>
      <c r="J142" s="132"/>
    </row>
    <row r="143" spans="2:10" s="109" customFormat="1" x14ac:dyDescent="0.2">
      <c r="B143" s="132"/>
      <c r="I143" s="132"/>
      <c r="J143" s="132"/>
    </row>
    <row r="144" spans="2:10" s="109" customFormat="1" x14ac:dyDescent="0.2">
      <c r="B144" s="132"/>
      <c r="I144" s="132"/>
      <c r="J144" s="132"/>
    </row>
    <row r="145" spans="2:10" s="109" customFormat="1" x14ac:dyDescent="0.2">
      <c r="B145" s="132"/>
      <c r="I145" s="132"/>
      <c r="J145" s="132"/>
    </row>
    <row r="146" spans="2:10" s="109" customFormat="1" x14ac:dyDescent="0.2">
      <c r="B146" s="132"/>
      <c r="I146" s="132"/>
      <c r="J146" s="132"/>
    </row>
    <row r="147" spans="2:10" s="109" customFormat="1" x14ac:dyDescent="0.2">
      <c r="B147" s="132"/>
      <c r="I147" s="132"/>
      <c r="J147" s="132"/>
    </row>
    <row r="148" spans="2:10" s="109" customFormat="1" x14ac:dyDescent="0.2">
      <c r="B148" s="132"/>
      <c r="I148" s="132"/>
      <c r="J148" s="132"/>
    </row>
    <row r="149" spans="2:10" s="109" customFormat="1" x14ac:dyDescent="0.2">
      <c r="B149" s="132"/>
      <c r="I149" s="132"/>
      <c r="J149" s="132"/>
    </row>
    <row r="150" spans="2:10" s="109" customFormat="1" x14ac:dyDescent="0.2">
      <c r="B150" s="132"/>
      <c r="I150" s="132"/>
      <c r="J150" s="132"/>
    </row>
    <row r="151" spans="2:10" s="109" customFormat="1" x14ac:dyDescent="0.2">
      <c r="B151" s="132"/>
      <c r="I151" s="132"/>
      <c r="J151" s="132"/>
    </row>
    <row r="152" spans="2:10" s="109" customFormat="1" x14ac:dyDescent="0.2">
      <c r="B152" s="132"/>
      <c r="I152" s="132"/>
      <c r="J152" s="132"/>
    </row>
    <row r="153" spans="2:10" s="109" customFormat="1" x14ac:dyDescent="0.2">
      <c r="B153" s="132"/>
      <c r="I153" s="132"/>
      <c r="J153" s="132"/>
    </row>
    <row r="154" spans="2:10" s="109" customFormat="1" x14ac:dyDescent="0.2">
      <c r="B154" s="132"/>
      <c r="I154" s="132"/>
      <c r="J154" s="132"/>
    </row>
    <row r="155" spans="2:10" s="109" customFormat="1" x14ac:dyDescent="0.2">
      <c r="B155" s="132"/>
      <c r="I155" s="132"/>
      <c r="J155" s="132"/>
    </row>
    <row r="156" spans="2:10" s="109" customFormat="1" x14ac:dyDescent="0.2">
      <c r="B156" s="132"/>
      <c r="I156" s="132"/>
      <c r="J156" s="132"/>
    </row>
    <row r="157" spans="2:10" s="109" customFormat="1" x14ac:dyDescent="0.2">
      <c r="B157" s="132"/>
      <c r="I157" s="132"/>
      <c r="J157" s="132"/>
    </row>
    <row r="158" spans="2:10" s="109" customFormat="1" x14ac:dyDescent="0.2">
      <c r="B158" s="132"/>
      <c r="I158" s="132"/>
      <c r="J158" s="132"/>
    </row>
    <row r="159" spans="2:10" s="109" customFormat="1" x14ac:dyDescent="0.2">
      <c r="B159" s="132"/>
      <c r="I159" s="132"/>
      <c r="J159" s="132"/>
    </row>
    <row r="160" spans="2:10" s="109" customFormat="1" x14ac:dyDescent="0.2">
      <c r="B160" s="132"/>
      <c r="I160" s="132"/>
      <c r="J160" s="132"/>
    </row>
    <row r="161" spans="2:10" s="109" customFormat="1" x14ac:dyDescent="0.2">
      <c r="B161" s="132"/>
      <c r="I161" s="132"/>
      <c r="J161" s="132"/>
    </row>
    <row r="162" spans="2:10" s="109" customFormat="1" x14ac:dyDescent="0.2">
      <c r="B162" s="132"/>
      <c r="I162" s="132"/>
      <c r="J162" s="132"/>
    </row>
    <row r="163" spans="2:10" s="109" customFormat="1" x14ac:dyDescent="0.2">
      <c r="B163" s="132"/>
      <c r="I163" s="132"/>
      <c r="J163" s="132"/>
    </row>
    <row r="164" spans="2:10" s="109" customFormat="1" x14ac:dyDescent="0.2">
      <c r="B164" s="132"/>
      <c r="I164" s="132"/>
      <c r="J164" s="132"/>
    </row>
    <row r="165" spans="2:10" s="109" customFormat="1" x14ac:dyDescent="0.2">
      <c r="B165" s="132"/>
      <c r="I165" s="132"/>
      <c r="J165" s="132"/>
    </row>
    <row r="166" spans="2:10" s="109" customFormat="1" x14ac:dyDescent="0.2">
      <c r="B166" s="132"/>
      <c r="I166" s="132"/>
      <c r="J166" s="132"/>
    </row>
    <row r="167" spans="2:10" s="109" customFormat="1" x14ac:dyDescent="0.2">
      <c r="B167" s="132"/>
      <c r="I167" s="132"/>
      <c r="J167" s="132"/>
    </row>
    <row r="168" spans="2:10" s="109" customFormat="1" x14ac:dyDescent="0.2">
      <c r="B168" s="132"/>
      <c r="I168" s="132"/>
      <c r="J168" s="132"/>
    </row>
    <row r="169" spans="2:10" s="109" customFormat="1" x14ac:dyDescent="0.2">
      <c r="B169" s="132"/>
      <c r="I169" s="132"/>
      <c r="J169" s="132"/>
    </row>
    <row r="170" spans="2:10" s="109" customFormat="1" x14ac:dyDescent="0.2">
      <c r="B170" s="132"/>
      <c r="I170" s="132"/>
      <c r="J170" s="132"/>
    </row>
    <row r="171" spans="2:10" s="109" customFormat="1" x14ac:dyDescent="0.2">
      <c r="B171" s="132"/>
      <c r="I171" s="132"/>
      <c r="J171" s="132"/>
    </row>
    <row r="172" spans="2:10" s="109" customFormat="1" x14ac:dyDescent="0.2">
      <c r="B172" s="132"/>
      <c r="I172" s="132"/>
      <c r="J172" s="132"/>
    </row>
    <row r="173" spans="2:10" s="109" customFormat="1" x14ac:dyDescent="0.2">
      <c r="B173" s="132"/>
      <c r="I173" s="132"/>
      <c r="J173" s="132"/>
    </row>
    <row r="174" spans="2:10" s="109" customFormat="1" x14ac:dyDescent="0.2">
      <c r="B174" s="132"/>
      <c r="I174" s="132"/>
      <c r="J174" s="132"/>
    </row>
    <row r="175" spans="2:10" s="109" customFormat="1" x14ac:dyDescent="0.2">
      <c r="B175" s="132"/>
      <c r="I175" s="132"/>
      <c r="J175" s="132"/>
    </row>
    <row r="176" spans="2:10" s="109" customFormat="1" x14ac:dyDescent="0.2">
      <c r="B176" s="132"/>
      <c r="I176" s="132"/>
      <c r="J176" s="132"/>
    </row>
    <row r="177" spans="2:10" s="109" customFormat="1" x14ac:dyDescent="0.2">
      <c r="B177" s="132"/>
      <c r="I177" s="132"/>
      <c r="J177" s="132"/>
    </row>
    <row r="178" spans="2:10" s="109" customFormat="1" x14ac:dyDescent="0.2">
      <c r="B178" s="132"/>
      <c r="I178" s="132"/>
      <c r="J178" s="132"/>
    </row>
    <row r="179" spans="2:10" s="109" customFormat="1" x14ac:dyDescent="0.2">
      <c r="B179" s="132"/>
      <c r="I179" s="132"/>
      <c r="J179" s="132"/>
    </row>
  </sheetData>
  <autoFilter ref="A2:O41" xr:uid="{A1F54CA9-D850-4C56-9250-200AD4095B93}"/>
  <conditionalFormatting sqref="C3:D5 C6:E6 C9:E9 G6 G9 E12 G12 C17:H18 C22 C21:D21 C25:H27 C29:H29 C28:D28 C23:D24 C20:H20 C19:D19 C32:H33 C30:D31 C11:D15 G16:H16 D34:H35 C36:H41 I3:M15 C16 E22:H22 I23:M41 I17:M21">
    <cfRule type="expression" dxfId="142" priority="61">
      <formula>AND(OR($F3="No",$F3=""), $E3= "Yes",$G3&lt;&gt;"",$H3&lt;&gt;"")</formula>
    </cfRule>
  </conditionalFormatting>
  <conditionalFormatting sqref="E3:F5">
    <cfRule type="expression" dxfId="141" priority="60">
      <formula>AND(OR($F3="No",$F3=""), $E3= "Yes",$G3&lt;&gt;"",$H3&lt;&gt;"")</formula>
    </cfRule>
  </conditionalFormatting>
  <conditionalFormatting sqref="C10:D10">
    <cfRule type="expression" dxfId="140" priority="171">
      <formula>AND(OR($F10="No",$F10=""), $E10= "Yes",#REF!&lt;&gt;"",$H10&lt;&gt;"")</formula>
    </cfRule>
  </conditionalFormatting>
  <conditionalFormatting sqref="C8:E8">
    <cfRule type="expression" dxfId="139" priority="174">
      <formula>AND(OR($F8="No",$F8=""), $E8= "Yes",$G7&lt;&gt;"",$H8&lt;&gt;"")</formula>
    </cfRule>
  </conditionalFormatting>
  <conditionalFormatting sqref="C7:E7">
    <cfRule type="expression" dxfId="138" priority="178">
      <formula>AND(OR($F7="No",$F7=""), $E7= "Yes",$G8&lt;&gt;"",$H7&lt;&gt;"")</formula>
    </cfRule>
  </conditionalFormatting>
  <conditionalFormatting sqref="G7">
    <cfRule type="expression" dxfId="137" priority="59">
      <formula>AND(OR($F7="No",$F7=""), $E7= "Yes",$G7&lt;&gt;"",$H7&lt;&gt;"")</formula>
    </cfRule>
  </conditionalFormatting>
  <conditionalFormatting sqref="G8">
    <cfRule type="expression" dxfId="136" priority="58">
      <formula>AND(OR($F8="No",$F8=""), $E8= "Yes",$G8&lt;&gt;"",$H8&lt;&gt;"")</formula>
    </cfRule>
  </conditionalFormatting>
  <conditionalFormatting sqref="H6">
    <cfRule type="expression" dxfId="135" priority="56">
      <formula>AND(OR($F7="No",$F7=""), $E6= "Yes",$G6&lt;&gt;"",$H6&lt;&gt;"")</formula>
    </cfRule>
  </conditionalFormatting>
  <conditionalFormatting sqref="F6">
    <cfRule type="expression" dxfId="134" priority="51">
      <formula>AND(OR($F6="No",$F6=""), $E6= "Yes",$G6&lt;&gt;"",$H6&lt;&gt;"")</formula>
    </cfRule>
  </conditionalFormatting>
  <conditionalFormatting sqref="F7">
    <cfRule type="expression" dxfId="133" priority="50">
      <formula>AND(OR($F7="No",$F7=""), $E7= "Yes",$G7&lt;&gt;"",$H7&lt;&gt;"")</formula>
    </cfRule>
  </conditionalFormatting>
  <conditionalFormatting sqref="F8">
    <cfRule type="expression" dxfId="132" priority="49">
      <formula>AND(OR($F8="No",$F8=""), $E8= "Yes",$G8&lt;&gt;"",$H8&lt;&gt;"")</formula>
    </cfRule>
  </conditionalFormatting>
  <conditionalFormatting sqref="F9">
    <cfRule type="expression" dxfId="131" priority="48">
      <formula>AND(OR($F9="No",$F9=""), $E9= "Yes",$G9&lt;&gt;"",$H9&lt;&gt;"")</formula>
    </cfRule>
  </conditionalFormatting>
  <conditionalFormatting sqref="H7:H9">
    <cfRule type="expression" dxfId="130" priority="47">
      <formula>AND(OR($F8="No",$F8=""), $E7= "Yes",$G7&lt;&gt;"",$H7&lt;&gt;"")</formula>
    </cfRule>
  </conditionalFormatting>
  <conditionalFormatting sqref="G3:G5">
    <cfRule type="expression" dxfId="129" priority="45">
      <formula>AND(OR($F3="No",$F3=""), $E3= "Yes",$G3&lt;&gt;"",$H3&lt;&gt;"")</formula>
    </cfRule>
  </conditionalFormatting>
  <conditionalFormatting sqref="H3:H5">
    <cfRule type="expression" dxfId="128" priority="44">
      <formula>AND(OR($F3="No",$F3=""), $E3= "Yes",$G3&lt;&gt;"",$H3&lt;&gt;"")</formula>
    </cfRule>
  </conditionalFormatting>
  <conditionalFormatting sqref="N3:O3 N5:O12 N35:O36 N38:O40 N14:O31">
    <cfRule type="expression" dxfId="127" priority="43">
      <formula>AND(OR($F3="No",$F3=""), $E3= "Yes",$G3&lt;&gt;"",$H3&lt;&gt;"")</formula>
    </cfRule>
  </conditionalFormatting>
  <conditionalFormatting sqref="N4:O4">
    <cfRule type="expression" dxfId="126" priority="42">
      <formula>AND(OR($F4="No",$F4=""), $E4= "Yes",$G4&lt;&gt;"",$H4&lt;&gt;"")</formula>
    </cfRule>
  </conditionalFormatting>
  <conditionalFormatting sqref="N32:O32">
    <cfRule type="expression" dxfId="125" priority="41">
      <formula>AND(OR($F32="No",$F32=""), $E32= "Yes",$G32&lt;&gt;"",$H32&lt;&gt;"")</formula>
    </cfRule>
  </conditionalFormatting>
  <conditionalFormatting sqref="N33:O33">
    <cfRule type="expression" dxfId="124" priority="40">
      <formula>AND(OR($F33="No",$F33=""), $E33= "Yes",$G33&lt;&gt;"",$H33&lt;&gt;"")</formula>
    </cfRule>
  </conditionalFormatting>
  <conditionalFormatting sqref="N34:O34">
    <cfRule type="expression" dxfId="123" priority="39">
      <formula>AND(OR($F34="No",$F34=""), $E34= "Yes",$G34&lt;&gt;"",$H34&lt;&gt;"")</formula>
    </cfRule>
  </conditionalFormatting>
  <conditionalFormatting sqref="N37:O37">
    <cfRule type="expression" dxfId="122" priority="38">
      <formula>AND(OR($F37="No",$F37=""), $E37= "Yes",$G37&lt;&gt;"",$H37&lt;&gt;"")</formula>
    </cfRule>
  </conditionalFormatting>
  <conditionalFormatting sqref="N41:O41">
    <cfRule type="expression" dxfId="121" priority="37">
      <formula>AND(OR($E41="No",$E41=""), $D41= "Yes",$F41&lt;&gt;"",$G41&lt;&gt;"")</formula>
    </cfRule>
  </conditionalFormatting>
  <conditionalFormatting sqref="N13:O13">
    <cfRule type="expression" dxfId="120" priority="36">
      <formula>AND(OR($F13="No",$F13=""), $E13= "Yes",$G13&lt;&gt;"",$H13&lt;&gt;"")</formula>
    </cfRule>
  </conditionalFormatting>
  <conditionalFormatting sqref="E11">
    <cfRule type="expression" dxfId="119" priority="35">
      <formula>AND(OR($F11="No",$F11=""), $E11= "Yes",$G12&lt;&gt;"",$H11&lt;&gt;"")</formula>
    </cfRule>
  </conditionalFormatting>
  <conditionalFormatting sqref="G11">
    <cfRule type="expression" dxfId="118" priority="34">
      <formula>AND(OR($F11="No",$F11=""), $E11= "Yes",$G11&lt;&gt;"",$H11&lt;&gt;"")</formula>
    </cfRule>
  </conditionalFormatting>
  <conditionalFormatting sqref="F11">
    <cfRule type="expression" dxfId="117" priority="33">
      <formula>AND(OR($F11="No",$F11=""), $E11= "Yes",$G11&lt;&gt;"",$H11&lt;&gt;"")</formula>
    </cfRule>
  </conditionalFormatting>
  <conditionalFormatting sqref="H11">
    <cfRule type="expression" dxfId="116" priority="32">
      <formula>AND(OR($F12="No",$F12=""), $E11= "Yes",$G11&lt;&gt;"",$H11&lt;&gt;"")</formula>
    </cfRule>
  </conditionalFormatting>
  <conditionalFormatting sqref="F12">
    <cfRule type="expression" dxfId="115" priority="31">
      <formula>AND(OR($F12="No",$F12=""), $E12= "Yes",$G12&lt;&gt;"",$H12&lt;&gt;"")</formula>
    </cfRule>
  </conditionalFormatting>
  <conditionalFormatting sqref="H12">
    <cfRule type="expression" dxfId="114" priority="30">
      <formula>AND(OR($F13="No",$F13=""), $E12= "Yes",$G12&lt;&gt;"",$H12&lt;&gt;"")</formula>
    </cfRule>
  </conditionalFormatting>
  <conditionalFormatting sqref="G13:H13">
    <cfRule type="expression" dxfId="113" priority="23">
      <formula>AND(OR($F13="No",$F13=""), $E13= "Yes",$G13&lt;&gt;"",$H13&lt;&gt;"")</formula>
    </cfRule>
  </conditionalFormatting>
  <conditionalFormatting sqref="E13">
    <cfRule type="expression" dxfId="112" priority="22">
      <formula>AND(OR($F13="No",$F13=""), $E13= "Yes",$G13&lt;&gt;"",$H13&lt;&gt;"")</formula>
    </cfRule>
  </conditionalFormatting>
  <conditionalFormatting sqref="F13">
    <cfRule type="expression" dxfId="111" priority="21">
      <formula>AND(OR($F13="No",$F13=""), $E13= "Yes",$G13&lt;&gt;"",$H13&lt;&gt;"")</formula>
    </cfRule>
  </conditionalFormatting>
  <conditionalFormatting sqref="E24:H24">
    <cfRule type="expression" dxfId="110" priority="20">
      <formula>AND(OR($F24="No",$F24=""), $E24= "Yes",$G24&lt;&gt;"",$H24&lt;&gt;"")</formula>
    </cfRule>
  </conditionalFormatting>
  <conditionalFormatting sqref="G19:H19">
    <cfRule type="expression" dxfId="109" priority="19">
      <formula>AND(OR($E19="No",$E19=""), $D19= "Yes",$F19&lt;&gt;"",$G19&lt;&gt;"")</formula>
    </cfRule>
  </conditionalFormatting>
  <conditionalFormatting sqref="E19:F19">
    <cfRule type="expression" dxfId="108" priority="18">
      <formula>AND(OR($F19="No",$F19=""), $E19= "Yes",$G19&lt;&gt;"",$H19&lt;&gt;"")</formula>
    </cfRule>
  </conditionalFormatting>
  <conditionalFormatting sqref="E16:F16">
    <cfRule type="expression" dxfId="107" priority="16">
      <formula>AND(OR($F16="No",$F16=""), $E16= "Yes",$G16&lt;&gt;"",$H16&lt;&gt;"")</formula>
    </cfRule>
  </conditionalFormatting>
  <conditionalFormatting sqref="E21:H21">
    <cfRule type="expression" dxfId="106" priority="15">
      <formula>AND(OR($E21="No",$E21=""), $D21= "Yes",$F21&lt;&gt;"",$G21&lt;&gt;"")</formula>
    </cfRule>
  </conditionalFormatting>
  <conditionalFormatting sqref="E23:H23">
    <cfRule type="expression" dxfId="105" priority="14">
      <formula>AND(OR($E23="No",$E23=""), $D23= "Yes",$F23&lt;&gt;"",$G23&lt;&gt;"")</formula>
    </cfRule>
  </conditionalFormatting>
  <conditionalFormatting sqref="E30:H31">
    <cfRule type="expression" dxfId="104" priority="13">
      <formula>AND(OR($E30="No",$E30=""), $D30= "Yes",$F30&lt;&gt;"",$G30&lt;&gt;"")</formula>
    </cfRule>
  </conditionalFormatting>
  <conditionalFormatting sqref="E14:H15">
    <cfRule type="expression" dxfId="103" priority="12">
      <formula>AND(OR($F14="No",$F14=""), $E14= "Yes",$G14&lt;&gt;"",$H14&lt;&gt;"")</formula>
    </cfRule>
  </conditionalFormatting>
  <conditionalFormatting sqref="E28:H28">
    <cfRule type="expression" dxfId="102" priority="11">
      <formula>AND(OR($F28="No",$F28=""), $E28= "Yes",$G28&lt;&gt;"",$H28&lt;&gt;"")</formula>
    </cfRule>
  </conditionalFormatting>
  <conditionalFormatting sqref="E10:H10">
    <cfRule type="expression" dxfId="101" priority="10">
      <formula>AND(OR($E10="No",$E10=""), $D10= "Yes",$F10&lt;&gt;"",$G10&lt;&gt;"")</formula>
    </cfRule>
  </conditionalFormatting>
  <conditionalFormatting sqref="C34:C35">
    <cfRule type="expression" dxfId="100" priority="9">
      <formula>AND(OR($F34="No",$F34=""), $E34= "Yes",$G34&lt;&gt;"",$H34&lt;&gt;"")</formula>
    </cfRule>
  </conditionalFormatting>
  <conditionalFormatting sqref="D16">
    <cfRule type="expression" dxfId="99" priority="8">
      <formula>AND(OR($F16="No",$F16=""), $E16= "Yes",$G16&lt;&gt;"",$H16&lt;&gt;"")</formula>
    </cfRule>
  </conditionalFormatting>
  <conditionalFormatting sqref="D22">
    <cfRule type="expression" dxfId="98" priority="7">
      <formula>AND(OR($F22="No",$F22=""), $E22= "Yes",$G22&lt;&gt;"",$H22&lt;&gt;"")</formula>
    </cfRule>
  </conditionalFormatting>
  <conditionalFormatting sqref="J22:L22">
    <cfRule type="expression" dxfId="97" priority="6">
      <formula>AND(OR($F22="No",$F22=""), $E22= "Yes",$G22&lt;&gt;"",$H22&lt;&gt;"")</formula>
    </cfRule>
  </conditionalFormatting>
  <conditionalFormatting sqref="I22">
    <cfRule type="expression" dxfId="96" priority="5">
      <formula>AND(OR($F22="No",$F22=""), $E22= "Yes",$G22&lt;&gt;"",$H22&lt;&gt;"")</formula>
    </cfRule>
  </conditionalFormatting>
  <conditionalFormatting sqref="M22">
    <cfRule type="expression" dxfId="95" priority="4">
      <formula>AND(OR($F22="No",$F22=""), $E22= "Yes",$G22&lt;&gt;"",$H22&lt;&gt;"")</formula>
    </cfRule>
  </conditionalFormatting>
  <conditionalFormatting sqref="J16:L16">
    <cfRule type="expression" dxfId="94" priority="3">
      <formula>AND(OR($F16="No",$F16=""), $E16= "Yes",$G16&lt;&gt;"",$H16&lt;&gt;"")</formula>
    </cfRule>
  </conditionalFormatting>
  <conditionalFormatting sqref="I16">
    <cfRule type="expression" dxfId="93" priority="2">
      <formula>AND(OR($F16="No",$F16=""), $E16= "Yes",$G16&lt;&gt;"",$H16&lt;&gt;"")</formula>
    </cfRule>
  </conditionalFormatting>
  <conditionalFormatting sqref="M16">
    <cfRule type="expression" dxfId="92" priority="1">
      <formula>AND(OR($F16="No",$F16=""), $E16= "Yes",$G16&lt;&gt;"",$H16&lt;&gt;"")</formula>
    </cfRule>
  </conditionalFormatting>
  <dataValidations count="3">
    <dataValidation type="list" allowBlank="1" showInputMessage="1" showErrorMessage="1" sqref="E3:E5 E19 E24 E25:F27 E20:F23 E10:F10 E17:F18 E16 E29:F33 E36:F40 K1:K2 K42:K1048576 K22 K16" xr:uid="{63B66D06-6651-4924-98D9-F3C7F6C19769}">
      <formula1>"Yes, No"</formula1>
    </dataValidation>
    <dataValidation type="list" allowBlank="1" showInputMessage="1" showErrorMessage="1" sqref="E8:E9 E12:E13" xr:uid="{EE0E8B66-D32F-4DCD-950A-9DB618AACC07}">
      <formula1>$N$14:$N$15</formula1>
    </dataValidation>
    <dataValidation type="list" allowBlank="1" showInputMessage="1" showErrorMessage="1" sqref="E6:E7 E11" xr:uid="{ADEEFB55-119A-438E-8F9F-971F0406F6CF}">
      <formula1>$L$7:$L$8</formula1>
    </dataValidation>
  </dataValidations>
  <pageMargins left="0.2" right="0.2" top="0.2" bottom="0.2" header="0.3" footer="0.3"/>
  <pageSetup paperSize="8" scale="76"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pageSetUpPr fitToPage="1"/>
  </sheetPr>
  <dimension ref="A1:Q180"/>
  <sheetViews>
    <sheetView zoomScale="60" zoomScaleNormal="60" workbookViewId="0">
      <pane ySplit="2" topLeftCell="A28" activePane="bottomLeft" state="frozen"/>
      <selection pane="bottomLeft" activeCell="I37" sqref="I37:M37"/>
    </sheetView>
  </sheetViews>
  <sheetFormatPr defaultColWidth="8.88671875" defaultRowHeight="15" x14ac:dyDescent="0.2"/>
  <cols>
    <col min="1" max="1" width="8.88671875" style="3" customWidth="1"/>
    <col min="2" max="2" width="7.77734375" style="22" customWidth="1"/>
    <col min="3" max="3" width="60.77734375" style="3" customWidth="1"/>
    <col min="4" max="4" width="38.77734375" style="3" customWidth="1"/>
    <col min="5" max="5" width="8.88671875" style="3" customWidth="1"/>
    <col min="6" max="6" width="7.77734375" style="3" customWidth="1"/>
    <col min="7" max="7" width="38.77734375" style="3" customWidth="1"/>
    <col min="8" max="8" width="14.77734375" style="3" customWidth="1"/>
    <col min="9" max="10" width="10.33203125" style="22" customWidth="1"/>
    <col min="11" max="11" width="10.5546875" style="3" customWidth="1"/>
    <col min="12" max="12" width="15.88671875" style="3" customWidth="1"/>
    <col min="13" max="13" width="27.33203125" style="3" customWidth="1"/>
    <col min="14" max="14" width="10.33203125" style="3" customWidth="1"/>
    <col min="15" max="17" width="8.88671875" style="3" customWidth="1"/>
    <col min="18" max="16384" width="8.88671875" style="3"/>
  </cols>
  <sheetData>
    <row r="1" spans="1:17" ht="21" customHeight="1" thickBot="1" x14ac:dyDescent="0.3">
      <c r="A1" s="25"/>
      <c r="B1" s="107" t="s">
        <v>47</v>
      </c>
      <c r="C1" s="63" t="s">
        <v>796</v>
      </c>
      <c r="D1" s="9"/>
      <c r="E1" s="9"/>
      <c r="F1" s="9"/>
      <c r="G1" s="9"/>
      <c r="H1" s="9"/>
      <c r="I1" s="23"/>
      <c r="J1" s="23"/>
      <c r="K1" s="9"/>
      <c r="L1" s="9"/>
    </row>
    <row r="2" spans="1:17" s="10" customFormat="1" ht="87.95" customHeight="1" thickBot="1" x14ac:dyDescent="0.25">
      <c r="A2" s="54" t="s">
        <v>41</v>
      </c>
      <c r="B2" s="54" t="s">
        <v>42</v>
      </c>
      <c r="C2" s="55" t="s">
        <v>43</v>
      </c>
      <c r="D2" s="56" t="s">
        <v>44</v>
      </c>
      <c r="E2" s="57" t="s">
        <v>22</v>
      </c>
      <c r="F2" s="57" t="s">
        <v>19</v>
      </c>
      <c r="G2" s="58" t="s">
        <v>45</v>
      </c>
      <c r="H2" s="58" t="s">
        <v>46</v>
      </c>
      <c r="I2" s="59" t="s">
        <v>49</v>
      </c>
      <c r="J2" s="59" t="s">
        <v>50</v>
      </c>
      <c r="K2" s="59" t="s">
        <v>51</v>
      </c>
      <c r="L2" s="59" t="s">
        <v>52</v>
      </c>
      <c r="M2" s="59" t="s">
        <v>53</v>
      </c>
      <c r="N2" s="72" t="s">
        <v>54</v>
      </c>
      <c r="O2" s="72" t="s">
        <v>55</v>
      </c>
      <c r="P2" s="59" t="s">
        <v>56</v>
      </c>
      <c r="Q2" s="59" t="s">
        <v>57</v>
      </c>
    </row>
    <row r="3" spans="1:17" s="109" customFormat="1" ht="54" customHeight="1" thickTop="1" thickBot="1" x14ac:dyDescent="0.25">
      <c r="A3" s="98"/>
      <c r="B3" s="85" t="s">
        <v>10</v>
      </c>
      <c r="C3" s="86" t="s">
        <v>461</v>
      </c>
      <c r="D3" s="86" t="s">
        <v>462</v>
      </c>
      <c r="E3" s="86" t="s">
        <v>11</v>
      </c>
      <c r="F3" s="86" t="s">
        <v>24</v>
      </c>
      <c r="G3" s="86" t="s">
        <v>86</v>
      </c>
      <c r="H3" s="97">
        <v>44868</v>
      </c>
      <c r="I3" s="86" t="s">
        <v>62</v>
      </c>
      <c r="J3" s="86" t="s">
        <v>63</v>
      </c>
      <c r="K3" s="86">
        <v>0</v>
      </c>
      <c r="L3" s="86" t="s">
        <v>464</v>
      </c>
      <c r="M3" s="86" t="s">
        <v>835</v>
      </c>
      <c r="N3" s="86">
        <v>2</v>
      </c>
      <c r="O3" s="89">
        <v>5.2083333333333333E-4</v>
      </c>
    </row>
    <row r="4" spans="1:17" s="109" customFormat="1" ht="54" customHeight="1" thickTop="1" thickBot="1" x14ac:dyDescent="0.25">
      <c r="A4" s="99"/>
      <c r="B4" s="90" t="s">
        <v>10</v>
      </c>
      <c r="C4" s="80" t="s">
        <v>465</v>
      </c>
      <c r="D4" s="80" t="s">
        <v>466</v>
      </c>
      <c r="E4" s="80" t="s">
        <v>11</v>
      </c>
      <c r="F4" s="80" t="s">
        <v>24</v>
      </c>
      <c r="G4" s="80" t="s">
        <v>141</v>
      </c>
      <c r="H4" s="84">
        <v>44868</v>
      </c>
      <c r="I4" s="86" t="s">
        <v>62</v>
      </c>
      <c r="J4" s="86" t="s">
        <v>63</v>
      </c>
      <c r="K4" s="86">
        <v>0</v>
      </c>
      <c r="L4" s="86" t="s">
        <v>68</v>
      </c>
      <c r="M4" s="86" t="s">
        <v>836</v>
      </c>
      <c r="N4" s="80">
        <v>1</v>
      </c>
      <c r="O4" s="91">
        <v>1.3888888888888889E-3</v>
      </c>
    </row>
    <row r="5" spans="1:17" s="109" customFormat="1" ht="54" customHeight="1" thickTop="1" thickBot="1" x14ac:dyDescent="0.25">
      <c r="A5" s="99"/>
      <c r="B5" s="90" t="s">
        <v>10</v>
      </c>
      <c r="C5" s="80" t="s">
        <v>468</v>
      </c>
      <c r="D5" s="80" t="s">
        <v>469</v>
      </c>
      <c r="E5" s="80" t="s">
        <v>11</v>
      </c>
      <c r="F5" s="80" t="s">
        <v>24</v>
      </c>
      <c r="G5" s="80" t="s">
        <v>67</v>
      </c>
      <c r="H5" s="84">
        <v>44868</v>
      </c>
      <c r="I5" s="86" t="s">
        <v>62</v>
      </c>
      <c r="J5" s="86" t="s">
        <v>63</v>
      </c>
      <c r="K5" s="86">
        <v>0</v>
      </c>
      <c r="L5" s="86" t="s">
        <v>100</v>
      </c>
      <c r="M5" s="86" t="s">
        <v>835</v>
      </c>
      <c r="N5" s="80">
        <v>1</v>
      </c>
      <c r="O5" s="91">
        <v>2.0833333333333333E-3</v>
      </c>
    </row>
    <row r="6" spans="1:17" s="109" customFormat="1" ht="54" customHeight="1" thickTop="1" thickBot="1" x14ac:dyDescent="0.25">
      <c r="A6" s="100"/>
      <c r="B6" s="93" t="s">
        <v>10</v>
      </c>
      <c r="C6" s="94" t="s">
        <v>470</v>
      </c>
      <c r="D6" s="94" t="s">
        <v>471</v>
      </c>
      <c r="E6" s="94" t="s">
        <v>11</v>
      </c>
      <c r="F6" s="94" t="s">
        <v>24</v>
      </c>
      <c r="G6" s="94" t="s">
        <v>748</v>
      </c>
      <c r="H6" s="101">
        <v>44868</v>
      </c>
      <c r="I6" s="86" t="s">
        <v>62</v>
      </c>
      <c r="J6" s="86" t="s">
        <v>63</v>
      </c>
      <c r="K6" s="86">
        <v>0</v>
      </c>
      <c r="L6" s="86" t="s">
        <v>107</v>
      </c>
      <c r="M6" s="86" t="s">
        <v>835</v>
      </c>
      <c r="N6" s="94">
        <v>1</v>
      </c>
      <c r="O6" s="96">
        <v>1.0416666666666667E-3</v>
      </c>
    </row>
    <row r="7" spans="1:17" s="109" customFormat="1" ht="54" customHeight="1" thickTop="1" thickBot="1" x14ac:dyDescent="0.25">
      <c r="A7" s="99"/>
      <c r="B7" s="85" t="s">
        <v>13</v>
      </c>
      <c r="C7" s="86" t="s">
        <v>472</v>
      </c>
      <c r="D7" s="86" t="s">
        <v>473</v>
      </c>
      <c r="E7" s="86" t="s">
        <v>11</v>
      </c>
      <c r="F7" s="86" t="s">
        <v>24</v>
      </c>
      <c r="G7" s="86" t="s">
        <v>141</v>
      </c>
      <c r="H7" s="88">
        <v>45041</v>
      </c>
      <c r="I7" s="86" t="s">
        <v>140</v>
      </c>
      <c r="J7" s="86" t="s">
        <v>141</v>
      </c>
      <c r="K7" s="86">
        <v>0</v>
      </c>
      <c r="L7" s="86" t="s">
        <v>142</v>
      </c>
      <c r="M7" s="86" t="s">
        <v>838</v>
      </c>
      <c r="N7" s="86">
        <v>4</v>
      </c>
      <c r="O7" s="89">
        <v>1.736111111111111E-3</v>
      </c>
    </row>
    <row r="8" spans="1:17" s="109" customFormat="1" ht="54" customHeight="1" thickTop="1" thickBot="1" x14ac:dyDescent="0.25">
      <c r="A8" s="99"/>
      <c r="B8" s="90" t="s">
        <v>13</v>
      </c>
      <c r="C8" s="80" t="s">
        <v>475</v>
      </c>
      <c r="D8" s="80" t="s">
        <v>476</v>
      </c>
      <c r="E8" s="80" t="s">
        <v>11</v>
      </c>
      <c r="F8" s="80" t="s">
        <v>24</v>
      </c>
      <c r="G8" s="80" t="s">
        <v>141</v>
      </c>
      <c r="H8" s="82">
        <v>45041</v>
      </c>
      <c r="I8" s="86" t="s">
        <v>140</v>
      </c>
      <c r="J8" s="86" t="s">
        <v>141</v>
      </c>
      <c r="K8" s="86">
        <v>0</v>
      </c>
      <c r="L8" s="86" t="s">
        <v>142</v>
      </c>
      <c r="M8" s="86" t="s">
        <v>838</v>
      </c>
      <c r="N8" s="80">
        <v>4</v>
      </c>
      <c r="O8" s="91">
        <v>1.736111111111111E-3</v>
      </c>
    </row>
    <row r="9" spans="1:17" s="109" customFormat="1" ht="54" customHeight="1" thickTop="1" thickBot="1" x14ac:dyDescent="0.25">
      <c r="A9" s="99"/>
      <c r="B9" s="90" t="s">
        <v>13</v>
      </c>
      <c r="C9" s="80" t="s">
        <v>478</v>
      </c>
      <c r="D9" s="80" t="s">
        <v>479</v>
      </c>
      <c r="E9" s="80" t="s">
        <v>11</v>
      </c>
      <c r="F9" s="80" t="s">
        <v>24</v>
      </c>
      <c r="G9" s="80" t="s">
        <v>729</v>
      </c>
      <c r="H9" s="82">
        <v>45041</v>
      </c>
      <c r="I9" s="86" t="s">
        <v>140</v>
      </c>
      <c r="J9" s="86" t="s">
        <v>141</v>
      </c>
      <c r="K9" s="86">
        <v>0</v>
      </c>
      <c r="L9" s="86" t="s">
        <v>142</v>
      </c>
      <c r="M9" s="86" t="s">
        <v>838</v>
      </c>
      <c r="N9" s="80">
        <v>4</v>
      </c>
      <c r="O9" s="91">
        <v>1.736111111111111E-3</v>
      </c>
    </row>
    <row r="10" spans="1:17" s="109" customFormat="1" ht="54" customHeight="1" thickTop="1" thickBot="1" x14ac:dyDescent="0.25">
      <c r="A10" s="99"/>
      <c r="B10" s="90" t="s">
        <v>13</v>
      </c>
      <c r="C10" s="80" t="s">
        <v>480</v>
      </c>
      <c r="D10" s="80" t="s">
        <v>481</v>
      </c>
      <c r="E10" s="80" t="s">
        <v>11</v>
      </c>
      <c r="F10" s="80" t="s">
        <v>24</v>
      </c>
      <c r="G10" s="80" t="s">
        <v>797</v>
      </c>
      <c r="H10" s="82">
        <v>45041</v>
      </c>
      <c r="I10" s="86" t="s">
        <v>140</v>
      </c>
      <c r="J10" s="86" t="s">
        <v>141</v>
      </c>
      <c r="K10" s="86">
        <v>0</v>
      </c>
      <c r="L10" s="86" t="s">
        <v>142</v>
      </c>
      <c r="M10" s="86" t="s">
        <v>838</v>
      </c>
      <c r="N10" s="80">
        <v>4</v>
      </c>
      <c r="O10" s="91">
        <v>1.736111111111111E-3</v>
      </c>
    </row>
    <row r="11" spans="1:17" s="109" customFormat="1" ht="54" customHeight="1" thickTop="1" thickBot="1" x14ac:dyDescent="0.25">
      <c r="A11" s="99"/>
      <c r="B11" s="90" t="s">
        <v>13</v>
      </c>
      <c r="C11" s="80" t="s">
        <v>482</v>
      </c>
      <c r="D11" s="80" t="s">
        <v>483</v>
      </c>
      <c r="E11" s="81" t="s">
        <v>11</v>
      </c>
      <c r="F11" s="81" t="s">
        <v>24</v>
      </c>
      <c r="G11" s="81" t="s">
        <v>163</v>
      </c>
      <c r="H11" s="82">
        <v>45772</v>
      </c>
      <c r="I11" s="86" t="s">
        <v>140</v>
      </c>
      <c r="J11" s="86" t="s">
        <v>63</v>
      </c>
      <c r="K11" s="86">
        <v>0</v>
      </c>
      <c r="L11" s="86" t="s">
        <v>484</v>
      </c>
      <c r="M11" s="86" t="s">
        <v>839</v>
      </c>
      <c r="N11" s="80">
        <v>1</v>
      </c>
      <c r="O11" s="91">
        <v>6.9444444444444447E-4</v>
      </c>
    </row>
    <row r="12" spans="1:17" s="109" customFormat="1" ht="54" customHeight="1" thickTop="1" thickBot="1" x14ac:dyDescent="0.25">
      <c r="A12" s="99"/>
      <c r="B12" s="90" t="s">
        <v>13</v>
      </c>
      <c r="C12" s="80" t="s">
        <v>485</v>
      </c>
      <c r="D12" s="80" t="s">
        <v>486</v>
      </c>
      <c r="E12" s="80" t="s">
        <v>11</v>
      </c>
      <c r="F12" s="80" t="s">
        <v>24</v>
      </c>
      <c r="G12" s="80" t="s">
        <v>141</v>
      </c>
      <c r="H12" s="82">
        <v>45041</v>
      </c>
      <c r="I12" s="86" t="s">
        <v>62</v>
      </c>
      <c r="J12" s="86" t="s">
        <v>141</v>
      </c>
      <c r="K12" s="86">
        <v>0</v>
      </c>
      <c r="L12" s="86" t="s">
        <v>171</v>
      </c>
      <c r="M12" s="86" t="s">
        <v>840</v>
      </c>
      <c r="N12" s="80">
        <v>2</v>
      </c>
      <c r="O12" s="91">
        <v>4.6296296296296293E-4</v>
      </c>
    </row>
    <row r="13" spans="1:17" s="109" customFormat="1" ht="54" customHeight="1" thickTop="1" thickBot="1" x14ac:dyDescent="0.25">
      <c r="A13" s="99"/>
      <c r="B13" s="90" t="s">
        <v>13</v>
      </c>
      <c r="C13" s="80" t="s">
        <v>487</v>
      </c>
      <c r="D13" s="80" t="s">
        <v>488</v>
      </c>
      <c r="E13" s="80" t="s">
        <v>11</v>
      </c>
      <c r="F13" s="80" t="s">
        <v>24</v>
      </c>
      <c r="G13" s="80" t="s">
        <v>797</v>
      </c>
      <c r="H13" s="82">
        <v>45041</v>
      </c>
      <c r="I13" s="86" t="s">
        <v>62</v>
      </c>
      <c r="J13" s="86" t="s">
        <v>141</v>
      </c>
      <c r="K13" s="86">
        <v>0</v>
      </c>
      <c r="L13" s="86" t="s">
        <v>171</v>
      </c>
      <c r="M13" s="86" t="s">
        <v>840</v>
      </c>
      <c r="N13" s="80">
        <v>2</v>
      </c>
      <c r="O13" s="91">
        <v>4.6296296296296293E-4</v>
      </c>
    </row>
    <row r="14" spans="1:17" s="109" customFormat="1" ht="54" customHeight="1" thickTop="1" thickBot="1" x14ac:dyDescent="0.25">
      <c r="A14" s="100"/>
      <c r="B14" s="93" t="s">
        <v>13</v>
      </c>
      <c r="C14" s="94" t="s">
        <v>489</v>
      </c>
      <c r="D14" s="94" t="s">
        <v>490</v>
      </c>
      <c r="E14" s="94" t="s">
        <v>11</v>
      </c>
      <c r="F14" s="94" t="s">
        <v>24</v>
      </c>
      <c r="G14" s="94" t="s">
        <v>763</v>
      </c>
      <c r="H14" s="101">
        <v>45773</v>
      </c>
      <c r="I14" s="86" t="s">
        <v>94</v>
      </c>
      <c r="J14" s="86" t="s">
        <v>63</v>
      </c>
      <c r="K14" s="86">
        <v>0</v>
      </c>
      <c r="L14" s="86" t="s">
        <v>491</v>
      </c>
      <c r="M14" s="86" t="s">
        <v>838</v>
      </c>
      <c r="N14" s="94">
        <v>1</v>
      </c>
      <c r="O14" s="96">
        <v>6.9444444444444447E-4</v>
      </c>
    </row>
    <row r="15" spans="1:17" s="109" customFormat="1" ht="54" customHeight="1" thickTop="1" thickBot="1" x14ac:dyDescent="0.25">
      <c r="A15" s="99"/>
      <c r="B15" s="85" t="s">
        <v>16</v>
      </c>
      <c r="C15" s="86" t="s">
        <v>798</v>
      </c>
      <c r="D15" s="86" t="s">
        <v>211</v>
      </c>
      <c r="E15" s="86" t="s">
        <v>245</v>
      </c>
      <c r="F15" s="86" t="s">
        <v>24</v>
      </c>
      <c r="G15" s="86" t="s">
        <v>731</v>
      </c>
      <c r="H15" s="97">
        <v>45776</v>
      </c>
      <c r="I15" s="86" t="s">
        <v>140</v>
      </c>
      <c r="J15" s="86" t="s">
        <v>141</v>
      </c>
      <c r="K15" s="86">
        <v>0</v>
      </c>
      <c r="L15" s="86" t="s">
        <v>213</v>
      </c>
      <c r="M15" s="86" t="s">
        <v>842</v>
      </c>
      <c r="N15" s="86">
        <v>1</v>
      </c>
      <c r="O15" s="89">
        <v>3.4722222222222224E-4</v>
      </c>
    </row>
    <row r="16" spans="1:17" s="109" customFormat="1" ht="54" customHeight="1" thickTop="1" thickBot="1" x14ac:dyDescent="0.25">
      <c r="A16" s="99"/>
      <c r="B16" s="90" t="s">
        <v>16</v>
      </c>
      <c r="C16" s="80" t="s">
        <v>493</v>
      </c>
      <c r="D16" s="80" t="s">
        <v>211</v>
      </c>
      <c r="E16" s="80" t="s">
        <v>245</v>
      </c>
      <c r="F16" s="80" t="s">
        <v>24</v>
      </c>
      <c r="G16" s="80" t="s">
        <v>731</v>
      </c>
      <c r="H16" s="84">
        <v>45776</v>
      </c>
      <c r="I16" s="86" t="s">
        <v>140</v>
      </c>
      <c r="J16" s="86" t="s">
        <v>141</v>
      </c>
      <c r="K16" s="86">
        <v>0</v>
      </c>
      <c r="L16" s="86" t="s">
        <v>213</v>
      </c>
      <c r="M16" s="86" t="s">
        <v>842</v>
      </c>
      <c r="N16" s="80">
        <v>1</v>
      </c>
      <c r="O16" s="91">
        <v>3.4722222222222224E-4</v>
      </c>
    </row>
    <row r="17" spans="1:15" s="109" customFormat="1" ht="54" customHeight="1" thickTop="1" thickBot="1" x14ac:dyDescent="0.25">
      <c r="A17" s="99"/>
      <c r="B17" s="90" t="s">
        <v>16</v>
      </c>
      <c r="C17" s="80" t="s">
        <v>799</v>
      </c>
      <c r="D17" s="80" t="s">
        <v>495</v>
      </c>
      <c r="E17" s="80" t="s">
        <v>245</v>
      </c>
      <c r="F17" s="80" t="s">
        <v>800</v>
      </c>
      <c r="G17" s="80" t="s">
        <v>564</v>
      </c>
      <c r="H17" s="84">
        <v>45775</v>
      </c>
      <c r="I17" s="86" t="s">
        <v>94</v>
      </c>
      <c r="J17" s="86" t="s">
        <v>141</v>
      </c>
      <c r="K17" s="86">
        <v>0</v>
      </c>
      <c r="L17" s="86" t="s">
        <v>218</v>
      </c>
      <c r="M17" s="86" t="s">
        <v>850</v>
      </c>
      <c r="N17" s="80">
        <v>1</v>
      </c>
      <c r="O17" s="91">
        <v>3.4722222222222224E-4</v>
      </c>
    </row>
    <row r="18" spans="1:15" s="109" customFormat="1" ht="54" customHeight="1" thickTop="1" thickBot="1" x14ac:dyDescent="0.25">
      <c r="A18" s="145"/>
      <c r="B18" s="115" t="s">
        <v>16</v>
      </c>
      <c r="C18" s="108" t="s">
        <v>496</v>
      </c>
      <c r="D18" s="108" t="s">
        <v>220</v>
      </c>
      <c r="E18" s="108" t="s">
        <v>24</v>
      </c>
      <c r="F18" s="108"/>
      <c r="G18" s="108"/>
      <c r="H18" s="108"/>
      <c r="I18" s="86" t="s">
        <v>140</v>
      </c>
      <c r="J18" s="86" t="s">
        <v>141</v>
      </c>
      <c r="K18" s="86">
        <v>0</v>
      </c>
      <c r="L18" s="86" t="s">
        <v>221</v>
      </c>
      <c r="M18" s="86" t="s">
        <v>842</v>
      </c>
      <c r="N18" s="108">
        <v>1</v>
      </c>
      <c r="O18" s="118">
        <v>5.7870370370370378E-4</v>
      </c>
    </row>
    <row r="19" spans="1:15" s="109" customFormat="1" ht="54" customHeight="1" thickTop="1" thickBot="1" x14ac:dyDescent="0.25">
      <c r="A19" s="145"/>
      <c r="B19" s="115" t="s">
        <v>16</v>
      </c>
      <c r="C19" s="108" t="s">
        <v>497</v>
      </c>
      <c r="D19" s="108" t="s">
        <v>223</v>
      </c>
      <c r="E19" s="108" t="s">
        <v>24</v>
      </c>
      <c r="F19" s="108"/>
      <c r="G19" s="108"/>
      <c r="H19" s="108"/>
      <c r="I19" s="86" t="s">
        <v>140</v>
      </c>
      <c r="J19" s="86" t="s">
        <v>141</v>
      </c>
      <c r="K19" s="86">
        <v>0</v>
      </c>
      <c r="L19" s="86" t="s">
        <v>224</v>
      </c>
      <c r="M19" s="86" t="s">
        <v>842</v>
      </c>
      <c r="N19" s="108">
        <v>2</v>
      </c>
      <c r="O19" s="118">
        <v>6.9444444444444447E-4</v>
      </c>
    </row>
    <row r="20" spans="1:15" s="109" customFormat="1" ht="54" customHeight="1" thickTop="1" thickBot="1" x14ac:dyDescent="0.25">
      <c r="A20" s="99"/>
      <c r="B20" s="90" t="s">
        <v>16</v>
      </c>
      <c r="C20" s="80" t="s">
        <v>498</v>
      </c>
      <c r="D20" s="80" t="s">
        <v>226</v>
      </c>
      <c r="E20" s="80" t="s">
        <v>11</v>
      </c>
      <c r="F20" s="80" t="s">
        <v>24</v>
      </c>
      <c r="G20" s="81" t="s">
        <v>227</v>
      </c>
      <c r="H20" s="82">
        <v>45774</v>
      </c>
      <c r="I20" s="86" t="s">
        <v>62</v>
      </c>
      <c r="J20" s="86" t="s">
        <v>141</v>
      </c>
      <c r="K20" s="86">
        <v>0</v>
      </c>
      <c r="L20" s="86" t="s">
        <v>228</v>
      </c>
      <c r="M20" s="86" t="s">
        <v>842</v>
      </c>
      <c r="N20" s="80">
        <v>1</v>
      </c>
      <c r="O20" s="91">
        <v>3.4722222222222224E-4</v>
      </c>
    </row>
    <row r="21" spans="1:15" s="109" customFormat="1" ht="54" customHeight="1" thickTop="1" thickBot="1" x14ac:dyDescent="0.25">
      <c r="A21" s="145"/>
      <c r="B21" s="115" t="s">
        <v>16</v>
      </c>
      <c r="C21" s="108" t="s">
        <v>499</v>
      </c>
      <c r="D21" s="108" t="s">
        <v>230</v>
      </c>
      <c r="E21" s="108" t="s">
        <v>24</v>
      </c>
      <c r="F21" s="108"/>
      <c r="G21" s="108"/>
      <c r="H21" s="108"/>
      <c r="I21" s="86" t="s">
        <v>140</v>
      </c>
      <c r="J21" s="86" t="s">
        <v>63</v>
      </c>
      <c r="K21" s="86">
        <v>0</v>
      </c>
      <c r="L21" s="86" t="s">
        <v>221</v>
      </c>
      <c r="M21" s="86" t="s">
        <v>842</v>
      </c>
      <c r="N21" s="108">
        <v>1</v>
      </c>
      <c r="O21" s="118">
        <v>1.0416666666666667E-3</v>
      </c>
    </row>
    <row r="22" spans="1:15" s="109" customFormat="1" ht="54" customHeight="1" thickTop="1" thickBot="1" x14ac:dyDescent="0.25">
      <c r="A22" s="99"/>
      <c r="B22" s="90" t="s">
        <v>16</v>
      </c>
      <c r="C22" s="80" t="s">
        <v>500</v>
      </c>
      <c r="D22" s="80" t="s">
        <v>232</v>
      </c>
      <c r="E22" s="81" t="s">
        <v>11</v>
      </c>
      <c r="F22" s="81" t="s">
        <v>24</v>
      </c>
      <c r="G22" s="81" t="s">
        <v>233</v>
      </c>
      <c r="H22" s="82">
        <v>45776</v>
      </c>
      <c r="I22" s="86" t="s">
        <v>140</v>
      </c>
      <c r="J22" s="86" t="s">
        <v>141</v>
      </c>
      <c r="K22" s="86">
        <v>0</v>
      </c>
      <c r="L22" s="86" t="s">
        <v>234</v>
      </c>
      <c r="M22" s="86" t="s">
        <v>842</v>
      </c>
      <c r="N22" s="80">
        <v>1</v>
      </c>
      <c r="O22" s="91">
        <v>1.1574074074074073E-4</v>
      </c>
    </row>
    <row r="23" spans="1:15" s="109" customFormat="1" ht="54" customHeight="1" thickTop="1" thickBot="1" x14ac:dyDescent="0.25">
      <c r="A23" s="99"/>
      <c r="B23" s="90" t="s">
        <v>16</v>
      </c>
      <c r="C23" s="80" t="s">
        <v>501</v>
      </c>
      <c r="D23" s="80" t="s">
        <v>502</v>
      </c>
      <c r="E23" s="80" t="s">
        <v>245</v>
      </c>
      <c r="F23" s="80" t="s">
        <v>800</v>
      </c>
      <c r="G23" s="80" t="s">
        <v>564</v>
      </c>
      <c r="H23" s="84">
        <v>45775</v>
      </c>
      <c r="I23" s="86" t="s">
        <v>94</v>
      </c>
      <c r="J23" s="86" t="s">
        <v>141</v>
      </c>
      <c r="K23" s="86">
        <v>0</v>
      </c>
      <c r="L23" s="86" t="s">
        <v>503</v>
      </c>
      <c r="M23" s="86" t="s">
        <v>850</v>
      </c>
      <c r="N23" s="80">
        <v>1</v>
      </c>
      <c r="O23" s="91">
        <v>3.4722222222222224E-4</v>
      </c>
    </row>
    <row r="24" spans="1:15" s="109" customFormat="1" ht="54" customHeight="1" thickTop="1" thickBot="1" x14ac:dyDescent="0.25">
      <c r="A24" s="158"/>
      <c r="B24" s="135" t="s">
        <v>16</v>
      </c>
      <c r="C24" s="136" t="s">
        <v>504</v>
      </c>
      <c r="D24" s="136" t="s">
        <v>244</v>
      </c>
      <c r="E24" s="137" t="s">
        <v>11</v>
      </c>
      <c r="F24" s="137" t="s">
        <v>245</v>
      </c>
      <c r="G24" s="137" t="s">
        <v>246</v>
      </c>
      <c r="H24" s="138">
        <v>45776</v>
      </c>
      <c r="I24" s="86" t="s">
        <v>140</v>
      </c>
      <c r="J24" s="86" t="s">
        <v>141</v>
      </c>
      <c r="K24" s="86">
        <v>0</v>
      </c>
      <c r="L24" s="86" t="s">
        <v>247</v>
      </c>
      <c r="M24" s="86" t="s">
        <v>842</v>
      </c>
      <c r="N24" s="136">
        <v>1</v>
      </c>
      <c r="O24" s="139">
        <v>6.9444444444444447E-4</v>
      </c>
    </row>
    <row r="25" spans="1:15" s="109" customFormat="1" ht="54" customHeight="1" thickTop="1" thickBot="1" x14ac:dyDescent="0.25">
      <c r="A25" s="99"/>
      <c r="B25" s="90" t="s">
        <v>16</v>
      </c>
      <c r="C25" s="80" t="s">
        <v>505</v>
      </c>
      <c r="D25" s="80" t="s">
        <v>269</v>
      </c>
      <c r="E25" s="80" t="s">
        <v>11</v>
      </c>
      <c r="F25" s="80" t="s">
        <v>24</v>
      </c>
      <c r="G25" s="80" t="s">
        <v>266</v>
      </c>
      <c r="H25" s="84">
        <v>45774</v>
      </c>
      <c r="I25" s="86" t="s">
        <v>62</v>
      </c>
      <c r="J25" s="86" t="s">
        <v>141</v>
      </c>
      <c r="K25" s="86">
        <v>0</v>
      </c>
      <c r="L25" s="86" t="s">
        <v>270</v>
      </c>
      <c r="M25" s="86" t="s">
        <v>842</v>
      </c>
      <c r="N25" s="80">
        <v>1</v>
      </c>
      <c r="O25" s="91">
        <v>3.4722222222222224E-4</v>
      </c>
    </row>
    <row r="26" spans="1:15" s="109" customFormat="1" ht="54" customHeight="1" thickTop="1" thickBot="1" x14ac:dyDescent="0.25">
      <c r="A26" s="99"/>
      <c r="B26" s="90" t="s">
        <v>16</v>
      </c>
      <c r="C26" s="80" t="s">
        <v>506</v>
      </c>
      <c r="D26" s="80" t="s">
        <v>507</v>
      </c>
      <c r="E26" s="80" t="s">
        <v>11</v>
      </c>
      <c r="F26" s="80" t="s">
        <v>24</v>
      </c>
      <c r="G26" s="80" t="s">
        <v>801</v>
      </c>
      <c r="H26" s="84">
        <v>45774</v>
      </c>
      <c r="I26" s="86" t="s">
        <v>62</v>
      </c>
      <c r="J26" s="86" t="s">
        <v>141</v>
      </c>
      <c r="K26" s="86">
        <v>0</v>
      </c>
      <c r="L26" s="86" t="s">
        <v>508</v>
      </c>
      <c r="M26" s="86" t="s">
        <v>842</v>
      </c>
      <c r="N26" s="80">
        <v>2</v>
      </c>
      <c r="O26" s="91">
        <v>2.3148148148148146E-4</v>
      </c>
    </row>
    <row r="27" spans="1:15" s="109" customFormat="1" ht="54" customHeight="1" thickTop="1" thickBot="1" x14ac:dyDescent="0.25">
      <c r="A27" s="99"/>
      <c r="B27" s="90" t="s">
        <v>16</v>
      </c>
      <c r="C27" s="80" t="s">
        <v>509</v>
      </c>
      <c r="D27" s="80" t="s">
        <v>510</v>
      </c>
      <c r="E27" s="80" t="s">
        <v>245</v>
      </c>
      <c r="F27" s="80" t="s">
        <v>800</v>
      </c>
      <c r="G27" s="80" t="s">
        <v>217</v>
      </c>
      <c r="H27" s="84">
        <v>45775</v>
      </c>
      <c r="I27" s="86" t="s">
        <v>94</v>
      </c>
      <c r="J27" s="86" t="s">
        <v>141</v>
      </c>
      <c r="K27" s="86">
        <v>0</v>
      </c>
      <c r="L27" s="86" t="s">
        <v>511</v>
      </c>
      <c r="M27" s="86" t="s">
        <v>850</v>
      </c>
      <c r="N27" s="80">
        <v>1</v>
      </c>
      <c r="O27" s="91">
        <v>3.4722222222222224E-4</v>
      </c>
    </row>
    <row r="28" spans="1:15" s="109" customFormat="1" ht="54" customHeight="1" thickTop="1" thickBot="1" x14ac:dyDescent="0.25">
      <c r="A28" s="99"/>
      <c r="B28" s="90" t="s">
        <v>16</v>
      </c>
      <c r="C28" s="80" t="s">
        <v>512</v>
      </c>
      <c r="D28" s="80" t="s">
        <v>513</v>
      </c>
      <c r="E28" s="80" t="s">
        <v>11</v>
      </c>
      <c r="F28" s="80" t="s">
        <v>24</v>
      </c>
      <c r="G28" s="80" t="s">
        <v>801</v>
      </c>
      <c r="H28" s="84">
        <v>45774</v>
      </c>
      <c r="I28" s="86" t="s">
        <v>62</v>
      </c>
      <c r="J28" s="86" t="s">
        <v>141</v>
      </c>
      <c r="K28" s="86">
        <v>0</v>
      </c>
      <c r="L28" s="86" t="s">
        <v>514</v>
      </c>
      <c r="M28" s="86" t="s">
        <v>842</v>
      </c>
      <c r="N28" s="80">
        <v>1</v>
      </c>
      <c r="O28" s="91">
        <v>4.6296296296296293E-4</v>
      </c>
    </row>
    <row r="29" spans="1:15" s="109" customFormat="1" ht="54" customHeight="1" thickTop="1" thickBot="1" x14ac:dyDescent="0.25">
      <c r="A29" s="145"/>
      <c r="B29" s="115" t="s">
        <v>16</v>
      </c>
      <c r="C29" s="108" t="s">
        <v>515</v>
      </c>
      <c r="D29" s="108" t="s">
        <v>516</v>
      </c>
      <c r="E29" s="108" t="s">
        <v>24</v>
      </c>
      <c r="F29" s="108"/>
      <c r="G29" s="108"/>
      <c r="H29" s="108"/>
      <c r="I29" s="86" t="s">
        <v>62</v>
      </c>
      <c r="J29" s="86" t="s">
        <v>63</v>
      </c>
      <c r="K29" s="86">
        <v>0</v>
      </c>
      <c r="L29" s="86" t="s">
        <v>517</v>
      </c>
      <c r="M29" s="86" t="s">
        <v>842</v>
      </c>
      <c r="N29" s="108">
        <v>1</v>
      </c>
      <c r="O29" s="118">
        <v>6.9444444444444447E-4</v>
      </c>
    </row>
    <row r="30" spans="1:15" s="109" customFormat="1" ht="54" customHeight="1" thickTop="1" thickBot="1" x14ac:dyDescent="0.25">
      <c r="A30" s="99"/>
      <c r="B30" s="90" t="s">
        <v>16</v>
      </c>
      <c r="C30" s="80" t="s">
        <v>518</v>
      </c>
      <c r="D30" s="80" t="s">
        <v>519</v>
      </c>
      <c r="E30" s="80" t="s">
        <v>245</v>
      </c>
      <c r="F30" s="80" t="s">
        <v>800</v>
      </c>
      <c r="G30" s="80" t="s">
        <v>217</v>
      </c>
      <c r="H30" s="84">
        <v>45775</v>
      </c>
      <c r="I30" s="86" t="s">
        <v>94</v>
      </c>
      <c r="J30" s="86" t="s">
        <v>141</v>
      </c>
      <c r="K30" s="86">
        <v>0</v>
      </c>
      <c r="L30" s="86" t="s">
        <v>277</v>
      </c>
      <c r="M30" s="86" t="s">
        <v>850</v>
      </c>
      <c r="N30" s="80">
        <v>1</v>
      </c>
      <c r="O30" s="91">
        <v>3.4722222222222224E-4</v>
      </c>
    </row>
    <row r="31" spans="1:15" s="109" customFormat="1" ht="54" customHeight="1" thickTop="1" thickBot="1" x14ac:dyDescent="0.25">
      <c r="A31" s="99"/>
      <c r="B31" s="90" t="s">
        <v>16</v>
      </c>
      <c r="C31" s="80" t="s">
        <v>520</v>
      </c>
      <c r="D31" s="80" t="s">
        <v>521</v>
      </c>
      <c r="E31" s="80" t="s">
        <v>245</v>
      </c>
      <c r="F31" s="80" t="s">
        <v>800</v>
      </c>
      <c r="G31" s="80" t="s">
        <v>217</v>
      </c>
      <c r="H31" s="84">
        <v>45775</v>
      </c>
      <c r="I31" s="86" t="s">
        <v>94</v>
      </c>
      <c r="J31" s="86" t="s">
        <v>141</v>
      </c>
      <c r="K31" s="86">
        <v>0</v>
      </c>
      <c r="L31" s="86" t="s">
        <v>283</v>
      </c>
      <c r="M31" s="86" t="s">
        <v>850</v>
      </c>
      <c r="N31" s="80">
        <v>1</v>
      </c>
      <c r="O31" s="91">
        <v>6.9444444444444447E-4</v>
      </c>
    </row>
    <row r="32" spans="1:15" s="109" customFormat="1" ht="54" customHeight="1" thickTop="1" thickBot="1" x14ac:dyDescent="0.25">
      <c r="A32" s="99"/>
      <c r="B32" s="90" t="s">
        <v>16</v>
      </c>
      <c r="C32" s="80" t="s">
        <v>522</v>
      </c>
      <c r="D32" s="80" t="s">
        <v>285</v>
      </c>
      <c r="E32" s="80" t="s">
        <v>245</v>
      </c>
      <c r="F32" s="80" t="s">
        <v>24</v>
      </c>
      <c r="G32" s="80" t="s">
        <v>735</v>
      </c>
      <c r="H32" s="84">
        <v>45775</v>
      </c>
      <c r="I32" s="86" t="s">
        <v>62</v>
      </c>
      <c r="J32" s="86" t="s">
        <v>141</v>
      </c>
      <c r="K32" s="86">
        <v>0</v>
      </c>
      <c r="L32" s="86" t="s">
        <v>287</v>
      </c>
      <c r="M32" s="86" t="s">
        <v>842</v>
      </c>
      <c r="N32" s="80">
        <v>1</v>
      </c>
      <c r="O32" s="91">
        <v>3.4722222222222224E-4</v>
      </c>
    </row>
    <row r="33" spans="1:15" s="109" customFormat="1" ht="54" customHeight="1" thickTop="1" thickBot="1" x14ac:dyDescent="0.25">
      <c r="A33" s="145"/>
      <c r="B33" s="115" t="s">
        <v>16</v>
      </c>
      <c r="C33" s="108" t="s">
        <v>524</v>
      </c>
      <c r="D33" s="108" t="s">
        <v>525</v>
      </c>
      <c r="E33" s="108" t="s">
        <v>24</v>
      </c>
      <c r="F33" s="108"/>
      <c r="G33" s="108"/>
      <c r="H33" s="108"/>
      <c r="I33" s="86" t="s">
        <v>62</v>
      </c>
      <c r="J33" s="86" t="s">
        <v>141</v>
      </c>
      <c r="K33" s="86">
        <v>0</v>
      </c>
      <c r="L33" s="86" t="s">
        <v>526</v>
      </c>
      <c r="M33" s="86" t="s">
        <v>842</v>
      </c>
      <c r="N33" s="108">
        <v>1</v>
      </c>
      <c r="O33" s="118">
        <v>5.7870370370370378E-4</v>
      </c>
    </row>
    <row r="34" spans="1:15" s="109" customFormat="1" ht="54" customHeight="1" thickTop="1" thickBot="1" x14ac:dyDescent="0.25">
      <c r="A34" s="99"/>
      <c r="B34" s="90" t="s">
        <v>16</v>
      </c>
      <c r="C34" s="80" t="s">
        <v>527</v>
      </c>
      <c r="D34" s="80" t="s">
        <v>528</v>
      </c>
      <c r="E34" s="80" t="s">
        <v>11</v>
      </c>
      <c r="F34" s="80" t="s">
        <v>24</v>
      </c>
      <c r="G34" s="80" t="s">
        <v>801</v>
      </c>
      <c r="H34" s="84">
        <v>45774</v>
      </c>
      <c r="I34" s="86" t="s">
        <v>62</v>
      </c>
      <c r="J34" s="86" t="s">
        <v>141</v>
      </c>
      <c r="K34" s="86">
        <v>0</v>
      </c>
      <c r="L34" s="86" t="s">
        <v>529</v>
      </c>
      <c r="M34" s="86" t="s">
        <v>842</v>
      </c>
      <c r="N34" s="80">
        <v>1</v>
      </c>
      <c r="O34" s="91">
        <v>2.3148148148148146E-4</v>
      </c>
    </row>
    <row r="35" spans="1:15" s="109" customFormat="1" ht="54" customHeight="1" thickTop="1" thickBot="1" x14ac:dyDescent="0.25">
      <c r="A35" s="99"/>
      <c r="B35" s="90" t="s">
        <v>16</v>
      </c>
      <c r="C35" s="80" t="s">
        <v>530</v>
      </c>
      <c r="D35" s="80" t="s">
        <v>289</v>
      </c>
      <c r="E35" s="80" t="s">
        <v>245</v>
      </c>
      <c r="F35" s="80" t="s">
        <v>24</v>
      </c>
      <c r="G35" s="80" t="s">
        <v>736</v>
      </c>
      <c r="H35" s="84">
        <v>45772</v>
      </c>
      <c r="I35" s="86" t="s">
        <v>140</v>
      </c>
      <c r="J35" s="86" t="s">
        <v>141</v>
      </c>
      <c r="K35" s="86">
        <v>0</v>
      </c>
      <c r="L35" s="86" t="s">
        <v>291</v>
      </c>
      <c r="M35" s="86" t="s">
        <v>842</v>
      </c>
      <c r="N35" s="80">
        <v>1</v>
      </c>
      <c r="O35" s="91">
        <v>6.9444444444444447E-4</v>
      </c>
    </row>
    <row r="36" spans="1:15" s="109" customFormat="1" ht="54" customHeight="1" thickTop="1" thickBot="1" x14ac:dyDescent="0.25">
      <c r="A36" s="99"/>
      <c r="B36" s="90" t="s">
        <v>16</v>
      </c>
      <c r="C36" s="80" t="s">
        <v>531</v>
      </c>
      <c r="D36" s="80" t="s">
        <v>532</v>
      </c>
      <c r="E36" s="80" t="s">
        <v>245</v>
      </c>
      <c r="F36" s="80" t="s">
        <v>24</v>
      </c>
      <c r="G36" s="80" t="s">
        <v>737</v>
      </c>
      <c r="H36" s="84">
        <v>45775</v>
      </c>
      <c r="I36" s="86" t="s">
        <v>140</v>
      </c>
      <c r="J36" s="86" t="s">
        <v>141</v>
      </c>
      <c r="K36" s="86">
        <v>0</v>
      </c>
      <c r="L36" s="86" t="s">
        <v>311</v>
      </c>
      <c r="M36" s="86" t="s">
        <v>842</v>
      </c>
      <c r="N36" s="80">
        <v>1</v>
      </c>
      <c r="O36" s="91">
        <v>8.6805555555555551E-4</v>
      </c>
    </row>
    <row r="37" spans="1:15" s="109" customFormat="1" ht="54" customHeight="1" thickTop="1" thickBot="1" x14ac:dyDescent="0.25">
      <c r="A37" s="99"/>
      <c r="B37" s="90" t="s">
        <v>16</v>
      </c>
      <c r="C37" s="80" t="s">
        <v>799</v>
      </c>
      <c r="D37" s="80" t="s">
        <v>670</v>
      </c>
      <c r="E37" s="80" t="s">
        <v>245</v>
      </c>
      <c r="F37" s="80" t="s">
        <v>665</v>
      </c>
      <c r="G37" s="80" t="s">
        <v>564</v>
      </c>
      <c r="H37" s="84">
        <v>45775</v>
      </c>
      <c r="I37" s="86" t="s">
        <v>94</v>
      </c>
      <c r="J37" s="86" t="s">
        <v>141</v>
      </c>
      <c r="K37" s="86">
        <v>0</v>
      </c>
      <c r="L37" s="86" t="s">
        <v>218</v>
      </c>
      <c r="M37" s="86" t="s">
        <v>850</v>
      </c>
      <c r="N37" s="80">
        <v>1</v>
      </c>
      <c r="O37" s="91">
        <v>3.4722222222222224E-4</v>
      </c>
    </row>
    <row r="38" spans="1:15" s="109" customFormat="1" ht="54" customHeight="1" thickTop="1" thickBot="1" x14ac:dyDescent="0.25">
      <c r="A38" s="99"/>
      <c r="B38" s="90" t="s">
        <v>16</v>
      </c>
      <c r="C38" s="80" t="s">
        <v>534</v>
      </c>
      <c r="D38" s="80" t="s">
        <v>535</v>
      </c>
      <c r="E38" s="81" t="s">
        <v>11</v>
      </c>
      <c r="F38" s="81" t="s">
        <v>24</v>
      </c>
      <c r="G38" s="81" t="s">
        <v>314</v>
      </c>
      <c r="H38" s="82">
        <v>45776</v>
      </c>
      <c r="I38" s="86" t="s">
        <v>140</v>
      </c>
      <c r="J38" s="86" t="s">
        <v>141</v>
      </c>
      <c r="K38" s="86">
        <v>0</v>
      </c>
      <c r="L38" s="86" t="s">
        <v>315</v>
      </c>
      <c r="M38" s="86" t="s">
        <v>842</v>
      </c>
      <c r="N38" s="80">
        <v>1</v>
      </c>
      <c r="O38" s="91">
        <v>6.9444444444444447E-4</v>
      </c>
    </row>
    <row r="39" spans="1:15" s="109" customFormat="1" ht="54" customHeight="1" thickTop="1" thickBot="1" x14ac:dyDescent="0.25">
      <c r="A39" s="99"/>
      <c r="B39" s="93" t="s">
        <v>16</v>
      </c>
      <c r="C39" s="94" t="s">
        <v>536</v>
      </c>
      <c r="D39" s="94" t="s">
        <v>537</v>
      </c>
      <c r="E39" s="95" t="s">
        <v>11</v>
      </c>
      <c r="F39" s="95" t="s">
        <v>24</v>
      </c>
      <c r="G39" s="95" t="s">
        <v>314</v>
      </c>
      <c r="H39" s="143">
        <v>45776</v>
      </c>
      <c r="I39" s="86" t="s">
        <v>140</v>
      </c>
      <c r="J39" s="86" t="s">
        <v>141</v>
      </c>
      <c r="K39" s="86">
        <v>0</v>
      </c>
      <c r="L39" s="86" t="s">
        <v>315</v>
      </c>
      <c r="M39" s="86" t="s">
        <v>842</v>
      </c>
      <c r="N39" s="94">
        <v>1</v>
      </c>
      <c r="O39" s="96">
        <v>6.9444444444444447E-4</v>
      </c>
    </row>
    <row r="40" spans="1:15" s="109" customFormat="1" ht="54" customHeight="1" thickTop="1" thickBot="1" x14ac:dyDescent="0.25">
      <c r="A40" s="100"/>
      <c r="B40" s="85" t="s">
        <v>16</v>
      </c>
      <c r="C40" s="86" t="s">
        <v>538</v>
      </c>
      <c r="D40" s="86" t="s">
        <v>539</v>
      </c>
      <c r="E40" s="86" t="s">
        <v>11</v>
      </c>
      <c r="F40" s="86" t="s">
        <v>24</v>
      </c>
      <c r="G40" s="86" t="s">
        <v>593</v>
      </c>
      <c r="H40" s="97">
        <v>45773</v>
      </c>
      <c r="I40" s="86" t="s">
        <v>62</v>
      </c>
      <c r="J40" s="86" t="s">
        <v>63</v>
      </c>
      <c r="K40" s="86">
        <v>0</v>
      </c>
      <c r="L40" s="86" t="s">
        <v>541</v>
      </c>
      <c r="M40" s="86" t="s">
        <v>839</v>
      </c>
      <c r="N40" s="86">
        <v>2</v>
      </c>
      <c r="O40" s="89">
        <v>4.6296296296296293E-4</v>
      </c>
    </row>
    <row r="41" spans="1:15" s="109" customFormat="1" ht="54" customHeight="1" thickTop="1" thickBot="1" x14ac:dyDescent="0.25">
      <c r="A41" s="145"/>
      <c r="B41" s="115" t="s">
        <v>20</v>
      </c>
      <c r="C41" s="108" t="s">
        <v>542</v>
      </c>
      <c r="D41" s="108" t="s">
        <v>543</v>
      </c>
      <c r="E41" s="108" t="s">
        <v>24</v>
      </c>
      <c r="F41" s="108"/>
      <c r="G41" s="108"/>
      <c r="H41" s="108"/>
      <c r="I41" s="86" t="s">
        <v>140</v>
      </c>
      <c r="J41" s="86" t="s">
        <v>141</v>
      </c>
      <c r="K41" s="86">
        <v>0</v>
      </c>
      <c r="L41" s="86" t="s">
        <v>348</v>
      </c>
      <c r="M41" s="86" t="s">
        <v>845</v>
      </c>
      <c r="N41" s="108">
        <v>2</v>
      </c>
      <c r="O41" s="118">
        <v>2.0833333333333333E-3</v>
      </c>
    </row>
    <row r="42" spans="1:15" s="109" customFormat="1" ht="54" customHeight="1" thickTop="1" thickBot="1" x14ac:dyDescent="0.25">
      <c r="A42" s="145"/>
      <c r="B42" s="115" t="s">
        <v>20</v>
      </c>
      <c r="C42" s="108" t="s">
        <v>834</v>
      </c>
      <c r="D42" s="108" t="s">
        <v>802</v>
      </c>
      <c r="E42" s="108" t="str">
        <f>'DM 4 Car'!E89</f>
        <v>No</v>
      </c>
      <c r="F42" s="108">
        <f>'DM 4 Car'!F89</f>
        <v>0</v>
      </c>
      <c r="G42" s="108">
        <f>'DM 4 Car'!G89</f>
        <v>0</v>
      </c>
      <c r="H42" s="108">
        <f>'DM 4 Car'!H89</f>
        <v>0</v>
      </c>
      <c r="I42" s="86" t="s">
        <v>140</v>
      </c>
      <c r="J42" s="86" t="s">
        <v>141</v>
      </c>
      <c r="K42" s="86">
        <v>0</v>
      </c>
      <c r="L42" s="86" t="s">
        <v>342</v>
      </c>
      <c r="M42" s="86" t="s">
        <v>845</v>
      </c>
      <c r="N42" s="108">
        <v>4</v>
      </c>
      <c r="O42" s="118">
        <v>5.208333333333333E-3</v>
      </c>
    </row>
    <row r="43" spans="1:15" s="109" customFormat="1" ht="54" customHeight="1" thickTop="1" thickBot="1" x14ac:dyDescent="0.25">
      <c r="A43" s="145"/>
      <c r="B43" s="115" t="s">
        <v>20</v>
      </c>
      <c r="C43" s="108" t="s">
        <v>545</v>
      </c>
      <c r="D43" s="108" t="s">
        <v>546</v>
      </c>
      <c r="E43" s="108" t="s">
        <v>24</v>
      </c>
      <c r="F43" s="108"/>
      <c r="G43" s="108"/>
      <c r="H43" s="108"/>
      <c r="I43" s="86" t="s">
        <v>140</v>
      </c>
      <c r="J43" s="86" t="s">
        <v>141</v>
      </c>
      <c r="K43" s="86">
        <v>0</v>
      </c>
      <c r="L43" s="86" t="s">
        <v>348</v>
      </c>
      <c r="M43" s="86" t="s">
        <v>845</v>
      </c>
      <c r="N43" s="108">
        <v>2</v>
      </c>
      <c r="O43" s="118">
        <v>2.0833333333333333E-3</v>
      </c>
    </row>
    <row r="44" spans="1:15" s="109" customFormat="1" ht="54" customHeight="1" thickTop="1" thickBot="1" x14ac:dyDescent="0.25">
      <c r="A44" s="145"/>
      <c r="B44" s="115" t="s">
        <v>20</v>
      </c>
      <c r="C44" s="108" t="s">
        <v>547</v>
      </c>
      <c r="D44" s="108" t="s">
        <v>803</v>
      </c>
      <c r="E44" s="108" t="s">
        <v>24</v>
      </c>
      <c r="F44" s="108"/>
      <c r="G44" s="108"/>
      <c r="H44" s="108"/>
      <c r="I44" s="86" t="s">
        <v>140</v>
      </c>
      <c r="J44" s="86" t="s">
        <v>141</v>
      </c>
      <c r="K44" s="86">
        <v>0</v>
      </c>
      <c r="L44" s="86" t="s">
        <v>342</v>
      </c>
      <c r="M44" s="86" t="s">
        <v>845</v>
      </c>
      <c r="N44" s="108">
        <v>4</v>
      </c>
      <c r="O44" s="118">
        <v>5.208333333333333E-3</v>
      </c>
    </row>
    <row r="45" spans="1:15" s="109" customFormat="1" ht="54" customHeight="1" thickTop="1" thickBot="1" x14ac:dyDescent="0.25">
      <c r="A45" s="145"/>
      <c r="B45" s="115" t="s">
        <v>20</v>
      </c>
      <c r="C45" s="108" t="s">
        <v>549</v>
      </c>
      <c r="D45" s="108" t="s">
        <v>550</v>
      </c>
      <c r="E45" s="108" t="s">
        <v>24</v>
      </c>
      <c r="F45" s="108"/>
      <c r="G45" s="108"/>
      <c r="H45" s="108"/>
      <c r="I45" s="86" t="s">
        <v>140</v>
      </c>
      <c r="J45" s="86" t="s">
        <v>141</v>
      </c>
      <c r="K45" s="86">
        <v>0</v>
      </c>
      <c r="L45" s="86" t="s">
        <v>551</v>
      </c>
      <c r="M45" s="86" t="s">
        <v>842</v>
      </c>
      <c r="N45" s="108">
        <v>2</v>
      </c>
      <c r="O45" s="118">
        <v>2.0833333333333333E-3</v>
      </c>
    </row>
    <row r="46" spans="1:15" s="109" customFormat="1" ht="54" customHeight="1" thickTop="1" thickBot="1" x14ac:dyDescent="0.25">
      <c r="A46" s="145"/>
      <c r="B46" s="115" t="s">
        <v>20</v>
      </c>
      <c r="C46" s="108" t="s">
        <v>552</v>
      </c>
      <c r="D46" s="108" t="s">
        <v>362</v>
      </c>
      <c r="E46" s="108" t="s">
        <v>24</v>
      </c>
      <c r="F46" s="108"/>
      <c r="G46" s="108"/>
      <c r="H46" s="108"/>
      <c r="I46" s="86" t="s">
        <v>140</v>
      </c>
      <c r="J46" s="86" t="s">
        <v>141</v>
      </c>
      <c r="K46" s="86">
        <v>0</v>
      </c>
      <c r="L46" s="86" t="s">
        <v>363</v>
      </c>
      <c r="M46" s="86" t="s">
        <v>842</v>
      </c>
      <c r="N46" s="108">
        <v>2</v>
      </c>
      <c r="O46" s="118">
        <v>3.4722222222222224E-4</v>
      </c>
    </row>
    <row r="47" spans="1:15" s="109" customFormat="1" ht="54" customHeight="1" thickTop="1" thickBot="1" x14ac:dyDescent="0.25">
      <c r="A47" s="145"/>
      <c r="B47" s="115" t="s">
        <v>20</v>
      </c>
      <c r="C47" s="108" t="s">
        <v>553</v>
      </c>
      <c r="D47" s="108" t="s">
        <v>804</v>
      </c>
      <c r="E47" s="108" t="s">
        <v>24</v>
      </c>
      <c r="F47" s="108"/>
      <c r="G47" s="108"/>
      <c r="H47" s="108"/>
      <c r="I47" s="86" t="s">
        <v>62</v>
      </c>
      <c r="J47" s="86" t="s">
        <v>141</v>
      </c>
      <c r="K47" s="86">
        <v>0</v>
      </c>
      <c r="L47" s="86" t="s">
        <v>366</v>
      </c>
      <c r="M47" s="86" t="s">
        <v>840</v>
      </c>
      <c r="N47" s="108">
        <v>2</v>
      </c>
      <c r="O47" s="118">
        <v>4.6296296296296293E-4</v>
      </c>
    </row>
    <row r="48" spans="1:15" s="109" customFormat="1" ht="54" customHeight="1" thickTop="1" thickBot="1" x14ac:dyDescent="0.25">
      <c r="A48" s="145"/>
      <c r="B48" s="115" t="s">
        <v>20</v>
      </c>
      <c r="C48" s="108" t="s">
        <v>555</v>
      </c>
      <c r="D48" s="108" t="s">
        <v>556</v>
      </c>
      <c r="E48" s="108" t="s">
        <v>24</v>
      </c>
      <c r="F48" s="108"/>
      <c r="G48" s="108"/>
      <c r="H48" s="108"/>
      <c r="I48" s="86" t="s">
        <v>140</v>
      </c>
      <c r="J48" s="86" t="s">
        <v>141</v>
      </c>
      <c r="K48" s="86">
        <v>0</v>
      </c>
      <c r="L48" s="86" t="s">
        <v>557</v>
      </c>
      <c r="M48" s="86" t="s">
        <v>842</v>
      </c>
      <c r="N48" s="108">
        <v>1</v>
      </c>
      <c r="O48" s="118">
        <v>6.9444444444444447E-4</v>
      </c>
    </row>
    <row r="49" spans="1:16" s="109" customFormat="1" ht="54" customHeight="1" thickTop="1" thickBot="1" x14ac:dyDescent="0.25">
      <c r="A49" s="99"/>
      <c r="B49" s="90" t="s">
        <v>20</v>
      </c>
      <c r="C49" s="80" t="s">
        <v>558</v>
      </c>
      <c r="D49" s="80" t="s">
        <v>559</v>
      </c>
      <c r="E49" s="80" t="s">
        <v>11</v>
      </c>
      <c r="F49" s="80" t="s">
        <v>24</v>
      </c>
      <c r="G49" s="80" t="s">
        <v>560</v>
      </c>
      <c r="H49" s="84">
        <v>45773</v>
      </c>
      <c r="I49" s="86" t="s">
        <v>140</v>
      </c>
      <c r="J49" s="86" t="s">
        <v>141</v>
      </c>
      <c r="K49" s="86">
        <v>0</v>
      </c>
      <c r="L49" s="86" t="s">
        <v>561</v>
      </c>
      <c r="M49" s="86" t="s">
        <v>843</v>
      </c>
      <c r="N49" s="80">
        <v>1</v>
      </c>
      <c r="O49" s="91">
        <v>3.4722222222222224E-4</v>
      </c>
    </row>
    <row r="50" spans="1:16" s="109" customFormat="1" ht="54" customHeight="1" thickTop="1" thickBot="1" x14ac:dyDescent="0.25">
      <c r="A50" s="99"/>
      <c r="B50" s="90" t="s">
        <v>20</v>
      </c>
      <c r="C50" s="80" t="s">
        <v>562</v>
      </c>
      <c r="D50" s="80" t="s">
        <v>805</v>
      </c>
      <c r="E50" s="80" t="s">
        <v>11</v>
      </c>
      <c r="F50" s="80" t="s">
        <v>24</v>
      </c>
      <c r="G50" s="80" t="s">
        <v>217</v>
      </c>
      <c r="H50" s="84">
        <v>45775</v>
      </c>
      <c r="I50" s="86" t="s">
        <v>94</v>
      </c>
      <c r="J50" s="86" t="s">
        <v>141</v>
      </c>
      <c r="K50" s="86">
        <v>0</v>
      </c>
      <c r="L50" s="86" t="s">
        <v>565</v>
      </c>
      <c r="M50" s="86" t="s">
        <v>850</v>
      </c>
      <c r="N50" s="80">
        <v>1</v>
      </c>
      <c r="O50" s="91">
        <v>6.9444444444444447E-4</v>
      </c>
    </row>
    <row r="51" spans="1:16" s="109" customFormat="1" ht="54" customHeight="1" thickTop="1" thickBot="1" x14ac:dyDescent="0.25">
      <c r="A51" s="99"/>
      <c r="B51" s="90" t="s">
        <v>20</v>
      </c>
      <c r="C51" s="80" t="s">
        <v>806</v>
      </c>
      <c r="D51" s="80" t="s">
        <v>567</v>
      </c>
      <c r="E51" s="80" t="s">
        <v>11</v>
      </c>
      <c r="F51" s="80" t="s">
        <v>24</v>
      </c>
      <c r="G51" s="80" t="s">
        <v>593</v>
      </c>
      <c r="H51" s="84">
        <v>45773</v>
      </c>
      <c r="I51" s="86" t="s">
        <v>62</v>
      </c>
      <c r="J51" s="86" t="s">
        <v>63</v>
      </c>
      <c r="K51" s="86">
        <v>0</v>
      </c>
      <c r="L51" s="86" t="s">
        <v>568</v>
      </c>
      <c r="M51" s="86" t="s">
        <v>839</v>
      </c>
      <c r="N51" s="80">
        <v>2</v>
      </c>
      <c r="O51" s="91">
        <v>2.0833333333333333E-3</v>
      </c>
    </row>
    <row r="52" spans="1:16" s="109" customFormat="1" ht="54" customHeight="1" thickTop="1" thickBot="1" x14ac:dyDescent="0.25">
      <c r="A52" s="99"/>
      <c r="B52" s="90" t="s">
        <v>20</v>
      </c>
      <c r="C52" s="80" t="s">
        <v>569</v>
      </c>
      <c r="D52" s="80" t="s">
        <v>570</v>
      </c>
      <c r="E52" s="80" t="s">
        <v>11</v>
      </c>
      <c r="F52" s="80" t="s">
        <v>24</v>
      </c>
      <c r="G52" s="80" t="s">
        <v>593</v>
      </c>
      <c r="H52" s="84">
        <v>45773</v>
      </c>
      <c r="I52" s="86" t="s">
        <v>62</v>
      </c>
      <c r="J52" s="86" t="s">
        <v>63</v>
      </c>
      <c r="K52" s="86">
        <v>0</v>
      </c>
      <c r="L52" s="86" t="s">
        <v>571</v>
      </c>
      <c r="M52" s="86" t="s">
        <v>839</v>
      </c>
      <c r="N52" s="80">
        <v>2</v>
      </c>
      <c r="O52" s="91">
        <v>6.9444444444444447E-4</v>
      </c>
    </row>
    <row r="53" spans="1:16" s="109" customFormat="1" ht="54" customHeight="1" thickTop="1" thickBot="1" x14ac:dyDescent="0.25">
      <c r="A53" s="145"/>
      <c r="B53" s="115" t="s">
        <v>20</v>
      </c>
      <c r="C53" s="108" t="s">
        <v>807</v>
      </c>
      <c r="D53" s="108" t="s">
        <v>573</v>
      </c>
      <c r="E53" s="148" t="s">
        <v>24</v>
      </c>
      <c r="F53" s="148"/>
      <c r="G53" s="108"/>
      <c r="H53" s="125"/>
      <c r="I53" s="86" t="s">
        <v>62</v>
      </c>
      <c r="J53" s="86" t="s">
        <v>63</v>
      </c>
      <c r="K53" s="86">
        <v>0</v>
      </c>
      <c r="L53" s="86" t="s">
        <v>574</v>
      </c>
      <c r="M53" s="86" t="s">
        <v>835</v>
      </c>
      <c r="N53" s="108">
        <v>2</v>
      </c>
      <c r="O53" s="118">
        <v>6.9444444444444447E-4</v>
      </c>
    </row>
    <row r="54" spans="1:16" s="109" customFormat="1" ht="54" customHeight="1" thickTop="1" thickBot="1" x14ac:dyDescent="0.25">
      <c r="A54" s="99"/>
      <c r="B54" s="90" t="s">
        <v>20</v>
      </c>
      <c r="C54" s="80" t="s">
        <v>575</v>
      </c>
      <c r="D54" s="80" t="s">
        <v>576</v>
      </c>
      <c r="E54" s="80" t="s">
        <v>11</v>
      </c>
      <c r="F54" s="80" t="s">
        <v>24</v>
      </c>
      <c r="G54" s="80" t="s">
        <v>593</v>
      </c>
      <c r="H54" s="84">
        <v>45773</v>
      </c>
      <c r="I54" s="86" t="s">
        <v>62</v>
      </c>
      <c r="J54" s="86" t="s">
        <v>63</v>
      </c>
      <c r="K54" s="86">
        <v>0</v>
      </c>
      <c r="L54" s="86" t="s">
        <v>577</v>
      </c>
      <c r="M54" s="86" t="s">
        <v>839</v>
      </c>
      <c r="N54" s="80">
        <v>2</v>
      </c>
      <c r="O54" s="91">
        <v>6.9444444444444447E-4</v>
      </c>
    </row>
    <row r="55" spans="1:16" s="109" customFormat="1" ht="54" customHeight="1" thickTop="1" thickBot="1" x14ac:dyDescent="0.25">
      <c r="A55" s="145"/>
      <c r="B55" s="115" t="s">
        <v>20</v>
      </c>
      <c r="C55" s="108" t="s">
        <v>808</v>
      </c>
      <c r="D55" s="108" t="s">
        <v>402</v>
      </c>
      <c r="E55" s="108" t="s">
        <v>24</v>
      </c>
      <c r="F55" s="108"/>
      <c r="G55" s="108"/>
      <c r="H55" s="108"/>
      <c r="I55" s="86" t="s">
        <v>94</v>
      </c>
      <c r="J55" s="86" t="s">
        <v>63</v>
      </c>
      <c r="K55" s="86">
        <v>0</v>
      </c>
      <c r="L55" s="86" t="s">
        <v>403</v>
      </c>
      <c r="M55" s="86" t="s">
        <v>838</v>
      </c>
      <c r="N55" s="108">
        <v>4</v>
      </c>
      <c r="O55" s="118">
        <v>2.0833333333333333E-3</v>
      </c>
    </row>
    <row r="56" spans="1:16" s="109" customFormat="1" ht="54" customHeight="1" thickTop="1" thickBot="1" x14ac:dyDescent="0.25">
      <c r="A56" s="146"/>
      <c r="B56" s="120" t="s">
        <v>20</v>
      </c>
      <c r="C56" s="121" t="s">
        <v>809</v>
      </c>
      <c r="D56" s="121" t="s">
        <v>414</v>
      </c>
      <c r="E56" s="121" t="s">
        <v>24</v>
      </c>
      <c r="F56" s="121"/>
      <c r="G56" s="121"/>
      <c r="H56" s="121"/>
      <c r="I56" s="86" t="s">
        <v>62</v>
      </c>
      <c r="J56" s="86" t="s">
        <v>63</v>
      </c>
      <c r="K56" s="86">
        <v>0</v>
      </c>
      <c r="L56" s="86" t="s">
        <v>415</v>
      </c>
      <c r="M56" s="86" t="s">
        <v>838</v>
      </c>
      <c r="N56" s="121">
        <v>2</v>
      </c>
      <c r="O56" s="123">
        <v>6.9444444444444447E-4</v>
      </c>
    </row>
    <row r="57" spans="1:16" s="109" customFormat="1" ht="54" customHeight="1" thickTop="1" thickBot="1" x14ac:dyDescent="0.3">
      <c r="A57" s="145"/>
      <c r="B57" s="110" t="s">
        <v>23</v>
      </c>
      <c r="C57" s="111" t="s">
        <v>580</v>
      </c>
      <c r="D57" s="111" t="s">
        <v>423</v>
      </c>
      <c r="E57" s="111" t="s">
        <v>24</v>
      </c>
      <c r="F57" s="111"/>
      <c r="G57" s="111"/>
      <c r="H57" s="111"/>
      <c r="I57" s="86" t="s">
        <v>140</v>
      </c>
      <c r="J57" s="86" t="s">
        <v>63</v>
      </c>
      <c r="K57" s="86">
        <v>0</v>
      </c>
      <c r="L57" s="86" t="s">
        <v>424</v>
      </c>
      <c r="M57" s="86" t="s">
        <v>843</v>
      </c>
      <c r="N57" s="111">
        <v>1</v>
      </c>
      <c r="O57" s="114">
        <v>6.9444444444444447E-4</v>
      </c>
      <c r="P57" s="172"/>
    </row>
    <row r="58" spans="1:16" s="109" customFormat="1" ht="54" customHeight="1" thickTop="1" thickBot="1" x14ac:dyDescent="0.3">
      <c r="A58" s="145"/>
      <c r="B58" s="115" t="s">
        <v>23</v>
      </c>
      <c r="C58" s="108" t="s">
        <v>581</v>
      </c>
      <c r="D58" s="108" t="s">
        <v>810</v>
      </c>
      <c r="E58" s="108" t="s">
        <v>24</v>
      </c>
      <c r="F58" s="108"/>
      <c r="G58" s="108"/>
      <c r="H58" s="108"/>
      <c r="I58" s="86" t="s">
        <v>140</v>
      </c>
      <c r="J58" s="86" t="s">
        <v>63</v>
      </c>
      <c r="K58" s="86">
        <v>0</v>
      </c>
      <c r="L58" s="86" t="s">
        <v>412</v>
      </c>
      <c r="M58" s="86" t="s">
        <v>852</v>
      </c>
      <c r="N58" s="108">
        <v>1</v>
      </c>
      <c r="O58" s="118">
        <v>3.4722222222222224E-4</v>
      </c>
      <c r="P58" s="172"/>
    </row>
    <row r="59" spans="1:16" s="109" customFormat="1" ht="54" customHeight="1" thickTop="1" thickBot="1" x14ac:dyDescent="0.3">
      <c r="A59" s="146"/>
      <c r="B59" s="115" t="s">
        <v>23</v>
      </c>
      <c r="C59" s="108" t="s">
        <v>583</v>
      </c>
      <c r="D59" s="108" t="s">
        <v>584</v>
      </c>
      <c r="E59" s="108" t="s">
        <v>24</v>
      </c>
      <c r="F59" s="108"/>
      <c r="G59" s="108"/>
      <c r="H59" s="108"/>
      <c r="I59" s="86" t="s">
        <v>62</v>
      </c>
      <c r="J59" s="86" t="s">
        <v>63</v>
      </c>
      <c r="K59" s="86">
        <v>0</v>
      </c>
      <c r="L59" s="86" t="s">
        <v>455</v>
      </c>
      <c r="M59" s="86" t="s">
        <v>838</v>
      </c>
      <c r="N59" s="108">
        <v>1</v>
      </c>
      <c r="O59" s="118">
        <v>1.0416666666666667E-3</v>
      </c>
      <c r="P59" s="172"/>
    </row>
    <row r="60" spans="1:16" s="109" customFormat="1" ht="16.5" thickBot="1" x14ac:dyDescent="0.3">
      <c r="B60" s="174"/>
      <c r="C60" s="147"/>
      <c r="D60" s="121"/>
      <c r="E60" s="121"/>
      <c r="F60" s="121"/>
      <c r="G60" s="121"/>
      <c r="H60" s="121"/>
      <c r="I60" s="121"/>
      <c r="J60" s="121"/>
      <c r="K60" s="121"/>
      <c r="L60" s="121"/>
      <c r="M60" s="121"/>
      <c r="N60" s="121"/>
      <c r="O60" s="123"/>
    </row>
    <row r="61" spans="1:16" s="109" customFormat="1" ht="16.5" thickTop="1" x14ac:dyDescent="0.25">
      <c r="B61" s="159"/>
      <c r="C61" s="159"/>
      <c r="D61" s="140"/>
      <c r="E61" s="140"/>
      <c r="F61" s="140"/>
      <c r="G61" s="140"/>
      <c r="H61" s="140"/>
      <c r="I61" s="140"/>
      <c r="J61" s="140"/>
      <c r="K61" s="140"/>
      <c r="L61" s="140"/>
      <c r="M61" s="140"/>
      <c r="N61" s="140"/>
      <c r="O61" s="142"/>
    </row>
    <row r="62" spans="1:16" s="109" customFormat="1" ht="15.75" x14ac:dyDescent="0.25">
      <c r="B62" s="159"/>
      <c r="C62" s="159"/>
      <c r="D62" s="140"/>
      <c r="E62" s="140"/>
      <c r="F62" s="140"/>
      <c r="G62" s="140"/>
      <c r="H62" s="140"/>
      <c r="I62" s="140"/>
      <c r="J62" s="140"/>
      <c r="K62" s="140"/>
      <c r="L62" s="140"/>
      <c r="M62" s="140"/>
      <c r="N62" s="140"/>
      <c r="O62" s="142"/>
    </row>
    <row r="63" spans="1:16" s="109" customFormat="1" ht="15.75" x14ac:dyDescent="0.25">
      <c r="B63" s="159"/>
      <c r="C63" s="159"/>
      <c r="D63" s="140"/>
      <c r="E63" s="140"/>
      <c r="F63" s="140"/>
      <c r="G63" s="140"/>
      <c r="H63" s="140"/>
      <c r="I63" s="140"/>
      <c r="J63" s="140"/>
      <c r="K63" s="140"/>
      <c r="L63" s="140"/>
      <c r="M63" s="140"/>
      <c r="N63" s="140"/>
      <c r="O63" s="142"/>
    </row>
    <row r="64" spans="1:16" s="109" customFormat="1" ht="15.75" x14ac:dyDescent="0.25">
      <c r="B64" s="159"/>
      <c r="C64" s="159"/>
      <c r="D64" s="140"/>
      <c r="E64" s="140"/>
      <c r="F64" s="140"/>
      <c r="G64" s="140"/>
      <c r="H64" s="140"/>
      <c r="I64" s="140"/>
      <c r="J64" s="140"/>
      <c r="K64" s="140"/>
      <c r="L64" s="140"/>
      <c r="M64" s="140"/>
      <c r="N64" s="140"/>
      <c r="O64" s="142"/>
    </row>
    <row r="65" spans="2:15" s="109" customFormat="1" ht="15.75" x14ac:dyDescent="0.25">
      <c r="B65" s="159"/>
      <c r="C65" s="159"/>
      <c r="D65" s="140"/>
      <c r="E65" s="140"/>
      <c r="F65" s="140"/>
      <c r="G65" s="140"/>
      <c r="H65" s="140"/>
      <c r="I65" s="140"/>
      <c r="J65" s="140"/>
      <c r="K65" s="140"/>
      <c r="L65" s="140"/>
      <c r="M65" s="140"/>
      <c r="N65" s="140"/>
      <c r="O65" s="142"/>
    </row>
    <row r="66" spans="2:15" s="109" customFormat="1" ht="15.75" x14ac:dyDescent="0.25">
      <c r="B66" s="159"/>
      <c r="C66" s="159"/>
      <c r="D66" s="140"/>
      <c r="E66" s="140"/>
      <c r="F66" s="140"/>
      <c r="G66" s="140"/>
      <c r="H66" s="140"/>
      <c r="I66" s="140"/>
      <c r="J66" s="140"/>
      <c r="K66" s="140"/>
      <c r="L66" s="140"/>
      <c r="M66" s="140"/>
      <c r="N66" s="140"/>
      <c r="O66" s="142"/>
    </row>
    <row r="67" spans="2:15" s="109" customFormat="1" ht="15.75" x14ac:dyDescent="0.25">
      <c r="B67" s="159"/>
      <c r="C67" s="159"/>
      <c r="D67" s="140"/>
      <c r="E67" s="140"/>
      <c r="F67" s="140"/>
      <c r="G67" s="140"/>
      <c r="H67" s="140"/>
      <c r="I67" s="140"/>
      <c r="J67" s="140"/>
      <c r="K67" s="140"/>
      <c r="L67" s="140"/>
      <c r="M67" s="140"/>
      <c r="N67" s="140"/>
      <c r="O67" s="142"/>
    </row>
    <row r="68" spans="2:15" s="109" customFormat="1" ht="15.75" x14ac:dyDescent="0.25">
      <c r="B68" s="159"/>
      <c r="C68" s="159"/>
      <c r="D68" s="140"/>
      <c r="E68" s="140"/>
      <c r="F68" s="140"/>
      <c r="G68" s="140"/>
      <c r="H68" s="140"/>
      <c r="I68" s="140"/>
      <c r="J68" s="140"/>
      <c r="K68" s="140"/>
      <c r="L68" s="140"/>
      <c r="M68" s="140"/>
      <c r="N68" s="140"/>
      <c r="O68" s="142"/>
    </row>
    <row r="69" spans="2:15" s="109" customFormat="1" ht="15.75" x14ac:dyDescent="0.25">
      <c r="B69" s="159"/>
      <c r="C69" s="159"/>
      <c r="D69" s="140"/>
      <c r="E69" s="140"/>
      <c r="F69" s="140"/>
      <c r="G69" s="140"/>
      <c r="H69" s="140"/>
      <c r="I69" s="140"/>
      <c r="J69" s="140"/>
      <c r="K69" s="140"/>
      <c r="L69" s="140"/>
      <c r="M69" s="140"/>
      <c r="N69" s="140"/>
      <c r="O69" s="142"/>
    </row>
    <row r="70" spans="2:15" s="109" customFormat="1" ht="15.75" x14ac:dyDescent="0.25">
      <c r="B70" s="159"/>
      <c r="C70" s="159"/>
      <c r="D70" s="140"/>
      <c r="E70" s="140"/>
      <c r="F70" s="140"/>
      <c r="G70" s="140"/>
      <c r="H70" s="140"/>
      <c r="I70" s="140"/>
      <c r="J70" s="140"/>
      <c r="K70" s="140"/>
      <c r="L70" s="140"/>
      <c r="M70" s="140"/>
      <c r="N70" s="140"/>
      <c r="O70" s="142"/>
    </row>
    <row r="71" spans="2:15" s="109" customFormat="1" ht="15.75" x14ac:dyDescent="0.25">
      <c r="B71" s="159"/>
      <c r="C71" s="159"/>
      <c r="D71" s="140"/>
      <c r="E71" s="140"/>
      <c r="F71" s="140"/>
      <c r="G71" s="140"/>
      <c r="H71" s="140"/>
      <c r="I71" s="140"/>
      <c r="J71" s="140"/>
      <c r="K71" s="140"/>
      <c r="L71" s="140"/>
      <c r="M71" s="140"/>
      <c r="N71" s="140"/>
      <c r="O71" s="142"/>
    </row>
    <row r="72" spans="2:15" s="109" customFormat="1" ht="15.75" x14ac:dyDescent="0.25">
      <c r="B72" s="159"/>
      <c r="C72" s="159"/>
      <c r="D72" s="140"/>
      <c r="E72" s="140"/>
      <c r="F72" s="140"/>
      <c r="G72" s="140"/>
      <c r="H72" s="140"/>
      <c r="I72" s="140"/>
      <c r="J72" s="140"/>
      <c r="K72" s="140"/>
      <c r="L72" s="140"/>
      <c r="M72" s="140"/>
      <c r="N72" s="140"/>
      <c r="O72" s="142"/>
    </row>
    <row r="73" spans="2:15" s="109" customFormat="1" ht="15.75" x14ac:dyDescent="0.25">
      <c r="B73" s="159"/>
      <c r="C73" s="159"/>
      <c r="D73" s="140"/>
      <c r="E73" s="140"/>
      <c r="F73" s="140"/>
      <c r="G73" s="140"/>
      <c r="H73" s="140"/>
      <c r="I73" s="140"/>
      <c r="J73" s="140"/>
      <c r="K73" s="140"/>
      <c r="L73" s="140"/>
      <c r="M73" s="140"/>
      <c r="N73" s="140"/>
      <c r="O73" s="142"/>
    </row>
    <row r="74" spans="2:15" s="109" customFormat="1" ht="15.75" x14ac:dyDescent="0.25">
      <c r="B74" s="159"/>
      <c r="C74" s="159"/>
      <c r="D74" s="140"/>
      <c r="E74" s="140"/>
      <c r="F74" s="140"/>
      <c r="G74" s="140"/>
      <c r="H74" s="140"/>
      <c r="I74" s="140"/>
      <c r="J74" s="140"/>
      <c r="K74" s="140"/>
      <c r="L74" s="140"/>
      <c r="M74" s="140"/>
      <c r="N74" s="140"/>
      <c r="O74" s="142"/>
    </row>
    <row r="75" spans="2:15" s="109" customFormat="1" ht="15.75" x14ac:dyDescent="0.25">
      <c r="B75" s="159"/>
      <c r="C75" s="159"/>
      <c r="D75" s="140"/>
      <c r="E75" s="140"/>
      <c r="F75" s="140"/>
      <c r="G75" s="140"/>
      <c r="H75" s="140"/>
      <c r="I75" s="140"/>
      <c r="J75" s="140"/>
      <c r="K75" s="140"/>
      <c r="L75" s="140"/>
      <c r="M75" s="140"/>
      <c r="N75" s="140"/>
      <c r="O75" s="142"/>
    </row>
    <row r="76" spans="2:15" s="109" customFormat="1" x14ac:dyDescent="0.2">
      <c r="B76" s="141"/>
      <c r="C76" s="161"/>
      <c r="D76" s="161"/>
      <c r="E76" s="161"/>
      <c r="F76" s="161"/>
      <c r="G76" s="161"/>
      <c r="H76" s="161"/>
      <c r="I76" s="141"/>
      <c r="J76" s="141"/>
      <c r="K76" s="161"/>
      <c r="L76" s="161"/>
      <c r="M76" s="161"/>
      <c r="N76" s="161"/>
      <c r="O76" s="161"/>
    </row>
    <row r="77" spans="2:15" s="109" customFormat="1" x14ac:dyDescent="0.2">
      <c r="B77" s="141"/>
      <c r="C77" s="161"/>
      <c r="D77" s="161"/>
      <c r="E77" s="161"/>
      <c r="F77" s="161"/>
      <c r="G77" s="161"/>
      <c r="H77" s="161"/>
      <c r="I77" s="141"/>
      <c r="J77" s="141"/>
      <c r="K77" s="161"/>
      <c r="L77" s="161"/>
      <c r="M77" s="161"/>
      <c r="N77" s="161"/>
      <c r="O77" s="161"/>
    </row>
    <row r="78" spans="2:15" s="109" customFormat="1" x14ac:dyDescent="0.2">
      <c r="B78" s="141"/>
      <c r="C78" s="161"/>
      <c r="D78" s="161"/>
      <c r="E78" s="161"/>
      <c r="F78" s="161"/>
      <c r="G78" s="161"/>
      <c r="H78" s="161"/>
      <c r="I78" s="141"/>
      <c r="J78" s="141"/>
      <c r="K78" s="161"/>
      <c r="L78" s="161"/>
      <c r="M78" s="161"/>
      <c r="N78" s="161"/>
      <c r="O78" s="161"/>
    </row>
    <row r="79" spans="2:15" s="109" customFormat="1" x14ac:dyDescent="0.2">
      <c r="B79" s="141"/>
      <c r="C79" s="161"/>
      <c r="D79" s="161"/>
      <c r="E79" s="161"/>
      <c r="F79" s="161"/>
      <c r="G79" s="161"/>
      <c r="H79" s="161"/>
      <c r="I79" s="141"/>
      <c r="J79" s="141"/>
      <c r="K79" s="161"/>
      <c r="L79" s="161"/>
      <c r="M79" s="161"/>
      <c r="N79" s="161"/>
      <c r="O79" s="161"/>
    </row>
    <row r="80" spans="2:15" s="109" customFormat="1" x14ac:dyDescent="0.2">
      <c r="B80" s="141"/>
      <c r="C80" s="161"/>
      <c r="D80" s="161"/>
      <c r="E80" s="161"/>
      <c r="F80" s="161"/>
      <c r="G80" s="161"/>
      <c r="H80" s="161"/>
      <c r="I80" s="141"/>
      <c r="J80" s="141"/>
      <c r="K80" s="161"/>
      <c r="L80" s="161"/>
      <c r="M80" s="161"/>
      <c r="N80" s="161"/>
      <c r="O80" s="161"/>
    </row>
    <row r="81" spans="2:15" s="109" customFormat="1" x14ac:dyDescent="0.2">
      <c r="B81" s="141"/>
      <c r="C81" s="161"/>
      <c r="D81" s="161"/>
      <c r="E81" s="161"/>
      <c r="F81" s="161"/>
      <c r="G81" s="161"/>
      <c r="H81" s="161"/>
      <c r="I81" s="141"/>
      <c r="J81" s="141"/>
      <c r="K81" s="161"/>
      <c r="L81" s="161"/>
      <c r="M81" s="161"/>
      <c r="N81" s="161"/>
      <c r="O81" s="161"/>
    </row>
    <row r="82" spans="2:15" s="109" customFormat="1" x14ac:dyDescent="0.2">
      <c r="B82" s="141"/>
      <c r="C82" s="161"/>
      <c r="D82" s="161"/>
      <c r="E82" s="161"/>
      <c r="F82" s="161"/>
      <c r="G82" s="161"/>
      <c r="H82" s="161"/>
      <c r="I82" s="141"/>
      <c r="J82" s="141"/>
      <c r="K82" s="161"/>
      <c r="L82" s="161"/>
      <c r="M82" s="161"/>
      <c r="N82" s="161"/>
      <c r="O82" s="161"/>
    </row>
    <row r="83" spans="2:15" s="109" customFormat="1" x14ac:dyDescent="0.2">
      <c r="B83" s="141"/>
      <c r="C83" s="161"/>
      <c r="D83" s="161"/>
      <c r="E83" s="161"/>
      <c r="F83" s="161"/>
      <c r="G83" s="161"/>
      <c r="H83" s="161"/>
      <c r="I83" s="141"/>
      <c r="J83" s="141"/>
      <c r="K83" s="161"/>
      <c r="L83" s="161"/>
      <c r="M83" s="161"/>
      <c r="N83" s="161"/>
      <c r="O83" s="161"/>
    </row>
    <row r="84" spans="2:15" s="109" customFormat="1" x14ac:dyDescent="0.2">
      <c r="B84" s="141"/>
      <c r="C84" s="161"/>
      <c r="D84" s="161"/>
      <c r="E84" s="161"/>
      <c r="F84" s="161"/>
      <c r="G84" s="161"/>
      <c r="H84" s="161"/>
      <c r="I84" s="141"/>
      <c r="J84" s="141"/>
      <c r="K84" s="161"/>
      <c r="L84" s="161"/>
      <c r="M84" s="161"/>
      <c r="N84" s="161"/>
      <c r="O84" s="161"/>
    </row>
    <row r="85" spans="2:15" s="109" customFormat="1" x14ac:dyDescent="0.2">
      <c r="B85" s="141"/>
      <c r="C85" s="161"/>
      <c r="D85" s="161"/>
      <c r="E85" s="161"/>
      <c r="F85" s="161"/>
      <c r="G85" s="161"/>
      <c r="H85" s="161"/>
      <c r="I85" s="141"/>
      <c r="J85" s="141"/>
      <c r="K85" s="161"/>
      <c r="L85" s="161"/>
      <c r="M85" s="161"/>
      <c r="N85" s="161"/>
      <c r="O85" s="161"/>
    </row>
    <row r="86" spans="2:15" s="109" customFormat="1" x14ac:dyDescent="0.2">
      <c r="B86" s="141"/>
      <c r="C86" s="161"/>
      <c r="D86" s="161"/>
      <c r="E86" s="161"/>
      <c r="F86" s="161"/>
      <c r="G86" s="161"/>
      <c r="H86" s="161"/>
      <c r="I86" s="141"/>
      <c r="J86" s="141"/>
      <c r="K86" s="161"/>
      <c r="L86" s="161"/>
      <c r="M86" s="161"/>
      <c r="N86" s="161"/>
      <c r="O86" s="161"/>
    </row>
    <row r="87" spans="2:15" s="109" customFormat="1" x14ac:dyDescent="0.2">
      <c r="B87" s="141"/>
      <c r="C87" s="161"/>
      <c r="D87" s="161"/>
      <c r="E87" s="161"/>
      <c r="F87" s="161"/>
      <c r="G87" s="161"/>
      <c r="H87" s="161"/>
      <c r="I87" s="141"/>
      <c r="J87" s="141"/>
      <c r="K87" s="161"/>
      <c r="L87" s="161"/>
      <c r="M87" s="161"/>
      <c r="N87" s="161"/>
      <c r="O87" s="161"/>
    </row>
    <row r="88" spans="2:15" s="109" customFormat="1" ht="66" customHeight="1" x14ac:dyDescent="0.2">
      <c r="B88" s="141"/>
      <c r="C88" s="161"/>
      <c r="D88" s="161"/>
      <c r="E88" s="161"/>
      <c r="F88" s="161"/>
      <c r="G88" s="161"/>
      <c r="H88" s="161"/>
      <c r="I88" s="141"/>
      <c r="J88" s="141"/>
      <c r="K88" s="161"/>
      <c r="L88" s="161"/>
      <c r="M88" s="161"/>
      <c r="N88" s="161"/>
      <c r="O88" s="161"/>
    </row>
    <row r="89" spans="2:15" s="109" customFormat="1" x14ac:dyDescent="0.2">
      <c r="B89" s="141"/>
      <c r="C89" s="161"/>
      <c r="D89" s="161"/>
      <c r="E89" s="161"/>
      <c r="F89" s="161"/>
      <c r="G89" s="161"/>
      <c r="H89" s="161"/>
      <c r="I89" s="141"/>
      <c r="J89" s="141"/>
      <c r="K89" s="161"/>
      <c r="L89" s="161"/>
      <c r="M89" s="161"/>
      <c r="N89" s="161"/>
      <c r="O89" s="161"/>
    </row>
    <row r="90" spans="2:15" s="109" customFormat="1" x14ac:dyDescent="0.2">
      <c r="B90" s="141"/>
      <c r="C90" s="161"/>
      <c r="D90" s="161"/>
      <c r="E90" s="161"/>
      <c r="F90" s="161"/>
      <c r="G90" s="161"/>
      <c r="H90" s="161"/>
      <c r="I90" s="141"/>
      <c r="J90" s="141"/>
      <c r="K90" s="161"/>
      <c r="L90" s="161"/>
      <c r="M90" s="161"/>
      <c r="N90" s="161"/>
      <c r="O90" s="161"/>
    </row>
    <row r="91" spans="2:15" s="109" customFormat="1" x14ac:dyDescent="0.2">
      <c r="B91" s="141"/>
      <c r="C91" s="161"/>
      <c r="D91" s="161"/>
      <c r="E91" s="161"/>
      <c r="F91" s="161"/>
      <c r="G91" s="161"/>
      <c r="H91" s="161"/>
      <c r="I91" s="141"/>
      <c r="J91" s="141"/>
      <c r="K91" s="161"/>
      <c r="L91" s="161"/>
      <c r="M91" s="161"/>
      <c r="N91" s="161"/>
      <c r="O91" s="161"/>
    </row>
    <row r="92" spans="2:15" s="109" customFormat="1" x14ac:dyDescent="0.2">
      <c r="B92" s="141"/>
      <c r="C92" s="161"/>
      <c r="D92" s="161"/>
      <c r="E92" s="161"/>
      <c r="F92" s="161"/>
      <c r="G92" s="161"/>
      <c r="H92" s="161"/>
      <c r="I92" s="141"/>
      <c r="J92" s="141"/>
      <c r="K92" s="161"/>
      <c r="L92" s="161"/>
      <c r="M92" s="161"/>
      <c r="N92" s="161"/>
      <c r="O92" s="161"/>
    </row>
    <row r="93" spans="2:15" s="109" customFormat="1" x14ac:dyDescent="0.2">
      <c r="B93" s="141"/>
      <c r="C93" s="161"/>
      <c r="D93" s="161"/>
      <c r="E93" s="161"/>
      <c r="F93" s="161"/>
      <c r="G93" s="161"/>
      <c r="H93" s="161"/>
      <c r="I93" s="141"/>
      <c r="J93" s="141"/>
      <c r="K93" s="161"/>
      <c r="L93" s="161"/>
      <c r="M93" s="161"/>
      <c r="N93" s="161"/>
      <c r="O93" s="161"/>
    </row>
    <row r="94" spans="2:15" s="109" customFormat="1" x14ac:dyDescent="0.2">
      <c r="B94" s="141"/>
      <c r="C94" s="161"/>
      <c r="D94" s="161"/>
      <c r="E94" s="161"/>
      <c r="F94" s="161"/>
      <c r="G94" s="161"/>
      <c r="H94" s="161"/>
      <c r="I94" s="141"/>
      <c r="J94" s="141"/>
      <c r="K94" s="161"/>
      <c r="L94" s="161"/>
      <c r="M94" s="161"/>
      <c r="N94" s="161"/>
      <c r="O94" s="161"/>
    </row>
    <row r="95" spans="2:15" s="109" customFormat="1" x14ac:dyDescent="0.2">
      <c r="B95" s="141"/>
      <c r="C95" s="161"/>
      <c r="D95" s="161"/>
      <c r="E95" s="161"/>
      <c r="F95" s="161"/>
      <c r="G95" s="161"/>
      <c r="H95" s="161"/>
      <c r="I95" s="141"/>
      <c r="J95" s="141"/>
      <c r="K95" s="161"/>
      <c r="L95" s="161"/>
      <c r="M95" s="161"/>
      <c r="N95" s="161"/>
      <c r="O95" s="161"/>
    </row>
    <row r="96" spans="2:15" s="109" customFormat="1" x14ac:dyDescent="0.2">
      <c r="B96" s="141"/>
      <c r="C96" s="161"/>
      <c r="D96" s="161"/>
      <c r="E96" s="161"/>
      <c r="F96" s="161"/>
      <c r="G96" s="161"/>
      <c r="H96" s="161"/>
      <c r="I96" s="141"/>
      <c r="J96" s="141"/>
      <c r="K96" s="161"/>
      <c r="L96" s="161"/>
      <c r="M96" s="161"/>
      <c r="N96" s="161"/>
      <c r="O96" s="161"/>
    </row>
    <row r="97" spans="2:15" s="109" customFormat="1" x14ac:dyDescent="0.2">
      <c r="B97" s="141"/>
      <c r="C97" s="161"/>
      <c r="D97" s="161"/>
      <c r="E97" s="161"/>
      <c r="F97" s="161"/>
      <c r="G97" s="161"/>
      <c r="H97" s="161"/>
      <c r="I97" s="141"/>
      <c r="J97" s="141"/>
      <c r="K97" s="161"/>
      <c r="L97" s="161"/>
      <c r="M97" s="161"/>
      <c r="N97" s="161"/>
      <c r="O97" s="161"/>
    </row>
    <row r="98" spans="2:15" s="109" customFormat="1" x14ac:dyDescent="0.2">
      <c r="B98" s="141"/>
      <c r="C98" s="161"/>
      <c r="D98" s="161"/>
      <c r="E98" s="161"/>
      <c r="F98" s="161"/>
      <c r="G98" s="161"/>
      <c r="H98" s="161"/>
      <c r="I98" s="141"/>
      <c r="J98" s="141"/>
      <c r="K98" s="161"/>
      <c r="L98" s="161"/>
      <c r="M98" s="161"/>
      <c r="N98" s="161"/>
      <c r="O98" s="161"/>
    </row>
    <row r="99" spans="2:15" s="109" customFormat="1" x14ac:dyDescent="0.2">
      <c r="B99" s="141"/>
      <c r="C99" s="161"/>
      <c r="D99" s="161"/>
      <c r="E99" s="161"/>
      <c r="F99" s="161"/>
      <c r="G99" s="161"/>
      <c r="H99" s="161"/>
      <c r="I99" s="141"/>
      <c r="J99" s="141"/>
      <c r="K99" s="161"/>
      <c r="L99" s="161"/>
      <c r="M99" s="161"/>
      <c r="N99" s="161"/>
      <c r="O99" s="161"/>
    </row>
    <row r="100" spans="2:15" s="109" customFormat="1" x14ac:dyDescent="0.2">
      <c r="B100" s="141"/>
      <c r="C100" s="161"/>
      <c r="D100" s="161"/>
      <c r="E100" s="161"/>
      <c r="F100" s="161"/>
      <c r="G100" s="161"/>
      <c r="H100" s="161"/>
      <c r="I100" s="141"/>
      <c r="J100" s="141"/>
      <c r="K100" s="161"/>
      <c r="L100" s="161"/>
      <c r="M100" s="161"/>
      <c r="N100" s="161"/>
      <c r="O100" s="161"/>
    </row>
    <row r="101" spans="2:15" s="109" customFormat="1" x14ac:dyDescent="0.2">
      <c r="B101" s="141"/>
      <c r="C101" s="161"/>
      <c r="D101" s="161"/>
      <c r="E101" s="161"/>
      <c r="F101" s="161"/>
      <c r="G101" s="161"/>
      <c r="H101" s="161"/>
      <c r="I101" s="141"/>
      <c r="J101" s="141"/>
      <c r="K101" s="161"/>
      <c r="L101" s="161"/>
      <c r="M101" s="161"/>
      <c r="N101" s="161"/>
      <c r="O101" s="161"/>
    </row>
    <row r="102" spans="2:15" s="109" customFormat="1" x14ac:dyDescent="0.2">
      <c r="B102" s="141"/>
      <c r="C102" s="161"/>
      <c r="D102" s="161"/>
      <c r="E102" s="161"/>
      <c r="F102" s="161"/>
      <c r="G102" s="161"/>
      <c r="H102" s="161"/>
      <c r="I102" s="141"/>
      <c r="J102" s="141"/>
      <c r="K102" s="161"/>
      <c r="L102" s="161"/>
      <c r="M102" s="161"/>
      <c r="N102" s="161"/>
      <c r="O102" s="161"/>
    </row>
    <row r="103" spans="2:15" s="109" customFormat="1" x14ac:dyDescent="0.2">
      <c r="B103" s="141"/>
      <c r="C103" s="161"/>
      <c r="D103" s="161"/>
      <c r="E103" s="161"/>
      <c r="F103" s="161"/>
      <c r="G103" s="161"/>
      <c r="H103" s="161"/>
      <c r="I103" s="141"/>
      <c r="J103" s="141"/>
      <c r="K103" s="161"/>
      <c r="L103" s="161"/>
      <c r="M103" s="161"/>
      <c r="N103" s="161"/>
      <c r="O103" s="161"/>
    </row>
    <row r="104" spans="2:15" s="109" customFormat="1" x14ac:dyDescent="0.2">
      <c r="B104" s="141"/>
      <c r="C104" s="161"/>
      <c r="D104" s="161"/>
      <c r="E104" s="161"/>
      <c r="F104" s="161"/>
      <c r="G104" s="161"/>
      <c r="H104" s="161"/>
      <c r="I104" s="141"/>
      <c r="J104" s="141"/>
      <c r="K104" s="161"/>
      <c r="L104" s="161"/>
      <c r="M104" s="161"/>
      <c r="N104" s="161"/>
      <c r="O104" s="161"/>
    </row>
    <row r="105" spans="2:15" s="109" customFormat="1" x14ac:dyDescent="0.2">
      <c r="B105" s="141"/>
      <c r="C105" s="161"/>
      <c r="D105" s="161"/>
      <c r="E105" s="161"/>
      <c r="F105" s="161"/>
      <c r="G105" s="161"/>
      <c r="H105" s="161"/>
      <c r="I105" s="141"/>
      <c r="J105" s="141"/>
      <c r="K105" s="161"/>
      <c r="L105" s="161"/>
      <c r="M105" s="161"/>
      <c r="N105" s="161"/>
      <c r="O105" s="161"/>
    </row>
    <row r="106" spans="2:15" s="109" customFormat="1" x14ac:dyDescent="0.2">
      <c r="B106" s="141"/>
      <c r="C106" s="161"/>
      <c r="D106" s="161"/>
      <c r="E106" s="161"/>
      <c r="F106" s="161"/>
      <c r="G106" s="161"/>
      <c r="H106" s="161"/>
      <c r="I106" s="141"/>
      <c r="J106" s="141"/>
      <c r="K106" s="161"/>
      <c r="L106" s="161"/>
      <c r="M106" s="161"/>
      <c r="N106" s="161"/>
      <c r="O106" s="161"/>
    </row>
    <row r="107" spans="2:15" s="109" customFormat="1" x14ac:dyDescent="0.2">
      <c r="B107" s="141"/>
      <c r="C107" s="161"/>
      <c r="D107" s="161"/>
      <c r="E107" s="161"/>
      <c r="F107" s="161"/>
      <c r="G107" s="161"/>
      <c r="H107" s="161"/>
      <c r="I107" s="141"/>
      <c r="J107" s="141"/>
      <c r="K107" s="161"/>
      <c r="L107" s="161"/>
      <c r="M107" s="161"/>
      <c r="N107" s="161"/>
      <c r="O107" s="161"/>
    </row>
    <row r="108" spans="2:15" s="109" customFormat="1" x14ac:dyDescent="0.2">
      <c r="B108" s="141"/>
      <c r="C108" s="161"/>
      <c r="D108" s="161"/>
      <c r="E108" s="161"/>
      <c r="F108" s="161"/>
      <c r="G108" s="161"/>
      <c r="H108" s="161"/>
      <c r="I108" s="141"/>
      <c r="J108" s="141"/>
      <c r="K108" s="161"/>
      <c r="L108" s="161"/>
      <c r="M108" s="161"/>
      <c r="N108" s="161"/>
      <c r="O108" s="161"/>
    </row>
    <row r="109" spans="2:15" s="109" customFormat="1" x14ac:dyDescent="0.2">
      <c r="B109" s="141"/>
      <c r="C109" s="161"/>
      <c r="D109" s="161"/>
      <c r="E109" s="161"/>
      <c r="F109" s="161"/>
      <c r="G109" s="161"/>
      <c r="H109" s="161"/>
      <c r="I109" s="141"/>
      <c r="J109" s="141"/>
      <c r="K109" s="161"/>
      <c r="L109" s="161"/>
      <c r="M109" s="161"/>
      <c r="N109" s="161"/>
      <c r="O109" s="161"/>
    </row>
    <row r="110" spans="2:15" s="109" customFormat="1" x14ac:dyDescent="0.2">
      <c r="B110" s="141"/>
      <c r="C110" s="161"/>
      <c r="D110" s="161"/>
      <c r="E110" s="161"/>
      <c r="F110" s="161"/>
      <c r="G110" s="161"/>
      <c r="H110" s="161"/>
      <c r="I110" s="141"/>
      <c r="J110" s="141"/>
      <c r="K110" s="161"/>
      <c r="L110" s="161"/>
      <c r="M110" s="161"/>
      <c r="N110" s="161"/>
      <c r="O110" s="161"/>
    </row>
    <row r="111" spans="2:15" s="109" customFormat="1" x14ac:dyDescent="0.2">
      <c r="B111" s="141"/>
      <c r="C111" s="161"/>
      <c r="D111" s="161"/>
      <c r="E111" s="161"/>
      <c r="F111" s="161"/>
      <c r="G111" s="161"/>
      <c r="H111" s="161"/>
      <c r="I111" s="141"/>
      <c r="J111" s="141"/>
      <c r="K111" s="161"/>
      <c r="L111" s="161"/>
      <c r="M111" s="161"/>
      <c r="N111" s="161"/>
      <c r="O111" s="161"/>
    </row>
    <row r="112" spans="2:15" s="109" customFormat="1" x14ac:dyDescent="0.2">
      <c r="B112" s="141"/>
      <c r="C112" s="161"/>
      <c r="D112" s="161"/>
      <c r="E112" s="161"/>
      <c r="F112" s="161"/>
      <c r="G112" s="161"/>
      <c r="H112" s="161"/>
      <c r="I112" s="141"/>
      <c r="J112" s="141"/>
      <c r="K112" s="161"/>
      <c r="L112" s="161"/>
      <c r="M112" s="161"/>
      <c r="N112" s="161"/>
      <c r="O112" s="161"/>
    </row>
    <row r="113" spans="2:15" s="109" customFormat="1" x14ac:dyDescent="0.2">
      <c r="B113" s="141"/>
      <c r="C113" s="161"/>
      <c r="D113" s="161"/>
      <c r="E113" s="161"/>
      <c r="F113" s="161"/>
      <c r="G113" s="161"/>
      <c r="H113" s="161"/>
      <c r="I113" s="141"/>
      <c r="J113" s="141"/>
      <c r="K113" s="161"/>
      <c r="L113" s="161"/>
      <c r="M113" s="161"/>
      <c r="N113" s="161"/>
      <c r="O113" s="161"/>
    </row>
    <row r="114" spans="2:15" s="109" customFormat="1" x14ac:dyDescent="0.2">
      <c r="B114" s="141"/>
      <c r="C114" s="161"/>
      <c r="D114" s="161"/>
      <c r="E114" s="161"/>
      <c r="F114" s="161"/>
      <c r="G114" s="161"/>
      <c r="H114" s="161"/>
      <c r="I114" s="141"/>
      <c r="J114" s="141"/>
      <c r="K114" s="161"/>
      <c r="L114" s="161"/>
      <c r="M114" s="161"/>
      <c r="N114" s="161"/>
      <c r="O114" s="161"/>
    </row>
    <row r="115" spans="2:15" s="109" customFormat="1" x14ac:dyDescent="0.2">
      <c r="B115" s="141"/>
      <c r="C115" s="161"/>
      <c r="D115" s="161"/>
      <c r="E115" s="161"/>
      <c r="F115" s="161"/>
      <c r="G115" s="161"/>
      <c r="H115" s="161"/>
      <c r="I115" s="141"/>
      <c r="J115" s="141"/>
      <c r="K115" s="161"/>
      <c r="L115" s="161"/>
      <c r="M115" s="161"/>
      <c r="N115" s="161"/>
      <c r="O115" s="161"/>
    </row>
    <row r="116" spans="2:15" s="109" customFormat="1" x14ac:dyDescent="0.2">
      <c r="B116" s="141"/>
      <c r="C116" s="161"/>
      <c r="D116" s="161"/>
      <c r="E116" s="161"/>
      <c r="F116" s="161"/>
      <c r="G116" s="161"/>
      <c r="H116" s="161"/>
      <c r="I116" s="141"/>
      <c r="J116" s="141"/>
      <c r="K116" s="161"/>
      <c r="L116" s="161"/>
      <c r="M116" s="161"/>
      <c r="N116" s="161"/>
      <c r="O116" s="161"/>
    </row>
    <row r="117" spans="2:15" s="109" customFormat="1" x14ac:dyDescent="0.2">
      <c r="B117" s="141"/>
      <c r="C117" s="161"/>
      <c r="D117" s="161"/>
      <c r="E117" s="161"/>
      <c r="F117" s="161"/>
      <c r="G117" s="161"/>
      <c r="H117" s="161"/>
      <c r="I117" s="141"/>
      <c r="J117" s="141"/>
      <c r="K117" s="161"/>
      <c r="L117" s="161"/>
      <c r="M117" s="161"/>
      <c r="N117" s="161"/>
      <c r="O117" s="161"/>
    </row>
    <row r="118" spans="2:15" s="109" customFormat="1" x14ac:dyDescent="0.2">
      <c r="B118" s="141"/>
      <c r="C118" s="161"/>
      <c r="D118" s="161"/>
      <c r="E118" s="161"/>
      <c r="F118" s="161"/>
      <c r="G118" s="161"/>
      <c r="H118" s="161"/>
      <c r="I118" s="141"/>
      <c r="J118" s="141"/>
      <c r="K118" s="161"/>
      <c r="L118" s="161"/>
      <c r="M118" s="161"/>
      <c r="N118" s="161"/>
      <c r="O118" s="161"/>
    </row>
    <row r="119" spans="2:15" s="109" customFormat="1" x14ac:dyDescent="0.2">
      <c r="B119" s="141"/>
      <c r="C119" s="161"/>
      <c r="D119" s="161"/>
      <c r="E119" s="161"/>
      <c r="F119" s="161"/>
      <c r="G119" s="161"/>
      <c r="H119" s="161"/>
      <c r="I119" s="141"/>
      <c r="J119" s="141"/>
      <c r="K119" s="161"/>
      <c r="L119" s="161"/>
      <c r="M119" s="161"/>
      <c r="N119" s="161"/>
      <c r="O119" s="161"/>
    </row>
    <row r="120" spans="2:15" s="109" customFormat="1" x14ac:dyDescent="0.2">
      <c r="B120" s="141"/>
      <c r="C120" s="161"/>
      <c r="D120" s="161"/>
      <c r="E120" s="161"/>
      <c r="F120" s="161"/>
      <c r="G120" s="161"/>
      <c r="H120" s="161"/>
      <c r="I120" s="141"/>
      <c r="J120" s="141"/>
      <c r="K120" s="161"/>
      <c r="L120" s="161"/>
      <c r="M120" s="161"/>
      <c r="N120" s="161"/>
      <c r="O120" s="161"/>
    </row>
    <row r="121" spans="2:15" s="109" customFormat="1" x14ac:dyDescent="0.2">
      <c r="B121" s="141"/>
      <c r="C121" s="161"/>
      <c r="D121" s="161"/>
      <c r="E121" s="161"/>
      <c r="F121" s="161"/>
      <c r="G121" s="161"/>
      <c r="H121" s="161"/>
      <c r="I121" s="141"/>
      <c r="J121" s="141"/>
      <c r="K121" s="161"/>
      <c r="L121" s="161"/>
      <c r="M121" s="161"/>
      <c r="N121" s="161"/>
      <c r="O121" s="161"/>
    </row>
    <row r="122" spans="2:15" s="109" customFormat="1" x14ac:dyDescent="0.2">
      <c r="B122" s="141"/>
      <c r="C122" s="161"/>
      <c r="D122" s="161"/>
      <c r="E122" s="161"/>
      <c r="F122" s="161"/>
      <c r="G122" s="161"/>
      <c r="H122" s="161"/>
      <c r="I122" s="141"/>
      <c r="J122" s="141"/>
      <c r="K122" s="161"/>
      <c r="L122" s="161"/>
      <c r="M122" s="161"/>
      <c r="N122" s="161"/>
      <c r="O122" s="161"/>
    </row>
    <row r="123" spans="2:15" s="109" customFormat="1" x14ac:dyDescent="0.2">
      <c r="B123" s="141"/>
      <c r="C123" s="161"/>
      <c r="D123" s="161"/>
      <c r="E123" s="161"/>
      <c r="F123" s="161"/>
      <c r="G123" s="161"/>
      <c r="H123" s="161"/>
      <c r="I123" s="141"/>
      <c r="J123" s="141"/>
      <c r="K123" s="161"/>
      <c r="L123" s="161"/>
      <c r="M123" s="161"/>
      <c r="N123" s="161"/>
      <c r="O123" s="161"/>
    </row>
    <row r="124" spans="2:15" s="109" customFormat="1" x14ac:dyDescent="0.2">
      <c r="B124" s="141"/>
      <c r="C124" s="161"/>
      <c r="D124" s="161"/>
      <c r="E124" s="161"/>
      <c r="F124" s="161"/>
      <c r="G124" s="161"/>
      <c r="H124" s="161"/>
      <c r="I124" s="141"/>
      <c r="J124" s="141"/>
      <c r="K124" s="161"/>
      <c r="L124" s="161"/>
      <c r="M124" s="161"/>
      <c r="N124" s="161"/>
      <c r="O124" s="161"/>
    </row>
    <row r="125" spans="2:15" s="109" customFormat="1" x14ac:dyDescent="0.2">
      <c r="B125" s="141"/>
      <c r="C125" s="161"/>
      <c r="D125" s="161"/>
      <c r="E125" s="161"/>
      <c r="F125" s="161"/>
      <c r="G125" s="161"/>
      <c r="H125" s="161"/>
      <c r="I125" s="141"/>
      <c r="J125" s="141"/>
      <c r="K125" s="161"/>
      <c r="L125" s="161"/>
      <c r="M125" s="161"/>
      <c r="N125" s="161"/>
      <c r="O125" s="161"/>
    </row>
    <row r="126" spans="2:15" s="109" customFormat="1" x14ac:dyDescent="0.2">
      <c r="B126" s="141"/>
      <c r="C126" s="161"/>
      <c r="D126" s="161"/>
      <c r="E126" s="161"/>
      <c r="F126" s="161"/>
      <c r="G126" s="161"/>
      <c r="H126" s="161"/>
      <c r="I126" s="141"/>
      <c r="J126" s="141"/>
      <c r="K126" s="161"/>
      <c r="L126" s="161"/>
      <c r="M126" s="161"/>
      <c r="N126" s="161"/>
      <c r="O126" s="161"/>
    </row>
    <row r="127" spans="2:15" s="109" customFormat="1" ht="54" customHeight="1" x14ac:dyDescent="0.2">
      <c r="B127" s="141"/>
      <c r="C127" s="161"/>
      <c r="D127" s="161"/>
      <c r="E127" s="161"/>
      <c r="F127" s="161"/>
      <c r="G127" s="161"/>
      <c r="H127" s="161"/>
      <c r="I127" s="141"/>
      <c r="J127" s="141"/>
      <c r="K127" s="161"/>
      <c r="L127" s="161"/>
      <c r="M127" s="161"/>
      <c r="N127" s="161"/>
      <c r="O127" s="161"/>
    </row>
    <row r="128" spans="2:15" s="109" customFormat="1" ht="66" customHeight="1" x14ac:dyDescent="0.2">
      <c r="B128" s="141"/>
      <c r="C128" s="161"/>
      <c r="D128" s="161"/>
      <c r="E128" s="161"/>
      <c r="F128" s="161"/>
      <c r="G128" s="161"/>
      <c r="H128" s="161"/>
      <c r="I128" s="141"/>
      <c r="J128" s="141"/>
      <c r="K128" s="161"/>
      <c r="L128" s="161"/>
      <c r="M128" s="161"/>
      <c r="N128" s="161"/>
      <c r="O128" s="161"/>
    </row>
    <row r="129" spans="2:10" s="109" customFormat="1" x14ac:dyDescent="0.2">
      <c r="B129" s="132"/>
      <c r="I129" s="132"/>
      <c r="J129" s="132"/>
    </row>
    <row r="130" spans="2:10" s="109" customFormat="1" x14ac:dyDescent="0.2">
      <c r="B130" s="132"/>
      <c r="I130" s="132"/>
      <c r="J130" s="132"/>
    </row>
    <row r="131" spans="2:10" s="109" customFormat="1" x14ac:dyDescent="0.2">
      <c r="B131" s="132"/>
      <c r="I131" s="132"/>
      <c r="J131" s="132"/>
    </row>
    <row r="132" spans="2:10" s="109" customFormat="1" x14ac:dyDescent="0.2">
      <c r="B132" s="132"/>
      <c r="I132" s="132"/>
      <c r="J132" s="132"/>
    </row>
    <row r="133" spans="2:10" s="109" customFormat="1" x14ac:dyDescent="0.2">
      <c r="B133" s="132"/>
      <c r="I133" s="132"/>
      <c r="J133" s="132"/>
    </row>
    <row r="134" spans="2:10" s="109" customFormat="1" x14ac:dyDescent="0.2">
      <c r="B134" s="132"/>
      <c r="I134" s="132"/>
      <c r="J134" s="132"/>
    </row>
    <row r="135" spans="2:10" s="109" customFormat="1" x14ac:dyDescent="0.2">
      <c r="B135" s="132"/>
      <c r="I135" s="132"/>
      <c r="J135" s="132"/>
    </row>
    <row r="136" spans="2:10" s="109" customFormat="1" x14ac:dyDescent="0.2">
      <c r="B136" s="132"/>
      <c r="I136" s="132"/>
      <c r="J136" s="132"/>
    </row>
    <row r="137" spans="2:10" s="109" customFormat="1" x14ac:dyDescent="0.2">
      <c r="B137" s="132"/>
      <c r="I137" s="132"/>
      <c r="J137" s="132"/>
    </row>
    <row r="138" spans="2:10" s="109" customFormat="1" x14ac:dyDescent="0.2">
      <c r="B138" s="132"/>
      <c r="I138" s="132"/>
      <c r="J138" s="132"/>
    </row>
    <row r="139" spans="2:10" s="109" customFormat="1" x14ac:dyDescent="0.2">
      <c r="B139" s="132"/>
      <c r="I139" s="132"/>
      <c r="J139" s="132"/>
    </row>
    <row r="140" spans="2:10" s="109" customFormat="1" x14ac:dyDescent="0.2">
      <c r="B140" s="132"/>
      <c r="I140" s="132"/>
      <c r="J140" s="132"/>
    </row>
    <row r="141" spans="2:10" s="109" customFormat="1" x14ac:dyDescent="0.2">
      <c r="B141" s="132"/>
      <c r="I141" s="132"/>
      <c r="J141" s="132"/>
    </row>
    <row r="142" spans="2:10" s="109" customFormat="1" x14ac:dyDescent="0.2">
      <c r="B142" s="132"/>
      <c r="I142" s="132"/>
      <c r="J142" s="132"/>
    </row>
    <row r="143" spans="2:10" s="109" customFormat="1" x14ac:dyDescent="0.2">
      <c r="B143" s="132"/>
      <c r="I143" s="132"/>
      <c r="J143" s="132"/>
    </row>
    <row r="144" spans="2:10" s="109" customFormat="1" x14ac:dyDescent="0.2">
      <c r="B144" s="132"/>
      <c r="I144" s="132"/>
      <c r="J144" s="132"/>
    </row>
    <row r="145" spans="2:10" s="109" customFormat="1" x14ac:dyDescent="0.2">
      <c r="B145" s="132"/>
      <c r="I145" s="132"/>
      <c r="J145" s="132"/>
    </row>
    <row r="146" spans="2:10" s="109" customFormat="1" x14ac:dyDescent="0.2">
      <c r="B146" s="132"/>
      <c r="I146" s="132"/>
      <c r="J146" s="132"/>
    </row>
    <row r="147" spans="2:10" s="109" customFormat="1" x14ac:dyDescent="0.2">
      <c r="B147" s="132"/>
      <c r="I147" s="132"/>
      <c r="J147" s="132"/>
    </row>
    <row r="148" spans="2:10" s="109" customFormat="1" x14ac:dyDescent="0.2">
      <c r="B148" s="132"/>
      <c r="I148" s="132"/>
      <c r="J148" s="132"/>
    </row>
    <row r="149" spans="2:10" s="109" customFormat="1" x14ac:dyDescent="0.2">
      <c r="B149" s="132"/>
      <c r="I149" s="132"/>
      <c r="J149" s="132"/>
    </row>
    <row r="150" spans="2:10" s="109" customFormat="1" x14ac:dyDescent="0.2">
      <c r="B150" s="132"/>
      <c r="I150" s="132"/>
      <c r="J150" s="132"/>
    </row>
    <row r="151" spans="2:10" s="109" customFormat="1" x14ac:dyDescent="0.2">
      <c r="B151" s="132"/>
      <c r="I151" s="132"/>
      <c r="J151" s="132"/>
    </row>
    <row r="152" spans="2:10" s="109" customFormat="1" x14ac:dyDescent="0.2">
      <c r="B152" s="132"/>
      <c r="I152" s="132"/>
      <c r="J152" s="132"/>
    </row>
    <row r="153" spans="2:10" s="109" customFormat="1" x14ac:dyDescent="0.2">
      <c r="B153" s="132"/>
      <c r="I153" s="132"/>
      <c r="J153" s="132"/>
    </row>
    <row r="154" spans="2:10" s="109" customFormat="1" x14ac:dyDescent="0.2">
      <c r="B154" s="132"/>
      <c r="I154" s="132"/>
      <c r="J154" s="132"/>
    </row>
    <row r="155" spans="2:10" s="109" customFormat="1" x14ac:dyDescent="0.2">
      <c r="B155" s="132"/>
      <c r="I155" s="132"/>
      <c r="J155" s="132"/>
    </row>
    <row r="156" spans="2:10" s="109" customFormat="1" x14ac:dyDescent="0.2">
      <c r="B156" s="132"/>
      <c r="I156" s="132"/>
      <c r="J156" s="132"/>
    </row>
    <row r="157" spans="2:10" s="109" customFormat="1" x14ac:dyDescent="0.2">
      <c r="B157" s="132"/>
      <c r="I157" s="132"/>
      <c r="J157" s="132"/>
    </row>
    <row r="158" spans="2:10" s="109" customFormat="1" x14ac:dyDescent="0.2">
      <c r="B158" s="132"/>
      <c r="I158" s="132"/>
      <c r="J158" s="132"/>
    </row>
    <row r="159" spans="2:10" s="109" customFormat="1" x14ac:dyDescent="0.2">
      <c r="B159" s="132"/>
      <c r="I159" s="132"/>
      <c r="J159" s="132"/>
    </row>
    <row r="160" spans="2:10" s="109" customFormat="1" x14ac:dyDescent="0.2">
      <c r="B160" s="132"/>
      <c r="I160" s="132"/>
      <c r="J160" s="132"/>
    </row>
    <row r="161" spans="2:10" s="109" customFormat="1" x14ac:dyDescent="0.2">
      <c r="B161" s="132"/>
      <c r="I161" s="132"/>
      <c r="J161" s="132"/>
    </row>
    <row r="162" spans="2:10" s="109" customFormat="1" x14ac:dyDescent="0.2">
      <c r="B162" s="132"/>
      <c r="I162" s="132"/>
      <c r="J162" s="132"/>
    </row>
    <row r="163" spans="2:10" s="109" customFormat="1" x14ac:dyDescent="0.2">
      <c r="B163" s="132"/>
      <c r="I163" s="132"/>
      <c r="J163" s="132"/>
    </row>
    <row r="164" spans="2:10" s="109" customFormat="1" x14ac:dyDescent="0.2">
      <c r="B164" s="132"/>
      <c r="I164" s="132"/>
      <c r="J164" s="132"/>
    </row>
    <row r="165" spans="2:10" s="109" customFormat="1" x14ac:dyDescent="0.2">
      <c r="B165" s="132"/>
      <c r="I165" s="132"/>
      <c r="J165" s="132"/>
    </row>
    <row r="166" spans="2:10" s="109" customFormat="1" x14ac:dyDescent="0.2">
      <c r="B166" s="132"/>
      <c r="I166" s="132"/>
      <c r="J166" s="132"/>
    </row>
    <row r="167" spans="2:10" s="109" customFormat="1" x14ac:dyDescent="0.2">
      <c r="B167" s="132"/>
      <c r="I167" s="132"/>
      <c r="J167" s="132"/>
    </row>
    <row r="168" spans="2:10" s="109" customFormat="1" x14ac:dyDescent="0.2">
      <c r="B168" s="132"/>
      <c r="I168" s="132"/>
      <c r="J168" s="132"/>
    </row>
    <row r="169" spans="2:10" s="109" customFormat="1" x14ac:dyDescent="0.2">
      <c r="B169" s="132"/>
      <c r="I169" s="132"/>
      <c r="J169" s="132"/>
    </row>
    <row r="170" spans="2:10" s="109" customFormat="1" x14ac:dyDescent="0.2">
      <c r="B170" s="132"/>
      <c r="I170" s="132"/>
      <c r="J170" s="132"/>
    </row>
    <row r="171" spans="2:10" s="109" customFormat="1" x14ac:dyDescent="0.2">
      <c r="B171" s="132"/>
      <c r="I171" s="132"/>
      <c r="J171" s="132"/>
    </row>
    <row r="172" spans="2:10" s="109" customFormat="1" x14ac:dyDescent="0.2">
      <c r="B172" s="132"/>
      <c r="I172" s="132"/>
      <c r="J172" s="132"/>
    </row>
    <row r="173" spans="2:10" s="109" customFormat="1" x14ac:dyDescent="0.2">
      <c r="B173" s="132"/>
      <c r="I173" s="132"/>
      <c r="J173" s="132"/>
    </row>
    <row r="174" spans="2:10" s="109" customFormat="1" x14ac:dyDescent="0.2">
      <c r="B174" s="132"/>
      <c r="I174" s="132"/>
      <c r="J174" s="132"/>
    </row>
    <row r="175" spans="2:10" s="109" customFormat="1" x14ac:dyDescent="0.2">
      <c r="B175" s="132"/>
      <c r="I175" s="132"/>
      <c r="J175" s="132"/>
    </row>
    <row r="176" spans="2:10" s="109" customFormat="1" x14ac:dyDescent="0.2">
      <c r="B176" s="132"/>
      <c r="I176" s="132"/>
      <c r="J176" s="132"/>
    </row>
    <row r="177" spans="2:10" s="109" customFormat="1" x14ac:dyDescent="0.2">
      <c r="B177" s="132"/>
      <c r="I177" s="132"/>
      <c r="J177" s="132"/>
    </row>
    <row r="178" spans="2:10" s="109" customFormat="1" x14ac:dyDescent="0.2">
      <c r="B178" s="132"/>
      <c r="I178" s="132"/>
      <c r="J178" s="132"/>
    </row>
    <row r="179" spans="2:10" s="109" customFormat="1" x14ac:dyDescent="0.2">
      <c r="B179" s="132"/>
      <c r="I179" s="132"/>
      <c r="J179" s="132"/>
    </row>
    <row r="180" spans="2:10" s="109" customFormat="1" x14ac:dyDescent="0.2">
      <c r="B180" s="132"/>
      <c r="I180" s="132"/>
      <c r="J180" s="132"/>
    </row>
  </sheetData>
  <autoFilter ref="A2:J59" xr:uid="{85B947FD-98C2-42CC-BC6A-AE5670D4F10B}"/>
  <phoneticPr fontId="7" type="noConversion"/>
  <conditionalFormatting sqref="C3:F6 C60:M60 C17:H19 C55:H59 C41:H41 C49:D54 G14:H14 C27:H27 G26:H26 C29:H33 C28:D28 G28:H28 G34:H34 C21:H21 C20:D20 C36:H37 G49:H50 C23:H23 C22:D22 C24:D26 C38:D40 C7:D16 C34:D35 C43:H48 D42:H42">
    <cfRule type="expression" dxfId="91" priority="52">
      <formula>AND(OR($F3="No",$F3=""), $E3= "Yes",$G3&lt;&gt;"",$H3&lt;&gt;"")</formula>
    </cfRule>
  </conditionalFormatting>
  <conditionalFormatting sqref="E7 E10 G10 G3:G7">
    <cfRule type="expression" dxfId="90" priority="44">
      <formula>AND(OR($F3="No",$F3=""), $E3= "Yes",$G3&lt;&gt;"",$H3&lt;&gt;"")</formula>
    </cfRule>
  </conditionalFormatting>
  <conditionalFormatting sqref="G8">
    <cfRule type="expression" dxfId="89" priority="45">
      <formula>AND(OR($F9="No",$F9=""), $E9= "Yes",$G8&lt;&gt;"",$H9&lt;&gt;"")</formula>
    </cfRule>
  </conditionalFormatting>
  <conditionalFormatting sqref="G8 E9">
    <cfRule type="expression" dxfId="88" priority="46">
      <formula>AND(OR($F8="No",$F8=""), $E8= "Yes",$G7&lt;&gt;"",$H8&lt;&gt;"")</formula>
    </cfRule>
  </conditionalFormatting>
  <conditionalFormatting sqref="G9">
    <cfRule type="expression" dxfId="87" priority="47">
      <formula>AND(OR($F8="No",$F8=""), $E8= "Yes",$G9&lt;&gt;"",$H8&lt;&gt;"")</formula>
    </cfRule>
  </conditionalFormatting>
  <conditionalFormatting sqref="G9">
    <cfRule type="expression" dxfId="86" priority="48">
      <formula>AND(OR($F11="No",$F11=""), $E11= "Yes",$G14&lt;&gt;"",$H11&lt;&gt;"")</formula>
    </cfRule>
  </conditionalFormatting>
  <conditionalFormatting sqref="E8">
    <cfRule type="expression" dxfId="85" priority="49">
      <formula>AND(OR($F8="No",$F8=""), $E8= "Yes",$G9&lt;&gt;"",$H8&lt;&gt;"")</formula>
    </cfRule>
  </conditionalFormatting>
  <conditionalFormatting sqref="H7">
    <cfRule type="expression" dxfId="84" priority="42">
      <formula>AND(OR($F8="No",$F8=""), $E7= "Yes",$G7&lt;&gt;"",$H7&lt;&gt;"")</formula>
    </cfRule>
  </conditionalFormatting>
  <conditionalFormatting sqref="F7">
    <cfRule type="expression" dxfId="83" priority="37">
      <formula>AND(OR($F7="No",$F7=""), $E7= "Yes",$G7&lt;&gt;"",$H7&lt;&gt;"")</formula>
    </cfRule>
  </conditionalFormatting>
  <conditionalFormatting sqref="F8:F10">
    <cfRule type="expression" dxfId="82" priority="36">
      <formula>AND(OR($F8="No",$F8=""), $E8= "Yes",$G8&lt;&gt;"",$H8&lt;&gt;"")</formula>
    </cfRule>
  </conditionalFormatting>
  <conditionalFormatting sqref="H8:H10">
    <cfRule type="expression" dxfId="81" priority="35">
      <formula>AND(OR($F9="No",$F9=""), $E8= "Yes",$G8&lt;&gt;"",$H8&lt;&gt;"")</formula>
    </cfRule>
  </conditionalFormatting>
  <conditionalFormatting sqref="H3:H6">
    <cfRule type="expression" dxfId="80" priority="34">
      <formula>AND(OR($F3="No",$F3=""), $E3= "Yes",$G3&lt;&gt;"",$H3&lt;&gt;"")</formula>
    </cfRule>
  </conditionalFormatting>
  <conditionalFormatting sqref="N3:O13 N59:O59 N15:O57">
    <cfRule type="expression" dxfId="79" priority="33">
      <formula>AND(OR($F3="No",$F3=""), $E3= "Yes",$G3&lt;&gt;"",$H3&lt;&gt;"")</formula>
    </cfRule>
  </conditionalFormatting>
  <conditionalFormatting sqref="N58:O58">
    <cfRule type="expression" dxfId="78" priority="32">
      <formula>AND(OR($E58="No",$E58=""), $D58= "Yes",$F58&lt;&gt;"",$G58&lt;&gt;"")</formula>
    </cfRule>
  </conditionalFormatting>
  <conditionalFormatting sqref="N14:O14">
    <cfRule type="expression" dxfId="77" priority="31">
      <formula>AND(OR($F14="No",$F14=""), $E14= "Yes",$G14&lt;&gt;"",$H14&lt;&gt;"")</formula>
    </cfRule>
  </conditionalFormatting>
  <conditionalFormatting sqref="G13 E13:E14">
    <cfRule type="expression" dxfId="76" priority="30">
      <formula>AND(OR($F13="No",$F13=""), $E13= "Yes",$G13&lt;&gt;"",$H13&lt;&gt;"")</formula>
    </cfRule>
  </conditionalFormatting>
  <conditionalFormatting sqref="F13:F14">
    <cfRule type="expression" dxfId="75" priority="29">
      <formula>AND(OR($F13="No",$F13=""), $E13= "Yes",$G13&lt;&gt;"",$H13&lt;&gt;"")</formula>
    </cfRule>
  </conditionalFormatting>
  <conditionalFormatting sqref="H13">
    <cfRule type="expression" dxfId="74" priority="28">
      <formula>AND(OR($F14="No",$F14=""), $E13= "Yes",$G13&lt;&gt;"",$H13&lt;&gt;"")</formula>
    </cfRule>
  </conditionalFormatting>
  <conditionalFormatting sqref="G12">
    <cfRule type="expression" dxfId="73" priority="25">
      <formula>AND(OR($F13="No",$F13=""), $E13= "Yes",$G12&lt;&gt;"",$H13&lt;&gt;"")</formula>
    </cfRule>
  </conditionalFormatting>
  <conditionalFormatting sqref="G12">
    <cfRule type="expression" dxfId="72" priority="26">
      <formula>AND(OR($F12="No",$F12=""), $E12= "Yes",$G11&lt;&gt;"",$H12&lt;&gt;"")</formula>
    </cfRule>
  </conditionalFormatting>
  <conditionalFormatting sqref="E12">
    <cfRule type="expression" dxfId="71" priority="27">
      <formula>AND(OR($F12="No",$F12=""), $E12= "Yes",$G13&lt;&gt;"",$H12&lt;&gt;"")</formula>
    </cfRule>
  </conditionalFormatting>
  <conditionalFormatting sqref="F12">
    <cfRule type="expression" dxfId="70" priority="24">
      <formula>AND(OR($F12="No",$F12=""), $E12= "Yes",$G12&lt;&gt;"",$H12&lt;&gt;"")</formula>
    </cfRule>
  </conditionalFormatting>
  <conditionalFormatting sqref="H12">
    <cfRule type="expression" dxfId="69" priority="23">
      <formula>AND(OR($F13="No",$F13=""), $E12= "Yes",$G12&lt;&gt;"",$H12&lt;&gt;"")</formula>
    </cfRule>
  </conditionalFormatting>
  <conditionalFormatting sqref="I3:M59">
    <cfRule type="expression" dxfId="68" priority="22">
      <formula>AND(OR($F3="No",$F3=""), $E3= "Yes",$G3&lt;&gt;"",$H3&lt;&gt;"")</formula>
    </cfRule>
  </conditionalFormatting>
  <conditionalFormatting sqref="E54:H54">
    <cfRule type="expression" dxfId="67" priority="20">
      <formula>AND(OR($F54="No",$F54=""), $E54= "Yes",$G54&lt;&gt;"",$H54&lt;&gt;"")</formula>
    </cfRule>
  </conditionalFormatting>
  <conditionalFormatting sqref="E53:H53">
    <cfRule type="expression" dxfId="66" priority="19">
      <formula>AND(OR($F53="No",$F53=""), $E53= "Yes",$G53&lt;&gt;"",$H53&lt;&gt;"")</formula>
    </cfRule>
  </conditionalFormatting>
  <conditionalFormatting sqref="E52:H52">
    <cfRule type="expression" dxfId="65" priority="18">
      <formula>AND(OR($F52="No",$F52=""), $E52= "Yes",$G52&lt;&gt;"",$H52&lt;&gt;"")</formula>
    </cfRule>
  </conditionalFormatting>
  <conditionalFormatting sqref="E51:H51">
    <cfRule type="expression" dxfId="64" priority="17">
      <formula>AND(OR($F51="No",$F51=""), $E51= "Yes",$G51&lt;&gt;"",$H51&lt;&gt;"")</formula>
    </cfRule>
  </conditionalFormatting>
  <conditionalFormatting sqref="E40:H40">
    <cfRule type="expression" dxfId="63" priority="16">
      <formula>AND(OR($F40="No",$F40=""), $E40= "Yes",$G40&lt;&gt;"",$H40&lt;&gt;"")</formula>
    </cfRule>
  </conditionalFormatting>
  <conditionalFormatting sqref="E49:F49">
    <cfRule type="expression" dxfId="62" priority="15">
      <formula>AND(OR($F49="No",$F49=""), $E49= "Yes",$G49&lt;&gt;"",$H49&lt;&gt;"")</formula>
    </cfRule>
  </conditionalFormatting>
  <conditionalFormatting sqref="E25:H25">
    <cfRule type="expression" dxfId="61" priority="14">
      <formula>AND(OR($F25="No",$F25=""), $E25= "Yes",$G25&lt;&gt;"",$H25&lt;&gt;"")</formula>
    </cfRule>
  </conditionalFormatting>
  <conditionalFormatting sqref="E26:F26">
    <cfRule type="expression" dxfId="60" priority="13">
      <formula>AND(OR($F26="No",$F26=""), $E26= "Yes",$G26&lt;&gt;"",$H26&lt;&gt;"")</formula>
    </cfRule>
  </conditionalFormatting>
  <conditionalFormatting sqref="E28:F28">
    <cfRule type="expression" dxfId="59" priority="12">
      <formula>AND(OR($F28="No",$F28=""), $E28= "Yes",$G28&lt;&gt;"",$H28&lt;&gt;"")</formula>
    </cfRule>
  </conditionalFormatting>
  <conditionalFormatting sqref="E34:F34">
    <cfRule type="expression" dxfId="58" priority="11">
      <formula>AND(OR($F34="No",$F34=""), $E34= "Yes",$G34&lt;&gt;"",$H34&lt;&gt;"")</formula>
    </cfRule>
  </conditionalFormatting>
  <conditionalFormatting sqref="G20:H20">
    <cfRule type="expression" dxfId="57" priority="10">
      <formula>AND(OR($E20="No",$E20=""), $D20= "Yes",$F20&lt;&gt;"",$G20&lt;&gt;"")</formula>
    </cfRule>
  </conditionalFormatting>
  <conditionalFormatting sqref="E20:F20">
    <cfRule type="expression" dxfId="56" priority="9">
      <formula>AND(OR($F20="No",$F20=""), $E20= "Yes",$G20&lt;&gt;"",$H20&lt;&gt;"")</formula>
    </cfRule>
  </conditionalFormatting>
  <conditionalFormatting sqref="E50:F50">
    <cfRule type="expression" dxfId="55" priority="8">
      <formula>AND(OR($F50="No",$F50=""), $E50= "Yes",$G50&lt;&gt;"",$H50&lt;&gt;"")</formula>
    </cfRule>
  </conditionalFormatting>
  <conditionalFormatting sqref="E22:H22">
    <cfRule type="expression" dxfId="54" priority="7">
      <formula>AND(OR($E22="No",$E22=""), $D22= "Yes",$F22&lt;&gt;"",$G22&lt;&gt;"")</formula>
    </cfRule>
  </conditionalFormatting>
  <conditionalFormatting sqref="E24:H24">
    <cfRule type="expression" dxfId="53" priority="6">
      <formula>AND(OR($E24="No",$E24=""), $D24= "Yes",$F24&lt;&gt;"",$G24&lt;&gt;"")</formula>
    </cfRule>
  </conditionalFormatting>
  <conditionalFormatting sqref="E38:H39">
    <cfRule type="expression" dxfId="52" priority="5">
      <formula>AND(OR($E38="No",$E38=""), $D38= "Yes",$F38&lt;&gt;"",$G38&lt;&gt;"")</formula>
    </cfRule>
  </conditionalFormatting>
  <conditionalFormatting sqref="E15:H16">
    <cfRule type="expression" dxfId="51" priority="4">
      <formula>AND(OR($F15="No",$F15=""), $E15= "Yes",$G15&lt;&gt;"",$H15&lt;&gt;"")</formula>
    </cfRule>
  </conditionalFormatting>
  <conditionalFormatting sqref="E35:H35">
    <cfRule type="expression" dxfId="50" priority="3">
      <formula>AND(OR($F35="No",$F35=""), $E35= "Yes",$G35&lt;&gt;"",$H35&lt;&gt;"")</formula>
    </cfRule>
  </conditionalFormatting>
  <conditionalFormatting sqref="E11:H11">
    <cfRule type="expression" dxfId="49" priority="2">
      <formula>AND(OR($E11="No",$E11=""), $D11= "Yes",$F11&lt;&gt;"",$G11&lt;&gt;"")</formula>
    </cfRule>
  </conditionalFormatting>
  <conditionalFormatting sqref="C42">
    <cfRule type="expression" dxfId="48" priority="1">
      <formula>AND(OR($F42="No",$F42=""), $E42= "Yes",#REF!&lt;&gt;"",$H42&lt;&gt;"")</formula>
    </cfRule>
  </conditionalFormatting>
  <dataValidations count="4">
    <dataValidation type="list" allowBlank="1" showInputMessage="1" showErrorMessage="1" sqref="B3:B43" xr:uid="{D23CC8F3-4F5A-4351-A0F2-A35F28562222}">
      <formula1>"Phase 1, Phase 2, Phase 3, Phase 4, "</formula1>
    </dataValidation>
    <dataValidation type="list" allowBlank="1" showInputMessage="1" showErrorMessage="1" sqref="E11:F11 E3:E6 E40 E49:E54 E25:E26 E28 E34 E20 E22:F22 E24:F24 E38:F39 K1:K2 K60:K1048576" xr:uid="{683EDFB9-D5FF-4226-A0F9-B0D32E5CEB84}">
      <formula1>"Yes, No"</formula1>
    </dataValidation>
    <dataValidation type="list" allowBlank="1" showInputMessage="1" showErrorMessage="1" sqref="E7:E8 E12" xr:uid="{153D1455-A66C-47CC-A8FB-37BBAC67943C}">
      <formula1>$L$7:$L$8</formula1>
    </dataValidation>
    <dataValidation type="list" allowBlank="1" showInputMessage="1" showErrorMessage="1" sqref="E9:E10 E13:E14" xr:uid="{3C0FA237-CE2C-49E8-A022-8F34E1E498D2}">
      <formula1>$N$14:$N$15</formula1>
    </dataValidation>
  </dataValidations>
  <pageMargins left="0.2" right="0.2" top="0.2" bottom="0.2" header="0.3" footer="0.3"/>
  <pageSetup paperSize="8" scale="86"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pageSetUpPr fitToPage="1"/>
  </sheetPr>
  <dimension ref="A1:Q180"/>
  <sheetViews>
    <sheetView zoomScale="60" zoomScaleNormal="60" workbookViewId="0">
      <pane ySplit="2" topLeftCell="A60" activePane="bottomLeft" state="frozen"/>
      <selection pane="bottomLeft" activeCell="I63" sqref="I63"/>
    </sheetView>
  </sheetViews>
  <sheetFormatPr defaultColWidth="8.88671875" defaultRowHeight="15" x14ac:dyDescent="0.2"/>
  <cols>
    <col min="1" max="1" width="9" style="3" customWidth="1"/>
    <col min="2" max="2" width="7.77734375" style="22" customWidth="1"/>
    <col min="3" max="3" width="60.77734375" style="3" customWidth="1"/>
    <col min="4" max="4" width="38.77734375" style="3" customWidth="1"/>
    <col min="5" max="5" width="11.109375" style="3" customWidth="1"/>
    <col min="6" max="6" width="11.5546875" style="3" customWidth="1"/>
    <col min="7" max="7" width="38.77734375" style="3" customWidth="1"/>
    <col min="8" max="8" width="14.77734375" style="3" customWidth="1"/>
    <col min="9" max="10" width="10.33203125" style="22" customWidth="1"/>
    <col min="11" max="11" width="10.5546875" style="3" customWidth="1"/>
    <col min="12" max="12" width="17" style="3" customWidth="1"/>
    <col min="13" max="13" width="27.33203125" style="3" customWidth="1"/>
    <col min="14" max="14" width="10.21875" style="3" customWidth="1"/>
    <col min="15" max="17" width="8.88671875" style="3" customWidth="1"/>
    <col min="18" max="16384" width="8.88671875" style="3"/>
  </cols>
  <sheetData>
    <row r="1" spans="1:17" ht="21" customHeight="1" thickBot="1" x14ac:dyDescent="0.3">
      <c r="A1" s="25"/>
      <c r="B1" s="107" t="s">
        <v>47</v>
      </c>
      <c r="C1" s="63" t="s">
        <v>811</v>
      </c>
      <c r="D1" s="9"/>
      <c r="E1" s="9"/>
      <c r="F1" s="9"/>
      <c r="G1" s="9"/>
      <c r="H1" s="9"/>
      <c r="I1" s="23"/>
      <c r="J1" s="23"/>
      <c r="K1" s="9"/>
      <c r="L1" s="9"/>
    </row>
    <row r="2" spans="1:17" s="10" customFormat="1" ht="87.95" customHeight="1" thickBot="1" x14ac:dyDescent="0.25">
      <c r="A2" s="74" t="s">
        <v>41</v>
      </c>
      <c r="B2" s="74" t="s">
        <v>42</v>
      </c>
      <c r="C2" s="68" t="s">
        <v>43</v>
      </c>
      <c r="D2" s="69" t="s">
        <v>44</v>
      </c>
      <c r="E2" s="70" t="s">
        <v>22</v>
      </c>
      <c r="F2" s="70" t="s">
        <v>19</v>
      </c>
      <c r="G2" s="71" t="s">
        <v>45</v>
      </c>
      <c r="H2" s="71" t="s">
        <v>46</v>
      </c>
      <c r="I2" s="72" t="s">
        <v>49</v>
      </c>
      <c r="J2" s="72" t="s">
        <v>50</v>
      </c>
      <c r="K2" s="72" t="s">
        <v>51</v>
      </c>
      <c r="L2" s="72" t="s">
        <v>52</v>
      </c>
      <c r="M2" s="72" t="s">
        <v>53</v>
      </c>
      <c r="N2" s="72" t="s">
        <v>54</v>
      </c>
      <c r="O2" s="72" t="s">
        <v>55</v>
      </c>
      <c r="P2" s="59" t="s">
        <v>56</v>
      </c>
      <c r="Q2" s="59" t="s">
        <v>57</v>
      </c>
    </row>
    <row r="3" spans="1:17" s="109" customFormat="1" ht="54" customHeight="1" thickTop="1" thickBot="1" x14ac:dyDescent="0.25">
      <c r="A3" s="98"/>
      <c r="B3" s="85" t="s">
        <v>10</v>
      </c>
      <c r="C3" s="86" t="s">
        <v>58</v>
      </c>
      <c r="D3" s="86" t="s">
        <v>59</v>
      </c>
      <c r="E3" s="86" t="s">
        <v>11</v>
      </c>
      <c r="F3" s="86" t="s">
        <v>24</v>
      </c>
      <c r="G3" s="86" t="s">
        <v>812</v>
      </c>
      <c r="H3" s="97">
        <v>44868</v>
      </c>
      <c r="I3" s="87" t="s">
        <v>62</v>
      </c>
      <c r="J3" s="87" t="s">
        <v>63</v>
      </c>
      <c r="K3" s="87">
        <v>0</v>
      </c>
      <c r="L3" s="87" t="s">
        <v>64</v>
      </c>
      <c r="M3" s="87" t="s">
        <v>835</v>
      </c>
      <c r="N3" s="86">
        <v>1</v>
      </c>
      <c r="O3" s="89">
        <v>5.2083333333333333E-4</v>
      </c>
    </row>
    <row r="4" spans="1:17" s="109" customFormat="1" ht="54" customHeight="1" thickTop="1" thickBot="1" x14ac:dyDescent="0.25">
      <c r="A4" s="99"/>
      <c r="B4" s="90" t="s">
        <v>10</v>
      </c>
      <c r="C4" s="80" t="s">
        <v>65</v>
      </c>
      <c r="D4" s="80" t="s">
        <v>66</v>
      </c>
      <c r="E4" s="80" t="s">
        <v>11</v>
      </c>
      <c r="F4" s="80" t="s">
        <v>24</v>
      </c>
      <c r="G4" s="80" t="s">
        <v>463</v>
      </c>
      <c r="H4" s="84">
        <v>44868</v>
      </c>
      <c r="I4" s="87" t="s">
        <v>62</v>
      </c>
      <c r="J4" s="87" t="s">
        <v>63</v>
      </c>
      <c r="K4" s="87">
        <v>0</v>
      </c>
      <c r="L4" s="87" t="s">
        <v>68</v>
      </c>
      <c r="M4" s="87" t="s">
        <v>836</v>
      </c>
      <c r="N4" s="80">
        <v>1</v>
      </c>
      <c r="O4" s="91">
        <v>3.4722222222222224E-4</v>
      </c>
    </row>
    <row r="5" spans="1:17" s="109" customFormat="1" ht="54" customHeight="1" thickTop="1" thickBot="1" x14ac:dyDescent="0.25">
      <c r="A5" s="99"/>
      <c r="B5" s="90" t="s">
        <v>10</v>
      </c>
      <c r="C5" s="80" t="s">
        <v>69</v>
      </c>
      <c r="D5" s="80" t="s">
        <v>66</v>
      </c>
      <c r="E5" s="80" t="s">
        <v>11</v>
      </c>
      <c r="F5" s="80" t="s">
        <v>24</v>
      </c>
      <c r="G5" s="80" t="s">
        <v>463</v>
      </c>
      <c r="H5" s="84">
        <v>44868</v>
      </c>
      <c r="I5" s="87" t="s">
        <v>62</v>
      </c>
      <c r="J5" s="87" t="s">
        <v>63</v>
      </c>
      <c r="K5" s="87">
        <v>0</v>
      </c>
      <c r="L5" s="87" t="s">
        <v>68</v>
      </c>
      <c r="M5" s="87" t="s">
        <v>836</v>
      </c>
      <c r="N5" s="80">
        <v>1</v>
      </c>
      <c r="O5" s="91">
        <v>3.4722222222222224E-4</v>
      </c>
    </row>
    <row r="6" spans="1:17" s="109" customFormat="1" ht="54" customHeight="1" thickTop="1" thickBot="1" x14ac:dyDescent="0.25">
      <c r="A6" s="99"/>
      <c r="B6" s="90" t="s">
        <v>10</v>
      </c>
      <c r="C6" s="80" t="s">
        <v>70</v>
      </c>
      <c r="D6" s="80" t="s">
        <v>71</v>
      </c>
      <c r="E6" s="80" t="s">
        <v>11</v>
      </c>
      <c r="F6" s="80" t="s">
        <v>24</v>
      </c>
      <c r="G6" s="80" t="s">
        <v>93</v>
      </c>
      <c r="H6" s="84" t="s">
        <v>61</v>
      </c>
      <c r="I6" s="87" t="s">
        <v>62</v>
      </c>
      <c r="J6" s="87" t="s">
        <v>63</v>
      </c>
      <c r="K6" s="87">
        <v>0</v>
      </c>
      <c r="L6" s="87" t="s">
        <v>68</v>
      </c>
      <c r="M6" s="87" t="s">
        <v>836</v>
      </c>
      <c r="N6" s="80">
        <v>1</v>
      </c>
      <c r="O6" s="91">
        <v>1.3888888888888889E-3</v>
      </c>
    </row>
    <row r="7" spans="1:17" s="109" customFormat="1" ht="54" customHeight="1" thickTop="1" thickBot="1" x14ac:dyDescent="0.25">
      <c r="A7" s="99"/>
      <c r="B7" s="90" t="s">
        <v>10</v>
      </c>
      <c r="C7" s="80" t="s">
        <v>73</v>
      </c>
      <c r="D7" s="80" t="s">
        <v>74</v>
      </c>
      <c r="E7" s="80" t="s">
        <v>11</v>
      </c>
      <c r="F7" s="80" t="s">
        <v>24</v>
      </c>
      <c r="G7" s="80" t="s">
        <v>79</v>
      </c>
      <c r="H7" s="84">
        <v>44868</v>
      </c>
      <c r="I7" s="87" t="s">
        <v>62</v>
      </c>
      <c r="J7" s="87" t="s">
        <v>63</v>
      </c>
      <c r="K7" s="87">
        <v>0</v>
      </c>
      <c r="L7" s="87" t="s">
        <v>76</v>
      </c>
      <c r="M7" s="87" t="s">
        <v>837</v>
      </c>
      <c r="N7" s="80">
        <v>1</v>
      </c>
      <c r="O7" s="91">
        <v>1.2152777777777778E-3</v>
      </c>
    </row>
    <row r="8" spans="1:17" s="109" customFormat="1" ht="54" customHeight="1" thickTop="1" thickBot="1" x14ac:dyDescent="0.25">
      <c r="A8" s="99"/>
      <c r="B8" s="90" t="s">
        <v>10</v>
      </c>
      <c r="C8" s="80" t="s">
        <v>77</v>
      </c>
      <c r="D8" s="80" t="s">
        <v>78</v>
      </c>
      <c r="E8" s="80" t="s">
        <v>11</v>
      </c>
      <c r="F8" s="80" t="s">
        <v>24</v>
      </c>
      <c r="G8" s="80" t="s">
        <v>93</v>
      </c>
      <c r="H8" s="84" t="s">
        <v>61</v>
      </c>
      <c r="I8" s="87" t="s">
        <v>62</v>
      </c>
      <c r="J8" s="87" t="s">
        <v>63</v>
      </c>
      <c r="K8" s="87">
        <v>0</v>
      </c>
      <c r="L8" s="87" t="s">
        <v>76</v>
      </c>
      <c r="M8" s="87" t="s">
        <v>837</v>
      </c>
      <c r="N8" s="80">
        <v>1</v>
      </c>
      <c r="O8" s="91">
        <v>3.4722222222222224E-4</v>
      </c>
    </row>
    <row r="9" spans="1:17" s="109" customFormat="1" ht="54" customHeight="1" thickTop="1" thickBot="1" x14ac:dyDescent="0.25">
      <c r="A9" s="99"/>
      <c r="B9" s="90" t="s">
        <v>10</v>
      </c>
      <c r="C9" s="80" t="s">
        <v>80</v>
      </c>
      <c r="D9" s="80" t="s">
        <v>81</v>
      </c>
      <c r="E9" s="80" t="s">
        <v>11</v>
      </c>
      <c r="F9" s="80" t="s">
        <v>24</v>
      </c>
      <c r="G9" s="80" t="s">
        <v>82</v>
      </c>
      <c r="H9" s="84">
        <v>45774</v>
      </c>
      <c r="I9" s="87" t="s">
        <v>62</v>
      </c>
      <c r="J9" s="87" t="s">
        <v>63</v>
      </c>
      <c r="K9" s="87">
        <v>0</v>
      </c>
      <c r="L9" s="87" t="s">
        <v>83</v>
      </c>
      <c r="M9" s="87" t="s">
        <v>835</v>
      </c>
      <c r="N9" s="80">
        <v>2</v>
      </c>
      <c r="O9" s="91">
        <v>3.4722222222222224E-4</v>
      </c>
    </row>
    <row r="10" spans="1:17" s="109" customFormat="1" ht="54" customHeight="1" thickTop="1" thickBot="1" x14ac:dyDescent="0.25">
      <c r="A10" s="99"/>
      <c r="B10" s="90" t="s">
        <v>10</v>
      </c>
      <c r="C10" s="80" t="s">
        <v>84</v>
      </c>
      <c r="D10" s="80" t="s">
        <v>85</v>
      </c>
      <c r="E10" s="80" t="s">
        <v>11</v>
      </c>
      <c r="F10" s="80" t="s">
        <v>24</v>
      </c>
      <c r="G10" s="80" t="s">
        <v>99</v>
      </c>
      <c r="H10" s="84">
        <v>44868</v>
      </c>
      <c r="I10" s="87" t="s">
        <v>62</v>
      </c>
      <c r="J10" s="87" t="s">
        <v>63</v>
      </c>
      <c r="K10" s="87">
        <v>0</v>
      </c>
      <c r="L10" s="87" t="s">
        <v>87</v>
      </c>
      <c r="M10" s="87" t="s">
        <v>835</v>
      </c>
      <c r="N10" s="80">
        <v>1</v>
      </c>
      <c r="O10" s="91">
        <v>1.3888888888888889E-3</v>
      </c>
    </row>
    <row r="11" spans="1:17" s="109" customFormat="1" ht="54" customHeight="1" thickTop="1" thickBot="1" x14ac:dyDescent="0.25">
      <c r="A11" s="99"/>
      <c r="B11" s="90" t="s">
        <v>10</v>
      </c>
      <c r="C11" s="80" t="s">
        <v>88</v>
      </c>
      <c r="D11" s="80" t="s">
        <v>89</v>
      </c>
      <c r="E11" s="80" t="s">
        <v>11</v>
      </c>
      <c r="F11" s="80" t="s">
        <v>24</v>
      </c>
      <c r="G11" s="80" t="s">
        <v>99</v>
      </c>
      <c r="H11" s="84">
        <v>44868</v>
      </c>
      <c r="I11" s="87" t="s">
        <v>62</v>
      </c>
      <c r="J11" s="87" t="s">
        <v>63</v>
      </c>
      <c r="K11" s="87">
        <v>0</v>
      </c>
      <c r="L11" s="87" t="s">
        <v>90</v>
      </c>
      <c r="M11" s="87" t="s">
        <v>835</v>
      </c>
      <c r="N11" s="80">
        <v>1</v>
      </c>
      <c r="O11" s="91">
        <v>3.4722222222222224E-4</v>
      </c>
    </row>
    <row r="12" spans="1:17" s="109" customFormat="1" ht="54" customHeight="1" thickTop="1" thickBot="1" x14ac:dyDescent="0.25">
      <c r="A12" s="99"/>
      <c r="B12" s="90" t="s">
        <v>10</v>
      </c>
      <c r="C12" s="80" t="s">
        <v>91</v>
      </c>
      <c r="D12" s="80" t="s">
        <v>92</v>
      </c>
      <c r="E12" s="80" t="s">
        <v>11</v>
      </c>
      <c r="F12" s="80" t="s">
        <v>24</v>
      </c>
      <c r="G12" s="80" t="s">
        <v>813</v>
      </c>
      <c r="H12" s="84">
        <v>44868</v>
      </c>
      <c r="I12" s="87" t="s">
        <v>94</v>
      </c>
      <c r="J12" s="87" t="s">
        <v>63</v>
      </c>
      <c r="K12" s="87">
        <v>0</v>
      </c>
      <c r="L12" s="87" t="s">
        <v>96</v>
      </c>
      <c r="M12" s="87" t="s">
        <v>848</v>
      </c>
      <c r="N12" s="80">
        <v>1</v>
      </c>
      <c r="O12" s="91">
        <v>3.4722222222222224E-4</v>
      </c>
    </row>
    <row r="13" spans="1:17" s="109" customFormat="1" ht="54" customHeight="1" thickTop="1" thickBot="1" x14ac:dyDescent="0.25">
      <c r="A13" s="99"/>
      <c r="B13" s="90" t="s">
        <v>10</v>
      </c>
      <c r="C13" s="80" t="s">
        <v>97</v>
      </c>
      <c r="D13" s="80" t="s">
        <v>98</v>
      </c>
      <c r="E13" s="80" t="s">
        <v>11</v>
      </c>
      <c r="F13" s="80" t="s">
        <v>24</v>
      </c>
      <c r="G13" s="80" t="s">
        <v>227</v>
      </c>
      <c r="H13" s="84">
        <v>44868</v>
      </c>
      <c r="I13" s="87" t="s">
        <v>62</v>
      </c>
      <c r="J13" s="87" t="s">
        <v>63</v>
      </c>
      <c r="K13" s="87">
        <v>0</v>
      </c>
      <c r="L13" s="87" t="s">
        <v>100</v>
      </c>
      <c r="M13" s="87" t="s">
        <v>835</v>
      </c>
      <c r="N13" s="80">
        <v>1</v>
      </c>
      <c r="O13" s="91">
        <v>1.3888888888888889E-3</v>
      </c>
    </row>
    <row r="14" spans="1:17" s="109" customFormat="1" ht="54" customHeight="1" thickTop="1" thickBot="1" x14ac:dyDescent="0.25">
      <c r="A14" s="99"/>
      <c r="B14" s="90" t="s">
        <v>10</v>
      </c>
      <c r="C14" s="80" t="s">
        <v>101</v>
      </c>
      <c r="D14" s="80" t="s">
        <v>102</v>
      </c>
      <c r="E14" s="80" t="s">
        <v>11</v>
      </c>
      <c r="F14" s="80" t="s">
        <v>24</v>
      </c>
      <c r="G14" s="80" t="s">
        <v>463</v>
      </c>
      <c r="H14" s="84">
        <v>44868</v>
      </c>
      <c r="I14" s="87" t="s">
        <v>62</v>
      </c>
      <c r="J14" s="87" t="s">
        <v>63</v>
      </c>
      <c r="K14" s="87">
        <v>0</v>
      </c>
      <c r="L14" s="87" t="s">
        <v>100</v>
      </c>
      <c r="M14" s="87" t="s">
        <v>835</v>
      </c>
      <c r="N14" s="80">
        <v>1</v>
      </c>
      <c r="O14" s="91">
        <v>1.3888888888888889E-3</v>
      </c>
    </row>
    <row r="15" spans="1:17" s="109" customFormat="1" ht="54" customHeight="1" thickTop="1" thickBot="1" x14ac:dyDescent="0.25">
      <c r="A15" s="99"/>
      <c r="B15" s="90" t="s">
        <v>10</v>
      </c>
      <c r="C15" s="80" t="s">
        <v>104</v>
      </c>
      <c r="D15" s="80" t="s">
        <v>105</v>
      </c>
      <c r="E15" s="80" t="s">
        <v>11</v>
      </c>
      <c r="F15" s="80" t="s">
        <v>24</v>
      </c>
      <c r="G15" s="80" t="s">
        <v>748</v>
      </c>
      <c r="H15" s="84">
        <v>44868</v>
      </c>
      <c r="I15" s="87" t="s">
        <v>62</v>
      </c>
      <c r="J15" s="87" t="s">
        <v>63</v>
      </c>
      <c r="K15" s="87">
        <v>0</v>
      </c>
      <c r="L15" s="87" t="s">
        <v>107</v>
      </c>
      <c r="M15" s="87" t="s">
        <v>835</v>
      </c>
      <c r="N15" s="80">
        <v>1</v>
      </c>
      <c r="O15" s="91">
        <v>5.2083333333333333E-4</v>
      </c>
    </row>
    <row r="16" spans="1:17" s="109" customFormat="1" ht="54" customHeight="1" thickTop="1" thickBot="1" x14ac:dyDescent="0.25">
      <c r="A16" s="99"/>
      <c r="B16" s="90" t="s">
        <v>10</v>
      </c>
      <c r="C16" s="80" t="s">
        <v>108</v>
      </c>
      <c r="D16" s="80" t="s">
        <v>109</v>
      </c>
      <c r="E16" s="80" t="s">
        <v>11</v>
      </c>
      <c r="F16" s="80" t="s">
        <v>24</v>
      </c>
      <c r="G16" s="80" t="s">
        <v>748</v>
      </c>
      <c r="H16" s="84">
        <v>44868</v>
      </c>
      <c r="I16" s="87" t="s">
        <v>62</v>
      </c>
      <c r="J16" s="87" t="s">
        <v>63</v>
      </c>
      <c r="K16" s="87">
        <v>0</v>
      </c>
      <c r="L16" s="87" t="s">
        <v>107</v>
      </c>
      <c r="M16" s="87" t="s">
        <v>835</v>
      </c>
      <c r="N16" s="80">
        <v>1</v>
      </c>
      <c r="O16" s="91">
        <v>5.2083333333333333E-4</v>
      </c>
    </row>
    <row r="17" spans="1:15" s="109" customFormat="1" ht="54" customHeight="1" thickTop="1" thickBot="1" x14ac:dyDescent="0.25">
      <c r="A17" s="99"/>
      <c r="B17" s="90" t="s">
        <v>10</v>
      </c>
      <c r="C17" s="80" t="s">
        <v>110</v>
      </c>
      <c r="D17" s="80" t="s">
        <v>111</v>
      </c>
      <c r="E17" s="80" t="s">
        <v>11</v>
      </c>
      <c r="F17" s="80" t="s">
        <v>24</v>
      </c>
      <c r="G17" s="80" t="s">
        <v>748</v>
      </c>
      <c r="H17" s="84">
        <v>44868</v>
      </c>
      <c r="I17" s="87" t="s">
        <v>62</v>
      </c>
      <c r="J17" s="87" t="s">
        <v>63</v>
      </c>
      <c r="K17" s="87">
        <v>0</v>
      </c>
      <c r="L17" s="87" t="s">
        <v>107</v>
      </c>
      <c r="M17" s="87" t="s">
        <v>835</v>
      </c>
      <c r="N17" s="80">
        <v>1</v>
      </c>
      <c r="O17" s="91">
        <v>3.4722222222222224E-4</v>
      </c>
    </row>
    <row r="18" spans="1:15" s="109" customFormat="1" ht="54" customHeight="1" thickTop="1" thickBot="1" x14ac:dyDescent="0.25">
      <c r="A18" s="99"/>
      <c r="B18" s="90" t="s">
        <v>10</v>
      </c>
      <c r="C18" s="80" t="s">
        <v>112</v>
      </c>
      <c r="D18" s="80" t="s">
        <v>113</v>
      </c>
      <c r="E18" s="80" t="s">
        <v>11</v>
      </c>
      <c r="F18" s="80" t="s">
        <v>24</v>
      </c>
      <c r="G18" s="80" t="s">
        <v>726</v>
      </c>
      <c r="H18" s="84">
        <v>44868</v>
      </c>
      <c r="I18" s="87" t="s">
        <v>94</v>
      </c>
      <c r="J18" s="87" t="s">
        <v>63</v>
      </c>
      <c r="K18" s="87">
        <v>0</v>
      </c>
      <c r="L18" s="87" t="s">
        <v>115</v>
      </c>
      <c r="M18" s="87" t="s">
        <v>838</v>
      </c>
      <c r="N18" s="80">
        <v>1</v>
      </c>
      <c r="O18" s="91">
        <v>6.9444444444444447E-4</v>
      </c>
    </row>
    <row r="19" spans="1:15" s="109" customFormat="1" ht="54" customHeight="1" thickTop="1" thickBot="1" x14ac:dyDescent="0.25">
      <c r="A19" s="99"/>
      <c r="B19" s="90" t="s">
        <v>10</v>
      </c>
      <c r="C19" s="80" t="s">
        <v>116</v>
      </c>
      <c r="D19" s="80" t="s">
        <v>117</v>
      </c>
      <c r="E19" s="80" t="s">
        <v>11</v>
      </c>
      <c r="F19" s="80" t="s">
        <v>24</v>
      </c>
      <c r="G19" s="80" t="s">
        <v>600</v>
      </c>
      <c r="H19" s="84">
        <v>44868</v>
      </c>
      <c r="I19" s="87" t="s">
        <v>94</v>
      </c>
      <c r="J19" s="87" t="s">
        <v>63</v>
      </c>
      <c r="K19" s="87">
        <v>0</v>
      </c>
      <c r="L19" s="87" t="s">
        <v>119</v>
      </c>
      <c r="M19" s="87" t="s">
        <v>838</v>
      </c>
      <c r="N19" s="80">
        <v>1</v>
      </c>
      <c r="O19" s="91">
        <v>6.9444444444444447E-4</v>
      </c>
    </row>
    <row r="20" spans="1:15" s="109" customFormat="1" ht="54" customHeight="1" thickTop="1" thickBot="1" x14ac:dyDescent="0.25">
      <c r="A20" s="99"/>
      <c r="B20" s="90" t="s">
        <v>10</v>
      </c>
      <c r="C20" s="80" t="s">
        <v>120</v>
      </c>
      <c r="D20" s="80" t="s">
        <v>121</v>
      </c>
      <c r="E20" s="80" t="s">
        <v>11</v>
      </c>
      <c r="F20" s="80" t="s">
        <v>24</v>
      </c>
      <c r="G20" s="80" t="s">
        <v>93</v>
      </c>
      <c r="H20" s="84" t="s">
        <v>61</v>
      </c>
      <c r="I20" s="87" t="s">
        <v>62</v>
      </c>
      <c r="J20" s="87" t="s">
        <v>63</v>
      </c>
      <c r="K20" s="87">
        <v>0</v>
      </c>
      <c r="L20" s="87">
        <v>0</v>
      </c>
      <c r="M20" s="87" t="s">
        <v>835</v>
      </c>
      <c r="N20" s="80">
        <v>2</v>
      </c>
      <c r="O20" s="91">
        <v>5.2083333333333333E-4</v>
      </c>
    </row>
    <row r="21" spans="1:15" s="109" customFormat="1" ht="54" customHeight="1" thickTop="1" thickBot="1" x14ac:dyDescent="0.25">
      <c r="A21" s="99"/>
      <c r="B21" s="90" t="s">
        <v>10</v>
      </c>
      <c r="C21" s="80" t="s">
        <v>122</v>
      </c>
      <c r="D21" s="80" t="s">
        <v>123</v>
      </c>
      <c r="E21" s="80" t="s">
        <v>11</v>
      </c>
      <c r="F21" s="80" t="s">
        <v>24</v>
      </c>
      <c r="G21" s="80" t="s">
        <v>93</v>
      </c>
      <c r="H21" s="84" t="s">
        <v>61</v>
      </c>
      <c r="I21" s="87" t="s">
        <v>94</v>
      </c>
      <c r="J21" s="87" t="s">
        <v>63</v>
      </c>
      <c r="K21" s="87">
        <v>0</v>
      </c>
      <c r="L21" s="87" t="s">
        <v>125</v>
      </c>
      <c r="M21" s="87" t="s">
        <v>838</v>
      </c>
      <c r="N21" s="80">
        <v>2</v>
      </c>
      <c r="O21" s="91">
        <v>45.000520833333333</v>
      </c>
    </row>
    <row r="22" spans="1:15" s="109" customFormat="1" ht="54" customHeight="1" thickTop="1" thickBot="1" x14ac:dyDescent="0.25">
      <c r="A22" s="100"/>
      <c r="B22" s="90" t="s">
        <v>10</v>
      </c>
      <c r="C22" s="80" t="s">
        <v>126</v>
      </c>
      <c r="D22" s="80" t="s">
        <v>127</v>
      </c>
      <c r="E22" s="80" t="s">
        <v>11</v>
      </c>
      <c r="F22" s="80" t="s">
        <v>24</v>
      </c>
      <c r="G22" s="80" t="s">
        <v>93</v>
      </c>
      <c r="H22" s="84" t="s">
        <v>61</v>
      </c>
      <c r="I22" s="87" t="s">
        <v>94</v>
      </c>
      <c r="J22" s="87" t="s">
        <v>63</v>
      </c>
      <c r="K22" s="87">
        <v>0</v>
      </c>
      <c r="L22" s="87" t="s">
        <v>128</v>
      </c>
      <c r="M22" s="87" t="s">
        <v>838</v>
      </c>
      <c r="N22" s="80">
        <v>2</v>
      </c>
      <c r="O22" s="91">
        <v>45.042187499999997</v>
      </c>
    </row>
    <row r="23" spans="1:15" s="109" customFormat="1" ht="54" customHeight="1" thickTop="1" thickBot="1" x14ac:dyDescent="0.25">
      <c r="A23" s="78"/>
      <c r="B23" s="90" t="s">
        <v>10</v>
      </c>
      <c r="C23" s="80" t="s">
        <v>129</v>
      </c>
      <c r="D23" s="80" t="s">
        <v>130</v>
      </c>
      <c r="E23" s="81" t="s">
        <v>11</v>
      </c>
      <c r="F23" s="81" t="s">
        <v>24</v>
      </c>
      <c r="G23" s="81" t="s">
        <v>124</v>
      </c>
      <c r="H23" s="82" t="s">
        <v>61</v>
      </c>
      <c r="I23" s="87" t="s">
        <v>94</v>
      </c>
      <c r="J23" s="87" t="s">
        <v>63</v>
      </c>
      <c r="K23" s="87">
        <v>0</v>
      </c>
      <c r="L23" s="87" t="s">
        <v>131</v>
      </c>
      <c r="M23" s="87" t="s">
        <v>849</v>
      </c>
      <c r="N23" s="80">
        <v>1</v>
      </c>
      <c r="O23" s="91">
        <v>5.2083333333333333E-4</v>
      </c>
    </row>
    <row r="24" spans="1:15" s="109" customFormat="1" ht="54" customHeight="1" thickTop="1" thickBot="1" x14ac:dyDescent="0.25">
      <c r="A24" s="78"/>
      <c r="B24" s="90" t="s">
        <v>10</v>
      </c>
      <c r="C24" s="80" t="s">
        <v>132</v>
      </c>
      <c r="D24" s="80" t="s">
        <v>133</v>
      </c>
      <c r="E24" s="81" t="s">
        <v>11</v>
      </c>
      <c r="F24" s="81" t="s">
        <v>24</v>
      </c>
      <c r="G24" s="81" t="s">
        <v>124</v>
      </c>
      <c r="H24" s="82" t="s">
        <v>61</v>
      </c>
      <c r="I24" s="87" t="s">
        <v>94</v>
      </c>
      <c r="J24" s="87" t="s">
        <v>63</v>
      </c>
      <c r="K24" s="87">
        <v>0</v>
      </c>
      <c r="L24" s="87" t="s">
        <v>134</v>
      </c>
      <c r="M24" s="87" t="s">
        <v>849</v>
      </c>
      <c r="N24" s="80">
        <v>2</v>
      </c>
      <c r="O24" s="91">
        <v>6.9444444444444447E-4</v>
      </c>
    </row>
    <row r="25" spans="1:15" s="109" customFormat="1" ht="54" customHeight="1" thickTop="1" thickBot="1" x14ac:dyDescent="0.25">
      <c r="A25" s="78"/>
      <c r="B25" s="93" t="s">
        <v>10</v>
      </c>
      <c r="C25" s="94" t="s">
        <v>135</v>
      </c>
      <c r="D25" s="94" t="s">
        <v>136</v>
      </c>
      <c r="E25" s="105" t="s">
        <v>11</v>
      </c>
      <c r="F25" s="105" t="s">
        <v>24</v>
      </c>
      <c r="G25" s="105" t="s">
        <v>93</v>
      </c>
      <c r="H25" s="106" t="s">
        <v>61</v>
      </c>
      <c r="I25" s="87" t="s">
        <v>94</v>
      </c>
      <c r="J25" s="87" t="s">
        <v>63</v>
      </c>
      <c r="K25" s="87">
        <v>0</v>
      </c>
      <c r="L25" s="87">
        <v>0</v>
      </c>
      <c r="M25" s="87" t="s">
        <v>838</v>
      </c>
      <c r="N25" s="94"/>
      <c r="O25" s="96"/>
    </row>
    <row r="26" spans="1:15" s="109" customFormat="1" ht="54" customHeight="1" thickTop="1" thickBot="1" x14ac:dyDescent="0.25">
      <c r="A26" s="98"/>
      <c r="B26" s="85" t="s">
        <v>13</v>
      </c>
      <c r="C26" s="86" t="s">
        <v>137</v>
      </c>
      <c r="D26" s="86" t="s">
        <v>138</v>
      </c>
      <c r="E26" s="86" t="s">
        <v>11</v>
      </c>
      <c r="F26" s="86" t="s">
        <v>24</v>
      </c>
      <c r="G26" s="86" t="s">
        <v>139</v>
      </c>
      <c r="H26" s="97">
        <v>45041</v>
      </c>
      <c r="I26" s="87" t="s">
        <v>140</v>
      </c>
      <c r="J26" s="87" t="s">
        <v>141</v>
      </c>
      <c r="K26" s="87">
        <v>0</v>
      </c>
      <c r="L26" s="87" t="s">
        <v>142</v>
      </c>
      <c r="M26" s="87" t="s">
        <v>838</v>
      </c>
      <c r="N26" s="86">
        <v>4</v>
      </c>
      <c r="O26" s="89">
        <v>1.736111111111111E-3</v>
      </c>
    </row>
    <row r="27" spans="1:15" s="109" customFormat="1" ht="54" customHeight="1" thickTop="1" thickBot="1" x14ac:dyDescent="0.25">
      <c r="A27" s="99"/>
      <c r="B27" s="90" t="s">
        <v>13</v>
      </c>
      <c r="C27" s="80" t="s">
        <v>143</v>
      </c>
      <c r="D27" s="80" t="s">
        <v>144</v>
      </c>
      <c r="E27" s="80" t="s">
        <v>11</v>
      </c>
      <c r="F27" s="80" t="s">
        <v>24</v>
      </c>
      <c r="G27" s="80" t="s">
        <v>814</v>
      </c>
      <c r="H27" s="84">
        <v>45041</v>
      </c>
      <c r="I27" s="87" t="s">
        <v>140</v>
      </c>
      <c r="J27" s="87" t="s">
        <v>141</v>
      </c>
      <c r="K27" s="87">
        <v>0</v>
      </c>
      <c r="L27" s="87" t="s">
        <v>142</v>
      </c>
      <c r="M27" s="87" t="s">
        <v>838</v>
      </c>
      <c r="N27" s="80">
        <v>4</v>
      </c>
      <c r="O27" s="91">
        <v>1.736111111111111E-3</v>
      </c>
    </row>
    <row r="28" spans="1:15" s="109" customFormat="1" ht="54" customHeight="1" thickTop="1" thickBot="1" x14ac:dyDescent="0.25">
      <c r="A28" s="99"/>
      <c r="B28" s="90" t="s">
        <v>13</v>
      </c>
      <c r="C28" s="80" t="s">
        <v>146</v>
      </c>
      <c r="D28" s="80" t="s">
        <v>147</v>
      </c>
      <c r="E28" s="80" t="s">
        <v>11</v>
      </c>
      <c r="F28" s="80" t="s">
        <v>24</v>
      </c>
      <c r="G28" s="80" t="s">
        <v>139</v>
      </c>
      <c r="H28" s="84">
        <v>45041</v>
      </c>
      <c r="I28" s="87" t="s">
        <v>140</v>
      </c>
      <c r="J28" s="87" t="s">
        <v>141</v>
      </c>
      <c r="K28" s="87">
        <v>0</v>
      </c>
      <c r="L28" s="87" t="s">
        <v>142</v>
      </c>
      <c r="M28" s="87" t="s">
        <v>838</v>
      </c>
      <c r="N28" s="80">
        <v>4</v>
      </c>
      <c r="O28" s="91">
        <v>1.736111111111111E-3</v>
      </c>
    </row>
    <row r="29" spans="1:15" s="109" customFormat="1" ht="54" customHeight="1" thickTop="1" thickBot="1" x14ac:dyDescent="0.25">
      <c r="A29" s="99"/>
      <c r="B29" s="90" t="s">
        <v>13</v>
      </c>
      <c r="C29" s="80" t="s">
        <v>149</v>
      </c>
      <c r="D29" s="80" t="s">
        <v>150</v>
      </c>
      <c r="E29" s="80" t="s">
        <v>11</v>
      </c>
      <c r="F29" s="80" t="s">
        <v>24</v>
      </c>
      <c r="G29" s="80" t="s">
        <v>815</v>
      </c>
      <c r="H29" s="84">
        <v>45041</v>
      </c>
      <c r="I29" s="87" t="s">
        <v>140</v>
      </c>
      <c r="J29" s="87" t="s">
        <v>141</v>
      </c>
      <c r="K29" s="87">
        <v>0</v>
      </c>
      <c r="L29" s="87" t="s">
        <v>142</v>
      </c>
      <c r="M29" s="87" t="s">
        <v>838</v>
      </c>
      <c r="N29" s="80">
        <v>4</v>
      </c>
      <c r="O29" s="91">
        <v>1.736111111111111E-3</v>
      </c>
    </row>
    <row r="30" spans="1:15" s="109" customFormat="1" ht="54" customHeight="1" thickTop="1" thickBot="1" x14ac:dyDescent="0.25">
      <c r="A30" s="99"/>
      <c r="B30" s="90" t="s">
        <v>13</v>
      </c>
      <c r="C30" s="80" t="s">
        <v>151</v>
      </c>
      <c r="D30" s="80" t="s">
        <v>152</v>
      </c>
      <c r="E30" s="80" t="s">
        <v>11</v>
      </c>
      <c r="F30" s="80" t="s">
        <v>24</v>
      </c>
      <c r="G30" s="80" t="s">
        <v>816</v>
      </c>
      <c r="H30" s="84">
        <v>45041</v>
      </c>
      <c r="I30" s="87" t="s">
        <v>140</v>
      </c>
      <c r="J30" s="87" t="s">
        <v>63</v>
      </c>
      <c r="K30" s="87">
        <v>0</v>
      </c>
      <c r="L30" s="87" t="s">
        <v>154</v>
      </c>
      <c r="M30" s="87" t="s">
        <v>839</v>
      </c>
      <c r="N30" s="80">
        <v>2</v>
      </c>
      <c r="O30" s="91">
        <v>5.2083333333333333E-4</v>
      </c>
    </row>
    <row r="31" spans="1:15" s="109" customFormat="1" ht="54" customHeight="1" thickTop="1" thickBot="1" x14ac:dyDescent="0.25">
      <c r="A31" s="99"/>
      <c r="B31" s="90" t="s">
        <v>13</v>
      </c>
      <c r="C31" s="80" t="s">
        <v>155</v>
      </c>
      <c r="D31" s="80" t="s">
        <v>152</v>
      </c>
      <c r="E31" s="80" t="s">
        <v>11</v>
      </c>
      <c r="F31" s="80" t="s">
        <v>24</v>
      </c>
      <c r="G31" s="80" t="s">
        <v>816</v>
      </c>
      <c r="H31" s="84">
        <v>45041</v>
      </c>
      <c r="I31" s="87" t="s">
        <v>140</v>
      </c>
      <c r="J31" s="87" t="s">
        <v>63</v>
      </c>
      <c r="K31" s="87">
        <v>0</v>
      </c>
      <c r="L31" s="87" t="s">
        <v>154</v>
      </c>
      <c r="M31" s="87" t="s">
        <v>839</v>
      </c>
      <c r="N31" s="80">
        <v>2</v>
      </c>
      <c r="O31" s="91">
        <v>5.2083333333333333E-4</v>
      </c>
    </row>
    <row r="32" spans="1:15" s="109" customFormat="1" ht="54" customHeight="1" thickTop="1" thickBot="1" x14ac:dyDescent="0.25">
      <c r="A32" s="99"/>
      <c r="B32" s="90" t="s">
        <v>13</v>
      </c>
      <c r="C32" s="80" t="s">
        <v>157</v>
      </c>
      <c r="D32" s="80" t="s">
        <v>158</v>
      </c>
      <c r="E32" s="80" t="s">
        <v>11</v>
      </c>
      <c r="F32" s="80" t="s">
        <v>24</v>
      </c>
      <c r="G32" s="81" t="s">
        <v>159</v>
      </c>
      <c r="H32" s="84">
        <v>45778</v>
      </c>
      <c r="I32" s="87" t="s">
        <v>140</v>
      </c>
      <c r="J32" s="87" t="s">
        <v>63</v>
      </c>
      <c r="K32" s="87">
        <v>0</v>
      </c>
      <c r="L32" s="87" t="s">
        <v>160</v>
      </c>
      <c r="M32" s="87" t="s">
        <v>839</v>
      </c>
      <c r="N32" s="80">
        <v>1</v>
      </c>
      <c r="O32" s="91">
        <v>2.3148148148148146E-4</v>
      </c>
    </row>
    <row r="33" spans="1:15" s="109" customFormat="1" ht="54" customHeight="1" thickTop="1" thickBot="1" x14ac:dyDescent="0.25">
      <c r="A33" s="99"/>
      <c r="B33" s="90" t="s">
        <v>13</v>
      </c>
      <c r="C33" s="80" t="s">
        <v>161</v>
      </c>
      <c r="D33" s="80" t="s">
        <v>162</v>
      </c>
      <c r="E33" s="81" t="s">
        <v>11</v>
      </c>
      <c r="F33" s="81" t="s">
        <v>24</v>
      </c>
      <c r="G33" s="81" t="s">
        <v>163</v>
      </c>
      <c r="H33" s="84">
        <v>45777</v>
      </c>
      <c r="I33" s="87" t="s">
        <v>140</v>
      </c>
      <c r="J33" s="87" t="s">
        <v>63</v>
      </c>
      <c r="K33" s="87">
        <v>0</v>
      </c>
      <c r="L33" s="87" t="s">
        <v>164</v>
      </c>
      <c r="M33" s="87" t="s">
        <v>839</v>
      </c>
      <c r="N33" s="80">
        <v>2</v>
      </c>
      <c r="O33" s="91">
        <v>2.3148148148148146E-4</v>
      </c>
    </row>
    <row r="34" spans="1:15" s="109" customFormat="1" ht="54" customHeight="1" thickTop="1" thickBot="1" x14ac:dyDescent="0.25">
      <c r="A34" s="99"/>
      <c r="B34" s="90" t="s">
        <v>13</v>
      </c>
      <c r="C34" s="80" t="s">
        <v>165</v>
      </c>
      <c r="D34" s="80" t="s">
        <v>166</v>
      </c>
      <c r="E34" s="81" t="s">
        <v>11</v>
      </c>
      <c r="F34" s="81" t="s">
        <v>24</v>
      </c>
      <c r="G34" s="81" t="s">
        <v>163</v>
      </c>
      <c r="H34" s="82">
        <v>45777</v>
      </c>
      <c r="I34" s="87" t="s">
        <v>140</v>
      </c>
      <c r="J34" s="87" t="s">
        <v>63</v>
      </c>
      <c r="K34" s="87">
        <v>0</v>
      </c>
      <c r="L34" s="87" t="s">
        <v>168</v>
      </c>
      <c r="M34" s="87" t="s">
        <v>839</v>
      </c>
      <c r="N34" s="80">
        <v>2</v>
      </c>
      <c r="O34" s="91">
        <v>3.4722222222222224E-4</v>
      </c>
    </row>
    <row r="35" spans="1:15" s="109" customFormat="1" ht="54" customHeight="1" thickTop="1" thickBot="1" x14ac:dyDescent="0.25">
      <c r="A35" s="99"/>
      <c r="B35" s="90" t="s">
        <v>13</v>
      </c>
      <c r="C35" s="80" t="s">
        <v>169</v>
      </c>
      <c r="D35" s="80" t="s">
        <v>170</v>
      </c>
      <c r="E35" s="80" t="s">
        <v>11</v>
      </c>
      <c r="F35" s="80" t="s">
        <v>24</v>
      </c>
      <c r="G35" s="80" t="s">
        <v>814</v>
      </c>
      <c r="H35" s="84">
        <v>45041</v>
      </c>
      <c r="I35" s="87" t="s">
        <v>62</v>
      </c>
      <c r="J35" s="87" t="s">
        <v>141</v>
      </c>
      <c r="K35" s="87">
        <v>0</v>
      </c>
      <c r="L35" s="87" t="s">
        <v>171</v>
      </c>
      <c r="M35" s="87" t="s">
        <v>840</v>
      </c>
      <c r="N35" s="80">
        <v>2</v>
      </c>
      <c r="O35" s="91">
        <v>4.6296296296296293E-4</v>
      </c>
    </row>
    <row r="36" spans="1:15" s="109" customFormat="1" ht="54" customHeight="1" thickTop="1" thickBot="1" x14ac:dyDescent="0.25">
      <c r="A36" s="99"/>
      <c r="B36" s="90" t="s">
        <v>13</v>
      </c>
      <c r="C36" s="80" t="s">
        <v>172</v>
      </c>
      <c r="D36" s="80" t="s">
        <v>173</v>
      </c>
      <c r="E36" s="80" t="s">
        <v>11</v>
      </c>
      <c r="F36" s="80" t="s">
        <v>24</v>
      </c>
      <c r="G36" s="80" t="s">
        <v>814</v>
      </c>
      <c r="H36" s="84">
        <v>45041</v>
      </c>
      <c r="I36" s="87" t="s">
        <v>62</v>
      </c>
      <c r="J36" s="87" t="s">
        <v>141</v>
      </c>
      <c r="K36" s="87">
        <v>0</v>
      </c>
      <c r="L36" s="87" t="s">
        <v>171</v>
      </c>
      <c r="M36" s="87" t="s">
        <v>840</v>
      </c>
      <c r="N36" s="80">
        <v>2</v>
      </c>
      <c r="O36" s="91">
        <v>4.6296296296296293E-4</v>
      </c>
    </row>
    <row r="37" spans="1:15" s="109" customFormat="1" ht="54" customHeight="1" thickTop="1" thickBot="1" x14ac:dyDescent="0.25">
      <c r="A37" s="99"/>
      <c r="B37" s="90" t="s">
        <v>13</v>
      </c>
      <c r="C37" s="80" t="s">
        <v>174</v>
      </c>
      <c r="D37" s="80" t="s">
        <v>175</v>
      </c>
      <c r="E37" s="80" t="s">
        <v>11</v>
      </c>
      <c r="F37" s="80" t="s">
        <v>24</v>
      </c>
      <c r="G37" s="80" t="s">
        <v>814</v>
      </c>
      <c r="H37" s="84">
        <v>45041</v>
      </c>
      <c r="I37" s="87" t="s">
        <v>62</v>
      </c>
      <c r="J37" s="87" t="s">
        <v>141</v>
      </c>
      <c r="K37" s="87">
        <v>0</v>
      </c>
      <c r="L37" s="87" t="s">
        <v>176</v>
      </c>
      <c r="M37" s="87" t="s">
        <v>840</v>
      </c>
      <c r="N37" s="80">
        <v>1</v>
      </c>
      <c r="O37" s="91">
        <v>4.6296296296296293E-4</v>
      </c>
    </row>
    <row r="38" spans="1:15" s="109" customFormat="1" ht="54" customHeight="1" thickTop="1" thickBot="1" x14ac:dyDescent="0.25">
      <c r="A38" s="99"/>
      <c r="B38" s="90" t="s">
        <v>13</v>
      </c>
      <c r="C38" s="80" t="s">
        <v>177</v>
      </c>
      <c r="D38" s="80" t="s">
        <v>178</v>
      </c>
      <c r="E38" s="80" t="s">
        <v>11</v>
      </c>
      <c r="F38" s="80" t="s">
        <v>24</v>
      </c>
      <c r="G38" s="80" t="s">
        <v>814</v>
      </c>
      <c r="H38" s="84">
        <v>45041</v>
      </c>
      <c r="I38" s="87" t="s">
        <v>62</v>
      </c>
      <c r="J38" s="87" t="s">
        <v>141</v>
      </c>
      <c r="K38" s="87">
        <v>0</v>
      </c>
      <c r="L38" s="87" t="s">
        <v>176</v>
      </c>
      <c r="M38" s="87" t="s">
        <v>840</v>
      </c>
      <c r="N38" s="80">
        <v>1</v>
      </c>
      <c r="O38" s="91">
        <v>4.6296296296296293E-4</v>
      </c>
    </row>
    <row r="39" spans="1:15" s="109" customFormat="1" ht="54" customHeight="1" thickTop="1" thickBot="1" x14ac:dyDescent="0.25">
      <c r="A39" s="99"/>
      <c r="B39" s="90" t="s">
        <v>13</v>
      </c>
      <c r="C39" s="80" t="s">
        <v>179</v>
      </c>
      <c r="D39" s="80" t="s">
        <v>180</v>
      </c>
      <c r="E39" s="80" t="s">
        <v>11</v>
      </c>
      <c r="F39" s="80" t="s">
        <v>24</v>
      </c>
      <c r="G39" s="80" t="s">
        <v>814</v>
      </c>
      <c r="H39" s="84">
        <v>45041</v>
      </c>
      <c r="I39" s="87" t="s">
        <v>62</v>
      </c>
      <c r="J39" s="87" t="s">
        <v>141</v>
      </c>
      <c r="K39" s="87">
        <v>0</v>
      </c>
      <c r="L39" s="87" t="s">
        <v>176</v>
      </c>
      <c r="M39" s="87" t="s">
        <v>840</v>
      </c>
      <c r="N39" s="80">
        <v>1</v>
      </c>
      <c r="O39" s="91">
        <v>4.6296296296296293E-4</v>
      </c>
    </row>
    <row r="40" spans="1:15" s="109" customFormat="1" ht="54" customHeight="1" thickTop="1" thickBot="1" x14ac:dyDescent="0.25">
      <c r="A40" s="99"/>
      <c r="B40" s="90" t="s">
        <v>13</v>
      </c>
      <c r="C40" s="80" t="s">
        <v>181</v>
      </c>
      <c r="D40" s="80" t="s">
        <v>170</v>
      </c>
      <c r="E40" s="80" t="s">
        <v>11</v>
      </c>
      <c r="F40" s="80" t="s">
        <v>24</v>
      </c>
      <c r="G40" s="80" t="s">
        <v>815</v>
      </c>
      <c r="H40" s="84">
        <v>45041</v>
      </c>
      <c r="I40" s="87" t="s">
        <v>62</v>
      </c>
      <c r="J40" s="87" t="s">
        <v>141</v>
      </c>
      <c r="K40" s="87">
        <v>0</v>
      </c>
      <c r="L40" s="87" t="s">
        <v>171</v>
      </c>
      <c r="M40" s="87" t="s">
        <v>840</v>
      </c>
      <c r="N40" s="80">
        <v>2</v>
      </c>
      <c r="O40" s="91">
        <v>4.6296296296296293E-4</v>
      </c>
    </row>
    <row r="41" spans="1:15" s="109" customFormat="1" ht="54" customHeight="1" thickTop="1" thickBot="1" x14ac:dyDescent="0.25">
      <c r="A41" s="99"/>
      <c r="B41" s="90" t="s">
        <v>13</v>
      </c>
      <c r="C41" s="80" t="s">
        <v>182</v>
      </c>
      <c r="D41" s="80" t="s">
        <v>173</v>
      </c>
      <c r="E41" s="80" t="s">
        <v>11</v>
      </c>
      <c r="F41" s="80" t="s">
        <v>24</v>
      </c>
      <c r="G41" s="80" t="s">
        <v>815</v>
      </c>
      <c r="H41" s="84">
        <v>45041</v>
      </c>
      <c r="I41" s="87" t="s">
        <v>62</v>
      </c>
      <c r="J41" s="87" t="s">
        <v>141</v>
      </c>
      <c r="K41" s="87">
        <v>0</v>
      </c>
      <c r="L41" s="87" t="s">
        <v>171</v>
      </c>
      <c r="M41" s="87" t="s">
        <v>840</v>
      </c>
      <c r="N41" s="80">
        <v>2</v>
      </c>
      <c r="O41" s="91">
        <v>4.6296296296296293E-4</v>
      </c>
    </row>
    <row r="42" spans="1:15" s="109" customFormat="1" ht="54" customHeight="1" thickTop="1" thickBot="1" x14ac:dyDescent="0.25">
      <c r="A42" s="99"/>
      <c r="B42" s="90" t="s">
        <v>13</v>
      </c>
      <c r="C42" s="80" t="s">
        <v>183</v>
      </c>
      <c r="D42" s="80" t="s">
        <v>184</v>
      </c>
      <c r="E42" s="80" t="s">
        <v>11</v>
      </c>
      <c r="F42" s="80" t="s">
        <v>24</v>
      </c>
      <c r="G42" s="80" t="s">
        <v>82</v>
      </c>
      <c r="H42" s="84">
        <v>45773</v>
      </c>
      <c r="I42" s="87" t="s">
        <v>94</v>
      </c>
      <c r="J42" s="87" t="s">
        <v>63</v>
      </c>
      <c r="K42" s="87">
        <v>0</v>
      </c>
      <c r="L42" s="87" t="s">
        <v>186</v>
      </c>
      <c r="M42" s="87" t="s">
        <v>838</v>
      </c>
      <c r="N42" s="80">
        <v>1</v>
      </c>
      <c r="O42" s="91">
        <v>6.9444444444444447E-4</v>
      </c>
    </row>
    <row r="43" spans="1:15" s="109" customFormat="1" ht="54" customHeight="1" thickTop="1" thickBot="1" x14ac:dyDescent="0.25">
      <c r="A43" s="146"/>
      <c r="B43" s="120" t="s">
        <v>13</v>
      </c>
      <c r="C43" s="121" t="s">
        <v>187</v>
      </c>
      <c r="D43" s="121" t="s">
        <v>188</v>
      </c>
      <c r="E43" s="121" t="s">
        <v>24</v>
      </c>
      <c r="F43" s="121"/>
      <c r="G43" s="121"/>
      <c r="H43" s="164"/>
      <c r="I43" s="87" t="s">
        <v>62</v>
      </c>
      <c r="J43" s="87" t="s">
        <v>63</v>
      </c>
      <c r="K43" s="87">
        <v>0</v>
      </c>
      <c r="L43" s="87" t="s">
        <v>189</v>
      </c>
      <c r="M43" s="87" t="s">
        <v>839</v>
      </c>
      <c r="N43" s="121">
        <v>2</v>
      </c>
      <c r="O43" s="123">
        <v>6.9444444444444447E-4</v>
      </c>
    </row>
    <row r="44" spans="1:15" s="109" customFormat="1" ht="54" customHeight="1" thickTop="1" thickBot="1" x14ac:dyDescent="0.25">
      <c r="A44" s="144"/>
      <c r="B44" s="110" t="s">
        <v>16</v>
      </c>
      <c r="C44" s="111" t="s">
        <v>190</v>
      </c>
      <c r="D44" s="111" t="s">
        <v>191</v>
      </c>
      <c r="E44" s="111" t="s">
        <v>24</v>
      </c>
      <c r="F44" s="111"/>
      <c r="G44" s="111"/>
      <c r="H44" s="124"/>
      <c r="I44" s="87" t="s">
        <v>140</v>
      </c>
      <c r="J44" s="87" t="s">
        <v>63</v>
      </c>
      <c r="K44" s="87">
        <v>0</v>
      </c>
      <c r="L44" s="87" t="s">
        <v>192</v>
      </c>
      <c r="M44" s="87" t="s">
        <v>841</v>
      </c>
      <c r="N44" s="111">
        <v>2</v>
      </c>
      <c r="O44" s="114">
        <v>1.0416666666666667E-3</v>
      </c>
    </row>
    <row r="45" spans="1:15" s="109" customFormat="1" ht="54" customHeight="1" thickTop="1" thickBot="1" x14ac:dyDescent="0.25">
      <c r="A45" s="99"/>
      <c r="B45" s="90" t="s">
        <v>16</v>
      </c>
      <c r="C45" s="80" t="s">
        <v>193</v>
      </c>
      <c r="D45" s="80" t="s">
        <v>194</v>
      </c>
      <c r="E45" s="81" t="s">
        <v>11</v>
      </c>
      <c r="F45" s="81" t="s">
        <v>24</v>
      </c>
      <c r="G45" s="81" t="s">
        <v>163</v>
      </c>
      <c r="H45" s="82">
        <v>45772</v>
      </c>
      <c r="I45" s="87" t="s">
        <v>140</v>
      </c>
      <c r="J45" s="87" t="s">
        <v>63</v>
      </c>
      <c r="K45" s="87">
        <v>0</v>
      </c>
      <c r="L45" s="87" t="s">
        <v>195</v>
      </c>
      <c r="M45" s="87" t="s">
        <v>839</v>
      </c>
      <c r="N45" s="80">
        <v>2</v>
      </c>
      <c r="O45" s="91">
        <v>1.5624999999999999E-3</v>
      </c>
    </row>
    <row r="46" spans="1:15" s="109" customFormat="1" ht="54" customHeight="1" thickTop="1" thickBot="1" x14ac:dyDescent="0.25">
      <c r="A46" s="99"/>
      <c r="B46" s="90" t="s">
        <v>16</v>
      </c>
      <c r="C46" s="80" t="s">
        <v>196</v>
      </c>
      <c r="D46" s="80" t="s">
        <v>197</v>
      </c>
      <c r="E46" s="81" t="s">
        <v>11</v>
      </c>
      <c r="F46" s="81" t="s">
        <v>24</v>
      </c>
      <c r="G46" s="81" t="s">
        <v>198</v>
      </c>
      <c r="H46" s="82">
        <v>45778</v>
      </c>
      <c r="I46" s="87" t="s">
        <v>140</v>
      </c>
      <c r="J46" s="87" t="s">
        <v>63</v>
      </c>
      <c r="K46" s="87">
        <v>0</v>
      </c>
      <c r="L46" s="87" t="s">
        <v>199</v>
      </c>
      <c r="M46" s="87" t="s">
        <v>839</v>
      </c>
      <c r="N46" s="80">
        <v>2</v>
      </c>
      <c r="O46" s="91">
        <v>6.9444444444444447E-4</v>
      </c>
    </row>
    <row r="47" spans="1:15" s="109" customFormat="1" ht="54" customHeight="1" thickTop="1" thickBot="1" x14ac:dyDescent="0.25">
      <c r="A47" s="99"/>
      <c r="B47" s="90" t="s">
        <v>16</v>
      </c>
      <c r="C47" s="80" t="s">
        <v>200</v>
      </c>
      <c r="D47" s="80" t="s">
        <v>201</v>
      </c>
      <c r="E47" s="81" t="s">
        <v>11</v>
      </c>
      <c r="F47" s="81" t="s">
        <v>24</v>
      </c>
      <c r="G47" s="81" t="s">
        <v>198</v>
      </c>
      <c r="H47" s="82">
        <v>45778</v>
      </c>
      <c r="I47" s="87" t="s">
        <v>140</v>
      </c>
      <c r="J47" s="87" t="s">
        <v>63</v>
      </c>
      <c r="K47" s="87">
        <v>0</v>
      </c>
      <c r="L47" s="87" t="s">
        <v>202</v>
      </c>
      <c r="M47" s="87" t="s">
        <v>839</v>
      </c>
      <c r="N47" s="80">
        <v>2</v>
      </c>
      <c r="O47" s="91">
        <v>6.9444444444444447E-4</v>
      </c>
    </row>
    <row r="48" spans="1:15" s="109" customFormat="1" ht="54" customHeight="1" thickTop="1" thickBot="1" x14ac:dyDescent="0.25">
      <c r="A48" s="99"/>
      <c r="B48" s="90" t="s">
        <v>16</v>
      </c>
      <c r="C48" s="80" t="s">
        <v>203</v>
      </c>
      <c r="D48" s="80" t="s">
        <v>204</v>
      </c>
      <c r="E48" s="81" t="s">
        <v>11</v>
      </c>
      <c r="F48" s="81" t="s">
        <v>24</v>
      </c>
      <c r="G48" s="81" t="s">
        <v>163</v>
      </c>
      <c r="H48" s="82">
        <v>45772</v>
      </c>
      <c r="I48" s="87" t="s">
        <v>140</v>
      </c>
      <c r="J48" s="87" t="s">
        <v>141</v>
      </c>
      <c r="K48" s="87">
        <v>0</v>
      </c>
      <c r="L48" s="87" t="s">
        <v>205</v>
      </c>
      <c r="M48" s="87" t="s">
        <v>839</v>
      </c>
      <c r="N48" s="80">
        <v>2</v>
      </c>
      <c r="O48" s="91">
        <v>5.2083333333333333E-4</v>
      </c>
    </row>
    <row r="49" spans="1:15" s="109" customFormat="1" ht="54" customHeight="1" thickTop="1" thickBot="1" x14ac:dyDescent="0.25">
      <c r="A49" s="99"/>
      <c r="B49" s="90" t="s">
        <v>16</v>
      </c>
      <c r="C49" s="80" t="s">
        <v>206</v>
      </c>
      <c r="D49" s="80" t="s">
        <v>207</v>
      </c>
      <c r="E49" s="81" t="s">
        <v>11</v>
      </c>
      <c r="F49" s="81" t="s">
        <v>24</v>
      </c>
      <c r="G49" s="81" t="s">
        <v>208</v>
      </c>
      <c r="H49" s="82">
        <v>45772</v>
      </c>
      <c r="I49" s="87" t="s">
        <v>140</v>
      </c>
      <c r="J49" s="87" t="s">
        <v>63</v>
      </c>
      <c r="K49" s="87">
        <v>0</v>
      </c>
      <c r="L49" s="87" t="s">
        <v>209</v>
      </c>
      <c r="M49" s="87" t="s">
        <v>842</v>
      </c>
      <c r="N49" s="80">
        <v>2</v>
      </c>
      <c r="O49" s="91">
        <v>6.9444444444444447E-4</v>
      </c>
    </row>
    <row r="50" spans="1:15" s="109" customFormat="1" ht="54" customHeight="1" thickTop="1" thickBot="1" x14ac:dyDescent="0.25">
      <c r="A50" s="99"/>
      <c r="B50" s="90" t="s">
        <v>16</v>
      </c>
      <c r="C50" s="80" t="s">
        <v>210</v>
      </c>
      <c r="D50" s="80" t="s">
        <v>211</v>
      </c>
      <c r="E50" s="80" t="s">
        <v>245</v>
      </c>
      <c r="F50" s="80" t="s">
        <v>24</v>
      </c>
      <c r="G50" s="80" t="s">
        <v>731</v>
      </c>
      <c r="H50" s="84">
        <v>45776</v>
      </c>
      <c r="I50" s="87" t="s">
        <v>140</v>
      </c>
      <c r="J50" s="87" t="s">
        <v>141</v>
      </c>
      <c r="K50" s="87">
        <v>0</v>
      </c>
      <c r="L50" s="87" t="s">
        <v>213</v>
      </c>
      <c r="M50" s="87" t="s">
        <v>842</v>
      </c>
      <c r="N50" s="80">
        <v>1</v>
      </c>
      <c r="O50" s="91">
        <v>3.4722222222222224E-4</v>
      </c>
    </row>
    <row r="51" spans="1:15" s="109" customFormat="1" ht="54" customHeight="1" thickTop="1" thickBot="1" x14ac:dyDescent="0.25">
      <c r="A51" s="99"/>
      <c r="B51" s="90" t="s">
        <v>16</v>
      </c>
      <c r="C51" s="80" t="s">
        <v>214</v>
      </c>
      <c r="D51" s="80" t="s">
        <v>211</v>
      </c>
      <c r="E51" s="80" t="s">
        <v>245</v>
      </c>
      <c r="F51" s="80" t="s">
        <v>24</v>
      </c>
      <c r="G51" s="80" t="s">
        <v>731</v>
      </c>
      <c r="H51" s="84">
        <v>45776</v>
      </c>
      <c r="I51" s="87" t="s">
        <v>140</v>
      </c>
      <c r="J51" s="87" t="s">
        <v>141</v>
      </c>
      <c r="K51" s="87">
        <v>0</v>
      </c>
      <c r="L51" s="87" t="s">
        <v>213</v>
      </c>
      <c r="M51" s="87" t="s">
        <v>842</v>
      </c>
      <c r="N51" s="80">
        <v>1</v>
      </c>
      <c r="O51" s="91">
        <v>3.4722222222222224E-4</v>
      </c>
    </row>
    <row r="52" spans="1:15" s="109" customFormat="1" ht="54" customHeight="1" thickTop="1" thickBot="1" x14ac:dyDescent="0.25">
      <c r="A52" s="99"/>
      <c r="B52" s="90" t="s">
        <v>16</v>
      </c>
      <c r="C52" s="80" t="s">
        <v>215</v>
      </c>
      <c r="D52" s="80" t="s">
        <v>216</v>
      </c>
      <c r="E52" s="80" t="s">
        <v>11</v>
      </c>
      <c r="F52" s="80" t="s">
        <v>24</v>
      </c>
      <c r="G52" s="80" t="s">
        <v>217</v>
      </c>
      <c r="H52" s="84">
        <v>45775</v>
      </c>
      <c r="I52" s="87" t="s">
        <v>94</v>
      </c>
      <c r="J52" s="87" t="s">
        <v>141</v>
      </c>
      <c r="K52" s="87">
        <v>0</v>
      </c>
      <c r="L52" s="87" t="s">
        <v>218</v>
      </c>
      <c r="M52" s="87" t="s">
        <v>850</v>
      </c>
      <c r="N52" s="80">
        <v>1</v>
      </c>
      <c r="O52" s="91">
        <v>3.4722222222222224E-4</v>
      </c>
    </row>
    <row r="53" spans="1:15" s="109" customFormat="1" ht="54" customHeight="1" thickTop="1" thickBot="1" x14ac:dyDescent="0.25">
      <c r="A53" s="145"/>
      <c r="B53" s="115" t="s">
        <v>16</v>
      </c>
      <c r="C53" s="108" t="s">
        <v>219</v>
      </c>
      <c r="D53" s="108" t="s">
        <v>220</v>
      </c>
      <c r="E53" s="108" t="s">
        <v>24</v>
      </c>
      <c r="F53" s="108"/>
      <c r="G53" s="108"/>
      <c r="H53" s="125"/>
      <c r="I53" s="87" t="s">
        <v>140</v>
      </c>
      <c r="J53" s="87" t="s">
        <v>141</v>
      </c>
      <c r="K53" s="87">
        <v>0</v>
      </c>
      <c r="L53" s="87" t="s">
        <v>221</v>
      </c>
      <c r="M53" s="87" t="s">
        <v>842</v>
      </c>
      <c r="N53" s="108">
        <v>1</v>
      </c>
      <c r="O53" s="118">
        <v>5.7870370370370378E-4</v>
      </c>
    </row>
    <row r="54" spans="1:15" s="109" customFormat="1" ht="54" customHeight="1" thickTop="1" thickBot="1" x14ac:dyDescent="0.25">
      <c r="A54" s="145"/>
      <c r="B54" s="115" t="s">
        <v>16</v>
      </c>
      <c r="C54" s="108" t="s">
        <v>222</v>
      </c>
      <c r="D54" s="108" t="s">
        <v>223</v>
      </c>
      <c r="E54" s="108" t="s">
        <v>24</v>
      </c>
      <c r="F54" s="108"/>
      <c r="G54" s="108"/>
      <c r="H54" s="125"/>
      <c r="I54" s="87" t="s">
        <v>140</v>
      </c>
      <c r="J54" s="87" t="s">
        <v>141</v>
      </c>
      <c r="K54" s="87">
        <v>0</v>
      </c>
      <c r="L54" s="87" t="s">
        <v>224</v>
      </c>
      <c r="M54" s="87" t="s">
        <v>842</v>
      </c>
      <c r="N54" s="108">
        <v>2</v>
      </c>
      <c r="O54" s="118">
        <v>6.9444444444444447E-4</v>
      </c>
    </row>
    <row r="55" spans="1:15" s="109" customFormat="1" ht="54" customHeight="1" thickTop="1" thickBot="1" x14ac:dyDescent="0.25">
      <c r="A55" s="99"/>
      <c r="B55" s="90" t="s">
        <v>16</v>
      </c>
      <c r="C55" s="80" t="s">
        <v>225</v>
      </c>
      <c r="D55" s="80" t="s">
        <v>226</v>
      </c>
      <c r="E55" s="80" t="s">
        <v>11</v>
      </c>
      <c r="F55" s="80" t="s">
        <v>24</v>
      </c>
      <c r="G55" s="81" t="s">
        <v>227</v>
      </c>
      <c r="H55" s="82">
        <v>45774</v>
      </c>
      <c r="I55" s="87" t="s">
        <v>62</v>
      </c>
      <c r="J55" s="87" t="s">
        <v>141</v>
      </c>
      <c r="K55" s="87">
        <v>0</v>
      </c>
      <c r="L55" s="87" t="s">
        <v>228</v>
      </c>
      <c r="M55" s="87" t="s">
        <v>842</v>
      </c>
      <c r="N55" s="80">
        <v>1</v>
      </c>
      <c r="O55" s="91">
        <v>3.4722222222222224E-4</v>
      </c>
    </row>
    <row r="56" spans="1:15" s="109" customFormat="1" ht="54" customHeight="1" thickTop="1" thickBot="1" x14ac:dyDescent="0.25">
      <c r="A56" s="145"/>
      <c r="B56" s="115" t="s">
        <v>16</v>
      </c>
      <c r="C56" s="108" t="s">
        <v>229</v>
      </c>
      <c r="D56" s="108" t="s">
        <v>230</v>
      </c>
      <c r="E56" s="108" t="s">
        <v>24</v>
      </c>
      <c r="F56" s="108"/>
      <c r="G56" s="108"/>
      <c r="H56" s="125"/>
      <c r="I56" s="87" t="s">
        <v>140</v>
      </c>
      <c r="J56" s="87" t="s">
        <v>63</v>
      </c>
      <c r="K56" s="87">
        <v>0</v>
      </c>
      <c r="L56" s="87" t="s">
        <v>221</v>
      </c>
      <c r="M56" s="87" t="s">
        <v>842</v>
      </c>
      <c r="N56" s="108">
        <v>1</v>
      </c>
      <c r="O56" s="118">
        <v>1.0416666666666667E-3</v>
      </c>
    </row>
    <row r="57" spans="1:15" s="109" customFormat="1" ht="54" customHeight="1" thickTop="1" thickBot="1" x14ac:dyDescent="0.25">
      <c r="A57" s="99"/>
      <c r="B57" s="90" t="s">
        <v>16</v>
      </c>
      <c r="C57" s="80" t="s">
        <v>231</v>
      </c>
      <c r="D57" s="80" t="s">
        <v>232</v>
      </c>
      <c r="E57" s="81" t="s">
        <v>11</v>
      </c>
      <c r="F57" s="81" t="s">
        <v>24</v>
      </c>
      <c r="G57" s="81" t="s">
        <v>233</v>
      </c>
      <c r="H57" s="82">
        <v>45776</v>
      </c>
      <c r="I57" s="87" t="s">
        <v>140</v>
      </c>
      <c r="J57" s="87" t="s">
        <v>141</v>
      </c>
      <c r="K57" s="87">
        <v>0</v>
      </c>
      <c r="L57" s="87" t="s">
        <v>234</v>
      </c>
      <c r="M57" s="87" t="s">
        <v>842</v>
      </c>
      <c r="N57" s="80">
        <v>1</v>
      </c>
      <c r="O57" s="91">
        <v>1.1574074074074073E-4</v>
      </c>
    </row>
    <row r="58" spans="1:15" s="109" customFormat="1" ht="54" customHeight="1" thickTop="1" thickBot="1" x14ac:dyDescent="0.25">
      <c r="A58" s="99"/>
      <c r="B58" s="90" t="s">
        <v>16</v>
      </c>
      <c r="C58" s="80" t="s">
        <v>235</v>
      </c>
      <c r="D58" s="80" t="s">
        <v>236</v>
      </c>
      <c r="E58" s="80" t="s">
        <v>11</v>
      </c>
      <c r="F58" s="80" t="s">
        <v>24</v>
      </c>
      <c r="G58" s="80" t="s">
        <v>817</v>
      </c>
      <c r="H58" s="84">
        <v>45775</v>
      </c>
      <c r="I58" s="87" t="s">
        <v>140</v>
      </c>
      <c r="J58" s="87" t="s">
        <v>141</v>
      </c>
      <c r="K58" s="87">
        <v>0</v>
      </c>
      <c r="L58" s="87" t="s">
        <v>238</v>
      </c>
      <c r="M58" s="87" t="s">
        <v>843</v>
      </c>
      <c r="N58" s="80">
        <v>2</v>
      </c>
      <c r="O58" s="91">
        <v>3.4722222222222224E-4</v>
      </c>
    </row>
    <row r="59" spans="1:15" s="109" customFormat="1" ht="54" customHeight="1" thickTop="1" thickBot="1" x14ac:dyDescent="0.25">
      <c r="A59" s="99"/>
      <c r="B59" s="90" t="s">
        <v>16</v>
      </c>
      <c r="C59" s="80" t="s">
        <v>239</v>
      </c>
      <c r="D59" s="80" t="s">
        <v>240</v>
      </c>
      <c r="E59" s="80" t="s">
        <v>11</v>
      </c>
      <c r="F59" s="80" t="s">
        <v>24</v>
      </c>
      <c r="G59" s="81" t="s">
        <v>241</v>
      </c>
      <c r="H59" s="82">
        <v>45772</v>
      </c>
      <c r="I59" s="87" t="s">
        <v>140</v>
      </c>
      <c r="J59" s="87" t="s">
        <v>141</v>
      </c>
      <c r="K59" s="87">
        <v>0</v>
      </c>
      <c r="L59" s="87" t="s">
        <v>242</v>
      </c>
      <c r="M59" s="87" t="s">
        <v>842</v>
      </c>
      <c r="N59" s="80">
        <v>2</v>
      </c>
      <c r="O59" s="91">
        <v>6.9444444444444447E-4</v>
      </c>
    </row>
    <row r="60" spans="1:15" s="109" customFormat="1" ht="54" customHeight="1" thickTop="1" thickBot="1" x14ac:dyDescent="0.25">
      <c r="A60" s="158"/>
      <c r="B60" s="135" t="s">
        <v>16</v>
      </c>
      <c r="C60" s="136" t="s">
        <v>243</v>
      </c>
      <c r="D60" s="136" t="s">
        <v>244</v>
      </c>
      <c r="E60" s="137" t="s">
        <v>11</v>
      </c>
      <c r="F60" s="137" t="s">
        <v>245</v>
      </c>
      <c r="G60" s="137" t="s">
        <v>246</v>
      </c>
      <c r="H60" s="138">
        <v>45776</v>
      </c>
      <c r="I60" s="87" t="s">
        <v>140</v>
      </c>
      <c r="J60" s="87" t="s">
        <v>141</v>
      </c>
      <c r="K60" s="87">
        <v>0</v>
      </c>
      <c r="L60" s="87" t="s">
        <v>247</v>
      </c>
      <c r="M60" s="87" t="s">
        <v>842</v>
      </c>
      <c r="N60" s="136">
        <v>1</v>
      </c>
      <c r="O60" s="139">
        <v>6.9444444444444447E-4</v>
      </c>
    </row>
    <row r="61" spans="1:15" s="109" customFormat="1" ht="54" customHeight="1" thickTop="1" thickBot="1" x14ac:dyDescent="0.25">
      <c r="A61" s="99"/>
      <c r="B61" s="90" t="s">
        <v>16</v>
      </c>
      <c r="C61" s="80" t="s">
        <v>248</v>
      </c>
      <c r="D61" s="80" t="s">
        <v>249</v>
      </c>
      <c r="E61" s="80" t="s">
        <v>11</v>
      </c>
      <c r="F61" s="80" t="s">
        <v>24</v>
      </c>
      <c r="G61" s="80" t="s">
        <v>250</v>
      </c>
      <c r="H61" s="84">
        <v>45775</v>
      </c>
      <c r="I61" s="87" t="s">
        <v>140</v>
      </c>
      <c r="J61" s="87" t="s">
        <v>141</v>
      </c>
      <c r="K61" s="87">
        <v>0</v>
      </c>
      <c r="L61" s="87" t="s">
        <v>251</v>
      </c>
      <c r="M61" s="87" t="s">
        <v>843</v>
      </c>
      <c r="N61" s="80">
        <v>1</v>
      </c>
      <c r="O61" s="91">
        <v>6.9444444444444447E-4</v>
      </c>
    </row>
    <row r="62" spans="1:15" s="109" customFormat="1" ht="54" customHeight="1" thickTop="1" thickBot="1" x14ac:dyDescent="0.25">
      <c r="A62" s="99"/>
      <c r="B62" s="90" t="s">
        <v>16</v>
      </c>
      <c r="C62" s="80" t="s">
        <v>252</v>
      </c>
      <c r="D62" s="80" t="s">
        <v>253</v>
      </c>
      <c r="E62" s="80" t="s">
        <v>11</v>
      </c>
      <c r="F62" s="80" t="s">
        <v>24</v>
      </c>
      <c r="G62" s="80" t="s">
        <v>818</v>
      </c>
      <c r="H62" s="84">
        <v>45774</v>
      </c>
      <c r="I62" s="87" t="s">
        <v>62</v>
      </c>
      <c r="J62" s="87" t="s">
        <v>141</v>
      </c>
      <c r="K62" s="87">
        <v>0</v>
      </c>
      <c r="L62" s="87" t="s">
        <v>255</v>
      </c>
      <c r="M62" s="87" t="s">
        <v>842</v>
      </c>
      <c r="N62" s="80">
        <v>1</v>
      </c>
      <c r="O62" s="91">
        <v>3.4722222222222224E-4</v>
      </c>
    </row>
    <row r="63" spans="1:15" s="109" customFormat="1" ht="54" customHeight="1" thickTop="1" thickBot="1" x14ac:dyDescent="0.25">
      <c r="A63" s="99"/>
      <c r="B63" s="90" t="s">
        <v>16</v>
      </c>
      <c r="C63" s="80" t="s">
        <v>819</v>
      </c>
      <c r="D63" s="80" t="s">
        <v>858</v>
      </c>
      <c r="E63" s="80" t="s">
        <v>11</v>
      </c>
      <c r="F63" s="80" t="s">
        <v>24</v>
      </c>
      <c r="G63" s="80" t="s">
        <v>820</v>
      </c>
      <c r="H63" s="84">
        <v>45774</v>
      </c>
      <c r="I63" s="87" t="s">
        <v>140</v>
      </c>
      <c r="J63" s="87" t="s">
        <v>141</v>
      </c>
      <c r="K63" s="87">
        <v>0</v>
      </c>
      <c r="L63" s="87" t="s">
        <v>259</v>
      </c>
      <c r="M63" s="87" t="s">
        <v>842</v>
      </c>
      <c r="N63" s="80">
        <v>2</v>
      </c>
      <c r="O63" s="91">
        <v>3.4722222222222224E-4</v>
      </c>
    </row>
    <row r="64" spans="1:15" s="109" customFormat="1" ht="54" customHeight="1" thickTop="1" thickBot="1" x14ac:dyDescent="0.25">
      <c r="A64" s="99"/>
      <c r="B64" s="90" t="s">
        <v>16</v>
      </c>
      <c r="C64" s="80" t="s">
        <v>260</v>
      </c>
      <c r="D64" s="80" t="s">
        <v>261</v>
      </c>
      <c r="E64" s="80" t="s">
        <v>11</v>
      </c>
      <c r="F64" s="80" t="s">
        <v>24</v>
      </c>
      <c r="G64" s="80" t="s">
        <v>821</v>
      </c>
      <c r="H64" s="84">
        <v>45775</v>
      </c>
      <c r="I64" s="87" t="s">
        <v>62</v>
      </c>
      <c r="J64" s="87" t="s">
        <v>141</v>
      </c>
      <c r="K64" s="87">
        <v>0</v>
      </c>
      <c r="L64" s="87" t="s">
        <v>263</v>
      </c>
      <c r="M64" s="87" t="s">
        <v>842</v>
      </c>
      <c r="N64" s="80">
        <v>1</v>
      </c>
      <c r="O64" s="91">
        <v>3.4722222222222224E-4</v>
      </c>
    </row>
    <row r="65" spans="1:15" s="109" customFormat="1" ht="54" customHeight="1" thickTop="1" thickBot="1" x14ac:dyDescent="0.25">
      <c r="A65" s="99"/>
      <c r="B65" s="90" t="s">
        <v>16</v>
      </c>
      <c r="C65" s="80" t="s">
        <v>264</v>
      </c>
      <c r="D65" s="80" t="s">
        <v>265</v>
      </c>
      <c r="E65" s="80" t="s">
        <v>11</v>
      </c>
      <c r="F65" s="80" t="s">
        <v>24</v>
      </c>
      <c r="G65" s="80" t="s">
        <v>266</v>
      </c>
      <c r="H65" s="84">
        <v>45774</v>
      </c>
      <c r="I65" s="87" t="s">
        <v>62</v>
      </c>
      <c r="J65" s="87" t="s">
        <v>141</v>
      </c>
      <c r="K65" s="87">
        <v>0</v>
      </c>
      <c r="L65" s="87" t="s">
        <v>267</v>
      </c>
      <c r="M65" s="87" t="s">
        <v>842</v>
      </c>
      <c r="N65" s="80">
        <v>1</v>
      </c>
      <c r="O65" s="91">
        <v>3.4722222222222224E-4</v>
      </c>
    </row>
    <row r="66" spans="1:15" s="109" customFormat="1" ht="54" customHeight="1" thickTop="1" thickBot="1" x14ac:dyDescent="0.25">
      <c r="A66" s="99"/>
      <c r="B66" s="90" t="s">
        <v>16</v>
      </c>
      <c r="C66" s="80" t="s">
        <v>268</v>
      </c>
      <c r="D66" s="80" t="s">
        <v>269</v>
      </c>
      <c r="E66" s="80" t="s">
        <v>11</v>
      </c>
      <c r="F66" s="80" t="s">
        <v>24</v>
      </c>
      <c r="G66" s="80" t="s">
        <v>266</v>
      </c>
      <c r="H66" s="84">
        <v>45774</v>
      </c>
      <c r="I66" s="87" t="s">
        <v>62</v>
      </c>
      <c r="J66" s="87" t="s">
        <v>141</v>
      </c>
      <c r="K66" s="87">
        <v>0</v>
      </c>
      <c r="L66" s="87" t="s">
        <v>270</v>
      </c>
      <c r="M66" s="87" t="s">
        <v>842</v>
      </c>
      <c r="N66" s="80">
        <v>1</v>
      </c>
      <c r="O66" s="91">
        <v>3.4722222222222224E-4</v>
      </c>
    </row>
    <row r="67" spans="1:15" s="109" customFormat="1" ht="54" customHeight="1" thickTop="1" thickBot="1" x14ac:dyDescent="0.25">
      <c r="A67" s="99"/>
      <c r="B67" s="90" t="s">
        <v>16</v>
      </c>
      <c r="C67" s="80" t="s">
        <v>271</v>
      </c>
      <c r="D67" s="80" t="s">
        <v>272</v>
      </c>
      <c r="E67" s="80" t="s">
        <v>11</v>
      </c>
      <c r="F67" s="80" t="s">
        <v>24</v>
      </c>
      <c r="G67" s="80" t="s">
        <v>273</v>
      </c>
      <c r="H67" s="84">
        <v>45775</v>
      </c>
      <c r="I67" s="87" t="s">
        <v>62</v>
      </c>
      <c r="J67" s="87" t="s">
        <v>141</v>
      </c>
      <c r="K67" s="87">
        <v>0</v>
      </c>
      <c r="L67" s="87" t="s">
        <v>274</v>
      </c>
      <c r="M67" s="87" t="s">
        <v>842</v>
      </c>
      <c r="N67" s="80">
        <v>1</v>
      </c>
      <c r="O67" s="91">
        <v>3.4722222222222224E-4</v>
      </c>
    </row>
    <row r="68" spans="1:15" s="109" customFormat="1" ht="54" customHeight="1" thickTop="1" thickBot="1" x14ac:dyDescent="0.25">
      <c r="A68" s="99"/>
      <c r="B68" s="90" t="s">
        <v>16</v>
      </c>
      <c r="C68" s="80" t="s">
        <v>275</v>
      </c>
      <c r="D68" s="80" t="s">
        <v>276</v>
      </c>
      <c r="E68" s="80" t="s">
        <v>11</v>
      </c>
      <c r="F68" s="80" t="s">
        <v>24</v>
      </c>
      <c r="G68" s="80" t="s">
        <v>217</v>
      </c>
      <c r="H68" s="84">
        <v>45775</v>
      </c>
      <c r="I68" s="87" t="s">
        <v>94</v>
      </c>
      <c r="J68" s="87" t="s">
        <v>141</v>
      </c>
      <c r="K68" s="87">
        <v>0</v>
      </c>
      <c r="L68" s="87" t="s">
        <v>277</v>
      </c>
      <c r="M68" s="87" t="s">
        <v>850</v>
      </c>
      <c r="N68" s="80">
        <v>1</v>
      </c>
      <c r="O68" s="91">
        <v>3.4722222222222224E-4</v>
      </c>
    </row>
    <row r="69" spans="1:15" s="109" customFormat="1" ht="54" customHeight="1" thickTop="1" thickBot="1" x14ac:dyDescent="0.25">
      <c r="A69" s="99"/>
      <c r="B69" s="90" t="s">
        <v>16</v>
      </c>
      <c r="C69" s="80" t="s">
        <v>278</v>
      </c>
      <c r="D69" s="80" t="s">
        <v>279</v>
      </c>
      <c r="E69" s="80" t="s">
        <v>11</v>
      </c>
      <c r="F69" s="80" t="s">
        <v>665</v>
      </c>
      <c r="G69" s="80" t="s">
        <v>217</v>
      </c>
      <c r="H69" s="84">
        <v>45775</v>
      </c>
      <c r="I69" s="87" t="s">
        <v>94</v>
      </c>
      <c r="J69" s="87" t="s">
        <v>141</v>
      </c>
      <c r="K69" s="87">
        <v>0</v>
      </c>
      <c r="L69" s="87" t="s">
        <v>280</v>
      </c>
      <c r="M69" s="87" t="s">
        <v>850</v>
      </c>
      <c r="N69" s="80">
        <v>1</v>
      </c>
      <c r="O69" s="91">
        <v>5.2083333333333333E-4</v>
      </c>
    </row>
    <row r="70" spans="1:15" s="109" customFormat="1" ht="54" customHeight="1" thickTop="1" thickBot="1" x14ac:dyDescent="0.25">
      <c r="A70" s="99"/>
      <c r="B70" s="90" t="s">
        <v>16</v>
      </c>
      <c r="C70" s="80" t="s">
        <v>281</v>
      </c>
      <c r="D70" s="80" t="s">
        <v>282</v>
      </c>
      <c r="E70" s="80" t="s">
        <v>11</v>
      </c>
      <c r="F70" s="80" t="s">
        <v>665</v>
      </c>
      <c r="G70" s="80" t="s">
        <v>217</v>
      </c>
      <c r="H70" s="84">
        <v>45775</v>
      </c>
      <c r="I70" s="87" t="s">
        <v>94</v>
      </c>
      <c r="J70" s="87" t="s">
        <v>141</v>
      </c>
      <c r="K70" s="87">
        <v>0</v>
      </c>
      <c r="L70" s="87" t="s">
        <v>283</v>
      </c>
      <c r="M70" s="87" t="s">
        <v>850</v>
      </c>
      <c r="N70" s="80">
        <v>1</v>
      </c>
      <c r="O70" s="91">
        <v>6.9444444444444447E-4</v>
      </c>
    </row>
    <row r="71" spans="1:15" s="109" customFormat="1" ht="54" customHeight="1" thickTop="1" thickBot="1" x14ac:dyDescent="0.25">
      <c r="A71" s="99"/>
      <c r="B71" s="90" t="s">
        <v>16</v>
      </c>
      <c r="C71" s="80" t="s">
        <v>284</v>
      </c>
      <c r="D71" s="80" t="s">
        <v>285</v>
      </c>
      <c r="E71" s="80" t="s">
        <v>11</v>
      </c>
      <c r="F71" s="80" t="s">
        <v>24</v>
      </c>
      <c r="G71" s="80" t="s">
        <v>735</v>
      </c>
      <c r="H71" s="84">
        <v>45775</v>
      </c>
      <c r="I71" s="87" t="s">
        <v>62</v>
      </c>
      <c r="J71" s="87" t="s">
        <v>141</v>
      </c>
      <c r="K71" s="87">
        <v>0</v>
      </c>
      <c r="L71" s="87" t="s">
        <v>287</v>
      </c>
      <c r="M71" s="87" t="s">
        <v>842</v>
      </c>
      <c r="N71" s="80">
        <v>1</v>
      </c>
      <c r="O71" s="91">
        <v>3.4722222222222224E-4</v>
      </c>
    </row>
    <row r="72" spans="1:15" s="109" customFormat="1" ht="54" customHeight="1" thickTop="1" thickBot="1" x14ac:dyDescent="0.25">
      <c r="A72" s="99"/>
      <c r="B72" s="90" t="s">
        <v>16</v>
      </c>
      <c r="C72" s="80" t="s">
        <v>288</v>
      </c>
      <c r="D72" s="80" t="s">
        <v>289</v>
      </c>
      <c r="E72" s="80" t="s">
        <v>245</v>
      </c>
      <c r="F72" s="80" t="s">
        <v>24</v>
      </c>
      <c r="G72" s="80" t="s">
        <v>736</v>
      </c>
      <c r="H72" s="84">
        <v>45772</v>
      </c>
      <c r="I72" s="87" t="s">
        <v>140</v>
      </c>
      <c r="J72" s="87" t="s">
        <v>141</v>
      </c>
      <c r="K72" s="87">
        <v>0</v>
      </c>
      <c r="L72" s="87" t="s">
        <v>291</v>
      </c>
      <c r="M72" s="87" t="s">
        <v>842</v>
      </c>
      <c r="N72" s="80">
        <v>1</v>
      </c>
      <c r="O72" s="91">
        <v>6.9444444444444447E-4</v>
      </c>
    </row>
    <row r="73" spans="1:15" s="109" customFormat="1" ht="54" customHeight="1" thickTop="1" thickBot="1" x14ac:dyDescent="0.25">
      <c r="A73" s="99"/>
      <c r="B73" s="90" t="s">
        <v>16</v>
      </c>
      <c r="C73" s="80" t="s">
        <v>292</v>
      </c>
      <c r="D73" s="80" t="s">
        <v>293</v>
      </c>
      <c r="E73" s="80" t="s">
        <v>11</v>
      </c>
      <c r="F73" s="80" t="s">
        <v>24</v>
      </c>
      <c r="G73" s="80" t="s">
        <v>294</v>
      </c>
      <c r="H73" s="84">
        <v>45775</v>
      </c>
      <c r="I73" s="87" t="s">
        <v>62</v>
      </c>
      <c r="J73" s="87" t="s">
        <v>141</v>
      </c>
      <c r="K73" s="87">
        <v>0</v>
      </c>
      <c r="L73" s="87" t="s">
        <v>295</v>
      </c>
      <c r="M73" s="87" t="s">
        <v>842</v>
      </c>
      <c r="N73" s="80">
        <v>1</v>
      </c>
      <c r="O73" s="91">
        <v>1.3888888888888889E-3</v>
      </c>
    </row>
    <row r="74" spans="1:15" s="109" customFormat="1" ht="54" customHeight="1" thickTop="1" thickBot="1" x14ac:dyDescent="0.25">
      <c r="A74" s="99"/>
      <c r="B74" s="90" t="s">
        <v>16</v>
      </c>
      <c r="C74" s="80" t="s">
        <v>296</v>
      </c>
      <c r="D74" s="80" t="s">
        <v>297</v>
      </c>
      <c r="E74" s="80" t="s">
        <v>245</v>
      </c>
      <c r="F74" s="80" t="s">
        <v>24</v>
      </c>
      <c r="G74" s="80" t="s">
        <v>736</v>
      </c>
      <c r="H74" s="84">
        <v>45772</v>
      </c>
      <c r="I74" s="87" t="s">
        <v>140</v>
      </c>
      <c r="J74" s="87" t="s">
        <v>141</v>
      </c>
      <c r="K74" s="87">
        <v>0</v>
      </c>
      <c r="L74" s="87" t="s">
        <v>298</v>
      </c>
      <c r="M74" s="87" t="s">
        <v>842</v>
      </c>
      <c r="N74" s="80">
        <v>1</v>
      </c>
      <c r="O74" s="91">
        <v>3.4722222222222224E-4</v>
      </c>
    </row>
    <row r="75" spans="1:15" s="109" customFormat="1" ht="54" customHeight="1" thickTop="1" thickBot="1" x14ac:dyDescent="0.25">
      <c r="A75" s="99"/>
      <c r="B75" s="90" t="s">
        <v>16</v>
      </c>
      <c r="C75" s="80" t="s">
        <v>299</v>
      </c>
      <c r="D75" s="80" t="s">
        <v>300</v>
      </c>
      <c r="E75" s="80" t="s">
        <v>245</v>
      </c>
      <c r="F75" s="80" t="s">
        <v>24</v>
      </c>
      <c r="G75" s="80" t="s">
        <v>736</v>
      </c>
      <c r="H75" s="84">
        <v>45772</v>
      </c>
      <c r="I75" s="87" t="s">
        <v>140</v>
      </c>
      <c r="J75" s="87" t="s">
        <v>141</v>
      </c>
      <c r="K75" s="87">
        <v>0</v>
      </c>
      <c r="L75" s="87" t="s">
        <v>298</v>
      </c>
      <c r="M75" s="87" t="s">
        <v>842</v>
      </c>
      <c r="N75" s="80">
        <v>1</v>
      </c>
      <c r="O75" s="91">
        <v>3.4722222222222224E-4</v>
      </c>
    </row>
    <row r="76" spans="1:15" s="109" customFormat="1" ht="54" customHeight="1" thickTop="1" thickBot="1" x14ac:dyDescent="0.25">
      <c r="A76" s="99"/>
      <c r="B76" s="90" t="s">
        <v>16</v>
      </c>
      <c r="C76" s="80" t="s">
        <v>301</v>
      </c>
      <c r="D76" s="80" t="s">
        <v>302</v>
      </c>
      <c r="E76" s="80" t="s">
        <v>245</v>
      </c>
      <c r="F76" s="80" t="s">
        <v>24</v>
      </c>
      <c r="G76" s="80" t="s">
        <v>736</v>
      </c>
      <c r="H76" s="84">
        <v>45772</v>
      </c>
      <c r="I76" s="87" t="s">
        <v>140</v>
      </c>
      <c r="J76" s="87" t="s">
        <v>141</v>
      </c>
      <c r="K76" s="87">
        <v>0</v>
      </c>
      <c r="L76" s="87" t="s">
        <v>298</v>
      </c>
      <c r="M76" s="87" t="s">
        <v>842</v>
      </c>
      <c r="N76" s="80">
        <v>1</v>
      </c>
      <c r="O76" s="91">
        <v>3.4722222222222224E-4</v>
      </c>
    </row>
    <row r="77" spans="1:15" s="109" customFormat="1" ht="54" customHeight="1" thickTop="1" thickBot="1" x14ac:dyDescent="0.25">
      <c r="A77" s="99"/>
      <c r="B77" s="90" t="s">
        <v>16</v>
      </c>
      <c r="C77" s="80" t="s">
        <v>303</v>
      </c>
      <c r="D77" s="80" t="s">
        <v>304</v>
      </c>
      <c r="E77" s="80" t="s">
        <v>11</v>
      </c>
      <c r="F77" s="80" t="s">
        <v>24</v>
      </c>
      <c r="G77" s="80" t="s">
        <v>818</v>
      </c>
      <c r="H77" s="84">
        <v>45774</v>
      </c>
      <c r="I77" s="87" t="s">
        <v>62</v>
      </c>
      <c r="J77" s="87" t="s">
        <v>141</v>
      </c>
      <c r="K77" s="87">
        <v>0</v>
      </c>
      <c r="L77" s="87" t="s">
        <v>305</v>
      </c>
      <c r="M77" s="87" t="s">
        <v>842</v>
      </c>
      <c r="N77" s="80">
        <v>1</v>
      </c>
      <c r="O77" s="91">
        <v>6.9444444444444447E-4</v>
      </c>
    </row>
    <row r="78" spans="1:15" s="109" customFormat="1" ht="54" customHeight="1" thickTop="1" thickBot="1" x14ac:dyDescent="0.25">
      <c r="A78" s="99"/>
      <c r="B78" s="90" t="s">
        <v>16</v>
      </c>
      <c r="C78" s="80" t="s">
        <v>306</v>
      </c>
      <c r="D78" s="80" t="s">
        <v>307</v>
      </c>
      <c r="E78" s="80" t="s">
        <v>11</v>
      </c>
      <c r="F78" s="80" t="s">
        <v>24</v>
      </c>
      <c r="G78" s="80" t="s">
        <v>217</v>
      </c>
      <c r="H78" s="84">
        <v>45775</v>
      </c>
      <c r="I78" s="87" t="s">
        <v>94</v>
      </c>
      <c r="J78" s="87" t="s">
        <v>141</v>
      </c>
      <c r="K78" s="87">
        <v>0</v>
      </c>
      <c r="L78" s="87" t="s">
        <v>218</v>
      </c>
      <c r="M78" s="87" t="s">
        <v>850</v>
      </c>
      <c r="N78" s="80">
        <v>1</v>
      </c>
      <c r="O78" s="91">
        <v>3.4722222222222224E-4</v>
      </c>
    </row>
    <row r="79" spans="1:15" s="109" customFormat="1" ht="54" customHeight="1" thickTop="1" thickBot="1" x14ac:dyDescent="0.25">
      <c r="A79" s="99"/>
      <c r="B79" s="90" t="s">
        <v>16</v>
      </c>
      <c r="C79" s="80" t="s">
        <v>308</v>
      </c>
      <c r="D79" s="80" t="s">
        <v>309</v>
      </c>
      <c r="E79" s="80" t="s">
        <v>11</v>
      </c>
      <c r="F79" s="80" t="s">
        <v>24</v>
      </c>
      <c r="G79" s="80" t="s">
        <v>737</v>
      </c>
      <c r="H79" s="84">
        <v>45775</v>
      </c>
      <c r="I79" s="87" t="s">
        <v>62</v>
      </c>
      <c r="J79" s="87" t="s">
        <v>141</v>
      </c>
      <c r="K79" s="87">
        <v>0</v>
      </c>
      <c r="L79" s="87" t="s">
        <v>311</v>
      </c>
      <c r="M79" s="87" t="s">
        <v>842</v>
      </c>
      <c r="N79" s="80">
        <v>1</v>
      </c>
      <c r="O79" s="91">
        <v>8.6805555555555551E-4</v>
      </c>
    </row>
    <row r="80" spans="1:15" s="109" customFormat="1" ht="54" customHeight="1" thickTop="1" thickBot="1" x14ac:dyDescent="0.25">
      <c r="A80" s="99"/>
      <c r="B80" s="90" t="s">
        <v>16</v>
      </c>
      <c r="C80" s="80" t="s">
        <v>312</v>
      </c>
      <c r="D80" s="80" t="s">
        <v>313</v>
      </c>
      <c r="E80" s="81" t="s">
        <v>11</v>
      </c>
      <c r="F80" s="81" t="s">
        <v>24</v>
      </c>
      <c r="G80" s="81" t="s">
        <v>314</v>
      </c>
      <c r="H80" s="82">
        <v>45776</v>
      </c>
      <c r="I80" s="87" t="s">
        <v>140</v>
      </c>
      <c r="J80" s="87" t="s">
        <v>141</v>
      </c>
      <c r="K80" s="87">
        <v>0</v>
      </c>
      <c r="L80" s="87" t="s">
        <v>315</v>
      </c>
      <c r="M80" s="87" t="s">
        <v>842</v>
      </c>
      <c r="N80" s="80">
        <v>1</v>
      </c>
      <c r="O80" s="91">
        <v>6.9444444444444447E-4</v>
      </c>
    </row>
    <row r="81" spans="1:15" s="109" customFormat="1" ht="54" customHeight="1" thickTop="1" thickBot="1" x14ac:dyDescent="0.25">
      <c r="A81" s="145"/>
      <c r="B81" s="115" t="s">
        <v>16</v>
      </c>
      <c r="C81" s="108" t="s">
        <v>316</v>
      </c>
      <c r="D81" s="108" t="s">
        <v>317</v>
      </c>
      <c r="E81" s="108" t="s">
        <v>11</v>
      </c>
      <c r="F81" s="108" t="s">
        <v>24</v>
      </c>
      <c r="G81" s="108" t="s">
        <v>820</v>
      </c>
      <c r="H81" s="125"/>
      <c r="I81" s="87" t="s">
        <v>62</v>
      </c>
      <c r="J81" s="87" t="s">
        <v>141</v>
      </c>
      <c r="K81" s="87">
        <v>0</v>
      </c>
      <c r="L81" s="87" t="s">
        <v>318</v>
      </c>
      <c r="M81" s="87" t="s">
        <v>842</v>
      </c>
      <c r="N81" s="108">
        <v>1</v>
      </c>
      <c r="O81" s="118">
        <v>6.9444444444444447E-4</v>
      </c>
    </row>
    <row r="82" spans="1:15" s="109" customFormat="1" ht="54" customHeight="1" thickTop="1" thickBot="1" x14ac:dyDescent="0.25">
      <c r="A82" s="99"/>
      <c r="B82" s="90" t="s">
        <v>16</v>
      </c>
      <c r="C82" s="80" t="s">
        <v>319</v>
      </c>
      <c r="D82" s="80" t="s">
        <v>320</v>
      </c>
      <c r="E82" s="81" t="s">
        <v>11</v>
      </c>
      <c r="F82" s="81" t="s">
        <v>24</v>
      </c>
      <c r="G82" s="81" t="s">
        <v>314</v>
      </c>
      <c r="H82" s="82">
        <v>45776</v>
      </c>
      <c r="I82" s="87" t="s">
        <v>140</v>
      </c>
      <c r="J82" s="87" t="s">
        <v>141</v>
      </c>
      <c r="K82" s="87">
        <v>0</v>
      </c>
      <c r="L82" s="87" t="s">
        <v>315</v>
      </c>
      <c r="M82" s="87" t="s">
        <v>842</v>
      </c>
      <c r="N82" s="80">
        <v>1</v>
      </c>
      <c r="O82" s="91">
        <v>6.9444444444444447E-4</v>
      </c>
    </row>
    <row r="83" spans="1:15" s="109" customFormat="1" ht="54" customHeight="1" thickTop="1" thickBot="1" x14ac:dyDescent="0.25">
      <c r="A83" s="99"/>
      <c r="B83" s="90" t="s">
        <v>16</v>
      </c>
      <c r="C83" s="80" t="s">
        <v>321</v>
      </c>
      <c r="D83" s="80" t="s">
        <v>322</v>
      </c>
      <c r="E83" s="80" t="s">
        <v>11</v>
      </c>
      <c r="F83" s="80" t="s">
        <v>24</v>
      </c>
      <c r="G83" s="80" t="s">
        <v>323</v>
      </c>
      <c r="H83" s="84">
        <v>45772</v>
      </c>
      <c r="I83" s="87" t="s">
        <v>62</v>
      </c>
      <c r="J83" s="87" t="s">
        <v>63</v>
      </c>
      <c r="K83" s="87">
        <v>0</v>
      </c>
      <c r="L83" s="87" t="s">
        <v>324</v>
      </c>
      <c r="M83" s="87" t="s">
        <v>839</v>
      </c>
      <c r="N83" s="80">
        <v>1</v>
      </c>
      <c r="O83" s="91">
        <v>1.7361111111111112E-4</v>
      </c>
    </row>
    <row r="84" spans="1:15" s="109" customFormat="1" ht="54" customHeight="1" thickTop="1" thickBot="1" x14ac:dyDescent="0.25">
      <c r="A84" s="145"/>
      <c r="B84" s="115" t="s">
        <v>16</v>
      </c>
      <c r="C84" s="108" t="s">
        <v>325</v>
      </c>
      <c r="D84" s="108" t="s">
        <v>326</v>
      </c>
      <c r="E84" s="108" t="s">
        <v>24</v>
      </c>
      <c r="F84" s="108"/>
      <c r="G84" s="108"/>
      <c r="H84" s="125"/>
      <c r="I84" s="87" t="s">
        <v>62</v>
      </c>
      <c r="J84" s="87" t="s">
        <v>141</v>
      </c>
      <c r="K84" s="87">
        <v>0</v>
      </c>
      <c r="L84" s="87" t="s">
        <v>327</v>
      </c>
      <c r="M84" s="87" t="s">
        <v>843</v>
      </c>
      <c r="N84" s="108">
        <v>2</v>
      </c>
      <c r="O84" s="118">
        <v>5.2083333333333333E-4</v>
      </c>
    </row>
    <row r="85" spans="1:15" s="109" customFormat="1" ht="54" customHeight="1" thickTop="1" thickBot="1" x14ac:dyDescent="0.25">
      <c r="A85" s="99"/>
      <c r="B85" s="90" t="s">
        <v>16</v>
      </c>
      <c r="C85" s="80" t="s">
        <v>328</v>
      </c>
      <c r="D85" s="80" t="s">
        <v>329</v>
      </c>
      <c r="E85" s="80" t="s">
        <v>11</v>
      </c>
      <c r="F85" s="80" t="s">
        <v>24</v>
      </c>
      <c r="G85" s="80" t="s">
        <v>822</v>
      </c>
      <c r="H85" s="84">
        <v>45772</v>
      </c>
      <c r="I85" s="87" t="s">
        <v>62</v>
      </c>
      <c r="J85" s="87" t="s">
        <v>63</v>
      </c>
      <c r="K85" s="87">
        <v>0</v>
      </c>
      <c r="L85" s="87">
        <v>0</v>
      </c>
      <c r="M85" s="87" t="s">
        <v>839</v>
      </c>
      <c r="N85" s="80">
        <v>3</v>
      </c>
      <c r="O85" s="91">
        <v>5.2083333333333333E-4</v>
      </c>
    </row>
    <row r="86" spans="1:15" s="109" customFormat="1" ht="54" customHeight="1" thickTop="1" thickBot="1" x14ac:dyDescent="0.25">
      <c r="A86" s="99"/>
      <c r="B86" s="90" t="s">
        <v>16</v>
      </c>
      <c r="C86" s="80" t="s">
        <v>331</v>
      </c>
      <c r="D86" s="80" t="s">
        <v>332</v>
      </c>
      <c r="E86" s="80" t="s">
        <v>11</v>
      </c>
      <c r="F86" s="80" t="s">
        <v>24</v>
      </c>
      <c r="G86" s="80" t="s">
        <v>333</v>
      </c>
      <c r="H86" s="84">
        <v>45772</v>
      </c>
      <c r="I86" s="87" t="s">
        <v>62</v>
      </c>
      <c r="J86" s="87" t="s">
        <v>63</v>
      </c>
      <c r="K86" s="87">
        <v>0</v>
      </c>
      <c r="L86" s="87">
        <v>0</v>
      </c>
      <c r="M86" s="87" t="s">
        <v>839</v>
      </c>
      <c r="N86" s="80">
        <v>4</v>
      </c>
      <c r="O86" s="91">
        <v>5.2083333333333333E-4</v>
      </c>
    </row>
    <row r="87" spans="1:15" s="109" customFormat="1" ht="54" customHeight="1" thickTop="1" thickBot="1" x14ac:dyDescent="0.25">
      <c r="A87" s="100"/>
      <c r="B87" s="93" t="s">
        <v>16</v>
      </c>
      <c r="C87" s="94" t="s">
        <v>334</v>
      </c>
      <c r="D87" s="94" t="s">
        <v>335</v>
      </c>
      <c r="E87" s="94" t="s">
        <v>11</v>
      </c>
      <c r="F87" s="94" t="s">
        <v>24</v>
      </c>
      <c r="G87" s="94" t="s">
        <v>818</v>
      </c>
      <c r="H87" s="101">
        <v>45774</v>
      </c>
      <c r="I87" s="87" t="s">
        <v>62</v>
      </c>
      <c r="J87" s="87" t="s">
        <v>141</v>
      </c>
      <c r="K87" s="87">
        <v>0</v>
      </c>
      <c r="L87" s="87" t="s">
        <v>259</v>
      </c>
      <c r="M87" s="87" t="s">
        <v>842</v>
      </c>
      <c r="N87" s="94">
        <v>2</v>
      </c>
      <c r="O87" s="96">
        <v>3.4722222222222224E-4</v>
      </c>
    </row>
    <row r="88" spans="1:15" s="109" customFormat="1" ht="66" customHeight="1" thickTop="1" thickBot="1" x14ac:dyDescent="0.25">
      <c r="A88" s="144"/>
      <c r="B88" s="110" t="s">
        <v>20</v>
      </c>
      <c r="C88" s="111" t="s">
        <v>336</v>
      </c>
      <c r="D88" s="111" t="s">
        <v>337</v>
      </c>
      <c r="E88" s="111" t="s">
        <v>24</v>
      </c>
      <c r="F88" s="111"/>
      <c r="G88" s="111"/>
      <c r="H88" s="124"/>
      <c r="I88" s="87" t="s">
        <v>140</v>
      </c>
      <c r="J88" s="87" t="s">
        <v>141</v>
      </c>
      <c r="K88" s="87">
        <v>0</v>
      </c>
      <c r="L88" s="87" t="s">
        <v>338</v>
      </c>
      <c r="M88" s="87" t="s">
        <v>844</v>
      </c>
      <c r="N88" s="111">
        <v>4</v>
      </c>
      <c r="O88" s="114" t="s">
        <v>339</v>
      </c>
    </row>
    <row r="89" spans="1:15" s="109" customFormat="1" ht="54" customHeight="1" thickTop="1" thickBot="1" x14ac:dyDescent="0.25">
      <c r="A89" s="145"/>
      <c r="B89" s="115" t="s">
        <v>20</v>
      </c>
      <c r="C89" s="108" t="s">
        <v>340</v>
      </c>
      <c r="D89" s="108" t="s">
        <v>341</v>
      </c>
      <c r="E89" s="108" t="s">
        <v>24</v>
      </c>
      <c r="F89" s="108"/>
      <c r="G89" s="108"/>
      <c r="H89" s="125"/>
      <c r="I89" s="87" t="s">
        <v>140</v>
      </c>
      <c r="J89" s="87" t="s">
        <v>141</v>
      </c>
      <c r="K89" s="87">
        <v>0</v>
      </c>
      <c r="L89" s="87" t="s">
        <v>342</v>
      </c>
      <c r="M89" s="87" t="s">
        <v>844</v>
      </c>
      <c r="N89" s="108">
        <v>4</v>
      </c>
      <c r="O89" s="118">
        <v>1.3888888888888889E-3</v>
      </c>
    </row>
    <row r="90" spans="1:15" s="109" customFormat="1" ht="54" customHeight="1" thickTop="1" thickBot="1" x14ac:dyDescent="0.25">
      <c r="A90" s="145"/>
      <c r="B90" s="115" t="s">
        <v>20</v>
      </c>
      <c r="C90" s="108" t="s">
        <v>343</v>
      </c>
      <c r="D90" s="108" t="s">
        <v>344</v>
      </c>
      <c r="E90" s="108" t="s">
        <v>24</v>
      </c>
      <c r="F90" s="108"/>
      <c r="G90" s="108"/>
      <c r="H90" s="125"/>
      <c r="I90" s="87" t="s">
        <v>140</v>
      </c>
      <c r="J90" s="87" t="s">
        <v>141</v>
      </c>
      <c r="K90" s="87">
        <v>0</v>
      </c>
      <c r="L90" s="87" t="s">
        <v>345</v>
      </c>
      <c r="M90" s="87" t="s">
        <v>845</v>
      </c>
      <c r="N90" s="108">
        <v>2</v>
      </c>
      <c r="O90" s="118">
        <v>2.0833333333333333E-3</v>
      </c>
    </row>
    <row r="91" spans="1:15" s="109" customFormat="1" ht="54" customHeight="1" thickTop="1" thickBot="1" x14ac:dyDescent="0.25">
      <c r="A91" s="145"/>
      <c r="B91" s="115" t="s">
        <v>20</v>
      </c>
      <c r="C91" s="108" t="s">
        <v>346</v>
      </c>
      <c r="D91" s="108" t="s">
        <v>347</v>
      </c>
      <c r="E91" s="108" t="s">
        <v>24</v>
      </c>
      <c r="F91" s="108"/>
      <c r="G91" s="108"/>
      <c r="H91" s="125"/>
      <c r="I91" s="87" t="s">
        <v>140</v>
      </c>
      <c r="J91" s="87" t="s">
        <v>141</v>
      </c>
      <c r="K91" s="87">
        <v>0</v>
      </c>
      <c r="L91" s="87" t="s">
        <v>348</v>
      </c>
      <c r="M91" s="87" t="s">
        <v>845</v>
      </c>
      <c r="N91" s="108">
        <v>2</v>
      </c>
      <c r="O91" s="118">
        <v>2.0833333333333333E-3</v>
      </c>
    </row>
    <row r="92" spans="1:15" s="109" customFormat="1" ht="54" customHeight="1" thickTop="1" thickBot="1" x14ac:dyDescent="0.25">
      <c r="A92" s="99"/>
      <c r="B92" s="90" t="s">
        <v>20</v>
      </c>
      <c r="C92" s="80" t="s">
        <v>349</v>
      </c>
      <c r="D92" s="80" t="s">
        <v>350</v>
      </c>
      <c r="E92" s="80" t="s">
        <v>11</v>
      </c>
      <c r="F92" s="80" t="s">
        <v>24</v>
      </c>
      <c r="G92" s="80" t="s">
        <v>323</v>
      </c>
      <c r="H92" s="84">
        <v>45772</v>
      </c>
      <c r="I92" s="87" t="s">
        <v>62</v>
      </c>
      <c r="J92" s="87" t="s">
        <v>63</v>
      </c>
      <c r="K92" s="87">
        <v>0</v>
      </c>
      <c r="L92" s="87" t="s">
        <v>351</v>
      </c>
      <c r="M92" s="87" t="s">
        <v>839</v>
      </c>
      <c r="N92" s="80">
        <v>2</v>
      </c>
      <c r="O92" s="91">
        <v>6.9444444444444447E-4</v>
      </c>
    </row>
    <row r="93" spans="1:15" s="109" customFormat="1" ht="54" customHeight="1" thickTop="1" thickBot="1" x14ac:dyDescent="0.25">
      <c r="A93" s="145"/>
      <c r="B93" s="115" t="s">
        <v>20</v>
      </c>
      <c r="C93" s="108" t="s">
        <v>352</v>
      </c>
      <c r="D93" s="108" t="s">
        <v>353</v>
      </c>
      <c r="E93" s="108" t="s">
        <v>24</v>
      </c>
      <c r="F93" s="108"/>
      <c r="G93" s="108"/>
      <c r="H93" s="125"/>
      <c r="I93" s="87" t="s">
        <v>140</v>
      </c>
      <c r="J93" s="87" t="s">
        <v>141</v>
      </c>
      <c r="K93" s="87">
        <v>0</v>
      </c>
      <c r="L93" s="87" t="s">
        <v>354</v>
      </c>
      <c r="M93" s="87" t="s">
        <v>846</v>
      </c>
      <c r="N93" s="108">
        <v>1</v>
      </c>
      <c r="O93" s="118">
        <v>1.2152777777777778E-3</v>
      </c>
    </row>
    <row r="94" spans="1:15" s="109" customFormat="1" ht="54" customHeight="1" thickTop="1" thickBot="1" x14ac:dyDescent="0.25">
      <c r="A94" s="145"/>
      <c r="B94" s="115" t="s">
        <v>20</v>
      </c>
      <c r="C94" s="108" t="s">
        <v>355</v>
      </c>
      <c r="D94" s="108" t="s">
        <v>356</v>
      </c>
      <c r="E94" s="108" t="s">
        <v>24</v>
      </c>
      <c r="F94" s="108"/>
      <c r="G94" s="108"/>
      <c r="H94" s="125"/>
      <c r="I94" s="87" t="s">
        <v>140</v>
      </c>
      <c r="J94" s="87" t="s">
        <v>141</v>
      </c>
      <c r="K94" s="87">
        <v>0</v>
      </c>
      <c r="L94" s="87" t="s">
        <v>357</v>
      </c>
      <c r="M94" s="87" t="s">
        <v>846</v>
      </c>
      <c r="N94" s="108">
        <v>2</v>
      </c>
      <c r="O94" s="118">
        <v>2.7777777777777779E-3</v>
      </c>
    </row>
    <row r="95" spans="1:15" s="109" customFormat="1" ht="54" customHeight="1" thickTop="1" thickBot="1" x14ac:dyDescent="0.25">
      <c r="A95" s="145"/>
      <c r="B95" s="115" t="s">
        <v>20</v>
      </c>
      <c r="C95" s="108" t="s">
        <v>358</v>
      </c>
      <c r="D95" s="108" t="s">
        <v>359</v>
      </c>
      <c r="E95" s="108" t="s">
        <v>24</v>
      </c>
      <c r="F95" s="108"/>
      <c r="G95" s="108"/>
      <c r="H95" s="125"/>
      <c r="I95" s="87" t="s">
        <v>140</v>
      </c>
      <c r="J95" s="87" t="s">
        <v>141</v>
      </c>
      <c r="K95" s="87">
        <v>0</v>
      </c>
      <c r="L95" s="87" t="s">
        <v>360</v>
      </c>
      <c r="M95" s="87" t="s">
        <v>846</v>
      </c>
      <c r="N95" s="108">
        <v>2</v>
      </c>
      <c r="O95" s="118">
        <v>6.9444444444444447E-4</v>
      </c>
    </row>
    <row r="96" spans="1:15" s="109" customFormat="1" ht="54" customHeight="1" thickTop="1" thickBot="1" x14ac:dyDescent="0.25">
      <c r="A96" s="145"/>
      <c r="B96" s="115" t="s">
        <v>20</v>
      </c>
      <c r="C96" s="108" t="s">
        <v>361</v>
      </c>
      <c r="D96" s="108" t="s">
        <v>362</v>
      </c>
      <c r="E96" s="108" t="s">
        <v>24</v>
      </c>
      <c r="F96" s="108"/>
      <c r="G96" s="108"/>
      <c r="H96" s="125"/>
      <c r="I96" s="87" t="s">
        <v>140</v>
      </c>
      <c r="J96" s="87" t="s">
        <v>141</v>
      </c>
      <c r="K96" s="87">
        <v>0</v>
      </c>
      <c r="L96" s="87" t="s">
        <v>363</v>
      </c>
      <c r="M96" s="87" t="s">
        <v>842</v>
      </c>
      <c r="N96" s="108">
        <v>2</v>
      </c>
      <c r="O96" s="118">
        <v>3.4722222222222224E-4</v>
      </c>
    </row>
    <row r="97" spans="1:15" s="109" customFormat="1" ht="54" customHeight="1" thickTop="1" thickBot="1" x14ac:dyDescent="0.25">
      <c r="A97" s="145"/>
      <c r="B97" s="115" t="s">
        <v>20</v>
      </c>
      <c r="C97" s="108" t="s">
        <v>364</v>
      </c>
      <c r="D97" s="108" t="s">
        <v>365</v>
      </c>
      <c r="E97" s="108" t="s">
        <v>24</v>
      </c>
      <c r="F97" s="108"/>
      <c r="G97" s="108"/>
      <c r="H97" s="125"/>
      <c r="I97" s="87" t="s">
        <v>140</v>
      </c>
      <c r="J97" s="87" t="s">
        <v>141</v>
      </c>
      <c r="K97" s="87">
        <v>0</v>
      </c>
      <c r="L97" s="87" t="s">
        <v>366</v>
      </c>
      <c r="M97" s="87" t="s">
        <v>840</v>
      </c>
      <c r="N97" s="108">
        <v>2</v>
      </c>
      <c r="O97" s="118">
        <v>5.2083333333333333E-4</v>
      </c>
    </row>
    <row r="98" spans="1:15" s="109" customFormat="1" ht="54" customHeight="1" thickTop="1" thickBot="1" x14ac:dyDescent="0.25">
      <c r="A98" s="145"/>
      <c r="B98" s="115" t="s">
        <v>20</v>
      </c>
      <c r="C98" s="108" t="s">
        <v>367</v>
      </c>
      <c r="D98" s="108" t="s">
        <v>368</v>
      </c>
      <c r="E98" s="108" t="s">
        <v>24</v>
      </c>
      <c r="F98" s="108"/>
      <c r="G98" s="108"/>
      <c r="H98" s="125"/>
      <c r="I98" s="87" t="s">
        <v>62</v>
      </c>
      <c r="J98" s="87" t="s">
        <v>141</v>
      </c>
      <c r="K98" s="87">
        <v>0</v>
      </c>
      <c r="L98" s="87" t="s">
        <v>369</v>
      </c>
      <c r="M98" s="87" t="s">
        <v>840</v>
      </c>
      <c r="N98" s="108">
        <v>1</v>
      </c>
      <c r="O98" s="118">
        <v>9.2592592592592585E-4</v>
      </c>
    </row>
    <row r="99" spans="1:15" s="109" customFormat="1" ht="54" customHeight="1" thickTop="1" thickBot="1" x14ac:dyDescent="0.25">
      <c r="A99" s="145"/>
      <c r="B99" s="115" t="s">
        <v>20</v>
      </c>
      <c r="C99" s="108" t="s">
        <v>370</v>
      </c>
      <c r="D99" s="108" t="s">
        <v>371</v>
      </c>
      <c r="E99" s="108" t="s">
        <v>24</v>
      </c>
      <c r="F99" s="108"/>
      <c r="G99" s="108"/>
      <c r="H99" s="125"/>
      <c r="I99" s="87" t="s">
        <v>62</v>
      </c>
      <c r="J99" s="87" t="s">
        <v>63</v>
      </c>
      <c r="K99" s="87">
        <v>0</v>
      </c>
      <c r="L99" s="87" t="s">
        <v>372</v>
      </c>
      <c r="M99" s="87" t="s">
        <v>846</v>
      </c>
      <c r="N99" s="108">
        <v>1</v>
      </c>
      <c r="O99" s="118">
        <v>1.1574074074074073E-4</v>
      </c>
    </row>
    <row r="100" spans="1:15" s="109" customFormat="1" ht="54" customHeight="1" thickTop="1" thickBot="1" x14ac:dyDescent="0.25">
      <c r="A100" s="145"/>
      <c r="B100" s="115" t="s">
        <v>20</v>
      </c>
      <c r="C100" s="108" t="s">
        <v>373</v>
      </c>
      <c r="D100" s="108" t="s">
        <v>374</v>
      </c>
      <c r="E100" s="108" t="s">
        <v>24</v>
      </c>
      <c r="F100" s="108"/>
      <c r="G100" s="108"/>
      <c r="H100" s="125"/>
      <c r="I100" s="87" t="s">
        <v>94</v>
      </c>
      <c r="J100" s="87" t="s">
        <v>63</v>
      </c>
      <c r="K100" s="87">
        <v>0</v>
      </c>
      <c r="L100" s="87" t="s">
        <v>375</v>
      </c>
      <c r="M100" s="87" t="s">
        <v>849</v>
      </c>
      <c r="N100" s="108">
        <v>1</v>
      </c>
      <c r="O100" s="118">
        <v>6.9444444444444447E-4</v>
      </c>
    </row>
    <row r="101" spans="1:15" s="109" customFormat="1" ht="54" customHeight="1" thickTop="1" thickBot="1" x14ac:dyDescent="0.25">
      <c r="A101" s="145"/>
      <c r="B101" s="115" t="s">
        <v>20</v>
      </c>
      <c r="C101" s="108" t="s">
        <v>376</v>
      </c>
      <c r="D101" s="108" t="s">
        <v>377</v>
      </c>
      <c r="E101" s="108" t="s">
        <v>24</v>
      </c>
      <c r="F101" s="108"/>
      <c r="G101" s="108"/>
      <c r="H101" s="125"/>
      <c r="I101" s="87" t="s">
        <v>62</v>
      </c>
      <c r="J101" s="87" t="s">
        <v>141</v>
      </c>
      <c r="K101" s="87">
        <v>0</v>
      </c>
      <c r="L101" s="87" t="s">
        <v>378</v>
      </c>
      <c r="M101" s="87" t="s">
        <v>838</v>
      </c>
      <c r="N101" s="108">
        <v>1</v>
      </c>
      <c r="O101" s="118">
        <v>6.9444444444444447E-4</v>
      </c>
    </row>
    <row r="102" spans="1:15" s="109" customFormat="1" ht="54" customHeight="1" thickTop="1" thickBot="1" x14ac:dyDescent="0.25">
      <c r="A102" s="145"/>
      <c r="B102" s="115" t="s">
        <v>20</v>
      </c>
      <c r="C102" s="108" t="s">
        <v>379</v>
      </c>
      <c r="D102" s="108" t="s">
        <v>380</v>
      </c>
      <c r="E102" s="108" t="s">
        <v>24</v>
      </c>
      <c r="F102" s="108"/>
      <c r="G102" s="108"/>
      <c r="H102" s="125"/>
      <c r="I102" s="87" t="s">
        <v>62</v>
      </c>
      <c r="J102" s="87" t="s">
        <v>141</v>
      </c>
      <c r="K102" s="87">
        <v>0</v>
      </c>
      <c r="L102" s="87" t="s">
        <v>381</v>
      </c>
      <c r="M102" s="87" t="s">
        <v>838</v>
      </c>
      <c r="N102" s="108">
        <v>1</v>
      </c>
      <c r="O102" s="118">
        <v>4.0509259259259258E-4</v>
      </c>
    </row>
    <row r="103" spans="1:15" s="109" customFormat="1" ht="54" customHeight="1" thickTop="1" thickBot="1" x14ac:dyDescent="0.25">
      <c r="A103" s="145"/>
      <c r="B103" s="115" t="s">
        <v>20</v>
      </c>
      <c r="C103" s="108" t="s">
        <v>382</v>
      </c>
      <c r="D103" s="108" t="s">
        <v>383</v>
      </c>
      <c r="E103" s="108" t="s">
        <v>24</v>
      </c>
      <c r="F103" s="108"/>
      <c r="G103" s="108"/>
      <c r="H103" s="125"/>
      <c r="I103" s="87" t="s">
        <v>140</v>
      </c>
      <c r="J103" s="87" t="s">
        <v>63</v>
      </c>
      <c r="K103" s="87">
        <v>0</v>
      </c>
      <c r="L103" s="87" t="s">
        <v>384</v>
      </c>
      <c r="M103" s="87" t="s">
        <v>839</v>
      </c>
      <c r="N103" s="108">
        <v>2</v>
      </c>
      <c r="O103" s="118">
        <v>1.3888888888888889E-3</v>
      </c>
    </row>
    <row r="104" spans="1:15" s="109" customFormat="1" ht="54" customHeight="1" thickTop="1" thickBot="1" x14ac:dyDescent="0.25">
      <c r="A104" s="145"/>
      <c r="B104" s="115" t="s">
        <v>20</v>
      </c>
      <c r="C104" s="108" t="s">
        <v>385</v>
      </c>
      <c r="D104" s="108" t="s">
        <v>386</v>
      </c>
      <c r="E104" s="108" t="s">
        <v>24</v>
      </c>
      <c r="F104" s="108"/>
      <c r="G104" s="108"/>
      <c r="H104" s="125"/>
      <c r="I104" s="87" t="s">
        <v>140</v>
      </c>
      <c r="J104" s="87" t="s">
        <v>63</v>
      </c>
      <c r="K104" s="87">
        <v>0</v>
      </c>
      <c r="L104" s="87" t="s">
        <v>387</v>
      </c>
      <c r="M104" s="87" t="s">
        <v>851</v>
      </c>
      <c r="N104" s="108">
        <v>2</v>
      </c>
      <c r="O104" s="118">
        <v>1.736111111111111E-3</v>
      </c>
    </row>
    <row r="105" spans="1:15" s="109" customFormat="1" ht="54" customHeight="1" thickTop="1" thickBot="1" x14ac:dyDescent="0.25">
      <c r="A105" s="99"/>
      <c r="B105" s="90" t="s">
        <v>20</v>
      </c>
      <c r="C105" s="80" t="s">
        <v>388</v>
      </c>
      <c r="D105" s="80" t="s">
        <v>389</v>
      </c>
      <c r="E105" s="80" t="s">
        <v>11</v>
      </c>
      <c r="F105" s="80" t="s">
        <v>24</v>
      </c>
      <c r="G105" s="80" t="s">
        <v>390</v>
      </c>
      <c r="H105" s="84">
        <v>45778</v>
      </c>
      <c r="I105" s="87" t="s">
        <v>62</v>
      </c>
      <c r="J105" s="87" t="s">
        <v>63</v>
      </c>
      <c r="K105" s="87">
        <v>0</v>
      </c>
      <c r="L105" s="87" t="s">
        <v>391</v>
      </c>
      <c r="M105" s="87" t="s">
        <v>839</v>
      </c>
      <c r="N105" s="80">
        <v>1</v>
      </c>
      <c r="O105" s="91">
        <v>6.9444444444444447E-4</v>
      </c>
    </row>
    <row r="106" spans="1:15" s="109" customFormat="1" ht="54" customHeight="1" thickTop="1" thickBot="1" x14ac:dyDescent="0.25">
      <c r="A106" s="145"/>
      <c r="B106" s="115" t="s">
        <v>20</v>
      </c>
      <c r="C106" s="108" t="s">
        <v>392</v>
      </c>
      <c r="D106" s="175" t="s">
        <v>847</v>
      </c>
      <c r="E106" s="108" t="s">
        <v>24</v>
      </c>
      <c r="F106" s="108"/>
      <c r="G106" s="108"/>
      <c r="H106" s="125"/>
      <c r="I106" s="87" t="s">
        <v>62</v>
      </c>
      <c r="J106" s="87" t="s">
        <v>63</v>
      </c>
      <c r="K106" s="87">
        <v>0</v>
      </c>
      <c r="L106" s="87" t="s">
        <v>393</v>
      </c>
      <c r="M106" s="87" t="s">
        <v>839</v>
      </c>
      <c r="N106" s="108">
        <v>2</v>
      </c>
      <c r="O106" s="118">
        <v>3.4722222222222224E-4</v>
      </c>
    </row>
    <row r="107" spans="1:15" s="109" customFormat="1" ht="54" customHeight="1" thickTop="1" thickBot="1" x14ac:dyDescent="0.25">
      <c r="A107" s="145"/>
      <c r="B107" s="115" t="s">
        <v>20</v>
      </c>
      <c r="C107" s="108" t="s">
        <v>394</v>
      </c>
      <c r="D107" s="108" t="s">
        <v>395</v>
      </c>
      <c r="E107" s="108" t="s">
        <v>24</v>
      </c>
      <c r="F107" s="108"/>
      <c r="G107" s="108"/>
      <c r="H107" s="125"/>
      <c r="I107" s="87" t="s">
        <v>94</v>
      </c>
      <c r="J107" s="87" t="s">
        <v>63</v>
      </c>
      <c r="K107" s="87">
        <v>0</v>
      </c>
      <c r="L107" s="87" t="s">
        <v>396</v>
      </c>
      <c r="M107" s="87" t="s">
        <v>849</v>
      </c>
      <c r="N107" s="108">
        <v>2</v>
      </c>
      <c r="O107" s="118">
        <v>6.9444444444444447E-4</v>
      </c>
    </row>
    <row r="108" spans="1:15" s="109" customFormat="1" ht="54" customHeight="1" thickTop="1" thickBot="1" x14ac:dyDescent="0.25">
      <c r="A108" s="99"/>
      <c r="B108" s="90" t="s">
        <v>20</v>
      </c>
      <c r="C108" s="80" t="s">
        <v>397</v>
      </c>
      <c r="D108" s="80" t="s">
        <v>398</v>
      </c>
      <c r="E108" s="80" t="s">
        <v>11</v>
      </c>
      <c r="F108" s="80" t="s">
        <v>24</v>
      </c>
      <c r="G108" s="80" t="s">
        <v>399</v>
      </c>
      <c r="H108" s="84">
        <v>45772</v>
      </c>
      <c r="I108" s="87" t="s">
        <v>62</v>
      </c>
      <c r="J108" s="87" t="s">
        <v>63</v>
      </c>
      <c r="K108" s="87">
        <v>0</v>
      </c>
      <c r="L108" s="87" t="s">
        <v>400</v>
      </c>
      <c r="M108" s="87" t="s">
        <v>839</v>
      </c>
      <c r="N108" s="80">
        <v>2</v>
      </c>
      <c r="O108" s="91">
        <v>6.9444444444444447E-4</v>
      </c>
    </row>
    <row r="109" spans="1:15" s="109" customFormat="1" ht="54" customHeight="1" thickTop="1" thickBot="1" x14ac:dyDescent="0.25">
      <c r="A109" s="145"/>
      <c r="B109" s="115" t="s">
        <v>20</v>
      </c>
      <c r="C109" s="108" t="s">
        <v>401</v>
      </c>
      <c r="D109" s="108" t="s">
        <v>402</v>
      </c>
      <c r="E109" s="108" t="s">
        <v>24</v>
      </c>
      <c r="F109" s="108"/>
      <c r="G109" s="108"/>
      <c r="H109" s="125"/>
      <c r="I109" s="87" t="s">
        <v>94</v>
      </c>
      <c r="J109" s="87" t="s">
        <v>63</v>
      </c>
      <c r="K109" s="87">
        <v>0</v>
      </c>
      <c r="L109" s="87" t="s">
        <v>403</v>
      </c>
      <c r="M109" s="87" t="s">
        <v>838</v>
      </c>
      <c r="N109" s="108">
        <v>4</v>
      </c>
      <c r="O109" s="118">
        <v>2.0833333333333333E-3</v>
      </c>
    </row>
    <row r="110" spans="1:15" s="109" customFormat="1" ht="54" customHeight="1" thickTop="1" thickBot="1" x14ac:dyDescent="0.25">
      <c r="A110" s="145"/>
      <c r="B110" s="115" t="s">
        <v>20</v>
      </c>
      <c r="C110" s="108" t="s">
        <v>404</v>
      </c>
      <c r="D110" s="108" t="s">
        <v>405</v>
      </c>
      <c r="E110" s="108" t="s">
        <v>24</v>
      </c>
      <c r="F110" s="108"/>
      <c r="G110" s="108"/>
      <c r="H110" s="125"/>
      <c r="I110" s="87" t="s">
        <v>62</v>
      </c>
      <c r="J110" s="87" t="s">
        <v>63</v>
      </c>
      <c r="K110" s="87">
        <v>0</v>
      </c>
      <c r="L110" s="87" t="s">
        <v>406</v>
      </c>
      <c r="M110" s="87" t="s">
        <v>838</v>
      </c>
      <c r="N110" s="108">
        <v>2</v>
      </c>
      <c r="O110" s="118">
        <v>6.9444444444444447E-4</v>
      </c>
    </row>
    <row r="111" spans="1:15" s="109" customFormat="1" ht="54" customHeight="1" thickTop="1" thickBot="1" x14ac:dyDescent="0.25">
      <c r="A111" s="99"/>
      <c r="B111" s="90" t="s">
        <v>20</v>
      </c>
      <c r="C111" s="80" t="s">
        <v>407</v>
      </c>
      <c r="D111" s="80" t="s">
        <v>408</v>
      </c>
      <c r="E111" s="80" t="s">
        <v>11</v>
      </c>
      <c r="F111" s="80" t="s">
        <v>24</v>
      </c>
      <c r="G111" s="80" t="s">
        <v>399</v>
      </c>
      <c r="H111" s="84">
        <v>45772</v>
      </c>
      <c r="I111" s="87" t="s">
        <v>62</v>
      </c>
      <c r="J111" s="87" t="s">
        <v>63</v>
      </c>
      <c r="K111" s="87">
        <v>0</v>
      </c>
      <c r="L111" s="87" t="s">
        <v>409</v>
      </c>
      <c r="M111" s="87" t="s">
        <v>839</v>
      </c>
      <c r="N111" s="80">
        <v>2</v>
      </c>
      <c r="O111" s="91">
        <v>6.9444444444444447E-4</v>
      </c>
    </row>
    <row r="112" spans="1:15" s="109" customFormat="1" ht="54" customHeight="1" thickTop="1" thickBot="1" x14ac:dyDescent="0.25">
      <c r="A112" s="145"/>
      <c r="B112" s="115" t="s">
        <v>20</v>
      </c>
      <c r="C112" s="108" t="s">
        <v>410</v>
      </c>
      <c r="D112" s="108" t="s">
        <v>411</v>
      </c>
      <c r="E112" s="108" t="s">
        <v>24</v>
      </c>
      <c r="F112" s="108"/>
      <c r="G112" s="108"/>
      <c r="H112" s="125"/>
      <c r="I112" s="87" t="s">
        <v>94</v>
      </c>
      <c r="J112" s="87" t="s">
        <v>141</v>
      </c>
      <c r="K112" s="87">
        <v>0</v>
      </c>
      <c r="L112" s="87" t="s">
        <v>412</v>
      </c>
      <c r="M112" s="87" t="s">
        <v>838</v>
      </c>
      <c r="N112" s="108">
        <v>2</v>
      </c>
      <c r="O112" s="118">
        <v>1.3888888888888889E-3</v>
      </c>
    </row>
    <row r="113" spans="1:15" s="109" customFormat="1" ht="54" customHeight="1" thickTop="1" thickBot="1" x14ac:dyDescent="0.25">
      <c r="A113" s="146"/>
      <c r="B113" s="120" t="s">
        <v>20</v>
      </c>
      <c r="C113" s="121" t="s">
        <v>413</v>
      </c>
      <c r="D113" s="121" t="s">
        <v>414</v>
      </c>
      <c r="E113" s="121" t="s">
        <v>24</v>
      </c>
      <c r="F113" s="121"/>
      <c r="G113" s="121"/>
      <c r="H113" s="164"/>
      <c r="I113" s="87" t="s">
        <v>94</v>
      </c>
      <c r="J113" s="87" t="s">
        <v>63</v>
      </c>
      <c r="K113" s="87">
        <v>0</v>
      </c>
      <c r="L113" s="87" t="s">
        <v>415</v>
      </c>
      <c r="M113" s="87" t="s">
        <v>838</v>
      </c>
      <c r="N113" s="121">
        <v>2</v>
      </c>
      <c r="O113" s="123">
        <v>6.9444444444444447E-4</v>
      </c>
    </row>
    <row r="114" spans="1:15" s="109" customFormat="1" ht="54" customHeight="1" thickTop="1" thickBot="1" x14ac:dyDescent="0.25">
      <c r="A114" s="144"/>
      <c r="B114" s="110" t="s">
        <v>23</v>
      </c>
      <c r="C114" s="111" t="s">
        <v>416</v>
      </c>
      <c r="D114" s="111" t="s">
        <v>417</v>
      </c>
      <c r="E114" s="111" t="s">
        <v>24</v>
      </c>
      <c r="F114" s="111"/>
      <c r="G114" s="111"/>
      <c r="H114" s="124"/>
      <c r="I114" s="87" t="s">
        <v>140</v>
      </c>
      <c r="J114" s="87" t="s">
        <v>63</v>
      </c>
      <c r="K114" s="87">
        <v>0</v>
      </c>
      <c r="L114" s="87" t="s">
        <v>418</v>
      </c>
      <c r="M114" s="87" t="s">
        <v>838</v>
      </c>
      <c r="N114" s="111">
        <v>1</v>
      </c>
      <c r="O114" s="114">
        <v>6.9444444444444447E-4</v>
      </c>
    </row>
    <row r="115" spans="1:15" s="109" customFormat="1" ht="54" customHeight="1" thickTop="1" thickBot="1" x14ac:dyDescent="0.25">
      <c r="A115" s="145"/>
      <c r="B115" s="115" t="s">
        <v>23</v>
      </c>
      <c r="C115" s="108" t="s">
        <v>419</v>
      </c>
      <c r="D115" s="108" t="s">
        <v>420</v>
      </c>
      <c r="E115" s="108" t="s">
        <v>24</v>
      </c>
      <c r="F115" s="108"/>
      <c r="G115" s="108"/>
      <c r="H115" s="125"/>
      <c r="I115" s="87" t="s">
        <v>140</v>
      </c>
      <c r="J115" s="87" t="s">
        <v>63</v>
      </c>
      <c r="K115" s="87">
        <v>0</v>
      </c>
      <c r="L115" s="87" t="s">
        <v>421</v>
      </c>
      <c r="M115" s="87" t="s">
        <v>843</v>
      </c>
      <c r="N115" s="108">
        <v>1</v>
      </c>
      <c r="O115" s="118">
        <v>4.6296296296296293E-4</v>
      </c>
    </row>
    <row r="116" spans="1:15" s="109" customFormat="1" ht="54" customHeight="1" thickTop="1" thickBot="1" x14ac:dyDescent="0.25">
      <c r="A116" s="145"/>
      <c r="B116" s="115" t="s">
        <v>23</v>
      </c>
      <c r="C116" s="108" t="s">
        <v>422</v>
      </c>
      <c r="D116" s="108" t="s">
        <v>423</v>
      </c>
      <c r="E116" s="108" t="s">
        <v>24</v>
      </c>
      <c r="F116" s="108"/>
      <c r="G116" s="108"/>
      <c r="H116" s="125"/>
      <c r="I116" s="87" t="s">
        <v>140</v>
      </c>
      <c r="J116" s="87" t="s">
        <v>63</v>
      </c>
      <c r="K116" s="87">
        <v>0</v>
      </c>
      <c r="L116" s="87" t="s">
        <v>424</v>
      </c>
      <c r="M116" s="87" t="s">
        <v>843</v>
      </c>
      <c r="N116" s="108">
        <v>1</v>
      </c>
      <c r="O116" s="118">
        <v>6.9444444444444447E-4</v>
      </c>
    </row>
    <row r="117" spans="1:15" s="109" customFormat="1" ht="54" customHeight="1" thickTop="1" thickBot="1" x14ac:dyDescent="0.25">
      <c r="A117" s="145"/>
      <c r="B117" s="115" t="s">
        <v>23</v>
      </c>
      <c r="C117" s="108" t="s">
        <v>425</v>
      </c>
      <c r="D117" s="108" t="s">
        <v>426</v>
      </c>
      <c r="E117" s="108" t="s">
        <v>24</v>
      </c>
      <c r="F117" s="108"/>
      <c r="G117" s="108"/>
      <c r="H117" s="125"/>
      <c r="I117" s="87" t="s">
        <v>140</v>
      </c>
      <c r="J117" s="87" t="s">
        <v>63</v>
      </c>
      <c r="K117" s="87">
        <v>0</v>
      </c>
      <c r="L117" s="87" t="s">
        <v>427</v>
      </c>
      <c r="M117" s="87" t="s">
        <v>852</v>
      </c>
      <c r="N117" s="108">
        <v>1</v>
      </c>
      <c r="O117" s="118">
        <v>6.9444444444444447E-4</v>
      </c>
    </row>
    <row r="118" spans="1:15" s="109" customFormat="1" ht="54" customHeight="1" thickTop="1" thickBot="1" x14ac:dyDescent="0.25">
      <c r="A118" s="145"/>
      <c r="B118" s="115" t="s">
        <v>23</v>
      </c>
      <c r="C118" s="108" t="s">
        <v>428</v>
      </c>
      <c r="D118" s="108" t="s">
        <v>429</v>
      </c>
      <c r="E118" s="108" t="s">
        <v>24</v>
      </c>
      <c r="F118" s="108"/>
      <c r="G118" s="108"/>
      <c r="H118" s="125"/>
      <c r="I118" s="87" t="s">
        <v>140</v>
      </c>
      <c r="J118" s="87" t="s">
        <v>63</v>
      </c>
      <c r="K118" s="87">
        <v>0</v>
      </c>
      <c r="L118" s="87" t="s">
        <v>430</v>
      </c>
      <c r="M118" s="87" t="s">
        <v>852</v>
      </c>
      <c r="N118" s="108">
        <v>1</v>
      </c>
      <c r="O118" s="118">
        <v>6.9444444444444447E-4</v>
      </c>
    </row>
    <row r="119" spans="1:15" s="109" customFormat="1" ht="54" customHeight="1" thickTop="1" thickBot="1" x14ac:dyDescent="0.25">
      <c r="A119" s="145"/>
      <c r="B119" s="115" t="s">
        <v>23</v>
      </c>
      <c r="C119" s="108" t="s">
        <v>431</v>
      </c>
      <c r="D119" s="108" t="s">
        <v>432</v>
      </c>
      <c r="E119" s="108" t="s">
        <v>24</v>
      </c>
      <c r="F119" s="108"/>
      <c r="G119" s="108"/>
      <c r="H119" s="125"/>
      <c r="I119" s="87" t="s">
        <v>140</v>
      </c>
      <c r="J119" s="87" t="s">
        <v>63</v>
      </c>
      <c r="K119" s="87">
        <v>0</v>
      </c>
      <c r="L119" s="87" t="s">
        <v>433</v>
      </c>
      <c r="M119" s="87" t="s">
        <v>852</v>
      </c>
      <c r="N119" s="108">
        <v>1</v>
      </c>
      <c r="O119" s="118">
        <v>3.4722222222222224E-4</v>
      </c>
    </row>
    <row r="120" spans="1:15" s="109" customFormat="1" ht="54" customHeight="1" thickTop="1" thickBot="1" x14ac:dyDescent="0.25">
      <c r="A120" s="145"/>
      <c r="B120" s="115" t="s">
        <v>23</v>
      </c>
      <c r="C120" s="108" t="s">
        <v>434</v>
      </c>
      <c r="D120" s="108" t="s">
        <v>435</v>
      </c>
      <c r="E120" s="108" t="s">
        <v>24</v>
      </c>
      <c r="F120" s="108"/>
      <c r="G120" s="108"/>
      <c r="H120" s="125"/>
      <c r="I120" s="87" t="s">
        <v>140</v>
      </c>
      <c r="J120" s="87" t="s">
        <v>63</v>
      </c>
      <c r="K120" s="87">
        <v>0</v>
      </c>
      <c r="L120" s="87" t="s">
        <v>436</v>
      </c>
      <c r="M120" s="87" t="s">
        <v>843</v>
      </c>
      <c r="N120" s="108">
        <v>1</v>
      </c>
      <c r="O120" s="118">
        <v>6.9444444444444447E-4</v>
      </c>
    </row>
    <row r="121" spans="1:15" s="109" customFormat="1" ht="54" customHeight="1" thickTop="1" thickBot="1" x14ac:dyDescent="0.25">
      <c r="A121" s="145"/>
      <c r="B121" s="115" t="s">
        <v>23</v>
      </c>
      <c r="C121" s="108" t="s">
        <v>437</v>
      </c>
      <c r="D121" s="108" t="s">
        <v>438</v>
      </c>
      <c r="E121" s="108" t="s">
        <v>24</v>
      </c>
      <c r="F121" s="108"/>
      <c r="G121" s="108"/>
      <c r="H121" s="125"/>
      <c r="I121" s="87" t="s">
        <v>140</v>
      </c>
      <c r="J121" s="87" t="s">
        <v>63</v>
      </c>
      <c r="K121" s="87">
        <v>0</v>
      </c>
      <c r="L121" s="87" t="s">
        <v>439</v>
      </c>
      <c r="M121" s="87" t="s">
        <v>843</v>
      </c>
      <c r="N121" s="108">
        <v>2</v>
      </c>
      <c r="O121" s="118">
        <v>1.0416666666666667E-3</v>
      </c>
    </row>
    <row r="122" spans="1:15" s="109" customFormat="1" ht="54" customHeight="1" thickTop="1" thickBot="1" x14ac:dyDescent="0.25">
      <c r="A122" s="145"/>
      <c r="B122" s="115" t="s">
        <v>23</v>
      </c>
      <c r="C122" s="108" t="s">
        <v>440</v>
      </c>
      <c r="D122" s="108" t="s">
        <v>441</v>
      </c>
      <c r="E122" s="108" t="s">
        <v>24</v>
      </c>
      <c r="F122" s="108"/>
      <c r="G122" s="108"/>
      <c r="H122" s="125"/>
      <c r="I122" s="87" t="s">
        <v>140</v>
      </c>
      <c r="J122" s="87" t="s">
        <v>63</v>
      </c>
      <c r="K122" s="87">
        <v>0</v>
      </c>
      <c r="L122" s="87" t="s">
        <v>442</v>
      </c>
      <c r="M122" s="87" t="s">
        <v>843</v>
      </c>
      <c r="N122" s="108">
        <v>1</v>
      </c>
      <c r="O122" s="118">
        <v>1.0416666666666667E-3</v>
      </c>
    </row>
    <row r="123" spans="1:15" s="109" customFormat="1" ht="54" customHeight="1" thickTop="1" thickBot="1" x14ac:dyDescent="0.25">
      <c r="A123" s="145"/>
      <c r="B123" s="115" t="s">
        <v>23</v>
      </c>
      <c r="C123" s="108" t="s">
        <v>443</v>
      </c>
      <c r="D123" s="108" t="s">
        <v>444</v>
      </c>
      <c r="E123" s="108" t="s">
        <v>24</v>
      </c>
      <c r="F123" s="108"/>
      <c r="G123" s="108"/>
      <c r="H123" s="125"/>
      <c r="I123" s="87" t="s">
        <v>140</v>
      </c>
      <c r="J123" s="87" t="s">
        <v>63</v>
      </c>
      <c r="K123" s="87">
        <v>0</v>
      </c>
      <c r="L123" s="87" t="s">
        <v>445</v>
      </c>
      <c r="M123" s="87" t="s">
        <v>839</v>
      </c>
      <c r="N123" s="108">
        <v>1</v>
      </c>
      <c r="O123" s="118">
        <v>1.0416666666666667E-3</v>
      </c>
    </row>
    <row r="124" spans="1:15" s="109" customFormat="1" ht="54" customHeight="1" thickTop="1" thickBot="1" x14ac:dyDescent="0.25">
      <c r="A124" s="145"/>
      <c r="B124" s="115" t="s">
        <v>23</v>
      </c>
      <c r="C124" s="108" t="s">
        <v>446</v>
      </c>
      <c r="D124" s="108" t="s">
        <v>447</v>
      </c>
      <c r="E124" s="108" t="s">
        <v>24</v>
      </c>
      <c r="F124" s="108"/>
      <c r="G124" s="108"/>
      <c r="H124" s="125"/>
      <c r="I124" s="87" t="s">
        <v>94</v>
      </c>
      <c r="J124" s="87" t="s">
        <v>63</v>
      </c>
      <c r="K124" s="87">
        <v>0</v>
      </c>
      <c r="L124" s="87" t="s">
        <v>448</v>
      </c>
      <c r="M124" s="87" t="s">
        <v>853</v>
      </c>
      <c r="N124" s="108">
        <v>2</v>
      </c>
      <c r="O124" s="118">
        <v>6.9444444444444447E-4</v>
      </c>
    </row>
    <row r="125" spans="1:15" s="109" customFormat="1" ht="54" customHeight="1" thickTop="1" thickBot="1" x14ac:dyDescent="0.25">
      <c r="A125" s="145"/>
      <c r="B125" s="115" t="s">
        <v>23</v>
      </c>
      <c r="C125" s="108" t="s">
        <v>449</v>
      </c>
      <c r="D125" s="108" t="s">
        <v>450</v>
      </c>
      <c r="E125" s="108" t="s">
        <v>24</v>
      </c>
      <c r="F125" s="108"/>
      <c r="G125" s="108"/>
      <c r="H125" s="125"/>
      <c r="I125" s="87" t="s">
        <v>94</v>
      </c>
      <c r="J125" s="87" t="s">
        <v>141</v>
      </c>
      <c r="K125" s="87">
        <v>0</v>
      </c>
      <c r="L125" s="87" t="s">
        <v>381</v>
      </c>
      <c r="M125" s="87" t="s">
        <v>838</v>
      </c>
      <c r="N125" s="108">
        <v>3</v>
      </c>
      <c r="O125" s="118">
        <v>1.736111111111111E-3</v>
      </c>
    </row>
    <row r="126" spans="1:15" s="109" customFormat="1" ht="54" customHeight="1" thickTop="1" thickBot="1" x14ac:dyDescent="0.25">
      <c r="A126" s="145"/>
      <c r="B126" s="149" t="s">
        <v>23</v>
      </c>
      <c r="C126" s="116" t="s">
        <v>451</v>
      </c>
      <c r="D126" s="116" t="s">
        <v>452</v>
      </c>
      <c r="E126" s="116" t="s">
        <v>24</v>
      </c>
      <c r="F126" s="116"/>
      <c r="G126" s="116"/>
      <c r="H126" s="116"/>
      <c r="I126" s="87" t="s">
        <v>62</v>
      </c>
      <c r="J126" s="87" t="s">
        <v>63</v>
      </c>
      <c r="K126" s="87">
        <v>0</v>
      </c>
      <c r="L126" s="87">
        <v>0</v>
      </c>
      <c r="M126" s="87" t="s">
        <v>839</v>
      </c>
      <c r="N126" s="108">
        <v>2</v>
      </c>
      <c r="O126" s="118">
        <v>6.9444444444444447E-4</v>
      </c>
    </row>
    <row r="127" spans="1:15" s="109" customFormat="1" ht="54" customHeight="1" thickTop="1" thickBot="1" x14ac:dyDescent="0.25">
      <c r="A127" s="146"/>
      <c r="B127" s="153" t="s">
        <v>23</v>
      </c>
      <c r="C127" s="122" t="s">
        <v>453</v>
      </c>
      <c r="D127" s="122" t="s">
        <v>454</v>
      </c>
      <c r="E127" s="122" t="s">
        <v>24</v>
      </c>
      <c r="F127" s="122"/>
      <c r="G127" s="122"/>
      <c r="H127" s="122"/>
      <c r="I127" s="87" t="s">
        <v>62</v>
      </c>
      <c r="J127" s="87" t="s">
        <v>63</v>
      </c>
      <c r="K127" s="87">
        <v>0</v>
      </c>
      <c r="L127" s="87" t="s">
        <v>455</v>
      </c>
      <c r="M127" s="87" t="s">
        <v>854</v>
      </c>
      <c r="N127" s="121">
        <v>2</v>
      </c>
      <c r="O127" s="123">
        <v>6.9444444444444447E-4</v>
      </c>
    </row>
    <row r="128" spans="1:15" s="109" customFormat="1" ht="66" customHeight="1" thickTop="1" thickBot="1" x14ac:dyDescent="0.25">
      <c r="A128" s="127"/>
      <c r="B128" s="128" t="s">
        <v>456</v>
      </c>
      <c r="C128" s="129" t="s">
        <v>457</v>
      </c>
      <c r="D128" s="129" t="s">
        <v>458</v>
      </c>
      <c r="E128" s="129" t="s">
        <v>24</v>
      </c>
      <c r="F128" s="129"/>
      <c r="G128" s="129"/>
      <c r="H128" s="129"/>
      <c r="I128" s="87" t="s">
        <v>94</v>
      </c>
      <c r="J128" s="87">
        <v>0</v>
      </c>
      <c r="K128" s="87">
        <v>0</v>
      </c>
      <c r="L128" s="87" t="s">
        <v>459</v>
      </c>
      <c r="M128" s="87" t="s">
        <v>855</v>
      </c>
      <c r="N128" s="130">
        <v>2</v>
      </c>
      <c r="O128" s="169">
        <v>2.0013888888888891</v>
      </c>
    </row>
    <row r="129" spans="2:10" s="109" customFormat="1" x14ac:dyDescent="0.2">
      <c r="B129" s="132"/>
      <c r="I129" s="132"/>
      <c r="J129" s="132"/>
    </row>
    <row r="130" spans="2:10" s="109" customFormat="1" x14ac:dyDescent="0.2">
      <c r="B130" s="132"/>
      <c r="I130" s="132"/>
      <c r="J130" s="132"/>
    </row>
    <row r="131" spans="2:10" s="109" customFormat="1" x14ac:dyDescent="0.2">
      <c r="B131" s="132"/>
      <c r="I131" s="132"/>
      <c r="J131" s="132"/>
    </row>
    <row r="132" spans="2:10" s="109" customFormat="1" x14ac:dyDescent="0.2">
      <c r="B132" s="132"/>
      <c r="I132" s="132"/>
      <c r="J132" s="132"/>
    </row>
    <row r="133" spans="2:10" s="109" customFormat="1" x14ac:dyDescent="0.2">
      <c r="B133" s="132"/>
      <c r="I133" s="132"/>
      <c r="J133" s="132"/>
    </row>
    <row r="134" spans="2:10" s="109" customFormat="1" x14ac:dyDescent="0.2">
      <c r="B134" s="132"/>
      <c r="I134" s="132"/>
      <c r="J134" s="132"/>
    </row>
    <row r="135" spans="2:10" s="109" customFormat="1" x14ac:dyDescent="0.2">
      <c r="B135" s="132"/>
      <c r="I135" s="132"/>
      <c r="J135" s="132"/>
    </row>
    <row r="136" spans="2:10" s="109" customFormat="1" x14ac:dyDescent="0.2">
      <c r="B136" s="132"/>
      <c r="I136" s="132"/>
      <c r="J136" s="132"/>
    </row>
    <row r="137" spans="2:10" s="109" customFormat="1" x14ac:dyDescent="0.2">
      <c r="B137" s="132"/>
      <c r="I137" s="132"/>
      <c r="J137" s="132"/>
    </row>
    <row r="138" spans="2:10" s="109" customFormat="1" x14ac:dyDescent="0.2">
      <c r="B138" s="132"/>
      <c r="I138" s="132"/>
      <c r="J138" s="132"/>
    </row>
    <row r="139" spans="2:10" s="109" customFormat="1" x14ac:dyDescent="0.2">
      <c r="B139" s="132"/>
      <c r="I139" s="132"/>
      <c r="J139" s="132"/>
    </row>
    <row r="140" spans="2:10" s="109" customFormat="1" x14ac:dyDescent="0.2">
      <c r="B140" s="132"/>
      <c r="I140" s="132"/>
      <c r="J140" s="132"/>
    </row>
    <row r="141" spans="2:10" s="109" customFormat="1" x14ac:dyDescent="0.2">
      <c r="B141" s="132"/>
      <c r="I141" s="132"/>
      <c r="J141" s="132"/>
    </row>
    <row r="142" spans="2:10" s="109" customFormat="1" x14ac:dyDescent="0.2">
      <c r="B142" s="132"/>
      <c r="I142" s="132"/>
      <c r="J142" s="132"/>
    </row>
    <row r="143" spans="2:10" s="109" customFormat="1" x14ac:dyDescent="0.2">
      <c r="B143" s="132"/>
      <c r="I143" s="132"/>
      <c r="J143" s="132"/>
    </row>
    <row r="144" spans="2:10" s="109" customFormat="1" x14ac:dyDescent="0.2">
      <c r="B144" s="132"/>
      <c r="I144" s="132"/>
      <c r="J144" s="132"/>
    </row>
    <row r="145" spans="2:10" s="109" customFormat="1" x14ac:dyDescent="0.2">
      <c r="B145" s="132"/>
      <c r="I145" s="132"/>
      <c r="J145" s="132"/>
    </row>
    <row r="146" spans="2:10" s="109" customFormat="1" x14ac:dyDescent="0.2">
      <c r="B146" s="132"/>
      <c r="I146" s="132"/>
      <c r="J146" s="132"/>
    </row>
    <row r="147" spans="2:10" s="109" customFormat="1" x14ac:dyDescent="0.2">
      <c r="B147" s="132"/>
      <c r="I147" s="132"/>
      <c r="J147" s="132"/>
    </row>
    <row r="148" spans="2:10" s="109" customFormat="1" x14ac:dyDescent="0.2">
      <c r="B148" s="132"/>
      <c r="I148" s="132"/>
      <c r="J148" s="132"/>
    </row>
    <row r="149" spans="2:10" s="109" customFormat="1" x14ac:dyDescent="0.2">
      <c r="B149" s="132"/>
      <c r="I149" s="132"/>
      <c r="J149" s="132"/>
    </row>
    <row r="150" spans="2:10" s="109" customFormat="1" x14ac:dyDescent="0.2">
      <c r="B150" s="132"/>
      <c r="I150" s="132"/>
      <c r="J150" s="132"/>
    </row>
    <row r="151" spans="2:10" s="109" customFormat="1" x14ac:dyDescent="0.2">
      <c r="B151" s="132"/>
      <c r="I151" s="132"/>
      <c r="J151" s="132"/>
    </row>
    <row r="152" spans="2:10" s="109" customFormat="1" x14ac:dyDescent="0.2">
      <c r="B152" s="132"/>
      <c r="I152" s="132"/>
      <c r="J152" s="132"/>
    </row>
    <row r="153" spans="2:10" s="109" customFormat="1" x14ac:dyDescent="0.2">
      <c r="B153" s="132"/>
      <c r="I153" s="132"/>
      <c r="J153" s="132"/>
    </row>
    <row r="154" spans="2:10" s="109" customFormat="1" x14ac:dyDescent="0.2">
      <c r="B154" s="132"/>
      <c r="I154" s="132"/>
      <c r="J154" s="132"/>
    </row>
    <row r="155" spans="2:10" s="109" customFormat="1" x14ac:dyDescent="0.2">
      <c r="B155" s="132"/>
      <c r="I155" s="132"/>
      <c r="J155" s="132"/>
    </row>
    <row r="156" spans="2:10" s="109" customFormat="1" x14ac:dyDescent="0.2">
      <c r="B156" s="132"/>
      <c r="I156" s="132"/>
      <c r="J156" s="132"/>
    </row>
    <row r="157" spans="2:10" s="109" customFormat="1" x14ac:dyDescent="0.2">
      <c r="B157" s="132"/>
      <c r="I157" s="132"/>
      <c r="J157" s="132"/>
    </row>
    <row r="158" spans="2:10" s="109" customFormat="1" x14ac:dyDescent="0.2">
      <c r="B158" s="132"/>
      <c r="I158" s="132"/>
      <c r="J158" s="132"/>
    </row>
    <row r="159" spans="2:10" s="109" customFormat="1" x14ac:dyDescent="0.2">
      <c r="B159" s="132"/>
      <c r="I159" s="132"/>
      <c r="J159" s="132"/>
    </row>
    <row r="160" spans="2:10" s="109" customFormat="1" x14ac:dyDescent="0.2">
      <c r="B160" s="132"/>
      <c r="I160" s="132"/>
      <c r="J160" s="132"/>
    </row>
    <row r="161" spans="2:10" s="109" customFormat="1" x14ac:dyDescent="0.2">
      <c r="B161" s="132"/>
      <c r="I161" s="132"/>
      <c r="J161" s="132"/>
    </row>
    <row r="162" spans="2:10" s="109" customFormat="1" x14ac:dyDescent="0.2">
      <c r="B162" s="132"/>
      <c r="I162" s="132"/>
      <c r="J162" s="132"/>
    </row>
    <row r="163" spans="2:10" s="109" customFormat="1" x14ac:dyDescent="0.2">
      <c r="B163" s="132"/>
      <c r="I163" s="132"/>
      <c r="J163" s="132"/>
    </row>
    <row r="164" spans="2:10" s="109" customFormat="1" x14ac:dyDescent="0.2">
      <c r="B164" s="132"/>
      <c r="I164" s="132"/>
      <c r="J164" s="132"/>
    </row>
    <row r="165" spans="2:10" s="109" customFormat="1" x14ac:dyDescent="0.2">
      <c r="B165" s="132"/>
      <c r="I165" s="132"/>
      <c r="J165" s="132"/>
    </row>
    <row r="166" spans="2:10" s="109" customFormat="1" x14ac:dyDescent="0.2">
      <c r="B166" s="132"/>
      <c r="I166" s="132"/>
      <c r="J166" s="132"/>
    </row>
    <row r="167" spans="2:10" s="109" customFormat="1" x14ac:dyDescent="0.2">
      <c r="B167" s="132"/>
      <c r="I167" s="132"/>
      <c r="J167" s="132"/>
    </row>
    <row r="168" spans="2:10" s="109" customFormat="1" x14ac:dyDescent="0.2">
      <c r="B168" s="132"/>
      <c r="I168" s="132"/>
      <c r="J168" s="132"/>
    </row>
    <row r="169" spans="2:10" s="109" customFormat="1" x14ac:dyDescent="0.2">
      <c r="B169" s="132"/>
      <c r="I169" s="132"/>
      <c r="J169" s="132"/>
    </row>
    <row r="170" spans="2:10" s="109" customFormat="1" x14ac:dyDescent="0.2">
      <c r="B170" s="132"/>
      <c r="I170" s="132"/>
      <c r="J170" s="132"/>
    </row>
    <row r="171" spans="2:10" s="109" customFormat="1" x14ac:dyDescent="0.2">
      <c r="B171" s="132"/>
      <c r="I171" s="132"/>
      <c r="J171" s="132"/>
    </row>
    <row r="172" spans="2:10" s="109" customFormat="1" x14ac:dyDescent="0.2">
      <c r="B172" s="132"/>
      <c r="I172" s="132"/>
      <c r="J172" s="132"/>
    </row>
    <row r="173" spans="2:10" s="109" customFormat="1" x14ac:dyDescent="0.2">
      <c r="B173" s="132"/>
      <c r="I173" s="132"/>
      <c r="J173" s="132"/>
    </row>
    <row r="174" spans="2:10" s="109" customFormat="1" x14ac:dyDescent="0.2">
      <c r="B174" s="132"/>
      <c r="I174" s="132"/>
      <c r="J174" s="132"/>
    </row>
    <row r="175" spans="2:10" s="109" customFormat="1" x14ac:dyDescent="0.2">
      <c r="B175" s="132"/>
      <c r="I175" s="132"/>
      <c r="J175" s="132"/>
    </row>
    <row r="176" spans="2:10" s="109" customFormat="1" x14ac:dyDescent="0.2">
      <c r="B176" s="132"/>
      <c r="I176" s="132"/>
      <c r="J176" s="132"/>
    </row>
    <row r="177" spans="2:10" s="109" customFormat="1" x14ac:dyDescent="0.2">
      <c r="B177" s="132"/>
      <c r="I177" s="132"/>
      <c r="J177" s="132"/>
    </row>
    <row r="178" spans="2:10" s="109" customFormat="1" x14ac:dyDescent="0.2">
      <c r="B178" s="132"/>
      <c r="I178" s="132"/>
      <c r="J178" s="132"/>
    </row>
    <row r="179" spans="2:10" s="109" customFormat="1" x14ac:dyDescent="0.2">
      <c r="B179" s="132"/>
      <c r="I179" s="132"/>
      <c r="J179" s="132"/>
    </row>
    <row r="180" spans="2:10" s="109" customFormat="1" x14ac:dyDescent="0.2">
      <c r="B180" s="132"/>
      <c r="I180" s="132"/>
      <c r="J180" s="132"/>
    </row>
  </sheetData>
  <autoFilter ref="A2:O128" xr:uid="{BDC873B6-BD87-42BF-A896-28F9972148AE}"/>
  <phoneticPr fontId="7" type="noConversion"/>
  <conditionalFormatting sqref="C3:G22 C26:H31 N26:O128 H32:H33 C35:H44 C55:D55 C56:H56 C53:H54 G52:H52 C58:H58 C57:D57 C61:H62 C81:H81 C80:D80 C82:D82 C59:D60 C73:H73 C72:D72 C77:H79 C74:D76 C45:D52 C33:D34 C32:F32 C83:H105 C107:H125 C106 E106:H106 C64:H71 C63 E63:H63">
    <cfRule type="expression" dxfId="47" priority="49">
      <formula>AND(OR($F3="No",$F3=""), $E3= "Yes",$G3&lt;&gt;"",$H3&lt;&gt;"")</formula>
    </cfRule>
  </conditionalFormatting>
  <conditionalFormatting sqref="H3:H22">
    <cfRule type="expression" dxfId="46" priority="37">
      <formula>AND(OR($F3="No",$F3=""), $E3= "Yes",$G3&lt;&gt;"",$H3&lt;&gt;"")</formula>
    </cfRule>
  </conditionalFormatting>
  <conditionalFormatting sqref="N3:O22">
    <cfRule type="expression" dxfId="45" priority="32">
      <formula>AND(OR($F3="No",$F3=""), $E3= "Yes",$G3&lt;&gt;"",$H3&lt;&gt;"")</formula>
    </cfRule>
  </conditionalFormatting>
  <conditionalFormatting sqref="C23:H24 N23:O25">
    <cfRule type="expression" dxfId="44" priority="30">
      <formula>AND(OR($E23="No",$E23=""), $D23= "Yes",$F23&lt;&gt;"",$G23&lt;&gt;"")</formula>
    </cfRule>
  </conditionalFormatting>
  <conditionalFormatting sqref="C25:D25">
    <cfRule type="expression" dxfId="43" priority="29">
      <formula>AND(OR($E25="No",$E25=""), $D25= "Yes",$F25&lt;&gt;"",$G25&lt;&gt;"")</formula>
    </cfRule>
  </conditionalFormatting>
  <conditionalFormatting sqref="I3:M128">
    <cfRule type="expression" dxfId="42" priority="28">
      <formula>AND(OR($E3="No",$E3=""), $D3= "Yes",$F3&lt;&gt;"",$G3&lt;&gt;"")</formula>
    </cfRule>
  </conditionalFormatting>
  <conditionalFormatting sqref="G32">
    <cfRule type="expression" dxfId="41" priority="27">
      <formula>AND(OR($E32="No",$E32=""), $D32= "Yes",$F32&lt;&gt;"",$G32&lt;&gt;"")</formula>
    </cfRule>
  </conditionalFormatting>
  <conditionalFormatting sqref="G55:H55">
    <cfRule type="expression" dxfId="40" priority="25">
      <formula>AND(OR($E55="No",$E55=""), $D55= "Yes",$F55&lt;&gt;"",$G55&lt;&gt;"")</formula>
    </cfRule>
  </conditionalFormatting>
  <conditionalFormatting sqref="E55:F55">
    <cfRule type="expression" dxfId="39" priority="24">
      <formula>AND(OR($F55="No",$F55=""), $E55= "Yes",$G55&lt;&gt;"",$H55&lt;&gt;"")</formula>
    </cfRule>
  </conditionalFormatting>
  <conditionalFormatting sqref="E52:F52">
    <cfRule type="expression" dxfId="38" priority="23">
      <formula>AND(OR($F52="No",$F52=""), $E52= "Yes",$G52&lt;&gt;"",$H52&lt;&gt;"")</formula>
    </cfRule>
  </conditionalFormatting>
  <conditionalFormatting sqref="E57:H57">
    <cfRule type="expression" dxfId="37" priority="22">
      <formula>AND(OR($E57="No",$E57=""), $D57= "Yes",$F57&lt;&gt;"",$G57&lt;&gt;"")</formula>
    </cfRule>
  </conditionalFormatting>
  <conditionalFormatting sqref="E60:H60">
    <cfRule type="expression" dxfId="36" priority="21">
      <formula>AND(OR($E60="No",$E60=""), $D60= "Yes",$F60&lt;&gt;"",$G60&lt;&gt;"")</formula>
    </cfRule>
  </conditionalFormatting>
  <conditionalFormatting sqref="E80:H80">
    <cfRule type="expression" dxfId="35" priority="20">
      <formula>AND(OR($E80="No",$E80=""), $D80= "Yes",$F80&lt;&gt;"",$G80&lt;&gt;"")</formula>
    </cfRule>
  </conditionalFormatting>
  <conditionalFormatting sqref="E82:H82">
    <cfRule type="expression" dxfId="34" priority="19">
      <formula>AND(OR($E82="No",$E82=""), $D82= "Yes",$F82&lt;&gt;"",$G82&lt;&gt;"")</formula>
    </cfRule>
  </conditionalFormatting>
  <conditionalFormatting sqref="E50:H51">
    <cfRule type="expression" dxfId="33" priority="18">
      <formula>AND(OR($F50="No",$F50=""), $E50= "Yes",$G50&lt;&gt;"",$H50&lt;&gt;"")</formula>
    </cfRule>
  </conditionalFormatting>
  <conditionalFormatting sqref="E49:H49">
    <cfRule type="expression" dxfId="32" priority="17">
      <formula>AND(OR($E49="No",$E49=""), $D49= "Yes",$F49&lt;&gt;"",$G49&lt;&gt;"")</formula>
    </cfRule>
  </conditionalFormatting>
  <conditionalFormatting sqref="G59:H59">
    <cfRule type="expression" dxfId="31" priority="16">
      <formula>AND(OR($E59="No",$E59=""), $D59= "Yes",$F59&lt;&gt;"",$G59&lt;&gt;"")</formula>
    </cfRule>
  </conditionalFormatting>
  <conditionalFormatting sqref="E59:F59">
    <cfRule type="expression" dxfId="30" priority="15">
      <formula>AND(OR($F59="No",$F59=""), $E59= "Yes",$G59&lt;&gt;"",$H59&lt;&gt;"")</formula>
    </cfRule>
  </conditionalFormatting>
  <conditionalFormatting sqref="E72:H72">
    <cfRule type="expression" dxfId="29" priority="14">
      <formula>AND(OR($F72="No",$F72=""), $E72= "Yes",$G72&lt;&gt;"",$H72&lt;&gt;"")</formula>
    </cfRule>
  </conditionalFormatting>
  <conditionalFormatting sqref="E75:H75">
    <cfRule type="expression" dxfId="28" priority="13">
      <formula>AND(OR($F75="No",$F75=""), $E75= "Yes",$G75&lt;&gt;"",$H75&lt;&gt;"")</formula>
    </cfRule>
  </conditionalFormatting>
  <conditionalFormatting sqref="E74:H74">
    <cfRule type="expression" dxfId="27" priority="12">
      <formula>AND(OR($F74="No",$F74=""), $E74= "Yes",$G74&lt;&gt;"",$H74&lt;&gt;"")</formula>
    </cfRule>
  </conditionalFormatting>
  <conditionalFormatting sqref="E76:H76">
    <cfRule type="expression" dxfId="26" priority="11">
      <formula>AND(OR($F76="No",$F76=""), $E76= "Yes",$G76&lt;&gt;"",$H76&lt;&gt;"")</formula>
    </cfRule>
  </conditionalFormatting>
  <conditionalFormatting sqref="E45:H45">
    <cfRule type="expression" dxfId="25" priority="10">
      <formula>AND(OR($E45="No",$E45=""), $D45= "Yes",$F45&lt;&gt;"",$G45&lt;&gt;"")</formula>
    </cfRule>
  </conditionalFormatting>
  <conditionalFormatting sqref="E48:H48 G47:H47">
    <cfRule type="expression" dxfId="24" priority="7">
      <formula>AND(OR($E47="No",$E47=""), $D47= "Yes",$F47&lt;&gt;"",$G47&lt;&gt;"")</formula>
    </cfRule>
  </conditionalFormatting>
  <conditionalFormatting sqref="E34:H34">
    <cfRule type="expression" dxfId="23" priority="6">
      <formula>AND(OR($E34="No",$E34=""), $D34= "Yes",$F34&lt;&gt;"",$G34&lt;&gt;"")</formula>
    </cfRule>
  </conditionalFormatting>
  <conditionalFormatting sqref="G46:H46">
    <cfRule type="expression" dxfId="22" priority="5">
      <formula>AND(OR($E46="No",$E46=""), $D46= "Yes",$F46&lt;&gt;"",$G46&lt;&gt;"")</formula>
    </cfRule>
  </conditionalFormatting>
  <conditionalFormatting sqref="E33:G33">
    <cfRule type="expression" dxfId="21" priority="4">
      <formula>AND(OR($E33="No",$E33=""), $D33= "Yes",$F33&lt;&gt;"",$G33&lt;&gt;"")</formula>
    </cfRule>
  </conditionalFormatting>
  <conditionalFormatting sqref="E46:F47">
    <cfRule type="expression" dxfId="20" priority="3">
      <formula>AND(OR($E46="No",$E46=""), $D46= "Yes",$F46&lt;&gt;"",$G46&lt;&gt;"")</formula>
    </cfRule>
  </conditionalFormatting>
  <conditionalFormatting sqref="D106">
    <cfRule type="expression" dxfId="19" priority="2">
      <formula>AND(OR($F106="No",$F106=""), $E106= "Yes",$G106&lt;&gt;"",$H106&lt;&gt;"")</formula>
    </cfRule>
  </conditionalFormatting>
  <conditionalFormatting sqref="D63">
    <cfRule type="expression" dxfId="18" priority="1">
      <formula>AND(OR($F63="No",$F63=""), $E63= "Yes",$G63&lt;&gt;"",$H63&lt;&gt;"")</formula>
    </cfRule>
  </conditionalFormatting>
  <dataValidations count="1">
    <dataValidation type="list" allowBlank="1" showInputMessage="1" showErrorMessage="1" sqref="K129:K1048576 E3:E22 E83:E125 E23:F24 K1:K2 E82:F82 E57:F57 E60:F60 E58:E59 E80:F80 E81 E45:F49 E52:E56 E77:E79 E61:E71 E73 E33:F34 E26:E32 E35:E44" xr:uid="{6C641669-B91B-4649-92B5-E637A1260F09}">
      <formula1>"Yes, No"</formula1>
    </dataValidation>
  </dataValidations>
  <pageMargins left="0.2" right="0.2" top="0.2" bottom="0.2" header="0.3" footer="0.3"/>
  <pageSetup paperSize="8" scale="74"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14" sqref="D14"/>
    </sheetView>
  </sheetViews>
  <sheetFormatPr defaultRowHeight="15" x14ac:dyDescent="0.2"/>
  <cols>
    <col min="3" max="4" width="36.21875" bestFit="1" customWidth="1"/>
    <col min="5" max="5" width="11.33203125" customWidth="1"/>
    <col min="6" max="6" width="9.6640625" customWidth="1"/>
    <col min="8" max="8" width="9.88671875" bestFit="1" customWidth="1"/>
  </cols>
  <sheetData>
    <row r="1" spans="1:9" s="3" customFormat="1" ht="20.25" customHeight="1" thickBot="1" x14ac:dyDescent="0.3">
      <c r="B1" s="24"/>
      <c r="C1" s="8" t="s">
        <v>823</v>
      </c>
      <c r="D1" s="9"/>
      <c r="E1" s="9"/>
      <c r="F1" s="9"/>
      <c r="G1" s="9"/>
      <c r="H1" s="9"/>
      <c r="I1" s="9"/>
    </row>
    <row r="2" spans="1:9" s="10" customFormat="1" ht="78.75" customHeight="1" thickBot="1" x14ac:dyDescent="0.25">
      <c r="A2" s="54" t="s">
        <v>41</v>
      </c>
      <c r="B2" s="54" t="s">
        <v>42</v>
      </c>
      <c r="C2" s="55" t="s">
        <v>43</v>
      </c>
      <c r="D2" s="56" t="s">
        <v>44</v>
      </c>
      <c r="E2" s="57" t="s">
        <v>22</v>
      </c>
      <c r="F2" s="57" t="s">
        <v>19</v>
      </c>
      <c r="G2" s="58" t="s">
        <v>45</v>
      </c>
      <c r="H2" s="59" t="s">
        <v>46</v>
      </c>
      <c r="I2" s="9"/>
    </row>
    <row r="3" spans="1:9" s="3" customFormat="1" ht="15.75" x14ac:dyDescent="0.25">
      <c r="A3" s="5">
        <v>6770</v>
      </c>
      <c r="B3" s="5" t="s">
        <v>13</v>
      </c>
      <c r="C3" s="62" t="s">
        <v>824</v>
      </c>
      <c r="D3" s="61" t="s">
        <v>824</v>
      </c>
      <c r="H3" s="21"/>
    </row>
    <row r="4" spans="1:9" s="3" customFormat="1" ht="15.75" x14ac:dyDescent="0.25">
      <c r="A4" s="5">
        <v>6800</v>
      </c>
      <c r="B4" s="5" t="s">
        <v>13</v>
      </c>
      <c r="C4" s="6" t="s">
        <v>825</v>
      </c>
      <c r="D4" s="60" t="s">
        <v>825</v>
      </c>
    </row>
    <row r="5" spans="1:9" s="3" customFormat="1" ht="15.75" x14ac:dyDescent="0.25">
      <c r="A5" s="5">
        <v>6790</v>
      </c>
      <c r="B5" s="5"/>
      <c r="C5" s="62" t="s">
        <v>826</v>
      </c>
      <c r="D5" s="61" t="s">
        <v>826</v>
      </c>
    </row>
    <row r="6" spans="1:9" s="3" customFormat="1" ht="15.75" x14ac:dyDescent="0.25">
      <c r="A6" s="5">
        <v>6820</v>
      </c>
      <c r="B6" s="5"/>
      <c r="C6" s="6" t="s">
        <v>827</v>
      </c>
      <c r="D6" s="60" t="s">
        <v>827</v>
      </c>
    </row>
    <row r="7" spans="1:9" s="3" customFormat="1" ht="15.75" x14ac:dyDescent="0.25">
      <c r="A7" s="5">
        <v>6830</v>
      </c>
      <c r="B7" s="5"/>
      <c r="C7" s="6" t="s">
        <v>828</v>
      </c>
      <c r="D7" s="60" t="s">
        <v>828</v>
      </c>
    </row>
    <row r="8" spans="1:9" s="3" customFormat="1" ht="15.75" x14ac:dyDescent="0.25">
      <c r="A8" s="5">
        <v>6850</v>
      </c>
      <c r="B8" s="5"/>
      <c r="C8" s="6" t="s">
        <v>829</v>
      </c>
      <c r="D8" s="60" t="s">
        <v>829</v>
      </c>
    </row>
    <row r="9" spans="1:9" x14ac:dyDescent="0.2">
      <c r="B9" s="4"/>
    </row>
    <row r="10" spans="1:9" x14ac:dyDescent="0.2">
      <c r="B10" s="4"/>
    </row>
    <row r="11" spans="1:9" x14ac:dyDescent="0.2">
      <c r="B11" s="4"/>
    </row>
    <row r="12" spans="1:9" x14ac:dyDescent="0.2">
      <c r="B12" s="2"/>
    </row>
    <row r="13" spans="1:9" x14ac:dyDescent="0.2">
      <c r="B13" s="2"/>
    </row>
    <row r="14" spans="1:9" x14ac:dyDescent="0.2">
      <c r="B14" s="4"/>
    </row>
    <row r="15" spans="1:9" x14ac:dyDescent="0.2">
      <c r="B15" s="4"/>
    </row>
    <row r="16" spans="1:9" x14ac:dyDescent="0.2">
      <c r="B16" s="2"/>
    </row>
    <row r="17" spans="2:2" x14ac:dyDescent="0.2">
      <c r="B17" s="4"/>
    </row>
    <row r="18" spans="2:2" x14ac:dyDescent="0.2">
      <c r="B18" s="4"/>
    </row>
    <row r="19" spans="2:2" x14ac:dyDescent="0.2">
      <c r="B19" s="4"/>
    </row>
    <row r="20" spans="2:2" x14ac:dyDescent="0.2">
      <c r="B20" s="4"/>
    </row>
    <row r="21" spans="2:2" x14ac:dyDescent="0.2">
      <c r="B21" s="4"/>
    </row>
    <row r="22" spans="2:2" x14ac:dyDescent="0.2">
      <c r="B22" s="4"/>
    </row>
    <row r="23" spans="2:2" x14ac:dyDescent="0.2">
      <c r="B23" s="4"/>
    </row>
    <row r="24" spans="2:2" x14ac:dyDescent="0.2">
      <c r="B24" s="4"/>
    </row>
    <row r="25" spans="2:2" x14ac:dyDescent="0.2">
      <c r="B25" s="4"/>
    </row>
    <row r="26" spans="2:2" x14ac:dyDescent="0.2">
      <c r="B26" s="4"/>
    </row>
    <row r="27" spans="2:2" x14ac:dyDescent="0.2">
      <c r="B27" s="4"/>
    </row>
    <row r="28" spans="2:2" x14ac:dyDescent="0.2">
      <c r="B28" s="4"/>
    </row>
    <row r="29" spans="2:2" x14ac:dyDescent="0.2">
      <c r="B29" s="4"/>
    </row>
    <row r="30" spans="2:2" x14ac:dyDescent="0.2">
      <c r="B30" s="2"/>
    </row>
    <row r="31" spans="2:2" x14ac:dyDescent="0.2">
      <c r="B31" s="2"/>
    </row>
    <row r="32" spans="2:2" x14ac:dyDescent="0.2">
      <c r="B32" s="2"/>
    </row>
    <row r="33" spans="2:2" x14ac:dyDescent="0.2">
      <c r="B33" s="4"/>
    </row>
    <row r="34" spans="2:2" x14ac:dyDescent="0.2">
      <c r="B34" s="4"/>
    </row>
    <row r="35" spans="2:2" x14ac:dyDescent="0.2">
      <c r="B35" s="4"/>
    </row>
    <row r="36" spans="2:2" x14ac:dyDescent="0.2">
      <c r="B36" s="4"/>
    </row>
    <row r="37" spans="2:2" x14ac:dyDescent="0.2">
      <c r="B37" s="4"/>
    </row>
    <row r="38" spans="2:2" x14ac:dyDescent="0.2">
      <c r="B38" s="4"/>
    </row>
    <row r="39" spans="2:2" x14ac:dyDescent="0.2">
      <c r="B39" s="4"/>
    </row>
    <row r="40" spans="2:2" x14ac:dyDescent="0.2">
      <c r="B40" s="4"/>
    </row>
    <row r="41" spans="2:2" x14ac:dyDescent="0.2">
      <c r="B41" s="4"/>
    </row>
    <row r="42" spans="2:2" x14ac:dyDescent="0.2">
      <c r="B42" s="4"/>
    </row>
    <row r="43" spans="2:2" x14ac:dyDescent="0.2">
      <c r="B43" s="4"/>
    </row>
    <row r="44" spans="2:2" x14ac:dyDescent="0.2">
      <c r="B44" s="2"/>
    </row>
    <row r="45" spans="2:2" x14ac:dyDescent="0.2">
      <c r="B45" s="4"/>
    </row>
    <row r="46" spans="2:2" x14ac:dyDescent="0.2">
      <c r="B46" s="4"/>
    </row>
    <row r="47" spans="2:2" x14ac:dyDescent="0.2">
      <c r="B47" s="4"/>
    </row>
    <row r="48" spans="2:2" x14ac:dyDescent="0.2">
      <c r="B48" s="2"/>
    </row>
    <row r="49" spans="2:2" x14ac:dyDescent="0.2">
      <c r="B49" s="2"/>
    </row>
    <row r="50" spans="2:2" x14ac:dyDescent="0.2">
      <c r="B50" s="2"/>
    </row>
    <row r="51" spans="2:2" x14ac:dyDescent="0.2">
      <c r="B51" s="2"/>
    </row>
    <row r="52" spans="2:2" x14ac:dyDescent="0.2">
      <c r="B52" s="2"/>
    </row>
    <row r="53" spans="2:2" x14ac:dyDescent="0.2">
      <c r="B53" s="2"/>
    </row>
    <row r="54" spans="2:2" x14ac:dyDescent="0.2">
      <c r="B54" s="2"/>
    </row>
    <row r="55" spans="2:2" x14ac:dyDescent="0.2">
      <c r="B55" s="2"/>
    </row>
    <row r="56" spans="2:2" x14ac:dyDescent="0.2">
      <c r="B56" s="2"/>
    </row>
    <row r="57" spans="2:2" x14ac:dyDescent="0.2">
      <c r="B57" s="2"/>
    </row>
    <row r="58" spans="2:2" x14ac:dyDescent="0.2">
      <c r="B58" s="2"/>
    </row>
    <row r="59" spans="2:2" x14ac:dyDescent="0.2">
      <c r="B59" s="2"/>
    </row>
    <row r="60" spans="2:2" x14ac:dyDescent="0.2">
      <c r="B60" s="2"/>
    </row>
    <row r="61" spans="2:2" x14ac:dyDescent="0.2">
      <c r="B61" s="2"/>
    </row>
    <row r="62" spans="2:2" x14ac:dyDescent="0.2">
      <c r="B62" s="2"/>
    </row>
    <row r="63" spans="2:2" x14ac:dyDescent="0.2">
      <c r="B63" s="2"/>
    </row>
    <row r="64" spans="2:2" x14ac:dyDescent="0.2">
      <c r="B64" s="2"/>
    </row>
    <row r="65" spans="2:2" x14ac:dyDescent="0.2">
      <c r="B65" s="2"/>
    </row>
    <row r="66" spans="2:2" x14ac:dyDescent="0.2">
      <c r="B66" s="2"/>
    </row>
    <row r="67" spans="2:2" x14ac:dyDescent="0.2">
      <c r="B67" s="2"/>
    </row>
    <row r="68" spans="2:2" x14ac:dyDescent="0.2">
      <c r="B68" s="2"/>
    </row>
    <row r="69" spans="2:2" x14ac:dyDescent="0.2">
      <c r="B69" s="2"/>
    </row>
    <row r="70" spans="2:2" x14ac:dyDescent="0.2">
      <c r="B70" s="4"/>
    </row>
    <row r="71" spans="2:2" x14ac:dyDescent="0.2">
      <c r="B71" s="4"/>
    </row>
    <row r="72" spans="2:2" x14ac:dyDescent="0.2">
      <c r="B72" s="4"/>
    </row>
    <row r="73" spans="2:2" x14ac:dyDescent="0.2">
      <c r="B73" s="4"/>
    </row>
    <row r="74" spans="2:2" x14ac:dyDescent="0.2">
      <c r="B74" s="4"/>
    </row>
    <row r="75" spans="2:2" x14ac:dyDescent="0.2">
      <c r="B75" s="4"/>
    </row>
    <row r="76" spans="2:2" x14ac:dyDescent="0.2">
      <c r="B76" s="4"/>
    </row>
    <row r="77" spans="2:2" x14ac:dyDescent="0.2">
      <c r="B77" s="4"/>
    </row>
    <row r="78" spans="2:2" x14ac:dyDescent="0.2">
      <c r="B78" s="4"/>
    </row>
    <row r="79" spans="2:2" x14ac:dyDescent="0.2">
      <c r="B79" s="4"/>
    </row>
    <row r="80" spans="2:2" x14ac:dyDescent="0.2">
      <c r="B80" s="4"/>
    </row>
    <row r="81" spans="2:2" x14ac:dyDescent="0.2">
      <c r="B81" s="4"/>
    </row>
    <row r="82" spans="2:2" x14ac:dyDescent="0.2">
      <c r="B82" s="4"/>
    </row>
    <row r="83" spans="2:2" x14ac:dyDescent="0.2">
      <c r="B83" s="4"/>
    </row>
    <row r="84" spans="2:2" x14ac:dyDescent="0.2">
      <c r="B84" s="4"/>
    </row>
    <row r="85" spans="2:2" x14ac:dyDescent="0.2">
      <c r="B85" s="4"/>
    </row>
    <row r="86" spans="2:2" x14ac:dyDescent="0.2">
      <c r="B86" s="4"/>
    </row>
    <row r="87" spans="2:2" x14ac:dyDescent="0.2">
      <c r="B87" s="4"/>
    </row>
    <row r="88" spans="2:2" x14ac:dyDescent="0.2">
      <c r="B88" s="4"/>
    </row>
    <row r="89" spans="2:2" x14ac:dyDescent="0.2">
      <c r="B89" s="4"/>
    </row>
    <row r="90" spans="2:2" x14ac:dyDescent="0.2">
      <c r="B90" s="4"/>
    </row>
    <row r="91" spans="2:2" x14ac:dyDescent="0.2">
      <c r="B91" s="4"/>
    </row>
    <row r="92" spans="2:2" x14ac:dyDescent="0.2">
      <c r="B92" s="4"/>
    </row>
    <row r="93" spans="2:2" x14ac:dyDescent="0.2">
      <c r="B93" s="4"/>
    </row>
    <row r="94" spans="2:2" x14ac:dyDescent="0.2">
      <c r="B94" s="4"/>
    </row>
  </sheetData>
  <autoFilter ref="A2:G2" xr:uid="{F2235893-BC3A-4B55-9412-E1C6071DB78D}"/>
  <conditionalFormatting sqref="B81">
    <cfRule type="expression" dxfId="17" priority="21">
      <formula>AND(OR($E81="No",$E81=""),$F81="Yes",$G81&lt;&gt;"")</formula>
    </cfRule>
    <cfRule type="expression" dxfId="16" priority="22">
      <formula>AND($E81="Yes",$F81="No",$G81&lt;&gt;"")</formula>
    </cfRule>
  </conditionalFormatting>
  <conditionalFormatting sqref="B82:B90">
    <cfRule type="expression" dxfId="15" priority="19">
      <formula>AND(OR($E82="No",$E82=""),$F82="Yes",$G82&lt;&gt;"")</formula>
    </cfRule>
    <cfRule type="expression" dxfId="14" priority="20">
      <formula>AND($E82="Yes",$F82="No",$G82&lt;&gt;"")</formula>
    </cfRule>
  </conditionalFormatting>
  <conditionalFormatting sqref="B91">
    <cfRule type="expression" dxfId="13" priority="17">
      <formula>AND(OR($E91="No",$E91=""),$F91="Yes",$G91&lt;&gt;"")</formula>
    </cfRule>
    <cfRule type="expression" dxfId="12" priority="18">
      <formula>AND($E91="Yes",$F91="No",$G91&lt;&gt;"")</formula>
    </cfRule>
  </conditionalFormatting>
  <conditionalFormatting sqref="B92">
    <cfRule type="expression" dxfId="11" priority="15">
      <formula>AND(OR($E92="No",$E92=""),$F92="Yes",$G92&lt;&gt;"")</formula>
    </cfRule>
    <cfRule type="expression" dxfId="10" priority="16">
      <formula>AND($E92="Yes",$F92="No",$G92&lt;&gt;"")</formula>
    </cfRule>
  </conditionalFormatting>
  <conditionalFormatting sqref="B93">
    <cfRule type="expression" dxfId="9" priority="13">
      <formula>AND(OR($E93="No",$E93=""),$F93="Yes",$G93&lt;&gt;"")</formula>
    </cfRule>
    <cfRule type="expression" dxfId="8" priority="14">
      <formula>AND($E93="Yes",$F93="No",$G93&lt;&gt;"")</formula>
    </cfRule>
  </conditionalFormatting>
  <conditionalFormatting sqref="B94">
    <cfRule type="expression" dxfId="7" priority="11">
      <formula>AND(OR($E94="No",$E94=""),$F94="Yes",$G94&lt;&gt;"")</formula>
    </cfRule>
    <cfRule type="expression" dxfId="6" priority="12">
      <formula>AND($E94="Yes",$F94="No",$G94&lt;&gt;"")</formula>
    </cfRule>
  </conditionalFormatting>
  <conditionalFormatting sqref="B51:B69">
    <cfRule type="expression" dxfId="5" priority="7">
      <formula>AND(OR($E51="No",$E51=""),$F51="Yes",$G51&lt;&gt;"")</formula>
    </cfRule>
    <cfRule type="expression" dxfId="4" priority="8">
      <formula>AND($E51="Yes",$F51="No",$G51&lt;&gt;"")</formula>
    </cfRule>
  </conditionalFormatting>
  <conditionalFormatting sqref="A2:D2">
    <cfRule type="expression" dxfId="3" priority="25">
      <formula>AND(OR(#REF!="No",#REF!=""), #REF!= "Yes",#REF!&lt;&gt;"",#REF!&lt;&gt;"")</formula>
    </cfRule>
    <cfRule type="expression" dxfId="2" priority="26">
      <formula>AND(OR(#REF!="No",#REF!=""), #REF!= "Yes",#REF!&lt;&gt;"",#REF!&lt;&gt;"")</formula>
    </cfRule>
  </conditionalFormatting>
  <conditionalFormatting sqref="A3:H8">
    <cfRule type="expression" dxfId="1" priority="1">
      <formula>AND(OR($E3="No",$E3=""), $F3= "Yes",$G3&lt;&gt;"",$H3&lt;&gt;"")</formula>
    </cfRule>
    <cfRule type="expression" dxfId="0"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270890B-8AB7-4E04-A6EE-F77CD441719E}">
  <ds:schemaRefs>
    <ds:schemaRef ds:uri="http://schemas.microsoft.com/office/2006/documentManagement/types"/>
    <ds:schemaRef ds:uri="98fadb18-abe0-4def-b0b0-9b672b1d5a2b"/>
    <ds:schemaRef ds:uri="http://purl.org/dc/elements/1.1/"/>
    <ds:schemaRef ds:uri="http://schemas.microsoft.com/office/2006/metadata/properties"/>
    <ds:schemaRef ds:uri="http://schemas.openxmlformats.org/package/2006/metadata/core-properties"/>
    <ds:schemaRef ds:uri="801ea4e6-356c-4d90-aef9-664fc2866395"/>
    <ds:schemaRef ds:uri="http://schemas.microsoft.com/office/infopath/2007/PartnerControls"/>
    <ds:schemaRef ds:uri="http://purl.org/dc/terms/"/>
    <ds:schemaRef ds:uri="aa12a5a9-6d4c-4ce8-9ebd-fc4098eff306"/>
    <ds:schemaRef ds:uri="http://www.w3.org/XML/1998/namespace"/>
    <ds:schemaRef ds:uri="http://purl.org/dc/dcmitype/"/>
  </ds:schemaRefs>
</ds:datastoreItem>
</file>

<file path=customXml/itemProps2.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54A8573-210B-47A2-B593-A8A41125B9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Summary</vt:lpstr>
      <vt:lpstr>TaskPrint</vt:lpstr>
      <vt:lpstr>DM 3 Car</vt:lpstr>
      <vt:lpstr>Trailer 3 Car</vt:lpstr>
      <vt:lpstr>UNDM 3 Car</vt:lpstr>
      <vt:lpstr>UNDM 4 Car</vt:lpstr>
      <vt:lpstr>Special Trailer 4 Car</vt:lpstr>
      <vt:lpstr>Trailer 4 Car</vt:lpstr>
      <vt:lpstr>DM 4 Car</vt:lpstr>
      <vt:lpstr>Train Tests</vt:lpstr>
      <vt:lpstr>'DM 3 Car'!Print_Area</vt:lpstr>
      <vt:lpstr>'DM 4 Car'!Print_Area</vt:lpstr>
      <vt:lpstr>'Special Trailer 4 Car'!Print_Area</vt:lpstr>
      <vt:lpstr>'Trailer 3 Car'!Print_Area</vt:lpstr>
      <vt:lpstr>'Trailer 4 Car'!Print_Area</vt:lpstr>
      <vt:lpstr>'UNDM 3 Car'!Print_Area</vt:lpstr>
      <vt:lpstr>'UNDM 4 Car'!Print_Area</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2025-10-02T14:59:07Z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